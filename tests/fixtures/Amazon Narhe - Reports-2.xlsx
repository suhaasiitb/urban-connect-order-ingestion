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uhaasvaddi/Downloads/"/>
    </mc:Choice>
  </mc:AlternateContent>
  <xr:revisionPtr revIDLastSave="0" documentId="13_ncr:1_{8238A0F0-C2F4-A94A-A5BB-F46777A72D4C}" xr6:coauthVersionLast="47" xr6:coauthVersionMax="47" xr10:uidLastSave="{00000000-0000-0000-0000-000000000000}"/>
  <bookViews>
    <workbookView xWindow="0" yWindow="640" windowWidth="29400" windowHeight="18480" activeTab="1" xr2:uid="{00000000-000D-0000-FFFF-FFFF00000000}"/>
  </bookViews>
  <sheets>
    <sheet name="Raw Data" sheetId="3" r:id="rId1"/>
    <sheet name="Transform" sheetId="2" r:id="rId2"/>
  </sheets>
  <calcPr calcId="191029"/>
</workbook>
</file>

<file path=xl/calcChain.xml><?xml version="1.0" encoding="utf-8"?>
<calcChain xmlns="http://schemas.openxmlformats.org/spreadsheetml/2006/main">
  <c r="AL2000" i="2" l="1"/>
  <c r="AK2000" i="2"/>
  <c r="AN2000" i="2" s="1"/>
  <c r="AJ2000" i="2"/>
  <c r="AH2000" i="2"/>
  <c r="AI2000" i="2" s="1"/>
  <c r="AG2000" i="2"/>
  <c r="AF2000" i="2"/>
  <c r="AE2000" i="2"/>
  <c r="AD2000" i="2"/>
  <c r="AL1999" i="2"/>
  <c r="AK1999" i="2"/>
  <c r="AN1999" i="2" s="1"/>
  <c r="AJ1999" i="2"/>
  <c r="AH1999" i="2"/>
  <c r="AI1999" i="2" s="1"/>
  <c r="AG1999" i="2"/>
  <c r="AF1999" i="2"/>
  <c r="AE1999" i="2"/>
  <c r="AD1999" i="2"/>
  <c r="AL1998" i="2"/>
  <c r="AK1998" i="2"/>
  <c r="AN1998" i="2" s="1"/>
  <c r="AJ1998" i="2"/>
  <c r="AH1998" i="2"/>
  <c r="AI1998" i="2" s="1"/>
  <c r="AG1998" i="2"/>
  <c r="AF1998" i="2"/>
  <c r="AE1998" i="2"/>
  <c r="AD1998" i="2"/>
  <c r="AL1997" i="2"/>
  <c r="AK1997" i="2"/>
  <c r="AJ1997" i="2"/>
  <c r="AH1997" i="2"/>
  <c r="AI1997" i="2" s="1"/>
  <c r="AG1997" i="2"/>
  <c r="AF1997" i="2"/>
  <c r="AE1997" i="2"/>
  <c r="AD1997" i="2"/>
  <c r="AL1996" i="2"/>
  <c r="AK1996" i="2"/>
  <c r="AM1996" i="2" s="1"/>
  <c r="AJ1996" i="2"/>
  <c r="AH1996" i="2"/>
  <c r="AI1996" i="2" s="1"/>
  <c r="AG1996" i="2"/>
  <c r="AF1996" i="2"/>
  <c r="AE1996" i="2"/>
  <c r="AD1996" i="2"/>
  <c r="AL1995" i="2"/>
  <c r="AK1995" i="2"/>
  <c r="AJ1995" i="2"/>
  <c r="AI1995" i="2"/>
  <c r="AH1995" i="2"/>
  <c r="AG1995" i="2"/>
  <c r="AF1995" i="2"/>
  <c r="AE1995" i="2"/>
  <c r="AD1995" i="2"/>
  <c r="AL1994" i="2"/>
  <c r="AK1994" i="2"/>
  <c r="AN1994" i="2" s="1"/>
  <c r="AJ1994" i="2"/>
  <c r="AH1994" i="2"/>
  <c r="AI1994" i="2" s="1"/>
  <c r="AG1994" i="2"/>
  <c r="AF1994" i="2"/>
  <c r="AE1994" i="2"/>
  <c r="AD1994" i="2"/>
  <c r="AL1993" i="2"/>
  <c r="AK1993" i="2"/>
  <c r="AJ1993" i="2"/>
  <c r="AH1993" i="2"/>
  <c r="AI1993" i="2" s="1"/>
  <c r="AG1993" i="2"/>
  <c r="AF1993" i="2"/>
  <c r="AE1993" i="2"/>
  <c r="AD1993" i="2"/>
  <c r="AL1992" i="2"/>
  <c r="AK1992" i="2"/>
  <c r="AM1992" i="2" s="1"/>
  <c r="AJ1992" i="2"/>
  <c r="AH1992" i="2"/>
  <c r="AI1992" i="2" s="1"/>
  <c r="AG1992" i="2"/>
  <c r="AF1992" i="2"/>
  <c r="AE1992" i="2"/>
  <c r="AD1992" i="2"/>
  <c r="AL1991" i="2"/>
  <c r="AK1991" i="2"/>
  <c r="AJ1991" i="2"/>
  <c r="AH1991" i="2"/>
  <c r="AI1991" i="2" s="1"/>
  <c r="AG1991" i="2"/>
  <c r="AF1991" i="2"/>
  <c r="AE1991" i="2"/>
  <c r="AD1991" i="2"/>
  <c r="AL1990" i="2"/>
  <c r="AM1990" i="2" s="1"/>
  <c r="AK1990" i="2"/>
  <c r="AJ1990" i="2"/>
  <c r="AH1990" i="2"/>
  <c r="AI1990" i="2" s="1"/>
  <c r="AG1990" i="2"/>
  <c r="AF1990" i="2"/>
  <c r="AE1990" i="2"/>
  <c r="AD1990" i="2"/>
  <c r="AM1989" i="2"/>
  <c r="AL1989" i="2"/>
  <c r="AK1989" i="2"/>
  <c r="AJ1989" i="2"/>
  <c r="AH1989" i="2"/>
  <c r="AI1989" i="2" s="1"/>
  <c r="AG1989" i="2"/>
  <c r="AF1989" i="2"/>
  <c r="AE1989" i="2"/>
  <c r="AD1989" i="2"/>
  <c r="AL1988" i="2"/>
  <c r="AK1988" i="2"/>
  <c r="AJ1988" i="2"/>
  <c r="AH1988" i="2"/>
  <c r="AI1988" i="2" s="1"/>
  <c r="AG1988" i="2"/>
  <c r="AF1988" i="2"/>
  <c r="AE1988" i="2"/>
  <c r="AD1988" i="2"/>
  <c r="AL1987" i="2"/>
  <c r="AK1987" i="2"/>
  <c r="AJ1987" i="2"/>
  <c r="AH1987" i="2"/>
  <c r="AI1987" i="2" s="1"/>
  <c r="AG1987" i="2"/>
  <c r="AF1987" i="2"/>
  <c r="AE1987" i="2"/>
  <c r="AD1987" i="2"/>
  <c r="AN1986" i="2"/>
  <c r="AL1986" i="2"/>
  <c r="AK1986" i="2"/>
  <c r="AJ1986" i="2"/>
  <c r="AH1986" i="2"/>
  <c r="AI1986" i="2" s="1"/>
  <c r="AG1986" i="2"/>
  <c r="AF1986" i="2"/>
  <c r="AE1986" i="2"/>
  <c r="AD1986" i="2"/>
  <c r="AL1985" i="2"/>
  <c r="AK1985" i="2"/>
  <c r="AM1985" i="2" s="1"/>
  <c r="AJ1985" i="2"/>
  <c r="AH1985" i="2"/>
  <c r="AI1985" i="2" s="1"/>
  <c r="AG1985" i="2"/>
  <c r="AF1985" i="2"/>
  <c r="AE1985" i="2"/>
  <c r="AD1985" i="2"/>
  <c r="AL1984" i="2"/>
  <c r="AK1984" i="2"/>
  <c r="AM1984" i="2" s="1"/>
  <c r="AJ1984" i="2"/>
  <c r="AH1984" i="2"/>
  <c r="AI1984" i="2" s="1"/>
  <c r="AG1984" i="2"/>
  <c r="AF1984" i="2"/>
  <c r="AE1984" i="2"/>
  <c r="AD1984" i="2"/>
  <c r="AL1983" i="2"/>
  <c r="AK1983" i="2"/>
  <c r="AJ1983" i="2"/>
  <c r="AH1983" i="2"/>
  <c r="AI1983" i="2" s="1"/>
  <c r="AG1983" i="2"/>
  <c r="AF1983" i="2"/>
  <c r="AE1983" i="2"/>
  <c r="AD1983" i="2"/>
  <c r="AL1982" i="2"/>
  <c r="AK1982" i="2"/>
  <c r="AN1982" i="2" s="1"/>
  <c r="AJ1982" i="2"/>
  <c r="AH1982" i="2"/>
  <c r="AI1982" i="2" s="1"/>
  <c r="AG1982" i="2"/>
  <c r="AF1982" i="2"/>
  <c r="AE1982" i="2"/>
  <c r="AD1982" i="2"/>
  <c r="AL1981" i="2"/>
  <c r="AK1981" i="2"/>
  <c r="AM1981" i="2" s="1"/>
  <c r="AJ1981" i="2"/>
  <c r="AH1981" i="2"/>
  <c r="AI1981" i="2" s="1"/>
  <c r="AG1981" i="2"/>
  <c r="AF1981" i="2"/>
  <c r="AE1981" i="2"/>
  <c r="AD1981" i="2"/>
  <c r="AL1980" i="2"/>
  <c r="AK1980" i="2"/>
  <c r="AM1980" i="2" s="1"/>
  <c r="AJ1980" i="2"/>
  <c r="AH1980" i="2"/>
  <c r="AI1980" i="2" s="1"/>
  <c r="AG1980" i="2"/>
  <c r="AF1980" i="2"/>
  <c r="AE1980" i="2"/>
  <c r="AD1980" i="2"/>
  <c r="AL1979" i="2"/>
  <c r="AK1979" i="2"/>
  <c r="AJ1979" i="2"/>
  <c r="AI1979" i="2"/>
  <c r="AH1979" i="2"/>
  <c r="AG1979" i="2"/>
  <c r="AF1979" i="2"/>
  <c r="AE1979" i="2"/>
  <c r="AD1979" i="2"/>
  <c r="AN1978" i="2"/>
  <c r="AL1978" i="2"/>
  <c r="AM1978" i="2" s="1"/>
  <c r="AK1978" i="2"/>
  <c r="AJ1978" i="2"/>
  <c r="AH1978" i="2"/>
  <c r="AI1978" i="2" s="1"/>
  <c r="AG1978" i="2"/>
  <c r="AF1978" i="2"/>
  <c r="AE1978" i="2"/>
  <c r="AD1978" i="2"/>
  <c r="AM1977" i="2"/>
  <c r="AL1977" i="2"/>
  <c r="AK1977" i="2"/>
  <c r="AJ1977" i="2"/>
  <c r="AH1977" i="2"/>
  <c r="AI1977" i="2" s="1"/>
  <c r="AG1977" i="2"/>
  <c r="AF1977" i="2"/>
  <c r="AE1977" i="2"/>
  <c r="AD1977" i="2"/>
  <c r="AL1976" i="2"/>
  <c r="AK1976" i="2"/>
  <c r="AM1976" i="2" s="1"/>
  <c r="AJ1976" i="2"/>
  <c r="AH1976" i="2"/>
  <c r="AI1976" i="2" s="1"/>
  <c r="AG1976" i="2"/>
  <c r="AF1976" i="2"/>
  <c r="AE1976" i="2"/>
  <c r="AD1976" i="2"/>
  <c r="AL1975" i="2"/>
  <c r="AK1975" i="2"/>
  <c r="AJ1975" i="2"/>
  <c r="AI1975" i="2"/>
  <c r="AH1975" i="2"/>
  <c r="AG1975" i="2"/>
  <c r="AF1975" i="2"/>
  <c r="AE1975" i="2"/>
  <c r="AD1975" i="2"/>
  <c r="AL1974" i="2"/>
  <c r="AK1974" i="2"/>
  <c r="AN1974" i="2" s="1"/>
  <c r="AJ1974" i="2"/>
  <c r="AH1974" i="2"/>
  <c r="AI1974" i="2" s="1"/>
  <c r="AG1974" i="2"/>
  <c r="AF1974" i="2"/>
  <c r="AE1974" i="2"/>
  <c r="AD1974" i="2"/>
  <c r="AL1973" i="2"/>
  <c r="AK1973" i="2"/>
  <c r="AM1973" i="2" s="1"/>
  <c r="AJ1973" i="2"/>
  <c r="AH1973" i="2"/>
  <c r="AI1973" i="2" s="1"/>
  <c r="AG1973" i="2"/>
  <c r="AF1973" i="2"/>
  <c r="AE1973" i="2"/>
  <c r="AD1973" i="2"/>
  <c r="AL1972" i="2"/>
  <c r="AK1972" i="2"/>
  <c r="AM1972" i="2" s="1"/>
  <c r="AJ1972" i="2"/>
  <c r="AH1972" i="2"/>
  <c r="AI1972" i="2" s="1"/>
  <c r="AG1972" i="2"/>
  <c r="AF1972" i="2"/>
  <c r="AE1972" i="2"/>
  <c r="AD1972" i="2"/>
  <c r="AL1971" i="2"/>
  <c r="AK1971" i="2"/>
  <c r="AJ1971" i="2"/>
  <c r="AI1971" i="2"/>
  <c r="AH1971" i="2"/>
  <c r="AG1971" i="2"/>
  <c r="AF1971" i="2"/>
  <c r="AE1971" i="2"/>
  <c r="AD1971" i="2"/>
  <c r="AL1970" i="2"/>
  <c r="AM1970" i="2" s="1"/>
  <c r="AK1970" i="2"/>
  <c r="AJ1970" i="2"/>
  <c r="AH1970" i="2"/>
  <c r="AI1970" i="2" s="1"/>
  <c r="AG1970" i="2"/>
  <c r="AF1970" i="2"/>
  <c r="AE1970" i="2"/>
  <c r="AD1970" i="2"/>
  <c r="AM1969" i="2"/>
  <c r="AL1969" i="2"/>
  <c r="AK1969" i="2"/>
  <c r="AJ1969" i="2"/>
  <c r="AH1969" i="2"/>
  <c r="AI1969" i="2" s="1"/>
  <c r="AG1969" i="2"/>
  <c r="AF1969" i="2"/>
  <c r="AE1969" i="2"/>
  <c r="AD1969" i="2"/>
  <c r="AL1968" i="2"/>
  <c r="AK1968" i="2"/>
  <c r="AM1968" i="2" s="1"/>
  <c r="AJ1968" i="2"/>
  <c r="AH1968" i="2"/>
  <c r="AI1968" i="2" s="1"/>
  <c r="AG1968" i="2"/>
  <c r="AF1968" i="2"/>
  <c r="AE1968" i="2"/>
  <c r="AD1968" i="2"/>
  <c r="AL1967" i="2"/>
  <c r="AK1967" i="2"/>
  <c r="AJ1967" i="2"/>
  <c r="AI1967" i="2"/>
  <c r="AH1967" i="2"/>
  <c r="AG1967" i="2"/>
  <c r="AF1967" i="2"/>
  <c r="AE1967" i="2"/>
  <c r="AD1967" i="2"/>
  <c r="AL1966" i="2"/>
  <c r="AK1966" i="2"/>
  <c r="AN1966" i="2" s="1"/>
  <c r="AJ1966" i="2"/>
  <c r="AH1966" i="2"/>
  <c r="AI1966" i="2" s="1"/>
  <c r="AG1966" i="2"/>
  <c r="AF1966" i="2"/>
  <c r="AE1966" i="2"/>
  <c r="AD1966" i="2"/>
  <c r="AL1965" i="2"/>
  <c r="AK1965" i="2"/>
  <c r="AM1965" i="2" s="1"/>
  <c r="AJ1965" i="2"/>
  <c r="AH1965" i="2"/>
  <c r="AI1965" i="2" s="1"/>
  <c r="AG1965" i="2"/>
  <c r="AF1965" i="2"/>
  <c r="AE1965" i="2"/>
  <c r="AD1965" i="2"/>
  <c r="AL1964" i="2"/>
  <c r="AK1964" i="2"/>
  <c r="AM1964" i="2" s="1"/>
  <c r="AJ1964" i="2"/>
  <c r="AH1964" i="2"/>
  <c r="AI1964" i="2" s="1"/>
  <c r="AG1964" i="2"/>
  <c r="AF1964" i="2"/>
  <c r="AE1964" i="2"/>
  <c r="AD1964" i="2"/>
  <c r="AL1963" i="2"/>
  <c r="AK1963" i="2"/>
  <c r="AJ1963" i="2"/>
  <c r="AI1963" i="2"/>
  <c r="AH1963" i="2"/>
  <c r="AG1963" i="2"/>
  <c r="AF1963" i="2"/>
  <c r="AE1963" i="2"/>
  <c r="AD1963" i="2"/>
  <c r="AL1962" i="2"/>
  <c r="AM1962" i="2" s="1"/>
  <c r="AK1962" i="2"/>
  <c r="AJ1962" i="2"/>
  <c r="AH1962" i="2"/>
  <c r="AI1962" i="2" s="1"/>
  <c r="AG1962" i="2"/>
  <c r="AF1962" i="2"/>
  <c r="AE1962" i="2"/>
  <c r="AD1962" i="2"/>
  <c r="AM1961" i="2"/>
  <c r="AL1961" i="2"/>
  <c r="AK1961" i="2"/>
  <c r="AJ1961" i="2"/>
  <c r="AH1961" i="2"/>
  <c r="AI1961" i="2" s="1"/>
  <c r="AG1961" i="2"/>
  <c r="AF1961" i="2"/>
  <c r="AE1961" i="2"/>
  <c r="AD1961" i="2"/>
  <c r="AL1960" i="2"/>
  <c r="AK1960" i="2"/>
  <c r="AM1960" i="2" s="1"/>
  <c r="AJ1960" i="2"/>
  <c r="AH1960" i="2"/>
  <c r="AI1960" i="2" s="1"/>
  <c r="AG1960" i="2"/>
  <c r="AF1960" i="2"/>
  <c r="AE1960" i="2"/>
  <c r="AD1960" i="2"/>
  <c r="AL1959" i="2"/>
  <c r="AK1959" i="2"/>
  <c r="AJ1959" i="2"/>
  <c r="AI1959" i="2"/>
  <c r="AH1959" i="2"/>
  <c r="AG1959" i="2"/>
  <c r="AF1959" i="2"/>
  <c r="AE1959" i="2"/>
  <c r="AD1959" i="2"/>
  <c r="AL1958" i="2"/>
  <c r="AK1958" i="2"/>
  <c r="AN1958" i="2" s="1"/>
  <c r="AJ1958" i="2"/>
  <c r="AH1958" i="2"/>
  <c r="AI1958" i="2" s="1"/>
  <c r="AG1958" i="2"/>
  <c r="AF1958" i="2"/>
  <c r="AE1958" i="2"/>
  <c r="AD1958" i="2"/>
  <c r="AL1957" i="2"/>
  <c r="AK1957" i="2"/>
  <c r="AM1957" i="2" s="1"/>
  <c r="AJ1957" i="2"/>
  <c r="AH1957" i="2"/>
  <c r="AI1957" i="2" s="1"/>
  <c r="AG1957" i="2"/>
  <c r="AF1957" i="2"/>
  <c r="AE1957" i="2"/>
  <c r="AD1957" i="2"/>
  <c r="AL1956" i="2"/>
  <c r="AK1956" i="2"/>
  <c r="AM1956" i="2" s="1"/>
  <c r="AJ1956" i="2"/>
  <c r="AH1956" i="2"/>
  <c r="AI1956" i="2" s="1"/>
  <c r="AG1956" i="2"/>
  <c r="AF1956" i="2"/>
  <c r="AE1956" i="2"/>
  <c r="AD1956" i="2"/>
  <c r="AL1955" i="2"/>
  <c r="AK1955" i="2"/>
  <c r="AJ1955" i="2"/>
  <c r="AI1955" i="2"/>
  <c r="AH1955" i="2"/>
  <c r="AG1955" i="2"/>
  <c r="AF1955" i="2"/>
  <c r="AE1955" i="2"/>
  <c r="AD1955" i="2"/>
  <c r="AN1954" i="2"/>
  <c r="AL1954" i="2"/>
  <c r="AM1954" i="2" s="1"/>
  <c r="AK1954" i="2"/>
  <c r="AJ1954" i="2"/>
  <c r="AH1954" i="2"/>
  <c r="AI1954" i="2" s="1"/>
  <c r="AG1954" i="2"/>
  <c r="AF1954" i="2"/>
  <c r="AE1954" i="2"/>
  <c r="AD1954" i="2"/>
  <c r="AM1953" i="2"/>
  <c r="AL1953" i="2"/>
  <c r="AK1953" i="2"/>
  <c r="AJ1953" i="2"/>
  <c r="AH1953" i="2"/>
  <c r="AI1953" i="2" s="1"/>
  <c r="AG1953" i="2"/>
  <c r="AF1953" i="2"/>
  <c r="AE1953" i="2"/>
  <c r="AD1953" i="2"/>
  <c r="AL1952" i="2"/>
  <c r="AK1952" i="2"/>
  <c r="AM1952" i="2" s="1"/>
  <c r="AJ1952" i="2"/>
  <c r="AH1952" i="2"/>
  <c r="AI1952" i="2" s="1"/>
  <c r="AG1952" i="2"/>
  <c r="AF1952" i="2"/>
  <c r="AE1952" i="2"/>
  <c r="AD1952" i="2"/>
  <c r="AL1951" i="2"/>
  <c r="AK1951" i="2"/>
  <c r="AJ1951" i="2"/>
  <c r="AH1951" i="2"/>
  <c r="AI1951" i="2" s="1"/>
  <c r="AG1951" i="2"/>
  <c r="AF1951" i="2"/>
  <c r="AE1951" i="2"/>
  <c r="AD1951" i="2"/>
  <c r="AL1950" i="2"/>
  <c r="AK1950" i="2"/>
  <c r="AJ1950" i="2"/>
  <c r="AI1950" i="2"/>
  <c r="AH1950" i="2"/>
  <c r="AG1950" i="2"/>
  <c r="AF1950" i="2"/>
  <c r="AE1950" i="2"/>
  <c r="AD1950" i="2"/>
  <c r="AL1949" i="2"/>
  <c r="AK1949" i="2"/>
  <c r="AM1949" i="2" s="1"/>
  <c r="AJ1949" i="2"/>
  <c r="AH1949" i="2"/>
  <c r="AI1949" i="2" s="1"/>
  <c r="AG1949" i="2"/>
  <c r="AF1949" i="2"/>
  <c r="AE1949" i="2"/>
  <c r="AD1949" i="2"/>
  <c r="AL1948" i="2"/>
  <c r="AK1948" i="2"/>
  <c r="AM1948" i="2" s="1"/>
  <c r="AJ1948" i="2"/>
  <c r="AH1948" i="2"/>
  <c r="AI1948" i="2" s="1"/>
  <c r="AG1948" i="2"/>
  <c r="AF1948" i="2"/>
  <c r="AE1948" i="2"/>
  <c r="AD1948" i="2"/>
  <c r="AL1947" i="2"/>
  <c r="AM1947" i="2" s="1"/>
  <c r="AK1947" i="2"/>
  <c r="AN1947" i="2" s="1"/>
  <c r="AJ1947" i="2"/>
  <c r="AH1947" i="2"/>
  <c r="AI1947" i="2" s="1"/>
  <c r="AG1947" i="2"/>
  <c r="AF1947" i="2"/>
  <c r="AE1947" i="2"/>
  <c r="AD1947" i="2"/>
  <c r="AL1946" i="2"/>
  <c r="AK1946" i="2"/>
  <c r="AN1946" i="2" s="1"/>
  <c r="AJ1946" i="2"/>
  <c r="AI1946" i="2"/>
  <c r="AH1946" i="2"/>
  <c r="AG1946" i="2"/>
  <c r="AF1946" i="2"/>
  <c r="AE1946" i="2"/>
  <c r="AD1946" i="2"/>
  <c r="AM1945" i="2"/>
  <c r="AL1945" i="2"/>
  <c r="AK1945" i="2"/>
  <c r="AJ1945" i="2"/>
  <c r="AH1945" i="2"/>
  <c r="AI1945" i="2" s="1"/>
  <c r="AG1945" i="2"/>
  <c r="AF1945" i="2"/>
  <c r="AE1945" i="2"/>
  <c r="AD1945" i="2"/>
  <c r="AL1944" i="2"/>
  <c r="AK1944" i="2"/>
  <c r="AJ1944" i="2"/>
  <c r="AH1944" i="2"/>
  <c r="AI1944" i="2" s="1"/>
  <c r="AG1944" i="2"/>
  <c r="AF1944" i="2"/>
  <c r="AE1944" i="2"/>
  <c r="AD1944" i="2"/>
  <c r="AN1943" i="2"/>
  <c r="AL1943" i="2"/>
  <c r="AM1943" i="2" s="1"/>
  <c r="AK1943" i="2"/>
  <c r="AJ1943" i="2"/>
  <c r="AH1943" i="2"/>
  <c r="AI1943" i="2" s="1"/>
  <c r="AG1943" i="2"/>
  <c r="AF1943" i="2"/>
  <c r="AE1943" i="2"/>
  <c r="AD1943" i="2"/>
  <c r="AN1942" i="2"/>
  <c r="AL1942" i="2"/>
  <c r="AK1942" i="2"/>
  <c r="AJ1942" i="2"/>
  <c r="AI1942" i="2"/>
  <c r="AH1942" i="2"/>
  <c r="AG1942" i="2"/>
  <c r="AF1942" i="2"/>
  <c r="AE1942" i="2"/>
  <c r="AD1942" i="2"/>
  <c r="AL1941" i="2"/>
  <c r="AM1941" i="2" s="1"/>
  <c r="AK1941" i="2"/>
  <c r="AN1941" i="2" s="1"/>
  <c r="AJ1941" i="2"/>
  <c r="AH1941" i="2"/>
  <c r="AI1941" i="2" s="1"/>
  <c r="AG1941" i="2"/>
  <c r="AF1941" i="2"/>
  <c r="AE1941" i="2"/>
  <c r="AD1941" i="2"/>
  <c r="AL1940" i="2"/>
  <c r="AK1940" i="2"/>
  <c r="AJ1940" i="2"/>
  <c r="AH1940" i="2"/>
  <c r="AI1940" i="2" s="1"/>
  <c r="AG1940" i="2"/>
  <c r="AF1940" i="2"/>
  <c r="AE1940" i="2"/>
  <c r="AD1940" i="2"/>
  <c r="AL1939" i="2"/>
  <c r="AM1939" i="2" s="1"/>
  <c r="AK1939" i="2"/>
  <c r="AJ1939" i="2"/>
  <c r="AH1939" i="2"/>
  <c r="AI1939" i="2" s="1"/>
  <c r="AG1939" i="2"/>
  <c r="AF1939" i="2"/>
  <c r="AE1939" i="2"/>
  <c r="AD1939" i="2"/>
  <c r="AL1938" i="2"/>
  <c r="AK1938" i="2"/>
  <c r="AJ1938" i="2"/>
  <c r="AI1938" i="2"/>
  <c r="AH1938" i="2"/>
  <c r="AG1938" i="2"/>
  <c r="AF1938" i="2"/>
  <c r="AE1938" i="2"/>
  <c r="AD1938" i="2"/>
  <c r="AL1937" i="2"/>
  <c r="AK1937" i="2"/>
  <c r="AN1937" i="2" s="1"/>
  <c r="AJ1937" i="2"/>
  <c r="AH1937" i="2"/>
  <c r="AI1937" i="2" s="1"/>
  <c r="AG1937" i="2"/>
  <c r="AF1937" i="2"/>
  <c r="AE1937" i="2"/>
  <c r="AD1937" i="2"/>
  <c r="AL1936" i="2"/>
  <c r="AK1936" i="2"/>
  <c r="AJ1936" i="2"/>
  <c r="AH1936" i="2"/>
  <c r="AI1936" i="2" s="1"/>
  <c r="AG1936" i="2"/>
  <c r="AF1936" i="2"/>
  <c r="AE1936" i="2"/>
  <c r="AD1936" i="2"/>
  <c r="AL1935" i="2"/>
  <c r="AK1935" i="2"/>
  <c r="AJ1935" i="2"/>
  <c r="AH1935" i="2"/>
  <c r="AI1935" i="2" s="1"/>
  <c r="AG1935" i="2"/>
  <c r="AF1935" i="2"/>
  <c r="AE1935" i="2"/>
  <c r="AD1935" i="2"/>
  <c r="AL1934" i="2"/>
  <c r="AM1934" i="2" s="1"/>
  <c r="AK1934" i="2"/>
  <c r="AJ1934" i="2"/>
  <c r="AH1934" i="2"/>
  <c r="AI1934" i="2" s="1"/>
  <c r="AG1934" i="2"/>
  <c r="AF1934" i="2"/>
  <c r="AE1934" i="2"/>
  <c r="AD1934" i="2"/>
  <c r="AL1933" i="2"/>
  <c r="AM1933" i="2" s="1"/>
  <c r="AK1933" i="2"/>
  <c r="AJ1933" i="2"/>
  <c r="AH1933" i="2"/>
  <c r="AI1933" i="2" s="1"/>
  <c r="AG1933" i="2"/>
  <c r="AF1933" i="2"/>
  <c r="AE1933" i="2"/>
  <c r="AD1933" i="2"/>
  <c r="AN1932" i="2"/>
  <c r="AL1932" i="2"/>
  <c r="AK1932" i="2"/>
  <c r="AM1932" i="2" s="1"/>
  <c r="AJ1932" i="2"/>
  <c r="AH1932" i="2"/>
  <c r="AI1932" i="2" s="1"/>
  <c r="AG1932" i="2"/>
  <c r="AF1932" i="2"/>
  <c r="AE1932" i="2"/>
  <c r="AD1932" i="2"/>
  <c r="AL1931" i="2"/>
  <c r="AK1931" i="2"/>
  <c r="AJ1931" i="2"/>
  <c r="AI1931" i="2"/>
  <c r="AH1931" i="2"/>
  <c r="AG1931" i="2"/>
  <c r="AF1931" i="2"/>
  <c r="AE1931" i="2"/>
  <c r="AD1931" i="2"/>
  <c r="AL1930" i="2"/>
  <c r="AK1930" i="2"/>
  <c r="AN1930" i="2" s="1"/>
  <c r="AJ1930" i="2"/>
  <c r="AI1930" i="2"/>
  <c r="AH1930" i="2"/>
  <c r="AG1930" i="2"/>
  <c r="AF1930" i="2"/>
  <c r="AE1930" i="2"/>
  <c r="AD1930" i="2"/>
  <c r="AL1929" i="2"/>
  <c r="AM1929" i="2" s="1"/>
  <c r="AK1929" i="2"/>
  <c r="AJ1929" i="2"/>
  <c r="AH1929" i="2"/>
  <c r="AI1929" i="2" s="1"/>
  <c r="AG1929" i="2"/>
  <c r="AF1929" i="2"/>
  <c r="AE1929" i="2"/>
  <c r="AD1929" i="2"/>
  <c r="AL1928" i="2"/>
  <c r="AK1928" i="2"/>
  <c r="AJ1928" i="2"/>
  <c r="AH1928" i="2"/>
  <c r="AI1928" i="2" s="1"/>
  <c r="AG1928" i="2"/>
  <c r="AF1928" i="2"/>
  <c r="AE1928" i="2"/>
  <c r="AD1928" i="2"/>
  <c r="AL1927" i="2"/>
  <c r="AK1927" i="2"/>
  <c r="AN1927" i="2" s="1"/>
  <c r="AJ1927" i="2"/>
  <c r="AI1927" i="2"/>
  <c r="AH1927" i="2"/>
  <c r="AG1927" i="2"/>
  <c r="AF1927" i="2"/>
  <c r="AE1927" i="2"/>
  <c r="AD1927" i="2"/>
  <c r="AN1926" i="2"/>
  <c r="AL1926" i="2"/>
  <c r="AM1926" i="2" s="1"/>
  <c r="AK1926" i="2"/>
  <c r="AJ1926" i="2"/>
  <c r="AH1926" i="2"/>
  <c r="AI1926" i="2" s="1"/>
  <c r="AG1926" i="2"/>
  <c r="AF1926" i="2"/>
  <c r="AE1926" i="2"/>
  <c r="AD1926" i="2"/>
  <c r="AL1925" i="2"/>
  <c r="AM1925" i="2" s="1"/>
  <c r="AK1925" i="2"/>
  <c r="AJ1925" i="2"/>
  <c r="AH1925" i="2"/>
  <c r="AI1925" i="2" s="1"/>
  <c r="AG1925" i="2"/>
  <c r="AF1925" i="2"/>
  <c r="AE1925" i="2"/>
  <c r="AD1925" i="2"/>
  <c r="AL1924" i="2"/>
  <c r="AK1924" i="2"/>
  <c r="AJ1924" i="2"/>
  <c r="AH1924" i="2"/>
  <c r="AI1924" i="2" s="1"/>
  <c r="AG1924" i="2"/>
  <c r="AF1924" i="2"/>
  <c r="AE1924" i="2"/>
  <c r="AD1924" i="2"/>
  <c r="AL1923" i="2"/>
  <c r="AM1923" i="2" s="1"/>
  <c r="AK1923" i="2"/>
  <c r="AJ1923" i="2"/>
  <c r="AH1923" i="2"/>
  <c r="AI1923" i="2" s="1"/>
  <c r="AG1923" i="2"/>
  <c r="AF1923" i="2"/>
  <c r="AE1923" i="2"/>
  <c r="AD1923" i="2"/>
  <c r="AL1922" i="2"/>
  <c r="AK1922" i="2"/>
  <c r="AJ1922" i="2"/>
  <c r="AI1922" i="2"/>
  <c r="AH1922" i="2"/>
  <c r="AG1922" i="2"/>
  <c r="AF1922" i="2"/>
  <c r="AE1922" i="2"/>
  <c r="AD1922" i="2"/>
  <c r="AL1921" i="2"/>
  <c r="AK1921" i="2"/>
  <c r="AM1921" i="2" s="1"/>
  <c r="AJ1921" i="2"/>
  <c r="AH1921" i="2"/>
  <c r="AI1921" i="2" s="1"/>
  <c r="AG1921" i="2"/>
  <c r="AF1921" i="2"/>
  <c r="AE1921" i="2"/>
  <c r="AD1921" i="2"/>
  <c r="AL1920" i="2"/>
  <c r="AK1920" i="2"/>
  <c r="AM1920" i="2" s="1"/>
  <c r="AJ1920" i="2"/>
  <c r="AH1920" i="2"/>
  <c r="AI1920" i="2" s="1"/>
  <c r="AG1920" i="2"/>
  <c r="AF1920" i="2"/>
  <c r="AE1920" i="2"/>
  <c r="AD1920" i="2"/>
  <c r="AL1919" i="2"/>
  <c r="AK1919" i="2"/>
  <c r="AJ1919" i="2"/>
  <c r="AH1919" i="2"/>
  <c r="AI1919" i="2" s="1"/>
  <c r="AG1919" i="2"/>
  <c r="AF1919" i="2"/>
  <c r="AE1919" i="2"/>
  <c r="AD1919" i="2"/>
  <c r="AL1918" i="2"/>
  <c r="AK1918" i="2"/>
  <c r="AJ1918" i="2"/>
  <c r="AI1918" i="2"/>
  <c r="AH1918" i="2"/>
  <c r="AG1918" i="2"/>
  <c r="AF1918" i="2"/>
  <c r="AE1918" i="2"/>
  <c r="AD1918" i="2"/>
  <c r="AL1917" i="2"/>
  <c r="AK1917" i="2"/>
  <c r="AM1917" i="2" s="1"/>
  <c r="AJ1917" i="2"/>
  <c r="AH1917" i="2"/>
  <c r="AI1917" i="2" s="1"/>
  <c r="AG1917" i="2"/>
  <c r="AF1917" i="2"/>
  <c r="AE1917" i="2"/>
  <c r="AD1917" i="2"/>
  <c r="AL1916" i="2"/>
  <c r="AK1916" i="2"/>
  <c r="AJ1916" i="2"/>
  <c r="AH1916" i="2"/>
  <c r="AI1916" i="2" s="1"/>
  <c r="AG1916" i="2"/>
  <c r="AF1916" i="2"/>
  <c r="AE1916" i="2"/>
  <c r="AD1916" i="2"/>
  <c r="AL1915" i="2"/>
  <c r="AM1915" i="2" s="1"/>
  <c r="AK1915" i="2"/>
  <c r="AJ1915" i="2"/>
  <c r="AH1915" i="2"/>
  <c r="AI1915" i="2" s="1"/>
  <c r="AG1915" i="2"/>
  <c r="AF1915" i="2"/>
  <c r="AE1915" i="2"/>
  <c r="AD1915" i="2"/>
  <c r="AN1914" i="2"/>
  <c r="AL1914" i="2"/>
  <c r="AM1914" i="2" s="1"/>
  <c r="AK1914" i="2"/>
  <c r="AJ1914" i="2"/>
  <c r="AH1914" i="2"/>
  <c r="AI1914" i="2" s="1"/>
  <c r="AG1914" i="2"/>
  <c r="AF1914" i="2"/>
  <c r="AE1914" i="2"/>
  <c r="AD1914" i="2"/>
  <c r="AL1913" i="2"/>
  <c r="AK1913" i="2"/>
  <c r="AJ1913" i="2"/>
  <c r="AH1913" i="2"/>
  <c r="AI1913" i="2" s="1"/>
  <c r="AG1913" i="2"/>
  <c r="AF1913" i="2"/>
  <c r="AE1913" i="2"/>
  <c r="AD1913" i="2"/>
  <c r="AL1912" i="2"/>
  <c r="AK1912" i="2"/>
  <c r="AJ1912" i="2"/>
  <c r="AH1912" i="2"/>
  <c r="AI1912" i="2" s="1"/>
  <c r="AG1912" i="2"/>
  <c r="AF1912" i="2"/>
  <c r="AE1912" i="2"/>
  <c r="AD1912" i="2"/>
  <c r="AL1911" i="2"/>
  <c r="AK1911" i="2"/>
  <c r="AN1911" i="2" s="1"/>
  <c r="AJ1911" i="2"/>
  <c r="AI1911" i="2"/>
  <c r="AH1911" i="2"/>
  <c r="AG1911" i="2"/>
  <c r="AF1911" i="2"/>
  <c r="AE1911" i="2"/>
  <c r="AD1911" i="2"/>
  <c r="AL1910" i="2"/>
  <c r="AM1910" i="2" s="1"/>
  <c r="AK1910" i="2"/>
  <c r="AJ1910" i="2"/>
  <c r="AI1910" i="2"/>
  <c r="AH1910" i="2"/>
  <c r="AG1910" i="2"/>
  <c r="AF1910" i="2"/>
  <c r="AE1910" i="2"/>
  <c r="AD1910" i="2"/>
  <c r="AL1909" i="2"/>
  <c r="AM1909" i="2" s="1"/>
  <c r="AK1909" i="2"/>
  <c r="AJ1909" i="2"/>
  <c r="AH1909" i="2"/>
  <c r="AI1909" i="2" s="1"/>
  <c r="AG1909" i="2"/>
  <c r="AF1909" i="2"/>
  <c r="AE1909" i="2"/>
  <c r="AD1909" i="2"/>
  <c r="AN1908" i="2"/>
  <c r="AL1908" i="2"/>
  <c r="AK1908" i="2"/>
  <c r="AJ1908" i="2"/>
  <c r="AH1908" i="2"/>
  <c r="AI1908" i="2" s="1"/>
  <c r="AG1908" i="2"/>
  <c r="AF1908" i="2"/>
  <c r="AE1908" i="2"/>
  <c r="AD1908" i="2"/>
  <c r="AN1907" i="2"/>
  <c r="AL1907" i="2"/>
  <c r="AM1907" i="2" s="1"/>
  <c r="AK1907" i="2"/>
  <c r="AJ1907" i="2"/>
  <c r="AH1907" i="2"/>
  <c r="AI1907" i="2" s="1"/>
  <c r="AG1907" i="2"/>
  <c r="AF1907" i="2"/>
  <c r="AE1907" i="2"/>
  <c r="AD1907" i="2"/>
  <c r="AL1906" i="2"/>
  <c r="AK1906" i="2"/>
  <c r="AJ1906" i="2"/>
  <c r="AH1906" i="2"/>
  <c r="AI1906" i="2" s="1"/>
  <c r="AG1906" i="2"/>
  <c r="AF1906" i="2"/>
  <c r="AE1906" i="2"/>
  <c r="AD1906" i="2"/>
  <c r="AL1905" i="2"/>
  <c r="AK1905" i="2"/>
  <c r="AJ1905" i="2"/>
  <c r="AH1905" i="2"/>
  <c r="AI1905" i="2" s="1"/>
  <c r="AG1905" i="2"/>
  <c r="AF1905" i="2"/>
  <c r="AE1905" i="2"/>
  <c r="AD1905" i="2"/>
  <c r="AL1904" i="2"/>
  <c r="AK1904" i="2"/>
  <c r="AM1904" i="2" s="1"/>
  <c r="AJ1904" i="2"/>
  <c r="AH1904" i="2"/>
  <c r="AI1904" i="2" s="1"/>
  <c r="AG1904" i="2"/>
  <c r="AF1904" i="2"/>
  <c r="AE1904" i="2"/>
  <c r="AD1904" i="2"/>
  <c r="AL1903" i="2"/>
  <c r="AK1903" i="2"/>
  <c r="AJ1903" i="2"/>
  <c r="AH1903" i="2"/>
  <c r="AI1903" i="2" s="1"/>
  <c r="AG1903" i="2"/>
  <c r="AF1903" i="2"/>
  <c r="AE1903" i="2"/>
  <c r="AD1903" i="2"/>
  <c r="AL1902" i="2"/>
  <c r="AK1902" i="2"/>
  <c r="AN1902" i="2" s="1"/>
  <c r="AJ1902" i="2"/>
  <c r="AH1902" i="2"/>
  <c r="AI1902" i="2" s="1"/>
  <c r="AG1902" i="2"/>
  <c r="AF1902" i="2"/>
  <c r="AE1902" i="2"/>
  <c r="AD1902" i="2"/>
  <c r="AL1901" i="2"/>
  <c r="AK1901" i="2"/>
  <c r="AJ1901" i="2"/>
  <c r="AH1901" i="2"/>
  <c r="AI1901" i="2" s="1"/>
  <c r="AG1901" i="2"/>
  <c r="AF1901" i="2"/>
  <c r="AE1901" i="2"/>
  <c r="AD1901" i="2"/>
  <c r="AN1900" i="2"/>
  <c r="AL1900" i="2"/>
  <c r="AK1900" i="2"/>
  <c r="AM1900" i="2" s="1"/>
  <c r="AJ1900" i="2"/>
  <c r="AH1900" i="2"/>
  <c r="AI1900" i="2" s="1"/>
  <c r="AG1900" i="2"/>
  <c r="AF1900" i="2"/>
  <c r="AE1900" i="2"/>
  <c r="AD1900" i="2"/>
  <c r="AL1899" i="2"/>
  <c r="AK1899" i="2"/>
  <c r="AJ1899" i="2"/>
  <c r="AH1899" i="2"/>
  <c r="AI1899" i="2" s="1"/>
  <c r="AG1899" i="2"/>
  <c r="AF1899" i="2"/>
  <c r="AE1899" i="2"/>
  <c r="AD1899" i="2"/>
  <c r="AN1898" i="2"/>
  <c r="AL1898" i="2"/>
  <c r="AM1898" i="2" s="1"/>
  <c r="AK1898" i="2"/>
  <c r="AJ1898" i="2"/>
  <c r="AH1898" i="2"/>
  <c r="AI1898" i="2" s="1"/>
  <c r="AG1898" i="2"/>
  <c r="AF1898" i="2"/>
  <c r="AE1898" i="2"/>
  <c r="AD1898" i="2"/>
  <c r="AL1897" i="2"/>
  <c r="AK1897" i="2"/>
  <c r="AN1897" i="2" s="1"/>
  <c r="AJ1897" i="2"/>
  <c r="AH1897" i="2"/>
  <c r="AI1897" i="2" s="1"/>
  <c r="AG1897" i="2"/>
  <c r="AF1897" i="2"/>
  <c r="AE1897" i="2"/>
  <c r="AD1897" i="2"/>
  <c r="AL1896" i="2"/>
  <c r="AK1896" i="2"/>
  <c r="AM1896" i="2" s="1"/>
  <c r="AJ1896" i="2"/>
  <c r="AH1896" i="2"/>
  <c r="AI1896" i="2" s="1"/>
  <c r="AG1896" i="2"/>
  <c r="AF1896" i="2"/>
  <c r="AE1896" i="2"/>
  <c r="AD1896" i="2"/>
  <c r="AL1895" i="2"/>
  <c r="AM1895" i="2" s="1"/>
  <c r="AK1895" i="2"/>
  <c r="AN1895" i="2" s="1"/>
  <c r="AJ1895" i="2"/>
  <c r="AH1895" i="2"/>
  <c r="AI1895" i="2" s="1"/>
  <c r="AG1895" i="2"/>
  <c r="AF1895" i="2"/>
  <c r="AE1895" i="2"/>
  <c r="AD1895" i="2"/>
  <c r="AL1894" i="2"/>
  <c r="AM1894" i="2" s="1"/>
  <c r="AK1894" i="2"/>
  <c r="AJ1894" i="2"/>
  <c r="AI1894" i="2"/>
  <c r="AH1894" i="2"/>
  <c r="AG1894" i="2"/>
  <c r="AF1894" i="2"/>
  <c r="AE1894" i="2"/>
  <c r="AD1894" i="2"/>
  <c r="AL1893" i="2"/>
  <c r="AM1893" i="2" s="1"/>
  <c r="AK1893" i="2"/>
  <c r="AJ1893" i="2"/>
  <c r="AH1893" i="2"/>
  <c r="AI1893" i="2" s="1"/>
  <c r="AG1893" i="2"/>
  <c r="AF1893" i="2"/>
  <c r="AE1893" i="2"/>
  <c r="AD1893" i="2"/>
  <c r="AL1892" i="2"/>
  <c r="AK1892" i="2"/>
  <c r="AJ1892" i="2"/>
  <c r="AH1892" i="2"/>
  <c r="AI1892" i="2" s="1"/>
  <c r="AG1892" i="2"/>
  <c r="AF1892" i="2"/>
  <c r="AE1892" i="2"/>
  <c r="AD1892" i="2"/>
  <c r="AL1891" i="2"/>
  <c r="AK1891" i="2"/>
  <c r="AN1891" i="2" s="1"/>
  <c r="AJ1891" i="2"/>
  <c r="AH1891" i="2"/>
  <c r="AI1891" i="2" s="1"/>
  <c r="AG1891" i="2"/>
  <c r="AF1891" i="2"/>
  <c r="AE1891" i="2"/>
  <c r="AD1891" i="2"/>
  <c r="AL1890" i="2"/>
  <c r="AM1890" i="2" s="1"/>
  <c r="AK1890" i="2"/>
  <c r="AJ1890" i="2"/>
  <c r="AH1890" i="2"/>
  <c r="AI1890" i="2" s="1"/>
  <c r="AG1890" i="2"/>
  <c r="AF1890" i="2"/>
  <c r="AE1890" i="2"/>
  <c r="AD1890" i="2"/>
  <c r="AM1889" i="2"/>
  <c r="AL1889" i="2"/>
  <c r="AK1889" i="2"/>
  <c r="AJ1889" i="2"/>
  <c r="AH1889" i="2"/>
  <c r="AI1889" i="2" s="1"/>
  <c r="AG1889" i="2"/>
  <c r="AF1889" i="2"/>
  <c r="AE1889" i="2"/>
  <c r="AD1889" i="2"/>
  <c r="AL1888" i="2"/>
  <c r="AK1888" i="2"/>
  <c r="AJ1888" i="2"/>
  <c r="AH1888" i="2"/>
  <c r="AI1888" i="2" s="1"/>
  <c r="AG1888" i="2"/>
  <c r="AF1888" i="2"/>
  <c r="AE1888" i="2"/>
  <c r="AD1888" i="2"/>
  <c r="AL1887" i="2"/>
  <c r="AK1887" i="2"/>
  <c r="AJ1887" i="2"/>
  <c r="AH1887" i="2"/>
  <c r="AI1887" i="2" s="1"/>
  <c r="AG1887" i="2"/>
  <c r="AF1887" i="2"/>
  <c r="AE1887" i="2"/>
  <c r="AD1887" i="2"/>
  <c r="AL1886" i="2"/>
  <c r="AK1886" i="2"/>
  <c r="AJ1886" i="2"/>
  <c r="AH1886" i="2"/>
  <c r="AI1886" i="2" s="1"/>
  <c r="AG1886" i="2"/>
  <c r="AF1886" i="2"/>
  <c r="AE1886" i="2"/>
  <c r="AD1886" i="2"/>
  <c r="AL1885" i="2"/>
  <c r="AK1885" i="2"/>
  <c r="AM1885" i="2" s="1"/>
  <c r="AJ1885" i="2"/>
  <c r="AH1885" i="2"/>
  <c r="AI1885" i="2" s="1"/>
  <c r="AG1885" i="2"/>
  <c r="AF1885" i="2"/>
  <c r="AE1885" i="2"/>
  <c r="AD1885" i="2"/>
  <c r="AL1884" i="2"/>
  <c r="AK1884" i="2"/>
  <c r="AM1884" i="2" s="1"/>
  <c r="AJ1884" i="2"/>
  <c r="AH1884" i="2"/>
  <c r="AI1884" i="2" s="1"/>
  <c r="AG1884" i="2"/>
  <c r="AF1884" i="2"/>
  <c r="AE1884" i="2"/>
  <c r="AD1884" i="2"/>
  <c r="AL1883" i="2"/>
  <c r="AK1883" i="2"/>
  <c r="AN1883" i="2" s="1"/>
  <c r="AJ1883" i="2"/>
  <c r="AH1883" i="2"/>
  <c r="AI1883" i="2" s="1"/>
  <c r="AG1883" i="2"/>
  <c r="AF1883" i="2"/>
  <c r="AE1883" i="2"/>
  <c r="AD1883" i="2"/>
  <c r="AL1882" i="2"/>
  <c r="AM1882" i="2" s="1"/>
  <c r="AK1882" i="2"/>
  <c r="AN1882" i="2" s="1"/>
  <c r="AJ1882" i="2"/>
  <c r="AI1882" i="2"/>
  <c r="AH1882" i="2"/>
  <c r="AG1882" i="2"/>
  <c r="AF1882" i="2"/>
  <c r="AE1882" i="2"/>
  <c r="AD1882" i="2"/>
  <c r="AL1881" i="2"/>
  <c r="AM1881" i="2" s="1"/>
  <c r="AK1881" i="2"/>
  <c r="AJ1881" i="2"/>
  <c r="AH1881" i="2"/>
  <c r="AI1881" i="2" s="1"/>
  <c r="AG1881" i="2"/>
  <c r="AF1881" i="2"/>
  <c r="AE1881" i="2"/>
  <c r="AD1881" i="2"/>
  <c r="AN1880" i="2"/>
  <c r="AL1880" i="2"/>
  <c r="AK1880" i="2"/>
  <c r="AJ1880" i="2"/>
  <c r="AH1880" i="2"/>
  <c r="AI1880" i="2" s="1"/>
  <c r="AG1880" i="2"/>
  <c r="AF1880" i="2"/>
  <c r="AE1880" i="2"/>
  <c r="AD1880" i="2"/>
  <c r="AN1879" i="2"/>
  <c r="AL1879" i="2"/>
  <c r="AK1879" i="2"/>
  <c r="AJ1879" i="2"/>
  <c r="AH1879" i="2"/>
  <c r="AI1879" i="2" s="1"/>
  <c r="AG1879" i="2"/>
  <c r="AF1879" i="2"/>
  <c r="AE1879" i="2"/>
  <c r="AD1879" i="2"/>
  <c r="AL1878" i="2"/>
  <c r="AK1878" i="2"/>
  <c r="AN1878" i="2" s="1"/>
  <c r="AJ1878" i="2"/>
  <c r="AI1878" i="2"/>
  <c r="AH1878" i="2"/>
  <c r="AG1878" i="2"/>
  <c r="AF1878" i="2"/>
  <c r="AE1878" i="2"/>
  <c r="AD1878" i="2"/>
  <c r="AL1877" i="2"/>
  <c r="AK1877" i="2"/>
  <c r="AN1877" i="2" s="1"/>
  <c r="AJ1877" i="2"/>
  <c r="AH1877" i="2"/>
  <c r="AI1877" i="2" s="1"/>
  <c r="AG1877" i="2"/>
  <c r="AF1877" i="2"/>
  <c r="AE1877" i="2"/>
  <c r="AD1877" i="2"/>
  <c r="AL1876" i="2"/>
  <c r="AK1876" i="2"/>
  <c r="AM1876" i="2" s="1"/>
  <c r="AJ1876" i="2"/>
  <c r="AH1876" i="2"/>
  <c r="AI1876" i="2" s="1"/>
  <c r="AG1876" i="2"/>
  <c r="AF1876" i="2"/>
  <c r="AE1876" i="2"/>
  <c r="AD1876" i="2"/>
  <c r="AL1875" i="2"/>
  <c r="AM1875" i="2" s="1"/>
  <c r="AK1875" i="2"/>
  <c r="AN1875" i="2" s="1"/>
  <c r="AJ1875" i="2"/>
  <c r="AH1875" i="2"/>
  <c r="AI1875" i="2" s="1"/>
  <c r="AG1875" i="2"/>
  <c r="AF1875" i="2"/>
  <c r="AE1875" i="2"/>
  <c r="AD1875" i="2"/>
  <c r="AN1874" i="2"/>
  <c r="AM1874" i="2"/>
  <c r="AL1874" i="2"/>
  <c r="AK1874" i="2"/>
  <c r="AJ1874" i="2"/>
  <c r="AH1874" i="2"/>
  <c r="AI1874" i="2" s="1"/>
  <c r="AG1874" i="2"/>
  <c r="AF1874" i="2"/>
  <c r="AE1874" i="2"/>
  <c r="AD1874" i="2"/>
  <c r="AL1873" i="2"/>
  <c r="AK1873" i="2"/>
  <c r="AM1873" i="2" s="1"/>
  <c r="AJ1873" i="2"/>
  <c r="AH1873" i="2"/>
  <c r="AI1873" i="2" s="1"/>
  <c r="AG1873" i="2"/>
  <c r="AF1873" i="2"/>
  <c r="AE1873" i="2"/>
  <c r="AD1873" i="2"/>
  <c r="AL1872" i="2"/>
  <c r="AK1872" i="2"/>
  <c r="AJ1872" i="2"/>
  <c r="AI1872" i="2"/>
  <c r="AH1872" i="2"/>
  <c r="AG1872" i="2"/>
  <c r="AF1872" i="2"/>
  <c r="AE1872" i="2"/>
  <c r="AD1872" i="2"/>
  <c r="AL1871" i="2"/>
  <c r="AK1871" i="2"/>
  <c r="AN1871" i="2" s="1"/>
  <c r="AJ1871" i="2"/>
  <c r="AH1871" i="2"/>
  <c r="AI1871" i="2" s="1"/>
  <c r="AG1871" i="2"/>
  <c r="AF1871" i="2"/>
  <c r="AE1871" i="2"/>
  <c r="AD1871" i="2"/>
  <c r="AL1870" i="2"/>
  <c r="AN1870" i="2" s="1"/>
  <c r="AK1870" i="2"/>
  <c r="AJ1870" i="2"/>
  <c r="AH1870" i="2"/>
  <c r="AI1870" i="2" s="1"/>
  <c r="AG1870" i="2"/>
  <c r="AF1870" i="2"/>
  <c r="AE1870" i="2"/>
  <c r="AD1870" i="2"/>
  <c r="AM1869" i="2"/>
  <c r="AL1869" i="2"/>
  <c r="AK1869" i="2"/>
  <c r="AJ1869" i="2"/>
  <c r="AH1869" i="2"/>
  <c r="AI1869" i="2" s="1"/>
  <c r="AG1869" i="2"/>
  <c r="AF1869" i="2"/>
  <c r="AE1869" i="2"/>
  <c r="AD1869" i="2"/>
  <c r="AL1868" i="2"/>
  <c r="AK1868" i="2"/>
  <c r="AJ1868" i="2"/>
  <c r="AH1868" i="2"/>
  <c r="AI1868" i="2" s="1"/>
  <c r="AG1868" i="2"/>
  <c r="AF1868" i="2"/>
  <c r="AE1868" i="2"/>
  <c r="AD1868" i="2"/>
  <c r="AL1867" i="2"/>
  <c r="AK1867" i="2"/>
  <c r="AN1867" i="2" s="1"/>
  <c r="AJ1867" i="2"/>
  <c r="AH1867" i="2"/>
  <c r="AI1867" i="2" s="1"/>
  <c r="AG1867" i="2"/>
  <c r="AF1867" i="2"/>
  <c r="AE1867" i="2"/>
  <c r="AD1867" i="2"/>
  <c r="AL1866" i="2"/>
  <c r="AK1866" i="2"/>
  <c r="AM1866" i="2" s="1"/>
  <c r="AJ1866" i="2"/>
  <c r="AI1866" i="2"/>
  <c r="AH1866" i="2"/>
  <c r="AG1866" i="2"/>
  <c r="AF1866" i="2"/>
  <c r="AE1866" i="2"/>
  <c r="AD1866" i="2"/>
  <c r="AL1865" i="2"/>
  <c r="AK1865" i="2"/>
  <c r="AJ1865" i="2"/>
  <c r="AH1865" i="2"/>
  <c r="AI1865" i="2" s="1"/>
  <c r="AG1865" i="2"/>
  <c r="AF1865" i="2"/>
  <c r="AE1865" i="2"/>
  <c r="AD1865" i="2"/>
  <c r="AN1864" i="2"/>
  <c r="AL1864" i="2"/>
  <c r="AK1864" i="2"/>
  <c r="AM1864" i="2" s="1"/>
  <c r="AJ1864" i="2"/>
  <c r="AH1864" i="2"/>
  <c r="AI1864" i="2" s="1"/>
  <c r="AG1864" i="2"/>
  <c r="AF1864" i="2"/>
  <c r="AE1864" i="2"/>
  <c r="AD1864" i="2"/>
  <c r="AL1863" i="2"/>
  <c r="AK1863" i="2"/>
  <c r="AJ1863" i="2"/>
  <c r="AH1863" i="2"/>
  <c r="AI1863" i="2" s="1"/>
  <c r="AG1863" i="2"/>
  <c r="AF1863" i="2"/>
  <c r="AE1863" i="2"/>
  <c r="AD1863" i="2"/>
  <c r="AN1862" i="2"/>
  <c r="AM1862" i="2"/>
  <c r="AL1862" i="2"/>
  <c r="AK1862" i="2"/>
  <c r="AJ1862" i="2"/>
  <c r="AH1862" i="2"/>
  <c r="AI1862" i="2" s="1"/>
  <c r="AG1862" i="2"/>
  <c r="AF1862" i="2"/>
  <c r="AE1862" i="2"/>
  <c r="AD1862" i="2"/>
  <c r="AL1861" i="2"/>
  <c r="AK1861" i="2"/>
  <c r="AM1861" i="2" s="1"/>
  <c r="AJ1861" i="2"/>
  <c r="AH1861" i="2"/>
  <c r="AI1861" i="2" s="1"/>
  <c r="AG1861" i="2"/>
  <c r="AF1861" i="2"/>
  <c r="AE1861" i="2"/>
  <c r="AD1861" i="2"/>
  <c r="AL1860" i="2"/>
  <c r="AK1860" i="2"/>
  <c r="AM1860" i="2" s="1"/>
  <c r="AJ1860" i="2"/>
  <c r="AH1860" i="2"/>
  <c r="AI1860" i="2" s="1"/>
  <c r="AG1860" i="2"/>
  <c r="AF1860" i="2"/>
  <c r="AE1860" i="2"/>
  <c r="AD1860" i="2"/>
  <c r="AL1859" i="2"/>
  <c r="AK1859" i="2"/>
  <c r="AN1859" i="2" s="1"/>
  <c r="AJ1859" i="2"/>
  <c r="AI1859" i="2"/>
  <c r="AH1859" i="2"/>
  <c r="AG1859" i="2"/>
  <c r="AF1859" i="2"/>
  <c r="AE1859" i="2"/>
  <c r="AD1859" i="2"/>
  <c r="AL1858" i="2"/>
  <c r="AK1858" i="2"/>
  <c r="AJ1858" i="2"/>
  <c r="AH1858" i="2"/>
  <c r="AI1858" i="2" s="1"/>
  <c r="AG1858" i="2"/>
  <c r="AF1858" i="2"/>
  <c r="AE1858" i="2"/>
  <c r="AD1858" i="2"/>
  <c r="AM1857" i="2"/>
  <c r="AL1857" i="2"/>
  <c r="AK1857" i="2"/>
  <c r="AJ1857" i="2"/>
  <c r="AH1857" i="2"/>
  <c r="AI1857" i="2" s="1"/>
  <c r="AG1857" i="2"/>
  <c r="AF1857" i="2"/>
  <c r="AE1857" i="2"/>
  <c r="AD1857" i="2"/>
  <c r="AN1856" i="2"/>
  <c r="AL1856" i="2"/>
  <c r="AK1856" i="2"/>
  <c r="AM1856" i="2" s="1"/>
  <c r="AJ1856" i="2"/>
  <c r="AI1856" i="2"/>
  <c r="AH1856" i="2"/>
  <c r="AG1856" i="2"/>
  <c r="AF1856" i="2"/>
  <c r="AE1856" i="2"/>
  <c r="AD1856" i="2"/>
  <c r="AL1855" i="2"/>
  <c r="AK1855" i="2"/>
  <c r="AN1855" i="2" s="1"/>
  <c r="AJ1855" i="2"/>
  <c r="AH1855" i="2"/>
  <c r="AI1855" i="2" s="1"/>
  <c r="AG1855" i="2"/>
  <c r="AF1855" i="2"/>
  <c r="AE1855" i="2"/>
  <c r="AD1855" i="2"/>
  <c r="AL1854" i="2"/>
  <c r="AN1854" i="2" s="1"/>
  <c r="AK1854" i="2"/>
  <c r="AJ1854" i="2"/>
  <c r="AI1854" i="2"/>
  <c r="AH1854" i="2"/>
  <c r="AG1854" i="2"/>
  <c r="AF1854" i="2"/>
  <c r="AE1854" i="2"/>
  <c r="AD1854" i="2"/>
  <c r="AL1853" i="2"/>
  <c r="AK1853" i="2"/>
  <c r="AJ1853" i="2"/>
  <c r="AH1853" i="2"/>
  <c r="AI1853" i="2" s="1"/>
  <c r="AG1853" i="2"/>
  <c r="AF1853" i="2"/>
  <c r="AE1853" i="2"/>
  <c r="AD1853" i="2"/>
  <c r="AL1852" i="2"/>
  <c r="AK1852" i="2"/>
  <c r="AM1852" i="2" s="1"/>
  <c r="AJ1852" i="2"/>
  <c r="AH1852" i="2"/>
  <c r="AI1852" i="2" s="1"/>
  <c r="AG1852" i="2"/>
  <c r="AF1852" i="2"/>
  <c r="AE1852" i="2"/>
  <c r="AD1852" i="2"/>
  <c r="AL1851" i="2"/>
  <c r="AM1851" i="2" s="1"/>
  <c r="AK1851" i="2"/>
  <c r="AJ1851" i="2"/>
  <c r="AH1851" i="2"/>
  <c r="AI1851" i="2" s="1"/>
  <c r="AG1851" i="2"/>
  <c r="AF1851" i="2"/>
  <c r="AE1851" i="2"/>
  <c r="AD1851" i="2"/>
  <c r="AL1850" i="2"/>
  <c r="AK1850" i="2"/>
  <c r="AJ1850" i="2"/>
  <c r="AH1850" i="2"/>
  <c r="AI1850" i="2" s="1"/>
  <c r="AG1850" i="2"/>
  <c r="AF1850" i="2"/>
  <c r="AE1850" i="2"/>
  <c r="AD1850" i="2"/>
  <c r="AL1849" i="2"/>
  <c r="AK1849" i="2"/>
  <c r="AM1849" i="2" s="1"/>
  <c r="AJ1849" i="2"/>
  <c r="AH1849" i="2"/>
  <c r="AI1849" i="2" s="1"/>
  <c r="AG1849" i="2"/>
  <c r="AF1849" i="2"/>
  <c r="AE1849" i="2"/>
  <c r="AD1849" i="2"/>
  <c r="AL1848" i="2"/>
  <c r="AK1848" i="2"/>
  <c r="AN1848" i="2" s="1"/>
  <c r="AJ1848" i="2"/>
  <c r="AH1848" i="2"/>
  <c r="AI1848" i="2" s="1"/>
  <c r="AG1848" i="2"/>
  <c r="AF1848" i="2"/>
  <c r="AE1848" i="2"/>
  <c r="AD1848" i="2"/>
  <c r="AL1847" i="2"/>
  <c r="AK1847" i="2"/>
  <c r="AJ1847" i="2"/>
  <c r="AH1847" i="2"/>
  <c r="AI1847" i="2" s="1"/>
  <c r="AG1847" i="2"/>
  <c r="AF1847" i="2"/>
  <c r="AE1847" i="2"/>
  <c r="AD1847" i="2"/>
  <c r="AN1846" i="2"/>
  <c r="AL1846" i="2"/>
  <c r="AK1846" i="2"/>
  <c r="AM1846" i="2" s="1"/>
  <c r="AJ1846" i="2"/>
  <c r="AH1846" i="2"/>
  <c r="AI1846" i="2" s="1"/>
  <c r="AG1846" i="2"/>
  <c r="AF1846" i="2"/>
  <c r="AE1846" i="2"/>
  <c r="AD1846" i="2"/>
  <c r="AL1845" i="2"/>
  <c r="AK1845" i="2"/>
  <c r="AJ1845" i="2"/>
  <c r="AH1845" i="2"/>
  <c r="AI1845" i="2" s="1"/>
  <c r="AG1845" i="2"/>
  <c r="AF1845" i="2"/>
  <c r="AE1845" i="2"/>
  <c r="AD1845" i="2"/>
  <c r="AL1844" i="2"/>
  <c r="AK1844" i="2"/>
  <c r="AJ1844" i="2"/>
  <c r="AH1844" i="2"/>
  <c r="AI1844" i="2" s="1"/>
  <c r="AG1844" i="2"/>
  <c r="AF1844" i="2"/>
  <c r="AE1844" i="2"/>
  <c r="AD1844" i="2"/>
  <c r="AL1843" i="2"/>
  <c r="AK1843" i="2"/>
  <c r="AJ1843" i="2"/>
  <c r="AH1843" i="2"/>
  <c r="AI1843" i="2" s="1"/>
  <c r="AG1843" i="2"/>
  <c r="AF1843" i="2"/>
  <c r="AE1843" i="2"/>
  <c r="AD1843" i="2"/>
  <c r="AN1842" i="2"/>
  <c r="AL1842" i="2"/>
  <c r="AK1842" i="2"/>
  <c r="AM1842" i="2" s="1"/>
  <c r="AJ1842" i="2"/>
  <c r="AH1842" i="2"/>
  <c r="AI1842" i="2" s="1"/>
  <c r="AG1842" i="2"/>
  <c r="AF1842" i="2"/>
  <c r="AE1842" i="2"/>
  <c r="AD1842" i="2"/>
  <c r="AL1841" i="2"/>
  <c r="AK1841" i="2"/>
  <c r="AJ1841" i="2"/>
  <c r="AH1841" i="2"/>
  <c r="AI1841" i="2" s="1"/>
  <c r="AG1841" i="2"/>
  <c r="AF1841" i="2"/>
  <c r="AE1841" i="2"/>
  <c r="AD1841" i="2"/>
  <c r="AN1840" i="2"/>
  <c r="AL1840" i="2"/>
  <c r="AK1840" i="2"/>
  <c r="AM1840" i="2" s="1"/>
  <c r="AJ1840" i="2"/>
  <c r="AH1840" i="2"/>
  <c r="AI1840" i="2" s="1"/>
  <c r="AG1840" i="2"/>
  <c r="AF1840" i="2"/>
  <c r="AE1840" i="2"/>
  <c r="AD1840" i="2"/>
  <c r="AL1839" i="2"/>
  <c r="AK1839" i="2"/>
  <c r="AJ1839" i="2"/>
  <c r="AH1839" i="2"/>
  <c r="AI1839" i="2" s="1"/>
  <c r="AG1839" i="2"/>
  <c r="AF1839" i="2"/>
  <c r="AE1839" i="2"/>
  <c r="AD1839" i="2"/>
  <c r="AL1838" i="2"/>
  <c r="AK1838" i="2"/>
  <c r="AJ1838" i="2"/>
  <c r="AI1838" i="2"/>
  <c r="AH1838" i="2"/>
  <c r="AG1838" i="2"/>
  <c r="AF1838" i="2"/>
  <c r="AE1838" i="2"/>
  <c r="AD1838" i="2"/>
  <c r="AL1837" i="2"/>
  <c r="AK1837" i="2"/>
  <c r="AN1837" i="2" s="1"/>
  <c r="AJ1837" i="2"/>
  <c r="AH1837" i="2"/>
  <c r="AI1837" i="2" s="1"/>
  <c r="AG1837" i="2"/>
  <c r="AF1837" i="2"/>
  <c r="AE1837" i="2"/>
  <c r="AD1837" i="2"/>
  <c r="AM1836" i="2"/>
  <c r="AL1836" i="2"/>
  <c r="AK1836" i="2"/>
  <c r="AN1836" i="2" s="1"/>
  <c r="AJ1836" i="2"/>
  <c r="AH1836" i="2"/>
  <c r="AI1836" i="2" s="1"/>
  <c r="AG1836" i="2"/>
  <c r="AF1836" i="2"/>
  <c r="AE1836" i="2"/>
  <c r="AD1836" i="2"/>
  <c r="AM1835" i="2"/>
  <c r="AL1835" i="2"/>
  <c r="AK1835" i="2"/>
  <c r="AJ1835" i="2"/>
  <c r="AH1835" i="2"/>
  <c r="AI1835" i="2" s="1"/>
  <c r="AG1835" i="2"/>
  <c r="AF1835" i="2"/>
  <c r="AE1835" i="2"/>
  <c r="AD1835" i="2"/>
  <c r="AL1834" i="2"/>
  <c r="AK1834" i="2"/>
  <c r="AJ1834" i="2"/>
  <c r="AH1834" i="2"/>
  <c r="AI1834" i="2" s="1"/>
  <c r="AG1834" i="2"/>
  <c r="AF1834" i="2"/>
  <c r="AE1834" i="2"/>
  <c r="AD1834" i="2"/>
  <c r="AL1833" i="2"/>
  <c r="AK1833" i="2"/>
  <c r="AM1833" i="2" s="1"/>
  <c r="AJ1833" i="2"/>
  <c r="AH1833" i="2"/>
  <c r="AI1833" i="2" s="1"/>
  <c r="AG1833" i="2"/>
  <c r="AF1833" i="2"/>
  <c r="AE1833" i="2"/>
  <c r="AD1833" i="2"/>
  <c r="AL1832" i="2"/>
  <c r="AK1832" i="2"/>
  <c r="AJ1832" i="2"/>
  <c r="AH1832" i="2"/>
  <c r="AI1832" i="2" s="1"/>
  <c r="AG1832" i="2"/>
  <c r="AF1832" i="2"/>
  <c r="AE1832" i="2"/>
  <c r="AD1832" i="2"/>
  <c r="AL1831" i="2"/>
  <c r="AK1831" i="2"/>
  <c r="AJ1831" i="2"/>
  <c r="AH1831" i="2"/>
  <c r="AI1831" i="2" s="1"/>
  <c r="AG1831" i="2"/>
  <c r="AF1831" i="2"/>
  <c r="AE1831" i="2"/>
  <c r="AD1831" i="2"/>
  <c r="AN1830" i="2"/>
  <c r="AL1830" i="2"/>
  <c r="AK1830" i="2"/>
  <c r="AM1830" i="2" s="1"/>
  <c r="AJ1830" i="2"/>
  <c r="AH1830" i="2"/>
  <c r="AI1830" i="2" s="1"/>
  <c r="AG1830" i="2"/>
  <c r="AF1830" i="2"/>
  <c r="AE1830" i="2"/>
  <c r="AD1830" i="2"/>
  <c r="AN1829" i="2"/>
  <c r="AM1829" i="2"/>
  <c r="AL1829" i="2"/>
  <c r="AK1829" i="2"/>
  <c r="AJ1829" i="2"/>
  <c r="AH1829" i="2"/>
  <c r="AI1829" i="2" s="1"/>
  <c r="AG1829" i="2"/>
  <c r="AF1829" i="2"/>
  <c r="AE1829" i="2"/>
  <c r="AD1829" i="2"/>
  <c r="AL1828" i="2"/>
  <c r="AK1828" i="2"/>
  <c r="AJ1828" i="2"/>
  <c r="AH1828" i="2"/>
  <c r="AI1828" i="2" s="1"/>
  <c r="AG1828" i="2"/>
  <c r="AF1828" i="2"/>
  <c r="AE1828" i="2"/>
  <c r="AD1828" i="2"/>
  <c r="AL1827" i="2"/>
  <c r="AK1827" i="2"/>
  <c r="AJ1827" i="2"/>
  <c r="AH1827" i="2"/>
  <c r="AI1827" i="2" s="1"/>
  <c r="AG1827" i="2"/>
  <c r="AF1827" i="2"/>
  <c r="AE1827" i="2"/>
  <c r="AD1827" i="2"/>
  <c r="AL1826" i="2"/>
  <c r="AK1826" i="2"/>
  <c r="AJ1826" i="2"/>
  <c r="AH1826" i="2"/>
  <c r="AI1826" i="2" s="1"/>
  <c r="AG1826" i="2"/>
  <c r="AF1826" i="2"/>
  <c r="AE1826" i="2"/>
  <c r="AD1826" i="2"/>
  <c r="AN1825" i="2"/>
  <c r="AL1825" i="2"/>
  <c r="AK1825" i="2"/>
  <c r="AM1825" i="2" s="1"/>
  <c r="AJ1825" i="2"/>
  <c r="AH1825" i="2"/>
  <c r="AI1825" i="2" s="1"/>
  <c r="AG1825" i="2"/>
  <c r="AF1825" i="2"/>
  <c r="AE1825" i="2"/>
  <c r="AD1825" i="2"/>
  <c r="AL1824" i="2"/>
  <c r="AM1824" i="2" s="1"/>
  <c r="AK1824" i="2"/>
  <c r="AJ1824" i="2"/>
  <c r="AH1824" i="2"/>
  <c r="AI1824" i="2" s="1"/>
  <c r="AG1824" i="2"/>
  <c r="AF1824" i="2"/>
  <c r="AE1824" i="2"/>
  <c r="AD1824" i="2"/>
  <c r="AL1823" i="2"/>
  <c r="AK1823" i="2"/>
  <c r="AJ1823" i="2"/>
  <c r="AH1823" i="2"/>
  <c r="AI1823" i="2" s="1"/>
  <c r="AG1823" i="2"/>
  <c r="AF1823" i="2"/>
  <c r="AE1823" i="2"/>
  <c r="AD1823" i="2"/>
  <c r="AL1822" i="2"/>
  <c r="AK1822" i="2"/>
  <c r="AJ1822" i="2"/>
  <c r="AH1822" i="2"/>
  <c r="AI1822" i="2" s="1"/>
  <c r="AG1822" i="2"/>
  <c r="AF1822" i="2"/>
  <c r="AE1822" i="2"/>
  <c r="AD1822" i="2"/>
  <c r="AM1821" i="2"/>
  <c r="AL1821" i="2"/>
  <c r="AK1821" i="2"/>
  <c r="AJ1821" i="2"/>
  <c r="AH1821" i="2"/>
  <c r="AI1821" i="2" s="1"/>
  <c r="AG1821" i="2"/>
  <c r="AF1821" i="2"/>
  <c r="AE1821" i="2"/>
  <c r="AD1821" i="2"/>
  <c r="AL1820" i="2"/>
  <c r="AK1820" i="2"/>
  <c r="AN1820" i="2" s="1"/>
  <c r="AJ1820" i="2"/>
  <c r="AH1820" i="2"/>
  <c r="AI1820" i="2" s="1"/>
  <c r="AG1820" i="2"/>
  <c r="AF1820" i="2"/>
  <c r="AE1820" i="2"/>
  <c r="AD1820" i="2"/>
  <c r="AL1819" i="2"/>
  <c r="AK1819" i="2"/>
  <c r="AJ1819" i="2"/>
  <c r="AH1819" i="2"/>
  <c r="AI1819" i="2" s="1"/>
  <c r="AG1819" i="2"/>
  <c r="AF1819" i="2"/>
  <c r="AE1819" i="2"/>
  <c r="AD1819" i="2"/>
  <c r="AL1818" i="2"/>
  <c r="AK1818" i="2"/>
  <c r="AM1818" i="2" s="1"/>
  <c r="AJ1818" i="2"/>
  <c r="AI1818" i="2"/>
  <c r="AH1818" i="2"/>
  <c r="AG1818" i="2"/>
  <c r="AF1818" i="2"/>
  <c r="AE1818" i="2"/>
  <c r="AD1818" i="2"/>
  <c r="AL1817" i="2"/>
  <c r="AK1817" i="2"/>
  <c r="AJ1817" i="2"/>
  <c r="AH1817" i="2"/>
  <c r="AI1817" i="2" s="1"/>
  <c r="AG1817" i="2"/>
  <c r="AF1817" i="2"/>
  <c r="AE1817" i="2"/>
  <c r="AD1817" i="2"/>
  <c r="AL1816" i="2"/>
  <c r="AK1816" i="2"/>
  <c r="AM1816" i="2" s="1"/>
  <c r="AJ1816" i="2"/>
  <c r="AI1816" i="2"/>
  <c r="AH1816" i="2"/>
  <c r="AG1816" i="2"/>
  <c r="AF1816" i="2"/>
  <c r="AE1816" i="2"/>
  <c r="AD1816" i="2"/>
  <c r="AL1815" i="2"/>
  <c r="AK1815" i="2"/>
  <c r="AJ1815" i="2"/>
  <c r="AI1815" i="2"/>
  <c r="AH1815" i="2"/>
  <c r="AG1815" i="2"/>
  <c r="AF1815" i="2"/>
  <c r="AE1815" i="2"/>
  <c r="AD1815" i="2"/>
  <c r="AN1814" i="2"/>
  <c r="AM1814" i="2"/>
  <c r="AL1814" i="2"/>
  <c r="AK1814" i="2"/>
  <c r="AJ1814" i="2"/>
  <c r="AH1814" i="2"/>
  <c r="AI1814" i="2" s="1"/>
  <c r="AG1814" i="2"/>
  <c r="AF1814" i="2"/>
  <c r="AE1814" i="2"/>
  <c r="AD1814" i="2"/>
  <c r="AL1813" i="2"/>
  <c r="AK1813" i="2"/>
  <c r="AJ1813" i="2"/>
  <c r="AH1813" i="2"/>
  <c r="AI1813" i="2" s="1"/>
  <c r="AG1813" i="2"/>
  <c r="AF1813" i="2"/>
  <c r="AE1813" i="2"/>
  <c r="AD1813" i="2"/>
  <c r="AL1812" i="2"/>
  <c r="AK1812" i="2"/>
  <c r="AN1812" i="2" s="1"/>
  <c r="AJ1812" i="2"/>
  <c r="AH1812" i="2"/>
  <c r="AI1812" i="2" s="1"/>
  <c r="AG1812" i="2"/>
  <c r="AF1812" i="2"/>
  <c r="AE1812" i="2"/>
  <c r="AD1812" i="2"/>
  <c r="AL1811" i="2"/>
  <c r="AK1811" i="2"/>
  <c r="AJ1811" i="2"/>
  <c r="AH1811" i="2"/>
  <c r="AI1811" i="2" s="1"/>
  <c r="AG1811" i="2"/>
  <c r="AF1811" i="2"/>
  <c r="AE1811" i="2"/>
  <c r="AD1811" i="2"/>
  <c r="AL1810" i="2"/>
  <c r="AK1810" i="2"/>
  <c r="AJ1810" i="2"/>
  <c r="AI1810" i="2"/>
  <c r="AH1810" i="2"/>
  <c r="AG1810" i="2"/>
  <c r="AF1810" i="2"/>
  <c r="AE1810" i="2"/>
  <c r="AD1810" i="2"/>
  <c r="AL1809" i="2"/>
  <c r="AN1809" i="2" s="1"/>
  <c r="AK1809" i="2"/>
  <c r="AJ1809" i="2"/>
  <c r="AH1809" i="2"/>
  <c r="AI1809" i="2" s="1"/>
  <c r="AG1809" i="2"/>
  <c r="AF1809" i="2"/>
  <c r="AE1809" i="2"/>
  <c r="AD1809" i="2"/>
  <c r="AL1808" i="2"/>
  <c r="AK1808" i="2"/>
  <c r="AJ1808" i="2"/>
  <c r="AH1808" i="2"/>
  <c r="AI1808" i="2" s="1"/>
  <c r="AG1808" i="2"/>
  <c r="AF1808" i="2"/>
  <c r="AE1808" i="2"/>
  <c r="AD1808" i="2"/>
  <c r="AL1807" i="2"/>
  <c r="AK1807" i="2"/>
  <c r="AJ1807" i="2"/>
  <c r="AH1807" i="2"/>
  <c r="AI1807" i="2" s="1"/>
  <c r="AG1807" i="2"/>
  <c r="AF1807" i="2"/>
  <c r="AE1807" i="2"/>
  <c r="AD1807" i="2"/>
  <c r="AL1806" i="2"/>
  <c r="AK1806" i="2"/>
  <c r="AM1806" i="2" s="1"/>
  <c r="AJ1806" i="2"/>
  <c r="AI1806" i="2"/>
  <c r="AH1806" i="2"/>
  <c r="AG1806" i="2"/>
  <c r="AF1806" i="2"/>
  <c r="AE1806" i="2"/>
  <c r="AD1806" i="2"/>
  <c r="AL1805" i="2"/>
  <c r="AK1805" i="2"/>
  <c r="AM1805" i="2" s="1"/>
  <c r="AJ1805" i="2"/>
  <c r="AH1805" i="2"/>
  <c r="AI1805" i="2" s="1"/>
  <c r="AG1805" i="2"/>
  <c r="AF1805" i="2"/>
  <c r="AE1805" i="2"/>
  <c r="AD1805" i="2"/>
  <c r="AL1804" i="2"/>
  <c r="AK1804" i="2"/>
  <c r="AM1804" i="2" s="1"/>
  <c r="AJ1804" i="2"/>
  <c r="AI1804" i="2"/>
  <c r="AH1804" i="2"/>
  <c r="AG1804" i="2"/>
  <c r="AF1804" i="2"/>
  <c r="AE1804" i="2"/>
  <c r="AD1804" i="2"/>
  <c r="AL1803" i="2"/>
  <c r="AK1803" i="2"/>
  <c r="AJ1803" i="2"/>
  <c r="AH1803" i="2"/>
  <c r="AI1803" i="2" s="1"/>
  <c r="AG1803" i="2"/>
  <c r="AF1803" i="2"/>
  <c r="AE1803" i="2"/>
  <c r="AD1803" i="2"/>
  <c r="AN1802" i="2"/>
  <c r="AM1802" i="2"/>
  <c r="AL1802" i="2"/>
  <c r="AK1802" i="2"/>
  <c r="AJ1802" i="2"/>
  <c r="AH1802" i="2"/>
  <c r="AI1802" i="2" s="1"/>
  <c r="AG1802" i="2"/>
  <c r="AF1802" i="2"/>
  <c r="AE1802" i="2"/>
  <c r="AD1802" i="2"/>
  <c r="AL1801" i="2"/>
  <c r="AK1801" i="2"/>
  <c r="AJ1801" i="2"/>
  <c r="AH1801" i="2"/>
  <c r="AI1801" i="2" s="1"/>
  <c r="AG1801" i="2"/>
  <c r="AF1801" i="2"/>
  <c r="AE1801" i="2"/>
  <c r="AD1801" i="2"/>
  <c r="AL1800" i="2"/>
  <c r="AK1800" i="2"/>
  <c r="AJ1800" i="2"/>
  <c r="AI1800" i="2"/>
  <c r="AH1800" i="2"/>
  <c r="AG1800" i="2"/>
  <c r="AF1800" i="2"/>
  <c r="AE1800" i="2"/>
  <c r="AD1800" i="2"/>
  <c r="AL1799" i="2"/>
  <c r="AK1799" i="2"/>
  <c r="AJ1799" i="2"/>
  <c r="AH1799" i="2"/>
  <c r="AI1799" i="2" s="1"/>
  <c r="AG1799" i="2"/>
  <c r="AF1799" i="2"/>
  <c r="AE1799" i="2"/>
  <c r="AD1799" i="2"/>
  <c r="AL1798" i="2"/>
  <c r="AN1798" i="2" s="1"/>
  <c r="AK1798" i="2"/>
  <c r="AJ1798" i="2"/>
  <c r="AH1798" i="2"/>
  <c r="AI1798" i="2" s="1"/>
  <c r="AG1798" i="2"/>
  <c r="AF1798" i="2"/>
  <c r="AE1798" i="2"/>
  <c r="AD1798" i="2"/>
  <c r="AL1797" i="2"/>
  <c r="AK1797" i="2"/>
  <c r="AM1797" i="2" s="1"/>
  <c r="AJ1797" i="2"/>
  <c r="AH1797" i="2"/>
  <c r="AI1797" i="2" s="1"/>
  <c r="AG1797" i="2"/>
  <c r="AF1797" i="2"/>
  <c r="AE1797" i="2"/>
  <c r="AD1797" i="2"/>
  <c r="AL1796" i="2"/>
  <c r="AK1796" i="2"/>
  <c r="AJ1796" i="2"/>
  <c r="AH1796" i="2"/>
  <c r="AI1796" i="2" s="1"/>
  <c r="AG1796" i="2"/>
  <c r="AF1796" i="2"/>
  <c r="AE1796" i="2"/>
  <c r="AD1796" i="2"/>
  <c r="AL1795" i="2"/>
  <c r="AK1795" i="2"/>
  <c r="AJ1795" i="2"/>
  <c r="AH1795" i="2"/>
  <c r="AI1795" i="2" s="1"/>
  <c r="AG1795" i="2"/>
  <c r="AF1795" i="2"/>
  <c r="AE1795" i="2"/>
  <c r="AD1795" i="2"/>
  <c r="AM1794" i="2"/>
  <c r="AL1794" i="2"/>
  <c r="AK1794" i="2"/>
  <c r="AJ1794" i="2"/>
  <c r="AH1794" i="2"/>
  <c r="AI1794" i="2" s="1"/>
  <c r="AG1794" i="2"/>
  <c r="AF1794" i="2"/>
  <c r="AE1794" i="2"/>
  <c r="AD1794" i="2"/>
  <c r="AL1793" i="2"/>
  <c r="AN1793" i="2" s="1"/>
  <c r="AK1793" i="2"/>
  <c r="AJ1793" i="2"/>
  <c r="AH1793" i="2"/>
  <c r="AI1793" i="2" s="1"/>
  <c r="AG1793" i="2"/>
  <c r="AF1793" i="2"/>
  <c r="AE1793" i="2"/>
  <c r="AD1793" i="2"/>
  <c r="AM1792" i="2"/>
  <c r="AL1792" i="2"/>
  <c r="AK1792" i="2"/>
  <c r="AJ1792" i="2"/>
  <c r="AH1792" i="2"/>
  <c r="AI1792" i="2" s="1"/>
  <c r="AG1792" i="2"/>
  <c r="AF1792" i="2"/>
  <c r="AE1792" i="2"/>
  <c r="AD1792" i="2"/>
  <c r="AL1791" i="2"/>
  <c r="AK1791" i="2"/>
  <c r="AJ1791" i="2"/>
  <c r="AH1791" i="2"/>
  <c r="AI1791" i="2" s="1"/>
  <c r="AG1791" i="2"/>
  <c r="AF1791" i="2"/>
  <c r="AE1791" i="2"/>
  <c r="AD1791" i="2"/>
  <c r="AL1790" i="2"/>
  <c r="AK1790" i="2"/>
  <c r="AJ1790" i="2"/>
  <c r="AH1790" i="2"/>
  <c r="AI1790" i="2" s="1"/>
  <c r="AG1790" i="2"/>
  <c r="AF1790" i="2"/>
  <c r="AE1790" i="2"/>
  <c r="AD1790" i="2"/>
  <c r="AL1789" i="2"/>
  <c r="AK1789" i="2"/>
  <c r="AN1789" i="2" s="1"/>
  <c r="AJ1789" i="2"/>
  <c r="AH1789" i="2"/>
  <c r="AI1789" i="2" s="1"/>
  <c r="AG1789" i="2"/>
  <c r="AF1789" i="2"/>
  <c r="AE1789" i="2"/>
  <c r="AD1789" i="2"/>
  <c r="AL1788" i="2"/>
  <c r="AM1788" i="2" s="1"/>
  <c r="AK1788" i="2"/>
  <c r="AJ1788" i="2"/>
  <c r="AH1788" i="2"/>
  <c r="AI1788" i="2" s="1"/>
  <c r="AG1788" i="2"/>
  <c r="AF1788" i="2"/>
  <c r="AE1788" i="2"/>
  <c r="AD1788" i="2"/>
  <c r="AL1787" i="2"/>
  <c r="AK1787" i="2"/>
  <c r="AJ1787" i="2"/>
  <c r="AH1787" i="2"/>
  <c r="AI1787" i="2" s="1"/>
  <c r="AG1787" i="2"/>
  <c r="AF1787" i="2"/>
  <c r="AE1787" i="2"/>
  <c r="AD1787" i="2"/>
  <c r="AL1786" i="2"/>
  <c r="AK1786" i="2"/>
  <c r="AJ1786" i="2"/>
  <c r="AI1786" i="2"/>
  <c r="AH1786" i="2"/>
  <c r="AG1786" i="2"/>
  <c r="AF1786" i="2"/>
  <c r="AE1786" i="2"/>
  <c r="AD1786" i="2"/>
  <c r="AL1785" i="2"/>
  <c r="AN1785" i="2" s="1"/>
  <c r="AK1785" i="2"/>
  <c r="AJ1785" i="2"/>
  <c r="AH1785" i="2"/>
  <c r="AI1785" i="2" s="1"/>
  <c r="AG1785" i="2"/>
  <c r="AF1785" i="2"/>
  <c r="AE1785" i="2"/>
  <c r="AD1785" i="2"/>
  <c r="AL1784" i="2"/>
  <c r="AK1784" i="2"/>
  <c r="AM1784" i="2" s="1"/>
  <c r="AJ1784" i="2"/>
  <c r="AI1784" i="2"/>
  <c r="AH1784" i="2"/>
  <c r="AG1784" i="2"/>
  <c r="AF1784" i="2"/>
  <c r="AE1784" i="2"/>
  <c r="AD1784" i="2"/>
  <c r="AL1783" i="2"/>
  <c r="AK1783" i="2"/>
  <c r="AJ1783" i="2"/>
  <c r="AH1783" i="2"/>
  <c r="AI1783" i="2" s="1"/>
  <c r="AG1783" i="2"/>
  <c r="AF1783" i="2"/>
  <c r="AE1783" i="2"/>
  <c r="AD1783" i="2"/>
  <c r="AN1782" i="2"/>
  <c r="AM1782" i="2"/>
  <c r="AL1782" i="2"/>
  <c r="AK1782" i="2"/>
  <c r="AJ1782" i="2"/>
  <c r="AI1782" i="2"/>
  <c r="AH1782" i="2"/>
  <c r="AG1782" i="2"/>
  <c r="AF1782" i="2"/>
  <c r="AE1782" i="2"/>
  <c r="AD1782" i="2"/>
  <c r="AL1781" i="2"/>
  <c r="AK1781" i="2"/>
  <c r="AJ1781" i="2"/>
  <c r="AH1781" i="2"/>
  <c r="AI1781" i="2" s="1"/>
  <c r="AG1781" i="2"/>
  <c r="AF1781" i="2"/>
  <c r="AE1781" i="2"/>
  <c r="AD1781" i="2"/>
  <c r="AL1780" i="2"/>
  <c r="AK1780" i="2"/>
  <c r="AN1780" i="2" s="1"/>
  <c r="AJ1780" i="2"/>
  <c r="AI1780" i="2"/>
  <c r="AH1780" i="2"/>
  <c r="AG1780" i="2"/>
  <c r="AF1780" i="2"/>
  <c r="AE1780" i="2"/>
  <c r="AD1780" i="2"/>
  <c r="AL1779" i="2"/>
  <c r="AK1779" i="2"/>
  <c r="AJ1779" i="2"/>
  <c r="AH1779" i="2"/>
  <c r="AI1779" i="2" s="1"/>
  <c r="AG1779" i="2"/>
  <c r="AF1779" i="2"/>
  <c r="AE1779" i="2"/>
  <c r="AD1779" i="2"/>
  <c r="AL1778" i="2"/>
  <c r="AK1778" i="2"/>
  <c r="AJ1778" i="2"/>
  <c r="AI1778" i="2"/>
  <c r="AH1778" i="2"/>
  <c r="AG1778" i="2"/>
  <c r="AF1778" i="2"/>
  <c r="AE1778" i="2"/>
  <c r="AD1778" i="2"/>
  <c r="AN1777" i="2"/>
  <c r="AM1777" i="2"/>
  <c r="AL1777" i="2"/>
  <c r="AK1777" i="2"/>
  <c r="AJ1777" i="2"/>
  <c r="AH1777" i="2"/>
  <c r="AI1777" i="2" s="1"/>
  <c r="AG1777" i="2"/>
  <c r="AF1777" i="2"/>
  <c r="AE1777" i="2"/>
  <c r="AD1777" i="2"/>
  <c r="AL1776" i="2"/>
  <c r="AK1776" i="2"/>
  <c r="AJ1776" i="2"/>
  <c r="AH1776" i="2"/>
  <c r="AI1776" i="2" s="1"/>
  <c r="AG1776" i="2"/>
  <c r="AF1776" i="2"/>
  <c r="AE1776" i="2"/>
  <c r="AD1776" i="2"/>
  <c r="AL1775" i="2"/>
  <c r="AK1775" i="2"/>
  <c r="AJ1775" i="2"/>
  <c r="AH1775" i="2"/>
  <c r="AI1775" i="2" s="1"/>
  <c r="AG1775" i="2"/>
  <c r="AF1775" i="2"/>
  <c r="AE1775" i="2"/>
  <c r="AD1775" i="2"/>
  <c r="AL1774" i="2"/>
  <c r="AK1774" i="2"/>
  <c r="AJ1774" i="2"/>
  <c r="AH1774" i="2"/>
  <c r="AI1774" i="2" s="1"/>
  <c r="AG1774" i="2"/>
  <c r="AF1774" i="2"/>
  <c r="AE1774" i="2"/>
  <c r="AD1774" i="2"/>
  <c r="AL1773" i="2"/>
  <c r="AK1773" i="2"/>
  <c r="AN1773" i="2" s="1"/>
  <c r="AJ1773" i="2"/>
  <c r="AH1773" i="2"/>
  <c r="AI1773" i="2" s="1"/>
  <c r="AG1773" i="2"/>
  <c r="AF1773" i="2"/>
  <c r="AE1773" i="2"/>
  <c r="AD1773" i="2"/>
  <c r="AL1772" i="2"/>
  <c r="AK1772" i="2"/>
  <c r="AM1772" i="2" s="1"/>
  <c r="AJ1772" i="2"/>
  <c r="AH1772" i="2"/>
  <c r="AI1772" i="2" s="1"/>
  <c r="AG1772" i="2"/>
  <c r="AF1772" i="2"/>
  <c r="AE1772" i="2"/>
  <c r="AD1772" i="2"/>
  <c r="AL1771" i="2"/>
  <c r="AK1771" i="2"/>
  <c r="AJ1771" i="2"/>
  <c r="AH1771" i="2"/>
  <c r="AI1771" i="2" s="1"/>
  <c r="AG1771" i="2"/>
  <c r="AF1771" i="2"/>
  <c r="AE1771" i="2"/>
  <c r="AD1771" i="2"/>
  <c r="AL1770" i="2"/>
  <c r="AK1770" i="2"/>
  <c r="AM1770" i="2" s="1"/>
  <c r="AJ1770" i="2"/>
  <c r="AI1770" i="2"/>
  <c r="AH1770" i="2"/>
  <c r="AG1770" i="2"/>
  <c r="AF1770" i="2"/>
  <c r="AE1770" i="2"/>
  <c r="AD1770" i="2"/>
  <c r="AL1769" i="2"/>
  <c r="AK1769" i="2"/>
  <c r="AJ1769" i="2"/>
  <c r="AH1769" i="2"/>
  <c r="AI1769" i="2" s="1"/>
  <c r="AG1769" i="2"/>
  <c r="AF1769" i="2"/>
  <c r="AE1769" i="2"/>
  <c r="AD1769" i="2"/>
  <c r="AL1768" i="2"/>
  <c r="AK1768" i="2"/>
  <c r="AJ1768" i="2"/>
  <c r="AI1768" i="2"/>
  <c r="AH1768" i="2"/>
  <c r="AG1768" i="2"/>
  <c r="AF1768" i="2"/>
  <c r="AE1768" i="2"/>
  <c r="AD1768" i="2"/>
  <c r="AL1767" i="2"/>
  <c r="AK1767" i="2"/>
  <c r="AJ1767" i="2"/>
  <c r="AH1767" i="2"/>
  <c r="AI1767" i="2" s="1"/>
  <c r="AG1767" i="2"/>
  <c r="AF1767" i="2"/>
  <c r="AE1767" i="2"/>
  <c r="AD1767" i="2"/>
  <c r="AN1766" i="2"/>
  <c r="AM1766" i="2"/>
  <c r="AL1766" i="2"/>
  <c r="AK1766" i="2"/>
  <c r="AJ1766" i="2"/>
  <c r="AH1766" i="2"/>
  <c r="AI1766" i="2" s="1"/>
  <c r="AG1766" i="2"/>
  <c r="AF1766" i="2"/>
  <c r="AE1766" i="2"/>
  <c r="AD1766" i="2"/>
  <c r="AL1765" i="2"/>
  <c r="AK1765" i="2"/>
  <c r="AN1765" i="2" s="1"/>
  <c r="AJ1765" i="2"/>
  <c r="AH1765" i="2"/>
  <c r="AI1765" i="2" s="1"/>
  <c r="AG1765" i="2"/>
  <c r="AF1765" i="2"/>
  <c r="AE1765" i="2"/>
  <c r="AD1765" i="2"/>
  <c r="AL1764" i="2"/>
  <c r="AK1764" i="2"/>
  <c r="AJ1764" i="2"/>
  <c r="AH1764" i="2"/>
  <c r="AI1764" i="2" s="1"/>
  <c r="AG1764" i="2"/>
  <c r="AF1764" i="2"/>
  <c r="AE1764" i="2"/>
  <c r="AD1764" i="2"/>
  <c r="AL1763" i="2"/>
  <c r="AK1763" i="2"/>
  <c r="AJ1763" i="2"/>
  <c r="AH1763" i="2"/>
  <c r="AI1763" i="2" s="1"/>
  <c r="AG1763" i="2"/>
  <c r="AF1763" i="2"/>
  <c r="AE1763" i="2"/>
  <c r="AD1763" i="2"/>
  <c r="AL1762" i="2"/>
  <c r="AK1762" i="2"/>
  <c r="AJ1762" i="2"/>
  <c r="AH1762" i="2"/>
  <c r="AI1762" i="2" s="1"/>
  <c r="AG1762" i="2"/>
  <c r="AF1762" i="2"/>
  <c r="AE1762" i="2"/>
  <c r="AD1762" i="2"/>
  <c r="AL1761" i="2"/>
  <c r="AK1761" i="2"/>
  <c r="AM1761" i="2" s="1"/>
  <c r="AJ1761" i="2"/>
  <c r="AH1761" i="2"/>
  <c r="AI1761" i="2" s="1"/>
  <c r="AG1761" i="2"/>
  <c r="AF1761" i="2"/>
  <c r="AE1761" i="2"/>
  <c r="AD1761" i="2"/>
  <c r="AL1760" i="2"/>
  <c r="AK1760" i="2"/>
  <c r="AN1760" i="2" s="1"/>
  <c r="AJ1760" i="2"/>
  <c r="AI1760" i="2"/>
  <c r="AH1760" i="2"/>
  <c r="AG1760" i="2"/>
  <c r="AF1760" i="2"/>
  <c r="AE1760" i="2"/>
  <c r="AD1760" i="2"/>
  <c r="AL1759" i="2"/>
  <c r="AK1759" i="2"/>
  <c r="AJ1759" i="2"/>
  <c r="AH1759" i="2"/>
  <c r="AI1759" i="2" s="1"/>
  <c r="AG1759" i="2"/>
  <c r="AF1759" i="2"/>
  <c r="AE1759" i="2"/>
  <c r="AD1759" i="2"/>
  <c r="AN1758" i="2"/>
  <c r="AM1758" i="2"/>
  <c r="AL1758" i="2"/>
  <c r="AK1758" i="2"/>
  <c r="AJ1758" i="2"/>
  <c r="AH1758" i="2"/>
  <c r="AI1758" i="2" s="1"/>
  <c r="AG1758" i="2"/>
  <c r="AF1758" i="2"/>
  <c r="AE1758" i="2"/>
  <c r="AD1758" i="2"/>
  <c r="AL1757" i="2"/>
  <c r="AK1757" i="2"/>
  <c r="AN1757" i="2" s="1"/>
  <c r="AJ1757" i="2"/>
  <c r="AH1757" i="2"/>
  <c r="AI1757" i="2" s="1"/>
  <c r="AG1757" i="2"/>
  <c r="AF1757" i="2"/>
  <c r="AE1757" i="2"/>
  <c r="AD1757" i="2"/>
  <c r="AL1756" i="2"/>
  <c r="AK1756" i="2"/>
  <c r="AJ1756" i="2"/>
  <c r="AI1756" i="2"/>
  <c r="AH1756" i="2"/>
  <c r="AG1756" i="2"/>
  <c r="AF1756" i="2"/>
  <c r="AE1756" i="2"/>
  <c r="AD1756" i="2"/>
  <c r="AL1755" i="2"/>
  <c r="AK1755" i="2"/>
  <c r="AJ1755" i="2"/>
  <c r="AI1755" i="2"/>
  <c r="AH1755" i="2"/>
  <c r="AG1755" i="2"/>
  <c r="AF1755" i="2"/>
  <c r="AE1755" i="2"/>
  <c r="AD1755" i="2"/>
  <c r="AN1754" i="2"/>
  <c r="AM1754" i="2"/>
  <c r="AL1754" i="2"/>
  <c r="AK1754" i="2"/>
  <c r="AJ1754" i="2"/>
  <c r="AH1754" i="2"/>
  <c r="AI1754" i="2" s="1"/>
  <c r="AG1754" i="2"/>
  <c r="AF1754" i="2"/>
  <c r="AE1754" i="2"/>
  <c r="AD1754" i="2"/>
  <c r="AL1753" i="2"/>
  <c r="AK1753" i="2"/>
  <c r="AM1753" i="2" s="1"/>
  <c r="AJ1753" i="2"/>
  <c r="AH1753" i="2"/>
  <c r="AI1753" i="2" s="1"/>
  <c r="AG1753" i="2"/>
  <c r="AF1753" i="2"/>
  <c r="AE1753" i="2"/>
  <c r="AD1753" i="2"/>
  <c r="AL1752" i="2"/>
  <c r="AK1752" i="2"/>
  <c r="AJ1752" i="2"/>
  <c r="AH1752" i="2"/>
  <c r="AI1752" i="2" s="1"/>
  <c r="AG1752" i="2"/>
  <c r="AF1752" i="2"/>
  <c r="AE1752" i="2"/>
  <c r="AD1752" i="2"/>
  <c r="AL1751" i="2"/>
  <c r="AK1751" i="2"/>
  <c r="AJ1751" i="2"/>
  <c r="AI1751" i="2"/>
  <c r="AH1751" i="2"/>
  <c r="AG1751" i="2"/>
  <c r="AF1751" i="2"/>
  <c r="AE1751" i="2"/>
  <c r="AD1751" i="2"/>
  <c r="AL1750" i="2"/>
  <c r="AN1750" i="2" s="1"/>
  <c r="AK1750" i="2"/>
  <c r="AJ1750" i="2"/>
  <c r="AH1750" i="2"/>
  <c r="AI1750" i="2" s="1"/>
  <c r="AG1750" i="2"/>
  <c r="AF1750" i="2"/>
  <c r="AE1750" i="2"/>
  <c r="AD1750" i="2"/>
  <c r="AM1749" i="2"/>
  <c r="AL1749" i="2"/>
  <c r="AK1749" i="2"/>
  <c r="AJ1749" i="2"/>
  <c r="AH1749" i="2"/>
  <c r="AI1749" i="2" s="1"/>
  <c r="AG1749" i="2"/>
  <c r="AF1749" i="2"/>
  <c r="AE1749" i="2"/>
  <c r="AD1749" i="2"/>
  <c r="AN1748" i="2"/>
  <c r="AL1748" i="2"/>
  <c r="AK1748" i="2"/>
  <c r="AM1748" i="2" s="1"/>
  <c r="AJ1748" i="2"/>
  <c r="AH1748" i="2"/>
  <c r="AI1748" i="2" s="1"/>
  <c r="AG1748" i="2"/>
  <c r="AF1748" i="2"/>
  <c r="AE1748" i="2"/>
  <c r="AD1748" i="2"/>
  <c r="AL1747" i="2"/>
  <c r="AK1747" i="2"/>
  <c r="AJ1747" i="2"/>
  <c r="AH1747" i="2"/>
  <c r="AI1747" i="2" s="1"/>
  <c r="AG1747" i="2"/>
  <c r="AF1747" i="2"/>
  <c r="AE1747" i="2"/>
  <c r="AD1747" i="2"/>
  <c r="AL1746" i="2"/>
  <c r="AK1746" i="2"/>
  <c r="AN1746" i="2" s="1"/>
  <c r="AJ1746" i="2"/>
  <c r="AI1746" i="2"/>
  <c r="AH1746" i="2"/>
  <c r="AG1746" i="2"/>
  <c r="AF1746" i="2"/>
  <c r="AE1746" i="2"/>
  <c r="AD1746" i="2"/>
  <c r="AL1745" i="2"/>
  <c r="AN1745" i="2" s="1"/>
  <c r="AK1745" i="2"/>
  <c r="AJ1745" i="2"/>
  <c r="AH1745" i="2"/>
  <c r="AI1745" i="2" s="1"/>
  <c r="AG1745" i="2"/>
  <c r="AF1745" i="2"/>
  <c r="AE1745" i="2"/>
  <c r="AD1745" i="2"/>
  <c r="AL1744" i="2"/>
  <c r="AN1744" i="2" s="1"/>
  <c r="AK1744" i="2"/>
  <c r="AJ1744" i="2"/>
  <c r="AH1744" i="2"/>
  <c r="AI1744" i="2" s="1"/>
  <c r="AG1744" i="2"/>
  <c r="AF1744" i="2"/>
  <c r="AE1744" i="2"/>
  <c r="AD1744" i="2"/>
  <c r="AL1743" i="2"/>
  <c r="AK1743" i="2"/>
  <c r="AJ1743" i="2"/>
  <c r="AH1743" i="2"/>
  <c r="AI1743" i="2" s="1"/>
  <c r="AG1743" i="2"/>
  <c r="AF1743" i="2"/>
  <c r="AE1743" i="2"/>
  <c r="AD1743" i="2"/>
  <c r="AL1742" i="2"/>
  <c r="AK1742" i="2"/>
  <c r="AM1742" i="2" s="1"/>
  <c r="AJ1742" i="2"/>
  <c r="AH1742" i="2"/>
  <c r="AI1742" i="2" s="1"/>
  <c r="AG1742" i="2"/>
  <c r="AF1742" i="2"/>
  <c r="AE1742" i="2"/>
  <c r="AD1742" i="2"/>
  <c r="AL1741" i="2"/>
  <c r="AK1741" i="2"/>
  <c r="AJ1741" i="2"/>
  <c r="AH1741" i="2"/>
  <c r="AI1741" i="2" s="1"/>
  <c r="AG1741" i="2"/>
  <c r="AF1741" i="2"/>
  <c r="AE1741" i="2"/>
  <c r="AD1741" i="2"/>
  <c r="AL1740" i="2"/>
  <c r="AK1740" i="2"/>
  <c r="AN1740" i="2" s="1"/>
  <c r="AJ1740" i="2"/>
  <c r="AI1740" i="2"/>
  <c r="AH1740" i="2"/>
  <c r="AG1740" i="2"/>
  <c r="AF1740" i="2"/>
  <c r="AE1740" i="2"/>
  <c r="AD1740" i="2"/>
  <c r="AL1739" i="2"/>
  <c r="AK1739" i="2"/>
  <c r="AJ1739" i="2"/>
  <c r="AH1739" i="2"/>
  <c r="AI1739" i="2" s="1"/>
  <c r="AG1739" i="2"/>
  <c r="AF1739" i="2"/>
  <c r="AE1739" i="2"/>
  <c r="AD1739" i="2"/>
  <c r="AL1738" i="2"/>
  <c r="AN1738" i="2" s="1"/>
  <c r="AK1738" i="2"/>
  <c r="AJ1738" i="2"/>
  <c r="AH1738" i="2"/>
  <c r="AI1738" i="2" s="1"/>
  <c r="AG1738" i="2"/>
  <c r="AF1738" i="2"/>
  <c r="AE1738" i="2"/>
  <c r="AD1738" i="2"/>
  <c r="AL1737" i="2"/>
  <c r="AK1737" i="2"/>
  <c r="AJ1737" i="2"/>
  <c r="AH1737" i="2"/>
  <c r="AI1737" i="2" s="1"/>
  <c r="AG1737" i="2"/>
  <c r="AF1737" i="2"/>
  <c r="AE1737" i="2"/>
  <c r="AD1737" i="2"/>
  <c r="AN1736" i="2"/>
  <c r="AM1736" i="2"/>
  <c r="AL1736" i="2"/>
  <c r="AK1736" i="2"/>
  <c r="AJ1736" i="2"/>
  <c r="AI1736" i="2"/>
  <c r="AH1736" i="2"/>
  <c r="AG1736" i="2"/>
  <c r="AF1736" i="2"/>
  <c r="AE1736" i="2"/>
  <c r="AD1736" i="2"/>
  <c r="AL1735" i="2"/>
  <c r="AK1735" i="2"/>
  <c r="AJ1735" i="2"/>
  <c r="AI1735" i="2"/>
  <c r="AH1735" i="2"/>
  <c r="AG1735" i="2"/>
  <c r="AF1735" i="2"/>
  <c r="AE1735" i="2"/>
  <c r="AD1735" i="2"/>
  <c r="AL1734" i="2"/>
  <c r="AK1734" i="2"/>
  <c r="AJ1734" i="2"/>
  <c r="AH1734" i="2"/>
  <c r="AI1734" i="2" s="1"/>
  <c r="AG1734" i="2"/>
  <c r="AF1734" i="2"/>
  <c r="AE1734" i="2"/>
  <c r="AD1734" i="2"/>
  <c r="AN1733" i="2"/>
  <c r="AM1733" i="2"/>
  <c r="AL1733" i="2"/>
  <c r="AK1733" i="2"/>
  <c r="AJ1733" i="2"/>
  <c r="AH1733" i="2"/>
  <c r="AI1733" i="2" s="1"/>
  <c r="AG1733" i="2"/>
  <c r="AF1733" i="2"/>
  <c r="AE1733" i="2"/>
  <c r="AD1733" i="2"/>
  <c r="AN1732" i="2"/>
  <c r="AL1732" i="2"/>
  <c r="AK1732" i="2"/>
  <c r="AJ1732" i="2"/>
  <c r="AH1732" i="2"/>
  <c r="AI1732" i="2" s="1"/>
  <c r="AG1732" i="2"/>
  <c r="AF1732" i="2"/>
  <c r="AE1732" i="2"/>
  <c r="AD1732" i="2"/>
  <c r="AL1731" i="2"/>
  <c r="AK1731" i="2"/>
  <c r="AJ1731" i="2"/>
  <c r="AH1731" i="2"/>
  <c r="AI1731" i="2" s="1"/>
  <c r="AG1731" i="2"/>
  <c r="AF1731" i="2"/>
  <c r="AE1731" i="2"/>
  <c r="AD1731" i="2"/>
  <c r="AL1730" i="2"/>
  <c r="AK1730" i="2"/>
  <c r="AJ1730" i="2"/>
  <c r="AH1730" i="2"/>
  <c r="AI1730" i="2" s="1"/>
  <c r="AG1730" i="2"/>
  <c r="AF1730" i="2"/>
  <c r="AE1730" i="2"/>
  <c r="AD1730" i="2"/>
  <c r="AL1729" i="2"/>
  <c r="AK1729" i="2"/>
  <c r="AM1729" i="2" s="1"/>
  <c r="AJ1729" i="2"/>
  <c r="AH1729" i="2"/>
  <c r="AI1729" i="2" s="1"/>
  <c r="AG1729" i="2"/>
  <c r="AF1729" i="2"/>
  <c r="AE1729" i="2"/>
  <c r="AD1729" i="2"/>
  <c r="AL1728" i="2"/>
  <c r="AK1728" i="2"/>
  <c r="AJ1728" i="2"/>
  <c r="AI1728" i="2"/>
  <c r="AH1728" i="2"/>
  <c r="AG1728" i="2"/>
  <c r="AF1728" i="2"/>
  <c r="AE1728" i="2"/>
  <c r="AD1728" i="2"/>
  <c r="AL1727" i="2"/>
  <c r="AK1727" i="2"/>
  <c r="AJ1727" i="2"/>
  <c r="AH1727" i="2"/>
  <c r="AI1727" i="2" s="1"/>
  <c r="AG1727" i="2"/>
  <c r="AF1727" i="2"/>
  <c r="AE1727" i="2"/>
  <c r="AD1727" i="2"/>
  <c r="AN1726" i="2"/>
  <c r="AM1726" i="2"/>
  <c r="AL1726" i="2"/>
  <c r="AK1726" i="2"/>
  <c r="AJ1726" i="2"/>
  <c r="AH1726" i="2"/>
  <c r="AI1726" i="2" s="1"/>
  <c r="AG1726" i="2"/>
  <c r="AF1726" i="2"/>
  <c r="AE1726" i="2"/>
  <c r="AD1726" i="2"/>
  <c r="AL1725" i="2"/>
  <c r="AK1725" i="2"/>
  <c r="AJ1725" i="2"/>
  <c r="AH1725" i="2"/>
  <c r="AI1725" i="2" s="1"/>
  <c r="AG1725" i="2"/>
  <c r="AF1725" i="2"/>
  <c r="AE1725" i="2"/>
  <c r="AD1725" i="2"/>
  <c r="AL1724" i="2"/>
  <c r="AK1724" i="2"/>
  <c r="AJ1724" i="2"/>
  <c r="AH1724" i="2"/>
  <c r="AI1724" i="2" s="1"/>
  <c r="AG1724" i="2"/>
  <c r="AF1724" i="2"/>
  <c r="AE1724" i="2"/>
  <c r="AD1724" i="2"/>
  <c r="AL1723" i="2"/>
  <c r="AK1723" i="2"/>
  <c r="AJ1723" i="2"/>
  <c r="AI1723" i="2"/>
  <c r="AH1723" i="2"/>
  <c r="AG1723" i="2"/>
  <c r="AF1723" i="2"/>
  <c r="AE1723" i="2"/>
  <c r="AD1723" i="2"/>
  <c r="AL1722" i="2"/>
  <c r="AN1722" i="2" s="1"/>
  <c r="AK1722" i="2"/>
  <c r="AJ1722" i="2"/>
  <c r="AH1722" i="2"/>
  <c r="AI1722" i="2" s="1"/>
  <c r="AG1722" i="2"/>
  <c r="AF1722" i="2"/>
  <c r="AE1722" i="2"/>
  <c r="AD1722" i="2"/>
  <c r="AN1721" i="2"/>
  <c r="AL1721" i="2"/>
  <c r="AM1721" i="2" s="1"/>
  <c r="AK1721" i="2"/>
  <c r="AJ1721" i="2"/>
  <c r="AH1721" i="2"/>
  <c r="AI1721" i="2" s="1"/>
  <c r="AG1721" i="2"/>
  <c r="AF1721" i="2"/>
  <c r="AE1721" i="2"/>
  <c r="AD1721" i="2"/>
  <c r="AL1720" i="2"/>
  <c r="AK1720" i="2"/>
  <c r="AJ1720" i="2"/>
  <c r="AH1720" i="2"/>
  <c r="AI1720" i="2" s="1"/>
  <c r="AG1720" i="2"/>
  <c r="AF1720" i="2"/>
  <c r="AE1720" i="2"/>
  <c r="AD1720" i="2"/>
  <c r="AL1719" i="2"/>
  <c r="AK1719" i="2"/>
  <c r="AJ1719" i="2"/>
  <c r="AH1719" i="2"/>
  <c r="AI1719" i="2" s="1"/>
  <c r="AG1719" i="2"/>
  <c r="AF1719" i="2"/>
  <c r="AE1719" i="2"/>
  <c r="AD1719" i="2"/>
  <c r="AL1718" i="2"/>
  <c r="AK1718" i="2"/>
  <c r="AM1718" i="2" s="1"/>
  <c r="AJ1718" i="2"/>
  <c r="AH1718" i="2"/>
  <c r="AI1718" i="2" s="1"/>
  <c r="AG1718" i="2"/>
  <c r="AF1718" i="2"/>
  <c r="AE1718" i="2"/>
  <c r="AD1718" i="2"/>
  <c r="AL1717" i="2"/>
  <c r="AK1717" i="2"/>
  <c r="AN1717" i="2" s="1"/>
  <c r="AJ1717" i="2"/>
  <c r="AH1717" i="2"/>
  <c r="AI1717" i="2" s="1"/>
  <c r="AG1717" i="2"/>
  <c r="AF1717" i="2"/>
  <c r="AE1717" i="2"/>
  <c r="AD1717" i="2"/>
  <c r="AL1716" i="2"/>
  <c r="AK1716" i="2"/>
  <c r="AJ1716" i="2"/>
  <c r="AI1716" i="2"/>
  <c r="AH1716" i="2"/>
  <c r="AG1716" i="2"/>
  <c r="AF1716" i="2"/>
  <c r="AE1716" i="2"/>
  <c r="AD1716" i="2"/>
  <c r="AL1715" i="2"/>
  <c r="AK1715" i="2"/>
  <c r="AN1715" i="2" s="1"/>
  <c r="AJ1715" i="2"/>
  <c r="AH1715" i="2"/>
  <c r="AI1715" i="2" s="1"/>
  <c r="AG1715" i="2"/>
  <c r="AF1715" i="2"/>
  <c r="AE1715" i="2"/>
  <c r="AD1715" i="2"/>
  <c r="AN1714" i="2"/>
  <c r="AL1714" i="2"/>
  <c r="AK1714" i="2"/>
  <c r="AJ1714" i="2"/>
  <c r="AH1714" i="2"/>
  <c r="AI1714" i="2" s="1"/>
  <c r="AG1714" i="2"/>
  <c r="AF1714" i="2"/>
  <c r="AE1714" i="2"/>
  <c r="AD1714" i="2"/>
  <c r="AL1713" i="2"/>
  <c r="AK1713" i="2"/>
  <c r="AJ1713" i="2"/>
  <c r="AH1713" i="2"/>
  <c r="AI1713" i="2" s="1"/>
  <c r="AG1713" i="2"/>
  <c r="AF1713" i="2"/>
  <c r="AE1713" i="2"/>
  <c r="AD1713" i="2"/>
  <c r="AL1712" i="2"/>
  <c r="AK1712" i="2"/>
  <c r="AJ1712" i="2"/>
  <c r="AI1712" i="2"/>
  <c r="AH1712" i="2"/>
  <c r="AG1712" i="2"/>
  <c r="AF1712" i="2"/>
  <c r="AE1712" i="2"/>
  <c r="AD1712" i="2"/>
  <c r="AL1711" i="2"/>
  <c r="AK1711" i="2"/>
  <c r="AJ1711" i="2"/>
  <c r="AI1711" i="2"/>
  <c r="AH1711" i="2"/>
  <c r="AG1711" i="2"/>
  <c r="AF1711" i="2"/>
  <c r="AE1711" i="2"/>
  <c r="AD1711" i="2"/>
  <c r="AN1710" i="2"/>
  <c r="AL1710" i="2"/>
  <c r="AK1710" i="2"/>
  <c r="AJ1710" i="2"/>
  <c r="AH1710" i="2"/>
  <c r="AI1710" i="2" s="1"/>
  <c r="AG1710" i="2"/>
  <c r="AF1710" i="2"/>
  <c r="AE1710" i="2"/>
  <c r="AD1710" i="2"/>
  <c r="AL1709" i="2"/>
  <c r="AK1709" i="2"/>
  <c r="AM1709" i="2" s="1"/>
  <c r="AJ1709" i="2"/>
  <c r="AH1709" i="2"/>
  <c r="AI1709" i="2" s="1"/>
  <c r="AG1709" i="2"/>
  <c r="AF1709" i="2"/>
  <c r="AE1709" i="2"/>
  <c r="AD1709" i="2"/>
  <c r="AL1708" i="2"/>
  <c r="AK1708" i="2"/>
  <c r="AJ1708" i="2"/>
  <c r="AH1708" i="2"/>
  <c r="AI1708" i="2" s="1"/>
  <c r="AG1708" i="2"/>
  <c r="AF1708" i="2"/>
  <c r="AE1708" i="2"/>
  <c r="AD1708" i="2"/>
  <c r="AL1707" i="2"/>
  <c r="AK1707" i="2"/>
  <c r="AJ1707" i="2"/>
  <c r="AI1707" i="2"/>
  <c r="AH1707" i="2"/>
  <c r="AG1707" i="2"/>
  <c r="AF1707" i="2"/>
  <c r="AE1707" i="2"/>
  <c r="AD1707" i="2"/>
  <c r="AL1706" i="2"/>
  <c r="AK1706" i="2"/>
  <c r="AM1706" i="2" s="1"/>
  <c r="AJ1706" i="2"/>
  <c r="AH1706" i="2"/>
  <c r="AI1706" i="2" s="1"/>
  <c r="AG1706" i="2"/>
  <c r="AF1706" i="2"/>
  <c r="AE1706" i="2"/>
  <c r="AD1706" i="2"/>
  <c r="AN1705" i="2"/>
  <c r="AM1705" i="2"/>
  <c r="AL1705" i="2"/>
  <c r="AK1705" i="2"/>
  <c r="AJ1705" i="2"/>
  <c r="AH1705" i="2"/>
  <c r="AI1705" i="2" s="1"/>
  <c r="AG1705" i="2"/>
  <c r="AF1705" i="2"/>
  <c r="AE1705" i="2"/>
  <c r="AD1705" i="2"/>
  <c r="AL1704" i="2"/>
  <c r="AK1704" i="2"/>
  <c r="AM1704" i="2" s="1"/>
  <c r="AJ1704" i="2"/>
  <c r="AH1704" i="2"/>
  <c r="AI1704" i="2" s="1"/>
  <c r="AG1704" i="2"/>
  <c r="AF1704" i="2"/>
  <c r="AE1704" i="2"/>
  <c r="AD1704" i="2"/>
  <c r="AL1703" i="2"/>
  <c r="AK1703" i="2"/>
  <c r="AJ1703" i="2"/>
  <c r="AI1703" i="2"/>
  <c r="AH1703" i="2"/>
  <c r="AG1703" i="2"/>
  <c r="AF1703" i="2"/>
  <c r="AE1703" i="2"/>
  <c r="AD1703" i="2"/>
  <c r="AN1702" i="2"/>
  <c r="AL1702" i="2"/>
  <c r="AK1702" i="2"/>
  <c r="AM1702" i="2" s="1"/>
  <c r="AJ1702" i="2"/>
  <c r="AI1702" i="2"/>
  <c r="AH1702" i="2"/>
  <c r="AG1702" i="2"/>
  <c r="AF1702" i="2"/>
  <c r="AE1702" i="2"/>
  <c r="AD1702" i="2"/>
  <c r="AN1701" i="2"/>
  <c r="AM1701" i="2"/>
  <c r="AL1701" i="2"/>
  <c r="AK1701" i="2"/>
  <c r="AJ1701" i="2"/>
  <c r="AH1701" i="2"/>
  <c r="AI1701" i="2" s="1"/>
  <c r="AG1701" i="2"/>
  <c r="AF1701" i="2"/>
  <c r="AE1701" i="2"/>
  <c r="AD1701" i="2"/>
  <c r="AL1700" i="2"/>
  <c r="AK1700" i="2"/>
  <c r="AJ1700" i="2"/>
  <c r="AH1700" i="2"/>
  <c r="AI1700" i="2" s="1"/>
  <c r="AG1700" i="2"/>
  <c r="AF1700" i="2"/>
  <c r="AE1700" i="2"/>
  <c r="AD1700" i="2"/>
  <c r="AL1699" i="2"/>
  <c r="AK1699" i="2"/>
  <c r="AJ1699" i="2"/>
  <c r="AI1699" i="2"/>
  <c r="AH1699" i="2"/>
  <c r="AG1699" i="2"/>
  <c r="AF1699" i="2"/>
  <c r="AE1699" i="2"/>
  <c r="AD1699" i="2"/>
  <c r="AL1698" i="2"/>
  <c r="AK1698" i="2"/>
  <c r="AJ1698" i="2"/>
  <c r="AI1698" i="2"/>
  <c r="AH1698" i="2"/>
  <c r="AG1698" i="2"/>
  <c r="AF1698" i="2"/>
  <c r="AE1698" i="2"/>
  <c r="AD1698" i="2"/>
  <c r="AM1697" i="2"/>
  <c r="AL1697" i="2"/>
  <c r="AK1697" i="2"/>
  <c r="AN1697" i="2" s="1"/>
  <c r="AJ1697" i="2"/>
  <c r="AH1697" i="2"/>
  <c r="AI1697" i="2" s="1"/>
  <c r="AG1697" i="2"/>
  <c r="AF1697" i="2"/>
  <c r="AE1697" i="2"/>
  <c r="AD1697" i="2"/>
  <c r="AL1696" i="2"/>
  <c r="AN1696" i="2" s="1"/>
  <c r="AK1696" i="2"/>
  <c r="AJ1696" i="2"/>
  <c r="AH1696" i="2"/>
  <c r="AI1696" i="2" s="1"/>
  <c r="AG1696" i="2"/>
  <c r="AF1696" i="2"/>
  <c r="AE1696" i="2"/>
  <c r="AD1696" i="2"/>
  <c r="AL1695" i="2"/>
  <c r="AK1695" i="2"/>
  <c r="AJ1695" i="2"/>
  <c r="AH1695" i="2"/>
  <c r="AI1695" i="2" s="1"/>
  <c r="AG1695" i="2"/>
  <c r="AF1695" i="2"/>
  <c r="AE1695" i="2"/>
  <c r="AD1695" i="2"/>
  <c r="AN1694" i="2"/>
  <c r="AL1694" i="2"/>
  <c r="AK1694" i="2"/>
  <c r="AM1694" i="2" s="1"/>
  <c r="AJ1694" i="2"/>
  <c r="AH1694" i="2"/>
  <c r="AI1694" i="2" s="1"/>
  <c r="AG1694" i="2"/>
  <c r="AF1694" i="2"/>
  <c r="AE1694" i="2"/>
  <c r="AD1694" i="2"/>
  <c r="AL1693" i="2"/>
  <c r="AK1693" i="2"/>
  <c r="AJ1693" i="2"/>
  <c r="AH1693" i="2"/>
  <c r="AI1693" i="2" s="1"/>
  <c r="AG1693" i="2"/>
  <c r="AF1693" i="2"/>
  <c r="AE1693" i="2"/>
  <c r="AD1693" i="2"/>
  <c r="AL1692" i="2"/>
  <c r="AN1692" i="2" s="1"/>
  <c r="AK1692" i="2"/>
  <c r="AJ1692" i="2"/>
  <c r="AI1692" i="2"/>
  <c r="AH1692" i="2"/>
  <c r="AG1692" i="2"/>
  <c r="AF1692" i="2"/>
  <c r="AE1692" i="2"/>
  <c r="AD1692" i="2"/>
  <c r="AL1691" i="2"/>
  <c r="AK1691" i="2"/>
  <c r="AJ1691" i="2"/>
  <c r="AI1691" i="2"/>
  <c r="AH1691" i="2"/>
  <c r="AG1691" i="2"/>
  <c r="AF1691" i="2"/>
  <c r="AE1691" i="2"/>
  <c r="AD1691" i="2"/>
  <c r="AL1690" i="2"/>
  <c r="AN1690" i="2" s="1"/>
  <c r="AK1690" i="2"/>
  <c r="AJ1690" i="2"/>
  <c r="AH1690" i="2"/>
  <c r="AI1690" i="2" s="1"/>
  <c r="AG1690" i="2"/>
  <c r="AF1690" i="2"/>
  <c r="AE1690" i="2"/>
  <c r="AD1690" i="2"/>
  <c r="AL1689" i="2"/>
  <c r="AK1689" i="2"/>
  <c r="AJ1689" i="2"/>
  <c r="AH1689" i="2"/>
  <c r="AI1689" i="2" s="1"/>
  <c r="AG1689" i="2"/>
  <c r="AF1689" i="2"/>
  <c r="AE1689" i="2"/>
  <c r="AD1689" i="2"/>
  <c r="AL1688" i="2"/>
  <c r="AK1688" i="2"/>
  <c r="AJ1688" i="2"/>
  <c r="AI1688" i="2"/>
  <c r="AH1688" i="2"/>
  <c r="AG1688" i="2"/>
  <c r="AF1688" i="2"/>
  <c r="AE1688" i="2"/>
  <c r="AD1688" i="2"/>
  <c r="AL1687" i="2"/>
  <c r="AK1687" i="2"/>
  <c r="AJ1687" i="2"/>
  <c r="AH1687" i="2"/>
  <c r="AI1687" i="2" s="1"/>
  <c r="AG1687" i="2"/>
  <c r="AF1687" i="2"/>
  <c r="AE1687" i="2"/>
  <c r="AD1687" i="2"/>
  <c r="AN1686" i="2"/>
  <c r="AL1686" i="2"/>
  <c r="AK1686" i="2"/>
  <c r="AJ1686" i="2"/>
  <c r="AH1686" i="2"/>
  <c r="AI1686" i="2" s="1"/>
  <c r="AG1686" i="2"/>
  <c r="AF1686" i="2"/>
  <c r="AE1686" i="2"/>
  <c r="AD1686" i="2"/>
  <c r="AN1685" i="2"/>
  <c r="AL1685" i="2"/>
  <c r="AM1685" i="2" s="1"/>
  <c r="AK1685" i="2"/>
  <c r="AJ1685" i="2"/>
  <c r="AH1685" i="2"/>
  <c r="AI1685" i="2" s="1"/>
  <c r="AG1685" i="2"/>
  <c r="AF1685" i="2"/>
  <c r="AE1685" i="2"/>
  <c r="AD1685" i="2"/>
  <c r="AN1684" i="2"/>
  <c r="AM1684" i="2"/>
  <c r="AL1684" i="2"/>
  <c r="AK1684" i="2"/>
  <c r="AJ1684" i="2"/>
  <c r="AI1684" i="2"/>
  <c r="AH1684" i="2"/>
  <c r="AG1684" i="2"/>
  <c r="AF1684" i="2"/>
  <c r="AE1684" i="2"/>
  <c r="AD1684" i="2"/>
  <c r="AL1683" i="2"/>
  <c r="AK1683" i="2"/>
  <c r="AJ1683" i="2"/>
  <c r="AI1683" i="2"/>
  <c r="AH1683" i="2"/>
  <c r="AG1683" i="2"/>
  <c r="AF1683" i="2"/>
  <c r="AE1683" i="2"/>
  <c r="AD1683" i="2"/>
  <c r="AL1682" i="2"/>
  <c r="AK1682" i="2"/>
  <c r="AJ1682" i="2"/>
  <c r="AH1682" i="2"/>
  <c r="AI1682" i="2" s="1"/>
  <c r="AG1682" i="2"/>
  <c r="AF1682" i="2"/>
  <c r="AE1682" i="2"/>
  <c r="AD1682" i="2"/>
  <c r="AN1681" i="2"/>
  <c r="AM1681" i="2"/>
  <c r="AL1681" i="2"/>
  <c r="AK1681" i="2"/>
  <c r="AJ1681" i="2"/>
  <c r="AH1681" i="2"/>
  <c r="AI1681" i="2" s="1"/>
  <c r="AG1681" i="2"/>
  <c r="AF1681" i="2"/>
  <c r="AE1681" i="2"/>
  <c r="AD1681" i="2"/>
  <c r="AL1680" i="2"/>
  <c r="AK1680" i="2"/>
  <c r="AN1680" i="2" s="1"/>
  <c r="AJ1680" i="2"/>
  <c r="AH1680" i="2"/>
  <c r="AI1680" i="2" s="1"/>
  <c r="AG1680" i="2"/>
  <c r="AF1680" i="2"/>
  <c r="AE1680" i="2"/>
  <c r="AD1680" i="2"/>
  <c r="AL1679" i="2"/>
  <c r="AK1679" i="2"/>
  <c r="AJ1679" i="2"/>
  <c r="AH1679" i="2"/>
  <c r="AI1679" i="2" s="1"/>
  <c r="AG1679" i="2"/>
  <c r="AF1679" i="2"/>
  <c r="AE1679" i="2"/>
  <c r="AD1679" i="2"/>
  <c r="AN1678" i="2"/>
  <c r="AL1678" i="2"/>
  <c r="AK1678" i="2"/>
  <c r="AM1678" i="2" s="1"/>
  <c r="AJ1678" i="2"/>
  <c r="AH1678" i="2"/>
  <c r="AI1678" i="2" s="1"/>
  <c r="AG1678" i="2"/>
  <c r="AF1678" i="2"/>
  <c r="AE1678" i="2"/>
  <c r="AD1678" i="2"/>
  <c r="AL1677" i="2"/>
  <c r="AK1677" i="2"/>
  <c r="AN1677" i="2" s="1"/>
  <c r="AJ1677" i="2"/>
  <c r="AH1677" i="2"/>
  <c r="AI1677" i="2" s="1"/>
  <c r="AG1677" i="2"/>
  <c r="AF1677" i="2"/>
  <c r="AE1677" i="2"/>
  <c r="AD1677" i="2"/>
  <c r="AL1676" i="2"/>
  <c r="AK1676" i="2"/>
  <c r="AJ1676" i="2"/>
  <c r="AI1676" i="2"/>
  <c r="AH1676" i="2"/>
  <c r="AG1676" i="2"/>
  <c r="AF1676" i="2"/>
  <c r="AE1676" i="2"/>
  <c r="AD1676" i="2"/>
  <c r="AL1675" i="2"/>
  <c r="AK1675" i="2"/>
  <c r="AJ1675" i="2"/>
  <c r="AI1675" i="2"/>
  <c r="AH1675" i="2"/>
  <c r="AG1675" i="2"/>
  <c r="AF1675" i="2"/>
  <c r="AE1675" i="2"/>
  <c r="AD1675" i="2"/>
  <c r="AL1674" i="2"/>
  <c r="AK1674" i="2"/>
  <c r="AJ1674" i="2"/>
  <c r="AH1674" i="2"/>
  <c r="AI1674" i="2" s="1"/>
  <c r="AG1674" i="2"/>
  <c r="AF1674" i="2"/>
  <c r="AE1674" i="2"/>
  <c r="AD1674" i="2"/>
  <c r="AN1673" i="2"/>
  <c r="AM1673" i="2"/>
  <c r="AL1673" i="2"/>
  <c r="AK1673" i="2"/>
  <c r="AJ1673" i="2"/>
  <c r="AH1673" i="2"/>
  <c r="AI1673" i="2" s="1"/>
  <c r="AG1673" i="2"/>
  <c r="AF1673" i="2"/>
  <c r="AE1673" i="2"/>
  <c r="AD1673" i="2"/>
  <c r="AL1672" i="2"/>
  <c r="AK1672" i="2"/>
  <c r="AJ1672" i="2"/>
  <c r="AH1672" i="2"/>
  <c r="AI1672" i="2" s="1"/>
  <c r="AG1672" i="2"/>
  <c r="AF1672" i="2"/>
  <c r="AE1672" i="2"/>
  <c r="AD1672" i="2"/>
  <c r="AL1671" i="2"/>
  <c r="AK1671" i="2"/>
  <c r="AJ1671" i="2"/>
  <c r="AH1671" i="2"/>
  <c r="AI1671" i="2" s="1"/>
  <c r="AG1671" i="2"/>
  <c r="AF1671" i="2"/>
  <c r="AE1671" i="2"/>
  <c r="AD1671" i="2"/>
  <c r="AL1670" i="2"/>
  <c r="AK1670" i="2"/>
  <c r="AM1670" i="2" s="1"/>
  <c r="AJ1670" i="2"/>
  <c r="AH1670" i="2"/>
  <c r="AI1670" i="2" s="1"/>
  <c r="AG1670" i="2"/>
  <c r="AF1670" i="2"/>
  <c r="AE1670" i="2"/>
  <c r="AD1670" i="2"/>
  <c r="AL1669" i="2"/>
  <c r="AN1669" i="2" s="1"/>
  <c r="AK1669" i="2"/>
  <c r="AJ1669" i="2"/>
  <c r="AH1669" i="2"/>
  <c r="AI1669" i="2" s="1"/>
  <c r="AG1669" i="2"/>
  <c r="AF1669" i="2"/>
  <c r="AE1669" i="2"/>
  <c r="AD1669" i="2"/>
  <c r="AL1668" i="2"/>
  <c r="AK1668" i="2"/>
  <c r="AJ1668" i="2"/>
  <c r="AH1668" i="2"/>
  <c r="AI1668" i="2" s="1"/>
  <c r="AG1668" i="2"/>
  <c r="AF1668" i="2"/>
  <c r="AE1668" i="2"/>
  <c r="AD1668" i="2"/>
  <c r="AL1667" i="2"/>
  <c r="AK1667" i="2"/>
  <c r="AJ1667" i="2"/>
  <c r="AI1667" i="2"/>
  <c r="AH1667" i="2"/>
  <c r="AG1667" i="2"/>
  <c r="AF1667" i="2"/>
  <c r="AE1667" i="2"/>
  <c r="AD1667" i="2"/>
  <c r="AL1666" i="2"/>
  <c r="AK1666" i="2"/>
  <c r="AJ1666" i="2"/>
  <c r="AI1666" i="2"/>
  <c r="AH1666" i="2"/>
  <c r="AG1666" i="2"/>
  <c r="AF1666" i="2"/>
  <c r="AE1666" i="2"/>
  <c r="AD1666" i="2"/>
  <c r="AN1665" i="2"/>
  <c r="AM1665" i="2"/>
  <c r="AL1665" i="2"/>
  <c r="AK1665" i="2"/>
  <c r="AJ1665" i="2"/>
  <c r="AH1665" i="2"/>
  <c r="AI1665" i="2" s="1"/>
  <c r="AG1665" i="2"/>
  <c r="AF1665" i="2"/>
  <c r="AE1665" i="2"/>
  <c r="AD1665" i="2"/>
  <c r="AL1664" i="2"/>
  <c r="AN1664" i="2" s="1"/>
  <c r="AK1664" i="2"/>
  <c r="AJ1664" i="2"/>
  <c r="AH1664" i="2"/>
  <c r="AI1664" i="2" s="1"/>
  <c r="AG1664" i="2"/>
  <c r="AF1664" i="2"/>
  <c r="AE1664" i="2"/>
  <c r="AD1664" i="2"/>
  <c r="AL1663" i="2"/>
  <c r="AK1663" i="2"/>
  <c r="AJ1663" i="2"/>
  <c r="AH1663" i="2"/>
  <c r="AI1663" i="2" s="1"/>
  <c r="AG1663" i="2"/>
  <c r="AF1663" i="2"/>
  <c r="AE1663" i="2"/>
  <c r="AD1663" i="2"/>
  <c r="AL1662" i="2"/>
  <c r="AK1662" i="2"/>
  <c r="AJ1662" i="2"/>
  <c r="AH1662" i="2"/>
  <c r="AI1662" i="2" s="1"/>
  <c r="AG1662" i="2"/>
  <c r="AF1662" i="2"/>
  <c r="AE1662" i="2"/>
  <c r="AD1662" i="2"/>
  <c r="AL1661" i="2"/>
  <c r="AK1661" i="2"/>
  <c r="AM1661" i="2" s="1"/>
  <c r="AJ1661" i="2"/>
  <c r="AH1661" i="2"/>
  <c r="AI1661" i="2" s="1"/>
  <c r="AG1661" i="2"/>
  <c r="AF1661" i="2"/>
  <c r="AE1661" i="2"/>
  <c r="AD1661" i="2"/>
  <c r="AL1660" i="2"/>
  <c r="AK1660" i="2"/>
  <c r="AN1660" i="2" s="1"/>
  <c r="AJ1660" i="2"/>
  <c r="AI1660" i="2"/>
  <c r="AH1660" i="2"/>
  <c r="AG1660" i="2"/>
  <c r="AF1660" i="2"/>
  <c r="AE1660" i="2"/>
  <c r="AD1660" i="2"/>
  <c r="AL1659" i="2"/>
  <c r="AK1659" i="2"/>
  <c r="AJ1659" i="2"/>
  <c r="AI1659" i="2"/>
  <c r="AH1659" i="2"/>
  <c r="AG1659" i="2"/>
  <c r="AF1659" i="2"/>
  <c r="AE1659" i="2"/>
  <c r="AD1659" i="2"/>
  <c r="AN1658" i="2"/>
  <c r="AL1658" i="2"/>
  <c r="AK1658" i="2"/>
  <c r="AJ1658" i="2"/>
  <c r="AH1658" i="2"/>
  <c r="AI1658" i="2" s="1"/>
  <c r="AG1658" i="2"/>
  <c r="AF1658" i="2"/>
  <c r="AE1658" i="2"/>
  <c r="AD1658" i="2"/>
  <c r="AN1657" i="2"/>
  <c r="AM1657" i="2"/>
  <c r="AL1657" i="2"/>
  <c r="AK1657" i="2"/>
  <c r="AJ1657" i="2"/>
  <c r="AH1657" i="2"/>
  <c r="AI1657" i="2" s="1"/>
  <c r="AG1657" i="2"/>
  <c r="AF1657" i="2"/>
  <c r="AE1657" i="2"/>
  <c r="AD1657" i="2"/>
  <c r="AL1656" i="2"/>
  <c r="AK1656" i="2"/>
  <c r="AN1656" i="2" s="1"/>
  <c r="AJ1656" i="2"/>
  <c r="AH1656" i="2"/>
  <c r="AI1656" i="2" s="1"/>
  <c r="AG1656" i="2"/>
  <c r="AF1656" i="2"/>
  <c r="AE1656" i="2"/>
  <c r="AD1656" i="2"/>
  <c r="AL1655" i="2"/>
  <c r="AK1655" i="2"/>
  <c r="AJ1655" i="2"/>
  <c r="AH1655" i="2"/>
  <c r="AI1655" i="2" s="1"/>
  <c r="AG1655" i="2"/>
  <c r="AF1655" i="2"/>
  <c r="AE1655" i="2"/>
  <c r="AD1655" i="2"/>
  <c r="AL1654" i="2"/>
  <c r="AK1654" i="2"/>
  <c r="AM1654" i="2" s="1"/>
  <c r="AJ1654" i="2"/>
  <c r="AH1654" i="2"/>
  <c r="AI1654" i="2" s="1"/>
  <c r="AG1654" i="2"/>
  <c r="AF1654" i="2"/>
  <c r="AE1654" i="2"/>
  <c r="AD1654" i="2"/>
  <c r="AL1653" i="2"/>
  <c r="AK1653" i="2"/>
  <c r="AJ1653" i="2"/>
  <c r="AH1653" i="2"/>
  <c r="AI1653" i="2" s="1"/>
  <c r="AG1653" i="2"/>
  <c r="AF1653" i="2"/>
  <c r="AE1653" i="2"/>
  <c r="AD1653" i="2"/>
  <c r="AL1652" i="2"/>
  <c r="AK1652" i="2"/>
  <c r="AJ1652" i="2"/>
  <c r="AH1652" i="2"/>
  <c r="AI1652" i="2" s="1"/>
  <c r="AG1652" i="2"/>
  <c r="AF1652" i="2"/>
  <c r="AE1652" i="2"/>
  <c r="AD1652" i="2"/>
  <c r="AL1651" i="2"/>
  <c r="AK1651" i="2"/>
  <c r="AJ1651" i="2"/>
  <c r="AH1651" i="2"/>
  <c r="AI1651" i="2" s="1"/>
  <c r="AG1651" i="2"/>
  <c r="AF1651" i="2"/>
  <c r="AE1651" i="2"/>
  <c r="AD1651" i="2"/>
  <c r="AL1650" i="2"/>
  <c r="AK1650" i="2"/>
  <c r="AJ1650" i="2"/>
  <c r="AH1650" i="2"/>
  <c r="AI1650" i="2" s="1"/>
  <c r="AG1650" i="2"/>
  <c r="AF1650" i="2"/>
  <c r="AE1650" i="2"/>
  <c r="AD1650" i="2"/>
  <c r="AN1649" i="2"/>
  <c r="AL1649" i="2"/>
  <c r="AK1649" i="2"/>
  <c r="AM1649" i="2" s="1"/>
  <c r="AJ1649" i="2"/>
  <c r="AH1649" i="2"/>
  <c r="AI1649" i="2" s="1"/>
  <c r="AG1649" i="2"/>
  <c r="AF1649" i="2"/>
  <c r="AE1649" i="2"/>
  <c r="AD1649" i="2"/>
  <c r="AM1648" i="2"/>
  <c r="AL1648" i="2"/>
  <c r="AK1648" i="2"/>
  <c r="AN1648" i="2" s="1"/>
  <c r="AJ1648" i="2"/>
  <c r="AH1648" i="2"/>
  <c r="AI1648" i="2" s="1"/>
  <c r="AG1648" i="2"/>
  <c r="AF1648" i="2"/>
  <c r="AE1648" i="2"/>
  <c r="AD1648" i="2"/>
  <c r="AL1647" i="2"/>
  <c r="AK1647" i="2"/>
  <c r="AJ1647" i="2"/>
  <c r="AI1647" i="2"/>
  <c r="AH1647" i="2"/>
  <c r="AG1647" i="2"/>
  <c r="AF1647" i="2"/>
  <c r="AE1647" i="2"/>
  <c r="AD1647" i="2"/>
  <c r="AL1646" i="2"/>
  <c r="AK1646" i="2"/>
  <c r="AM1646" i="2" s="1"/>
  <c r="AJ1646" i="2"/>
  <c r="AH1646" i="2"/>
  <c r="AI1646" i="2" s="1"/>
  <c r="AG1646" i="2"/>
  <c r="AF1646" i="2"/>
  <c r="AE1646" i="2"/>
  <c r="AD1646" i="2"/>
  <c r="AL1645" i="2"/>
  <c r="AK1645" i="2"/>
  <c r="AM1645" i="2" s="1"/>
  <c r="AJ1645" i="2"/>
  <c r="AH1645" i="2"/>
  <c r="AI1645" i="2" s="1"/>
  <c r="AG1645" i="2"/>
  <c r="AF1645" i="2"/>
  <c r="AE1645" i="2"/>
  <c r="AD1645" i="2"/>
  <c r="AL1644" i="2"/>
  <c r="AK1644" i="2"/>
  <c r="AN1644" i="2" s="1"/>
  <c r="AJ1644" i="2"/>
  <c r="AI1644" i="2"/>
  <c r="AH1644" i="2"/>
  <c r="AG1644" i="2"/>
  <c r="AF1644" i="2"/>
  <c r="AE1644" i="2"/>
  <c r="AD1644" i="2"/>
  <c r="AL1643" i="2"/>
  <c r="AK1643" i="2"/>
  <c r="AJ1643" i="2"/>
  <c r="AH1643" i="2"/>
  <c r="AI1643" i="2" s="1"/>
  <c r="AG1643" i="2"/>
  <c r="AF1643" i="2"/>
  <c r="AE1643" i="2"/>
  <c r="AD1643" i="2"/>
  <c r="AL1642" i="2"/>
  <c r="AK1642" i="2"/>
  <c r="AJ1642" i="2"/>
  <c r="AI1642" i="2"/>
  <c r="AH1642" i="2"/>
  <c r="AG1642" i="2"/>
  <c r="AF1642" i="2"/>
  <c r="AE1642" i="2"/>
  <c r="AD1642" i="2"/>
  <c r="AL1641" i="2"/>
  <c r="AM1641" i="2" s="1"/>
  <c r="AK1641" i="2"/>
  <c r="AJ1641" i="2"/>
  <c r="AH1641" i="2"/>
  <c r="AI1641" i="2" s="1"/>
  <c r="AG1641" i="2"/>
  <c r="AF1641" i="2"/>
  <c r="AE1641" i="2"/>
  <c r="AD1641" i="2"/>
  <c r="AL1640" i="2"/>
  <c r="AK1640" i="2"/>
  <c r="AJ1640" i="2"/>
  <c r="AH1640" i="2"/>
  <c r="AI1640" i="2" s="1"/>
  <c r="AG1640" i="2"/>
  <c r="AF1640" i="2"/>
  <c r="AE1640" i="2"/>
  <c r="AD1640" i="2"/>
  <c r="AL1639" i="2"/>
  <c r="AK1639" i="2"/>
  <c r="AJ1639" i="2"/>
  <c r="AH1639" i="2"/>
  <c r="AI1639" i="2" s="1"/>
  <c r="AG1639" i="2"/>
  <c r="AF1639" i="2"/>
  <c r="AE1639" i="2"/>
  <c r="AD1639" i="2"/>
  <c r="AL1638" i="2"/>
  <c r="AK1638" i="2"/>
  <c r="AM1638" i="2" s="1"/>
  <c r="AJ1638" i="2"/>
  <c r="AH1638" i="2"/>
  <c r="AI1638" i="2" s="1"/>
  <c r="AG1638" i="2"/>
  <c r="AF1638" i="2"/>
  <c r="AE1638" i="2"/>
  <c r="AD1638" i="2"/>
  <c r="AL1637" i="2"/>
  <c r="AK1637" i="2"/>
  <c r="AJ1637" i="2"/>
  <c r="AH1637" i="2"/>
  <c r="AI1637" i="2" s="1"/>
  <c r="AG1637" i="2"/>
  <c r="AF1637" i="2"/>
  <c r="AE1637" i="2"/>
  <c r="AD1637" i="2"/>
  <c r="AL1636" i="2"/>
  <c r="AN1636" i="2" s="1"/>
  <c r="AK1636" i="2"/>
  <c r="AJ1636" i="2"/>
  <c r="AI1636" i="2"/>
  <c r="AH1636" i="2"/>
  <c r="AG1636" i="2"/>
  <c r="AF1636" i="2"/>
  <c r="AE1636" i="2"/>
  <c r="AD1636" i="2"/>
  <c r="AL1635" i="2"/>
  <c r="AK1635" i="2"/>
  <c r="AJ1635" i="2"/>
  <c r="AI1635" i="2"/>
  <c r="AH1635" i="2"/>
  <c r="AG1635" i="2"/>
  <c r="AF1635" i="2"/>
  <c r="AE1635" i="2"/>
  <c r="AD1635" i="2"/>
  <c r="AL1634" i="2"/>
  <c r="AN1634" i="2" s="1"/>
  <c r="AK1634" i="2"/>
  <c r="AJ1634" i="2"/>
  <c r="AH1634" i="2"/>
  <c r="AI1634" i="2" s="1"/>
  <c r="AG1634" i="2"/>
  <c r="AF1634" i="2"/>
  <c r="AE1634" i="2"/>
  <c r="AD1634" i="2"/>
  <c r="AN1633" i="2"/>
  <c r="AL1633" i="2"/>
  <c r="AK1633" i="2"/>
  <c r="AM1633" i="2" s="1"/>
  <c r="AJ1633" i="2"/>
  <c r="AH1633" i="2"/>
  <c r="AI1633" i="2" s="1"/>
  <c r="AG1633" i="2"/>
  <c r="AF1633" i="2"/>
  <c r="AE1633" i="2"/>
  <c r="AD1633" i="2"/>
  <c r="AL1632" i="2"/>
  <c r="AK1632" i="2"/>
  <c r="AJ1632" i="2"/>
  <c r="AI1632" i="2"/>
  <c r="AH1632" i="2"/>
  <c r="AG1632" i="2"/>
  <c r="AF1632" i="2"/>
  <c r="AE1632" i="2"/>
  <c r="AD1632" i="2"/>
  <c r="AL1631" i="2"/>
  <c r="AK1631" i="2"/>
  <c r="AJ1631" i="2"/>
  <c r="AI1631" i="2"/>
  <c r="AH1631" i="2"/>
  <c r="AG1631" i="2"/>
  <c r="AF1631" i="2"/>
  <c r="AE1631" i="2"/>
  <c r="AD1631" i="2"/>
  <c r="AL1630" i="2"/>
  <c r="AK1630" i="2"/>
  <c r="AM1630" i="2" s="1"/>
  <c r="AJ1630" i="2"/>
  <c r="AH1630" i="2"/>
  <c r="AI1630" i="2" s="1"/>
  <c r="AG1630" i="2"/>
  <c r="AF1630" i="2"/>
  <c r="AE1630" i="2"/>
  <c r="AD1630" i="2"/>
  <c r="AL1629" i="2"/>
  <c r="AK1629" i="2"/>
  <c r="AJ1629" i="2"/>
  <c r="AH1629" i="2"/>
  <c r="AI1629" i="2" s="1"/>
  <c r="AG1629" i="2"/>
  <c r="AF1629" i="2"/>
  <c r="AE1629" i="2"/>
  <c r="AD1629" i="2"/>
  <c r="AL1628" i="2"/>
  <c r="AK1628" i="2"/>
  <c r="AJ1628" i="2"/>
  <c r="AH1628" i="2"/>
  <c r="AI1628" i="2" s="1"/>
  <c r="AG1628" i="2"/>
  <c r="AF1628" i="2"/>
  <c r="AE1628" i="2"/>
  <c r="AD1628" i="2"/>
  <c r="AL1627" i="2"/>
  <c r="AK1627" i="2"/>
  <c r="AJ1627" i="2"/>
  <c r="AI1627" i="2"/>
  <c r="AH1627" i="2"/>
  <c r="AG1627" i="2"/>
  <c r="AF1627" i="2"/>
  <c r="AE1627" i="2"/>
  <c r="AD1627" i="2"/>
  <c r="AL1626" i="2"/>
  <c r="AK1626" i="2"/>
  <c r="AJ1626" i="2"/>
  <c r="AH1626" i="2"/>
  <c r="AI1626" i="2" s="1"/>
  <c r="AG1626" i="2"/>
  <c r="AF1626" i="2"/>
  <c r="AE1626" i="2"/>
  <c r="AD1626" i="2"/>
  <c r="AM1625" i="2"/>
  <c r="AL1625" i="2"/>
  <c r="AK1625" i="2"/>
  <c r="AJ1625" i="2"/>
  <c r="AH1625" i="2"/>
  <c r="AI1625" i="2" s="1"/>
  <c r="AG1625" i="2"/>
  <c r="AF1625" i="2"/>
  <c r="AE1625" i="2"/>
  <c r="AD1625" i="2"/>
  <c r="AL1624" i="2"/>
  <c r="AK1624" i="2"/>
  <c r="AJ1624" i="2"/>
  <c r="AH1624" i="2"/>
  <c r="AI1624" i="2" s="1"/>
  <c r="AG1624" i="2"/>
  <c r="AF1624" i="2"/>
  <c r="AE1624" i="2"/>
  <c r="AD1624" i="2"/>
  <c r="AL1623" i="2"/>
  <c r="AK1623" i="2"/>
  <c r="AJ1623" i="2"/>
  <c r="AH1623" i="2"/>
  <c r="AI1623" i="2" s="1"/>
  <c r="AG1623" i="2"/>
  <c r="AF1623" i="2"/>
  <c r="AE1623" i="2"/>
  <c r="AD1623" i="2"/>
  <c r="AL1622" i="2"/>
  <c r="AK1622" i="2"/>
  <c r="AM1622" i="2" s="1"/>
  <c r="AJ1622" i="2"/>
  <c r="AH1622" i="2"/>
  <c r="AI1622" i="2" s="1"/>
  <c r="AG1622" i="2"/>
  <c r="AF1622" i="2"/>
  <c r="AE1622" i="2"/>
  <c r="AD1622" i="2"/>
  <c r="AL1621" i="2"/>
  <c r="AK1621" i="2"/>
  <c r="AJ1621" i="2"/>
  <c r="AH1621" i="2"/>
  <c r="AI1621" i="2" s="1"/>
  <c r="AG1621" i="2"/>
  <c r="AF1621" i="2"/>
  <c r="AE1621" i="2"/>
  <c r="AD1621" i="2"/>
  <c r="AL1620" i="2"/>
  <c r="AK1620" i="2"/>
  <c r="AN1620" i="2" s="1"/>
  <c r="AJ1620" i="2"/>
  <c r="AH1620" i="2"/>
  <c r="AI1620" i="2" s="1"/>
  <c r="AG1620" i="2"/>
  <c r="AF1620" i="2"/>
  <c r="AE1620" i="2"/>
  <c r="AD1620" i="2"/>
  <c r="AL1619" i="2"/>
  <c r="AK1619" i="2"/>
  <c r="AJ1619" i="2"/>
  <c r="AH1619" i="2"/>
  <c r="AI1619" i="2" s="1"/>
  <c r="AG1619" i="2"/>
  <c r="AF1619" i="2"/>
  <c r="AE1619" i="2"/>
  <c r="AD1619" i="2"/>
  <c r="AL1618" i="2"/>
  <c r="AK1618" i="2"/>
  <c r="AJ1618" i="2"/>
  <c r="AH1618" i="2"/>
  <c r="AI1618" i="2" s="1"/>
  <c r="AG1618" i="2"/>
  <c r="AF1618" i="2"/>
  <c r="AE1618" i="2"/>
  <c r="AD1618" i="2"/>
  <c r="AL1617" i="2"/>
  <c r="AK1617" i="2"/>
  <c r="AN1617" i="2" s="1"/>
  <c r="AJ1617" i="2"/>
  <c r="AH1617" i="2"/>
  <c r="AI1617" i="2" s="1"/>
  <c r="AG1617" i="2"/>
  <c r="AF1617" i="2"/>
  <c r="AE1617" i="2"/>
  <c r="AD1617" i="2"/>
  <c r="AL1616" i="2"/>
  <c r="AK1616" i="2"/>
  <c r="AJ1616" i="2"/>
  <c r="AH1616" i="2"/>
  <c r="AI1616" i="2" s="1"/>
  <c r="AG1616" i="2"/>
  <c r="AF1616" i="2"/>
  <c r="AE1616" i="2"/>
  <c r="AD1616" i="2"/>
  <c r="AL1615" i="2"/>
  <c r="AK1615" i="2"/>
  <c r="AJ1615" i="2"/>
  <c r="AI1615" i="2"/>
  <c r="AH1615" i="2"/>
  <c r="AG1615" i="2"/>
  <c r="AF1615" i="2"/>
  <c r="AE1615" i="2"/>
  <c r="AD1615" i="2"/>
  <c r="AL1614" i="2"/>
  <c r="AK1614" i="2"/>
  <c r="AJ1614" i="2"/>
  <c r="AH1614" i="2"/>
  <c r="AI1614" i="2" s="1"/>
  <c r="AG1614" i="2"/>
  <c r="AF1614" i="2"/>
  <c r="AE1614" i="2"/>
  <c r="AD1614" i="2"/>
  <c r="AL1613" i="2"/>
  <c r="AK1613" i="2"/>
  <c r="AM1613" i="2" s="1"/>
  <c r="AJ1613" i="2"/>
  <c r="AH1613" i="2"/>
  <c r="AI1613" i="2" s="1"/>
  <c r="AG1613" i="2"/>
  <c r="AF1613" i="2"/>
  <c r="AE1613" i="2"/>
  <c r="AD1613" i="2"/>
  <c r="AL1612" i="2"/>
  <c r="AK1612" i="2"/>
  <c r="AJ1612" i="2"/>
  <c r="AI1612" i="2"/>
  <c r="AH1612" i="2"/>
  <c r="AG1612" i="2"/>
  <c r="AF1612" i="2"/>
  <c r="AE1612" i="2"/>
  <c r="AD1612" i="2"/>
  <c r="AL1611" i="2"/>
  <c r="AK1611" i="2"/>
  <c r="AJ1611" i="2"/>
  <c r="AH1611" i="2"/>
  <c r="AI1611" i="2" s="1"/>
  <c r="AG1611" i="2"/>
  <c r="AF1611" i="2"/>
  <c r="AE1611" i="2"/>
  <c r="AD1611" i="2"/>
  <c r="AL1610" i="2"/>
  <c r="AK1610" i="2"/>
  <c r="AJ1610" i="2"/>
  <c r="AH1610" i="2"/>
  <c r="AI1610" i="2" s="1"/>
  <c r="AG1610" i="2"/>
  <c r="AF1610" i="2"/>
  <c r="AE1610" i="2"/>
  <c r="AD1610" i="2"/>
  <c r="AL1609" i="2"/>
  <c r="AK1609" i="2"/>
  <c r="AN1609" i="2" s="1"/>
  <c r="AJ1609" i="2"/>
  <c r="AH1609" i="2"/>
  <c r="AI1609" i="2" s="1"/>
  <c r="AG1609" i="2"/>
  <c r="AF1609" i="2"/>
  <c r="AE1609" i="2"/>
  <c r="AD1609" i="2"/>
  <c r="AL1608" i="2"/>
  <c r="AK1608" i="2"/>
  <c r="AN1608" i="2" s="1"/>
  <c r="AJ1608" i="2"/>
  <c r="AH1608" i="2"/>
  <c r="AI1608" i="2" s="1"/>
  <c r="AG1608" i="2"/>
  <c r="AF1608" i="2"/>
  <c r="AE1608" i="2"/>
  <c r="AD1608" i="2"/>
  <c r="AL1607" i="2"/>
  <c r="AK1607" i="2"/>
  <c r="AJ1607" i="2"/>
  <c r="AH1607" i="2"/>
  <c r="AI1607" i="2" s="1"/>
  <c r="AG1607" i="2"/>
  <c r="AF1607" i="2"/>
  <c r="AE1607" i="2"/>
  <c r="AD1607" i="2"/>
  <c r="AL1606" i="2"/>
  <c r="AK1606" i="2"/>
  <c r="AM1606" i="2" s="1"/>
  <c r="AJ1606" i="2"/>
  <c r="AH1606" i="2"/>
  <c r="AI1606" i="2" s="1"/>
  <c r="AG1606" i="2"/>
  <c r="AF1606" i="2"/>
  <c r="AE1606" i="2"/>
  <c r="AD1606" i="2"/>
  <c r="AL1605" i="2"/>
  <c r="AK1605" i="2"/>
  <c r="AN1605" i="2" s="1"/>
  <c r="AJ1605" i="2"/>
  <c r="AH1605" i="2"/>
  <c r="AI1605" i="2" s="1"/>
  <c r="AG1605" i="2"/>
  <c r="AF1605" i="2"/>
  <c r="AE1605" i="2"/>
  <c r="AD1605" i="2"/>
  <c r="AL1604" i="2"/>
  <c r="AN1604" i="2" s="1"/>
  <c r="AK1604" i="2"/>
  <c r="AJ1604" i="2"/>
  <c r="AI1604" i="2"/>
  <c r="AH1604" i="2"/>
  <c r="AG1604" i="2"/>
  <c r="AF1604" i="2"/>
  <c r="AE1604" i="2"/>
  <c r="AD1604" i="2"/>
  <c r="AL1603" i="2"/>
  <c r="AK1603" i="2"/>
  <c r="AJ1603" i="2"/>
  <c r="AH1603" i="2"/>
  <c r="AI1603" i="2" s="1"/>
  <c r="AG1603" i="2"/>
  <c r="AF1603" i="2"/>
  <c r="AE1603" i="2"/>
  <c r="AD1603" i="2"/>
  <c r="AL1602" i="2"/>
  <c r="AK1602" i="2"/>
  <c r="AJ1602" i="2"/>
  <c r="AH1602" i="2"/>
  <c r="AI1602" i="2" s="1"/>
  <c r="AG1602" i="2"/>
  <c r="AF1602" i="2"/>
  <c r="AE1602" i="2"/>
  <c r="AD1602" i="2"/>
  <c r="AL1601" i="2"/>
  <c r="AK1601" i="2"/>
  <c r="AN1601" i="2" s="1"/>
  <c r="AJ1601" i="2"/>
  <c r="AH1601" i="2"/>
  <c r="AI1601" i="2" s="1"/>
  <c r="AG1601" i="2"/>
  <c r="AF1601" i="2"/>
  <c r="AE1601" i="2"/>
  <c r="AD1601" i="2"/>
  <c r="AL1600" i="2"/>
  <c r="AK1600" i="2"/>
  <c r="AJ1600" i="2"/>
  <c r="AI1600" i="2"/>
  <c r="AH1600" i="2"/>
  <c r="AG1600" i="2"/>
  <c r="AF1600" i="2"/>
  <c r="AE1600" i="2"/>
  <c r="AD1600" i="2"/>
  <c r="AL1599" i="2"/>
  <c r="AK1599" i="2"/>
  <c r="AJ1599" i="2"/>
  <c r="AH1599" i="2"/>
  <c r="AI1599" i="2" s="1"/>
  <c r="AG1599" i="2"/>
  <c r="AF1599" i="2"/>
  <c r="AE1599" i="2"/>
  <c r="AD1599" i="2"/>
  <c r="AL1598" i="2"/>
  <c r="AK1598" i="2"/>
  <c r="AJ1598" i="2"/>
  <c r="AI1598" i="2"/>
  <c r="AH1598" i="2"/>
  <c r="AG1598" i="2"/>
  <c r="AF1598" i="2"/>
  <c r="AE1598" i="2"/>
  <c r="AD1598" i="2"/>
  <c r="AN1597" i="2"/>
  <c r="AL1597" i="2"/>
  <c r="AM1597" i="2" s="1"/>
  <c r="AK1597" i="2"/>
  <c r="AJ1597" i="2"/>
  <c r="AH1597" i="2"/>
  <c r="AI1597" i="2" s="1"/>
  <c r="AG1597" i="2"/>
  <c r="AF1597" i="2"/>
  <c r="AE1597" i="2"/>
  <c r="AD1597" i="2"/>
  <c r="AL1596" i="2"/>
  <c r="AK1596" i="2"/>
  <c r="AJ1596" i="2"/>
  <c r="AH1596" i="2"/>
  <c r="AI1596" i="2" s="1"/>
  <c r="AG1596" i="2"/>
  <c r="AF1596" i="2"/>
  <c r="AE1596" i="2"/>
  <c r="AD1596" i="2"/>
  <c r="AL1595" i="2"/>
  <c r="AK1595" i="2"/>
  <c r="AJ1595" i="2"/>
  <c r="AH1595" i="2"/>
  <c r="AI1595" i="2" s="1"/>
  <c r="AG1595" i="2"/>
  <c r="AF1595" i="2"/>
  <c r="AE1595" i="2"/>
  <c r="AD1595" i="2"/>
  <c r="AL1594" i="2"/>
  <c r="AK1594" i="2"/>
  <c r="AM1594" i="2" s="1"/>
  <c r="AJ1594" i="2"/>
  <c r="AI1594" i="2"/>
  <c r="AH1594" i="2"/>
  <c r="AG1594" i="2"/>
  <c r="AF1594" i="2"/>
  <c r="AE1594" i="2"/>
  <c r="AD1594" i="2"/>
  <c r="AL1593" i="2"/>
  <c r="AK1593" i="2"/>
  <c r="AJ1593" i="2"/>
  <c r="AH1593" i="2"/>
  <c r="AI1593" i="2" s="1"/>
  <c r="AG1593" i="2"/>
  <c r="AF1593" i="2"/>
  <c r="AE1593" i="2"/>
  <c r="AD1593" i="2"/>
  <c r="AL1592" i="2"/>
  <c r="AK1592" i="2"/>
  <c r="AN1592" i="2" s="1"/>
  <c r="AJ1592" i="2"/>
  <c r="AI1592" i="2"/>
  <c r="AH1592" i="2"/>
  <c r="AG1592" i="2"/>
  <c r="AF1592" i="2"/>
  <c r="AE1592" i="2"/>
  <c r="AD1592" i="2"/>
  <c r="AL1591" i="2"/>
  <c r="AK1591" i="2"/>
  <c r="AJ1591" i="2"/>
  <c r="AH1591" i="2"/>
  <c r="AI1591" i="2" s="1"/>
  <c r="AG1591" i="2"/>
  <c r="AF1591" i="2"/>
  <c r="AE1591" i="2"/>
  <c r="AD1591" i="2"/>
  <c r="AL1590" i="2"/>
  <c r="AK1590" i="2"/>
  <c r="AJ1590" i="2"/>
  <c r="AH1590" i="2"/>
  <c r="AI1590" i="2" s="1"/>
  <c r="AG1590" i="2"/>
  <c r="AF1590" i="2"/>
  <c r="AE1590" i="2"/>
  <c r="AD1590" i="2"/>
  <c r="AN1589" i="2"/>
  <c r="AL1589" i="2"/>
  <c r="AK1589" i="2"/>
  <c r="AM1589" i="2" s="1"/>
  <c r="AJ1589" i="2"/>
  <c r="AH1589" i="2"/>
  <c r="AI1589" i="2" s="1"/>
  <c r="AG1589" i="2"/>
  <c r="AF1589" i="2"/>
  <c r="AE1589" i="2"/>
  <c r="AD1589" i="2"/>
  <c r="AL1588" i="2"/>
  <c r="AK1588" i="2"/>
  <c r="AJ1588" i="2"/>
  <c r="AI1588" i="2"/>
  <c r="AH1588" i="2"/>
  <c r="AG1588" i="2"/>
  <c r="AF1588" i="2"/>
  <c r="AE1588" i="2"/>
  <c r="AD1588" i="2"/>
  <c r="AL1587" i="2"/>
  <c r="AK1587" i="2"/>
  <c r="AJ1587" i="2"/>
  <c r="AI1587" i="2"/>
  <c r="AH1587" i="2"/>
  <c r="AG1587" i="2"/>
  <c r="AF1587" i="2"/>
  <c r="AE1587" i="2"/>
  <c r="AD1587" i="2"/>
  <c r="AL1586" i="2"/>
  <c r="AK1586" i="2"/>
  <c r="AJ1586" i="2"/>
  <c r="AH1586" i="2"/>
  <c r="AI1586" i="2" s="1"/>
  <c r="AG1586" i="2"/>
  <c r="AF1586" i="2"/>
  <c r="AE1586" i="2"/>
  <c r="AD1586" i="2"/>
  <c r="AN1585" i="2"/>
  <c r="AL1585" i="2"/>
  <c r="AM1585" i="2" s="1"/>
  <c r="AK1585" i="2"/>
  <c r="AJ1585" i="2"/>
  <c r="AH1585" i="2"/>
  <c r="AI1585" i="2" s="1"/>
  <c r="AG1585" i="2"/>
  <c r="AF1585" i="2"/>
  <c r="AE1585" i="2"/>
  <c r="AD1585" i="2"/>
  <c r="AN1584" i="2"/>
  <c r="AL1584" i="2"/>
  <c r="AK1584" i="2"/>
  <c r="AJ1584" i="2"/>
  <c r="AH1584" i="2"/>
  <c r="AI1584" i="2" s="1"/>
  <c r="AG1584" i="2"/>
  <c r="AF1584" i="2"/>
  <c r="AE1584" i="2"/>
  <c r="AD1584" i="2"/>
  <c r="AL1583" i="2"/>
  <c r="AK1583" i="2"/>
  <c r="AJ1583" i="2"/>
  <c r="AH1583" i="2"/>
  <c r="AI1583" i="2" s="1"/>
  <c r="AG1583" i="2"/>
  <c r="AF1583" i="2"/>
  <c r="AE1583" i="2"/>
  <c r="AD1583" i="2"/>
  <c r="AL1582" i="2"/>
  <c r="AK1582" i="2"/>
  <c r="AM1582" i="2" s="1"/>
  <c r="AJ1582" i="2"/>
  <c r="AI1582" i="2"/>
  <c r="AH1582" i="2"/>
  <c r="AG1582" i="2"/>
  <c r="AF1582" i="2"/>
  <c r="AE1582" i="2"/>
  <c r="AD1582" i="2"/>
  <c r="AL1581" i="2"/>
  <c r="AK1581" i="2"/>
  <c r="AN1581" i="2" s="1"/>
  <c r="AJ1581" i="2"/>
  <c r="AH1581" i="2"/>
  <c r="AI1581" i="2" s="1"/>
  <c r="AG1581" i="2"/>
  <c r="AF1581" i="2"/>
  <c r="AE1581" i="2"/>
  <c r="AD1581" i="2"/>
  <c r="AL1580" i="2"/>
  <c r="AK1580" i="2"/>
  <c r="AJ1580" i="2"/>
  <c r="AI1580" i="2"/>
  <c r="AH1580" i="2"/>
  <c r="AG1580" i="2"/>
  <c r="AF1580" i="2"/>
  <c r="AE1580" i="2"/>
  <c r="AD1580" i="2"/>
  <c r="AL1579" i="2"/>
  <c r="AK1579" i="2"/>
  <c r="AJ1579" i="2"/>
  <c r="AH1579" i="2"/>
  <c r="AI1579" i="2" s="1"/>
  <c r="AG1579" i="2"/>
  <c r="AF1579" i="2"/>
  <c r="AE1579" i="2"/>
  <c r="AD1579" i="2"/>
  <c r="AL1578" i="2"/>
  <c r="AK1578" i="2"/>
  <c r="AJ1578" i="2"/>
  <c r="AH1578" i="2"/>
  <c r="AI1578" i="2" s="1"/>
  <c r="AG1578" i="2"/>
  <c r="AF1578" i="2"/>
  <c r="AE1578" i="2"/>
  <c r="AD1578" i="2"/>
  <c r="AL1577" i="2"/>
  <c r="AK1577" i="2"/>
  <c r="AN1577" i="2" s="1"/>
  <c r="AJ1577" i="2"/>
  <c r="AH1577" i="2"/>
  <c r="AI1577" i="2" s="1"/>
  <c r="AG1577" i="2"/>
  <c r="AF1577" i="2"/>
  <c r="AE1577" i="2"/>
  <c r="AD1577" i="2"/>
  <c r="AL1576" i="2"/>
  <c r="AK1576" i="2"/>
  <c r="AN1576" i="2" s="1"/>
  <c r="AJ1576" i="2"/>
  <c r="AH1576" i="2"/>
  <c r="AI1576" i="2" s="1"/>
  <c r="AG1576" i="2"/>
  <c r="AF1576" i="2"/>
  <c r="AE1576" i="2"/>
  <c r="AD1576" i="2"/>
  <c r="AL1575" i="2"/>
  <c r="AK1575" i="2"/>
  <c r="AJ1575" i="2"/>
  <c r="AI1575" i="2"/>
  <c r="AH1575" i="2"/>
  <c r="AG1575" i="2"/>
  <c r="AF1575" i="2"/>
  <c r="AE1575" i="2"/>
  <c r="AD1575" i="2"/>
  <c r="AL1574" i="2"/>
  <c r="AK1574" i="2"/>
  <c r="AJ1574" i="2"/>
  <c r="AH1574" i="2"/>
  <c r="AI1574" i="2" s="1"/>
  <c r="AG1574" i="2"/>
  <c r="AF1574" i="2"/>
  <c r="AE1574" i="2"/>
  <c r="AD1574" i="2"/>
  <c r="AL1573" i="2"/>
  <c r="AN1573" i="2" s="1"/>
  <c r="AK1573" i="2"/>
  <c r="AJ1573" i="2"/>
  <c r="AH1573" i="2"/>
  <c r="AI1573" i="2" s="1"/>
  <c r="AG1573" i="2"/>
  <c r="AF1573" i="2"/>
  <c r="AE1573" i="2"/>
  <c r="AD1573" i="2"/>
  <c r="AN1572" i="2"/>
  <c r="AL1572" i="2"/>
  <c r="AK1572" i="2"/>
  <c r="AM1572" i="2" s="1"/>
  <c r="AJ1572" i="2"/>
  <c r="AI1572" i="2"/>
  <c r="AH1572" i="2"/>
  <c r="AG1572" i="2"/>
  <c r="AF1572" i="2"/>
  <c r="AE1572" i="2"/>
  <c r="AD1572" i="2"/>
  <c r="AL1571" i="2"/>
  <c r="AK1571" i="2"/>
  <c r="AJ1571" i="2"/>
  <c r="AI1571" i="2"/>
  <c r="AH1571" i="2"/>
  <c r="AG1571" i="2"/>
  <c r="AF1571" i="2"/>
  <c r="AE1571" i="2"/>
  <c r="AD1571" i="2"/>
  <c r="AL1570" i="2"/>
  <c r="AK1570" i="2"/>
  <c r="AM1570" i="2" s="1"/>
  <c r="AJ1570" i="2"/>
  <c r="AH1570" i="2"/>
  <c r="AI1570" i="2" s="1"/>
  <c r="AG1570" i="2"/>
  <c r="AF1570" i="2"/>
  <c r="AE1570" i="2"/>
  <c r="AD1570" i="2"/>
  <c r="AL1569" i="2"/>
  <c r="AK1569" i="2"/>
  <c r="AJ1569" i="2"/>
  <c r="AH1569" i="2"/>
  <c r="AI1569" i="2" s="1"/>
  <c r="AG1569" i="2"/>
  <c r="AF1569" i="2"/>
  <c r="AE1569" i="2"/>
  <c r="AD1569" i="2"/>
  <c r="AN1568" i="2"/>
  <c r="AL1568" i="2"/>
  <c r="AK1568" i="2"/>
  <c r="AJ1568" i="2"/>
  <c r="AH1568" i="2"/>
  <c r="AI1568" i="2" s="1"/>
  <c r="AG1568" i="2"/>
  <c r="AF1568" i="2"/>
  <c r="AE1568" i="2"/>
  <c r="AD1568" i="2"/>
  <c r="AL1567" i="2"/>
  <c r="AK1567" i="2"/>
  <c r="AJ1567" i="2"/>
  <c r="AH1567" i="2"/>
  <c r="AI1567" i="2" s="1"/>
  <c r="AG1567" i="2"/>
  <c r="AF1567" i="2"/>
  <c r="AE1567" i="2"/>
  <c r="AD1567" i="2"/>
  <c r="AL1566" i="2"/>
  <c r="AK1566" i="2"/>
  <c r="AJ1566" i="2"/>
  <c r="AH1566" i="2"/>
  <c r="AI1566" i="2" s="1"/>
  <c r="AG1566" i="2"/>
  <c r="AF1566" i="2"/>
  <c r="AE1566" i="2"/>
  <c r="AD1566" i="2"/>
  <c r="AL1565" i="2"/>
  <c r="AK1565" i="2"/>
  <c r="AN1565" i="2" s="1"/>
  <c r="AJ1565" i="2"/>
  <c r="AH1565" i="2"/>
  <c r="AI1565" i="2" s="1"/>
  <c r="AG1565" i="2"/>
  <c r="AF1565" i="2"/>
  <c r="AE1565" i="2"/>
  <c r="AD1565" i="2"/>
  <c r="AL1564" i="2"/>
  <c r="AK1564" i="2"/>
  <c r="AJ1564" i="2"/>
  <c r="AH1564" i="2"/>
  <c r="AI1564" i="2" s="1"/>
  <c r="AG1564" i="2"/>
  <c r="AF1564" i="2"/>
  <c r="AE1564" i="2"/>
  <c r="AD1564" i="2"/>
  <c r="AL1563" i="2"/>
  <c r="AK1563" i="2"/>
  <c r="AN1563" i="2" s="1"/>
  <c r="AJ1563" i="2"/>
  <c r="AH1563" i="2"/>
  <c r="AI1563" i="2" s="1"/>
  <c r="AG1563" i="2"/>
  <c r="AF1563" i="2"/>
  <c r="AE1563" i="2"/>
  <c r="AD1563" i="2"/>
  <c r="AL1562" i="2"/>
  <c r="AK1562" i="2"/>
  <c r="AJ1562" i="2"/>
  <c r="AH1562" i="2"/>
  <c r="AI1562" i="2" s="1"/>
  <c r="AG1562" i="2"/>
  <c r="AF1562" i="2"/>
  <c r="AE1562" i="2"/>
  <c r="AD1562" i="2"/>
  <c r="AL1561" i="2"/>
  <c r="AK1561" i="2"/>
  <c r="AN1561" i="2" s="1"/>
  <c r="AJ1561" i="2"/>
  <c r="AH1561" i="2"/>
  <c r="AI1561" i="2" s="1"/>
  <c r="AG1561" i="2"/>
  <c r="AF1561" i="2"/>
  <c r="AE1561" i="2"/>
  <c r="AD1561" i="2"/>
  <c r="AN1560" i="2"/>
  <c r="AL1560" i="2"/>
  <c r="AK1560" i="2"/>
  <c r="AM1560" i="2" s="1"/>
  <c r="AJ1560" i="2"/>
  <c r="AI1560" i="2"/>
  <c r="AH1560" i="2"/>
  <c r="AG1560" i="2"/>
  <c r="AF1560" i="2"/>
  <c r="AE1560" i="2"/>
  <c r="AD1560" i="2"/>
  <c r="AL1559" i="2"/>
  <c r="AK1559" i="2"/>
  <c r="AN1559" i="2" s="1"/>
  <c r="AJ1559" i="2"/>
  <c r="AI1559" i="2"/>
  <c r="AH1559" i="2"/>
  <c r="AG1559" i="2"/>
  <c r="AF1559" i="2"/>
  <c r="AE1559" i="2"/>
  <c r="AD1559" i="2"/>
  <c r="AL1558" i="2"/>
  <c r="AK1558" i="2"/>
  <c r="AJ1558" i="2"/>
  <c r="AH1558" i="2"/>
  <c r="AI1558" i="2" s="1"/>
  <c r="AG1558" i="2"/>
  <c r="AF1558" i="2"/>
  <c r="AE1558" i="2"/>
  <c r="AD1558" i="2"/>
  <c r="AM1557" i="2"/>
  <c r="AL1557" i="2"/>
  <c r="AK1557" i="2"/>
  <c r="AJ1557" i="2"/>
  <c r="AH1557" i="2"/>
  <c r="AI1557" i="2" s="1"/>
  <c r="AG1557" i="2"/>
  <c r="AF1557" i="2"/>
  <c r="AE1557" i="2"/>
  <c r="AD1557" i="2"/>
  <c r="AM1556" i="2"/>
  <c r="AL1556" i="2"/>
  <c r="AK1556" i="2"/>
  <c r="AJ1556" i="2"/>
  <c r="AH1556" i="2"/>
  <c r="AI1556" i="2" s="1"/>
  <c r="AG1556" i="2"/>
  <c r="AF1556" i="2"/>
  <c r="AE1556" i="2"/>
  <c r="AD1556" i="2"/>
  <c r="AL1555" i="2"/>
  <c r="AK1555" i="2"/>
  <c r="AJ1555" i="2"/>
  <c r="AH1555" i="2"/>
  <c r="AI1555" i="2" s="1"/>
  <c r="AG1555" i="2"/>
  <c r="AF1555" i="2"/>
  <c r="AE1555" i="2"/>
  <c r="AD1555" i="2"/>
  <c r="AL1554" i="2"/>
  <c r="AK1554" i="2"/>
  <c r="AM1554" i="2" s="1"/>
  <c r="AJ1554" i="2"/>
  <c r="AH1554" i="2"/>
  <c r="AI1554" i="2" s="1"/>
  <c r="AG1554" i="2"/>
  <c r="AF1554" i="2"/>
  <c r="AE1554" i="2"/>
  <c r="AD1554" i="2"/>
  <c r="AL1553" i="2"/>
  <c r="AK1553" i="2"/>
  <c r="AJ1553" i="2"/>
  <c r="AH1553" i="2"/>
  <c r="AI1553" i="2" s="1"/>
  <c r="AG1553" i="2"/>
  <c r="AF1553" i="2"/>
  <c r="AE1553" i="2"/>
  <c r="AD1553" i="2"/>
  <c r="AL1552" i="2"/>
  <c r="AK1552" i="2"/>
  <c r="AJ1552" i="2"/>
  <c r="AI1552" i="2"/>
  <c r="AH1552" i="2"/>
  <c r="AG1552" i="2"/>
  <c r="AF1552" i="2"/>
  <c r="AE1552" i="2"/>
  <c r="AD1552" i="2"/>
  <c r="AL1551" i="2"/>
  <c r="AK1551" i="2"/>
  <c r="AJ1551" i="2"/>
  <c r="AH1551" i="2"/>
  <c r="AI1551" i="2" s="1"/>
  <c r="AG1551" i="2"/>
  <c r="AF1551" i="2"/>
  <c r="AE1551" i="2"/>
  <c r="AD1551" i="2"/>
  <c r="AL1550" i="2"/>
  <c r="AK1550" i="2"/>
  <c r="AJ1550" i="2"/>
  <c r="AI1550" i="2"/>
  <c r="AH1550" i="2"/>
  <c r="AG1550" i="2"/>
  <c r="AF1550" i="2"/>
  <c r="AE1550" i="2"/>
  <c r="AD1550" i="2"/>
  <c r="AN1549" i="2"/>
  <c r="AM1549" i="2"/>
  <c r="AL1549" i="2"/>
  <c r="AK1549" i="2"/>
  <c r="AJ1549" i="2"/>
  <c r="AH1549" i="2"/>
  <c r="AI1549" i="2" s="1"/>
  <c r="AG1549" i="2"/>
  <c r="AF1549" i="2"/>
  <c r="AE1549" i="2"/>
  <c r="AD1549" i="2"/>
  <c r="AL1548" i="2"/>
  <c r="AK1548" i="2"/>
  <c r="AN1548" i="2" s="1"/>
  <c r="AJ1548" i="2"/>
  <c r="AI1548" i="2"/>
  <c r="AH1548" i="2"/>
  <c r="AG1548" i="2"/>
  <c r="AF1548" i="2"/>
  <c r="AE1548" i="2"/>
  <c r="AD1548" i="2"/>
  <c r="AL1547" i="2"/>
  <c r="AK1547" i="2"/>
  <c r="AJ1547" i="2"/>
  <c r="AH1547" i="2"/>
  <c r="AI1547" i="2" s="1"/>
  <c r="AG1547" i="2"/>
  <c r="AF1547" i="2"/>
  <c r="AE1547" i="2"/>
  <c r="AD1547" i="2"/>
  <c r="AL1546" i="2"/>
  <c r="AK1546" i="2"/>
  <c r="AJ1546" i="2"/>
  <c r="AH1546" i="2"/>
  <c r="AI1546" i="2" s="1"/>
  <c r="AG1546" i="2"/>
  <c r="AF1546" i="2"/>
  <c r="AE1546" i="2"/>
  <c r="AD1546" i="2"/>
  <c r="AM1545" i="2"/>
  <c r="AL1545" i="2"/>
  <c r="AN1545" i="2" s="1"/>
  <c r="AK1545" i="2"/>
  <c r="AJ1545" i="2"/>
  <c r="AH1545" i="2"/>
  <c r="AI1545" i="2" s="1"/>
  <c r="AG1545" i="2"/>
  <c r="AF1545" i="2"/>
  <c r="AE1545" i="2"/>
  <c r="AD1545" i="2"/>
  <c r="AL1544" i="2"/>
  <c r="AK1544" i="2"/>
  <c r="AJ1544" i="2"/>
  <c r="AI1544" i="2"/>
  <c r="AH1544" i="2"/>
  <c r="AG1544" i="2"/>
  <c r="AF1544" i="2"/>
  <c r="AE1544" i="2"/>
  <c r="AD1544" i="2"/>
  <c r="AL1543" i="2"/>
  <c r="AM1543" i="2" s="1"/>
  <c r="AK1543" i="2"/>
  <c r="AJ1543" i="2"/>
  <c r="AH1543" i="2"/>
  <c r="AI1543" i="2" s="1"/>
  <c r="AG1543" i="2"/>
  <c r="AF1543" i="2"/>
  <c r="AE1543" i="2"/>
  <c r="AD1543" i="2"/>
  <c r="AL1542" i="2"/>
  <c r="AK1542" i="2"/>
  <c r="AJ1542" i="2"/>
  <c r="AH1542" i="2"/>
  <c r="AI1542" i="2" s="1"/>
  <c r="AG1542" i="2"/>
  <c r="AF1542" i="2"/>
  <c r="AE1542" i="2"/>
  <c r="AD1542" i="2"/>
  <c r="AL1541" i="2"/>
  <c r="AN1541" i="2" s="1"/>
  <c r="AK1541" i="2"/>
  <c r="AJ1541" i="2"/>
  <c r="AH1541" i="2"/>
  <c r="AI1541" i="2" s="1"/>
  <c r="AG1541" i="2"/>
  <c r="AF1541" i="2"/>
  <c r="AE1541" i="2"/>
  <c r="AD1541" i="2"/>
  <c r="AN1540" i="2"/>
  <c r="AL1540" i="2"/>
  <c r="AK1540" i="2"/>
  <c r="AM1540" i="2" s="1"/>
  <c r="AJ1540" i="2"/>
  <c r="AI1540" i="2"/>
  <c r="AH1540" i="2"/>
  <c r="AG1540" i="2"/>
  <c r="AF1540" i="2"/>
  <c r="AE1540" i="2"/>
  <c r="AD1540" i="2"/>
  <c r="AL1539" i="2"/>
  <c r="AK1539" i="2"/>
  <c r="AM1539" i="2" s="1"/>
  <c r="AJ1539" i="2"/>
  <c r="AH1539" i="2"/>
  <c r="AI1539" i="2" s="1"/>
  <c r="AG1539" i="2"/>
  <c r="AF1539" i="2"/>
  <c r="AE1539" i="2"/>
  <c r="AD1539" i="2"/>
  <c r="AL1538" i="2"/>
  <c r="AK1538" i="2"/>
  <c r="AJ1538" i="2"/>
  <c r="AH1538" i="2"/>
  <c r="AI1538" i="2" s="1"/>
  <c r="AG1538" i="2"/>
  <c r="AF1538" i="2"/>
  <c r="AE1538" i="2"/>
  <c r="AD1538" i="2"/>
  <c r="AL1537" i="2"/>
  <c r="AK1537" i="2"/>
  <c r="AN1537" i="2" s="1"/>
  <c r="AJ1537" i="2"/>
  <c r="AH1537" i="2"/>
  <c r="AI1537" i="2" s="1"/>
  <c r="AG1537" i="2"/>
  <c r="AF1537" i="2"/>
  <c r="AE1537" i="2"/>
  <c r="AD1537" i="2"/>
  <c r="AL1536" i="2"/>
  <c r="AK1536" i="2"/>
  <c r="AJ1536" i="2"/>
  <c r="AI1536" i="2"/>
  <c r="AH1536" i="2"/>
  <c r="AG1536" i="2"/>
  <c r="AF1536" i="2"/>
  <c r="AE1536" i="2"/>
  <c r="AD1536" i="2"/>
  <c r="AL1535" i="2"/>
  <c r="AK1535" i="2"/>
  <c r="AJ1535" i="2"/>
  <c r="AH1535" i="2"/>
  <c r="AI1535" i="2" s="1"/>
  <c r="AG1535" i="2"/>
  <c r="AF1535" i="2"/>
  <c r="AE1535" i="2"/>
  <c r="AD1535" i="2"/>
  <c r="AN1534" i="2"/>
  <c r="AL1534" i="2"/>
  <c r="AK1534" i="2"/>
  <c r="AJ1534" i="2"/>
  <c r="AH1534" i="2"/>
  <c r="AI1534" i="2" s="1"/>
  <c r="AG1534" i="2"/>
  <c r="AF1534" i="2"/>
  <c r="AE1534" i="2"/>
  <c r="AD1534" i="2"/>
  <c r="AM1533" i="2"/>
  <c r="AL1533" i="2"/>
  <c r="AN1533" i="2" s="1"/>
  <c r="AK1533" i="2"/>
  <c r="AJ1533" i="2"/>
  <c r="AH1533" i="2"/>
  <c r="AI1533" i="2" s="1"/>
  <c r="AG1533" i="2"/>
  <c r="AF1533" i="2"/>
  <c r="AE1533" i="2"/>
  <c r="AD1533" i="2"/>
  <c r="AL1532" i="2"/>
  <c r="AK1532" i="2"/>
  <c r="AJ1532" i="2"/>
  <c r="AH1532" i="2"/>
  <c r="AI1532" i="2" s="1"/>
  <c r="AG1532" i="2"/>
  <c r="AF1532" i="2"/>
  <c r="AE1532" i="2"/>
  <c r="AD1532" i="2"/>
  <c r="AL1531" i="2"/>
  <c r="AK1531" i="2"/>
  <c r="AM1531" i="2" s="1"/>
  <c r="AJ1531" i="2"/>
  <c r="AH1531" i="2"/>
  <c r="AI1531" i="2" s="1"/>
  <c r="AG1531" i="2"/>
  <c r="AF1531" i="2"/>
  <c r="AE1531" i="2"/>
  <c r="AD1531" i="2"/>
  <c r="AL1530" i="2"/>
  <c r="AK1530" i="2"/>
  <c r="AJ1530" i="2"/>
  <c r="AI1530" i="2"/>
  <c r="AH1530" i="2"/>
  <c r="AG1530" i="2"/>
  <c r="AF1530" i="2"/>
  <c r="AE1530" i="2"/>
  <c r="AD1530" i="2"/>
  <c r="AL1529" i="2"/>
  <c r="AK1529" i="2"/>
  <c r="AN1529" i="2" s="1"/>
  <c r="AJ1529" i="2"/>
  <c r="AH1529" i="2"/>
  <c r="AI1529" i="2" s="1"/>
  <c r="AG1529" i="2"/>
  <c r="AF1529" i="2"/>
  <c r="AE1529" i="2"/>
  <c r="AD1529" i="2"/>
  <c r="AN1528" i="2"/>
  <c r="AM1528" i="2"/>
  <c r="AL1528" i="2"/>
  <c r="AK1528" i="2"/>
  <c r="AJ1528" i="2"/>
  <c r="AH1528" i="2"/>
  <c r="AI1528" i="2" s="1"/>
  <c r="AG1528" i="2"/>
  <c r="AF1528" i="2"/>
  <c r="AE1528" i="2"/>
  <c r="AD1528" i="2"/>
  <c r="AL1527" i="2"/>
  <c r="AK1527" i="2"/>
  <c r="AJ1527" i="2"/>
  <c r="AH1527" i="2"/>
  <c r="AI1527" i="2" s="1"/>
  <c r="AG1527" i="2"/>
  <c r="AF1527" i="2"/>
  <c r="AE1527" i="2"/>
  <c r="AD1527" i="2"/>
  <c r="AL1526" i="2"/>
  <c r="AK1526" i="2"/>
  <c r="AM1526" i="2" s="1"/>
  <c r="AJ1526" i="2"/>
  <c r="AH1526" i="2"/>
  <c r="AI1526" i="2" s="1"/>
  <c r="AG1526" i="2"/>
  <c r="AF1526" i="2"/>
  <c r="AE1526" i="2"/>
  <c r="AD1526" i="2"/>
  <c r="AL1525" i="2"/>
  <c r="AK1525" i="2"/>
  <c r="AJ1525" i="2"/>
  <c r="AH1525" i="2"/>
  <c r="AI1525" i="2" s="1"/>
  <c r="AG1525" i="2"/>
  <c r="AF1525" i="2"/>
  <c r="AE1525" i="2"/>
  <c r="AD1525" i="2"/>
  <c r="AL1524" i="2"/>
  <c r="AK1524" i="2"/>
  <c r="AM1524" i="2" s="1"/>
  <c r="AJ1524" i="2"/>
  <c r="AI1524" i="2"/>
  <c r="AH1524" i="2"/>
  <c r="AG1524" i="2"/>
  <c r="AF1524" i="2"/>
  <c r="AE1524" i="2"/>
  <c r="AD1524" i="2"/>
  <c r="AL1523" i="2"/>
  <c r="AK1523" i="2"/>
  <c r="AN1523" i="2" s="1"/>
  <c r="AJ1523" i="2"/>
  <c r="AH1523" i="2"/>
  <c r="AI1523" i="2" s="1"/>
  <c r="AG1523" i="2"/>
  <c r="AF1523" i="2"/>
  <c r="AE1523" i="2"/>
  <c r="AD1523" i="2"/>
  <c r="AN1522" i="2"/>
  <c r="AL1522" i="2"/>
  <c r="AK1522" i="2"/>
  <c r="AJ1522" i="2"/>
  <c r="AH1522" i="2"/>
  <c r="AI1522" i="2" s="1"/>
  <c r="AG1522" i="2"/>
  <c r="AF1522" i="2"/>
  <c r="AE1522" i="2"/>
  <c r="AD1522" i="2"/>
  <c r="AL1521" i="2"/>
  <c r="AK1521" i="2"/>
  <c r="AJ1521" i="2"/>
  <c r="AI1521" i="2"/>
  <c r="AH1521" i="2"/>
  <c r="AG1521" i="2"/>
  <c r="AF1521" i="2"/>
  <c r="AE1521" i="2"/>
  <c r="AD1521" i="2"/>
  <c r="AL1520" i="2"/>
  <c r="AN1520" i="2" s="1"/>
  <c r="AK1520" i="2"/>
  <c r="AJ1520" i="2"/>
  <c r="AH1520" i="2"/>
  <c r="AI1520" i="2" s="1"/>
  <c r="AG1520" i="2"/>
  <c r="AF1520" i="2"/>
  <c r="AE1520" i="2"/>
  <c r="AD1520" i="2"/>
  <c r="AL1519" i="2"/>
  <c r="AM1519" i="2" s="1"/>
  <c r="AK1519" i="2"/>
  <c r="AJ1519" i="2"/>
  <c r="AH1519" i="2"/>
  <c r="AI1519" i="2" s="1"/>
  <c r="AG1519" i="2"/>
  <c r="AF1519" i="2"/>
  <c r="AE1519" i="2"/>
  <c r="AD1519" i="2"/>
  <c r="AL1518" i="2"/>
  <c r="AK1518" i="2"/>
  <c r="AJ1518" i="2"/>
  <c r="AH1518" i="2"/>
  <c r="AI1518" i="2" s="1"/>
  <c r="AG1518" i="2"/>
  <c r="AF1518" i="2"/>
  <c r="AE1518" i="2"/>
  <c r="AD1518" i="2"/>
  <c r="AL1517" i="2"/>
  <c r="AK1517" i="2"/>
  <c r="AJ1517" i="2"/>
  <c r="AH1517" i="2"/>
  <c r="AI1517" i="2" s="1"/>
  <c r="AG1517" i="2"/>
  <c r="AF1517" i="2"/>
  <c r="AE1517" i="2"/>
  <c r="AD1517" i="2"/>
  <c r="AL1516" i="2"/>
  <c r="AK1516" i="2"/>
  <c r="AN1516" i="2" s="1"/>
  <c r="AJ1516" i="2"/>
  <c r="AI1516" i="2"/>
  <c r="AH1516" i="2"/>
  <c r="AG1516" i="2"/>
  <c r="AF1516" i="2"/>
  <c r="AE1516" i="2"/>
  <c r="AD1516" i="2"/>
  <c r="AL1515" i="2"/>
  <c r="AK1515" i="2"/>
  <c r="AJ1515" i="2"/>
  <c r="AH1515" i="2"/>
  <c r="AI1515" i="2" s="1"/>
  <c r="AG1515" i="2"/>
  <c r="AF1515" i="2"/>
  <c r="AE1515" i="2"/>
  <c r="AD1515" i="2"/>
  <c r="AN1514" i="2"/>
  <c r="AL1514" i="2"/>
  <c r="AK1514" i="2"/>
  <c r="AJ1514" i="2"/>
  <c r="AH1514" i="2"/>
  <c r="AI1514" i="2" s="1"/>
  <c r="AG1514" i="2"/>
  <c r="AF1514" i="2"/>
  <c r="AE1514" i="2"/>
  <c r="AD1514" i="2"/>
  <c r="AL1513" i="2"/>
  <c r="AK1513" i="2"/>
  <c r="AN1513" i="2" s="1"/>
  <c r="AJ1513" i="2"/>
  <c r="AH1513" i="2"/>
  <c r="AI1513" i="2" s="1"/>
  <c r="AG1513" i="2"/>
  <c r="AF1513" i="2"/>
  <c r="AE1513" i="2"/>
  <c r="AD1513" i="2"/>
  <c r="AL1512" i="2"/>
  <c r="AK1512" i="2"/>
  <c r="AJ1512" i="2"/>
  <c r="AH1512" i="2"/>
  <c r="AI1512" i="2" s="1"/>
  <c r="AG1512" i="2"/>
  <c r="AF1512" i="2"/>
  <c r="AE1512" i="2"/>
  <c r="AD1512" i="2"/>
  <c r="AL1511" i="2"/>
  <c r="AK1511" i="2"/>
  <c r="AN1511" i="2" s="1"/>
  <c r="AJ1511" i="2"/>
  <c r="AH1511" i="2"/>
  <c r="AI1511" i="2" s="1"/>
  <c r="AG1511" i="2"/>
  <c r="AF1511" i="2"/>
  <c r="AE1511" i="2"/>
  <c r="AD1511" i="2"/>
  <c r="AM1510" i="2"/>
  <c r="AL1510" i="2"/>
  <c r="AK1510" i="2"/>
  <c r="AN1510" i="2" s="1"/>
  <c r="AJ1510" i="2"/>
  <c r="AH1510" i="2"/>
  <c r="AI1510" i="2" s="1"/>
  <c r="AG1510" i="2"/>
  <c r="AF1510" i="2"/>
  <c r="AE1510" i="2"/>
  <c r="AD1510" i="2"/>
  <c r="AL1509" i="2"/>
  <c r="AK1509" i="2"/>
  <c r="AJ1509" i="2"/>
  <c r="AH1509" i="2"/>
  <c r="AI1509" i="2" s="1"/>
  <c r="AG1509" i="2"/>
  <c r="AF1509" i="2"/>
  <c r="AE1509" i="2"/>
  <c r="AD1509" i="2"/>
  <c r="AN1508" i="2"/>
  <c r="AL1508" i="2"/>
  <c r="AK1508" i="2"/>
  <c r="AJ1508" i="2"/>
  <c r="AI1508" i="2"/>
  <c r="AH1508" i="2"/>
  <c r="AG1508" i="2"/>
  <c r="AF1508" i="2"/>
  <c r="AE1508" i="2"/>
  <c r="AD1508" i="2"/>
  <c r="AL1507" i="2"/>
  <c r="AK1507" i="2"/>
  <c r="AJ1507" i="2"/>
  <c r="AH1507" i="2"/>
  <c r="AI1507" i="2" s="1"/>
  <c r="AG1507" i="2"/>
  <c r="AF1507" i="2"/>
  <c r="AE1507" i="2"/>
  <c r="AD1507" i="2"/>
  <c r="AL1506" i="2"/>
  <c r="AK1506" i="2"/>
  <c r="AN1506" i="2" s="1"/>
  <c r="AJ1506" i="2"/>
  <c r="AH1506" i="2"/>
  <c r="AI1506" i="2" s="1"/>
  <c r="AG1506" i="2"/>
  <c r="AF1506" i="2"/>
  <c r="AE1506" i="2"/>
  <c r="AD1506" i="2"/>
  <c r="AL1505" i="2"/>
  <c r="AK1505" i="2"/>
  <c r="AJ1505" i="2"/>
  <c r="AH1505" i="2"/>
  <c r="AI1505" i="2" s="1"/>
  <c r="AG1505" i="2"/>
  <c r="AF1505" i="2"/>
  <c r="AE1505" i="2"/>
  <c r="AD1505" i="2"/>
  <c r="AN1504" i="2"/>
  <c r="AL1504" i="2"/>
  <c r="AK1504" i="2"/>
  <c r="AM1504" i="2" s="1"/>
  <c r="AJ1504" i="2"/>
  <c r="AI1504" i="2"/>
  <c r="AH1504" i="2"/>
  <c r="AG1504" i="2"/>
  <c r="AF1504" i="2"/>
  <c r="AE1504" i="2"/>
  <c r="AD1504" i="2"/>
  <c r="AL1503" i="2"/>
  <c r="AM1503" i="2" s="1"/>
  <c r="AK1503" i="2"/>
  <c r="AJ1503" i="2"/>
  <c r="AH1503" i="2"/>
  <c r="AI1503" i="2" s="1"/>
  <c r="AG1503" i="2"/>
  <c r="AF1503" i="2"/>
  <c r="AE1503" i="2"/>
  <c r="AD1503" i="2"/>
  <c r="AL1502" i="2"/>
  <c r="AK1502" i="2"/>
  <c r="AJ1502" i="2"/>
  <c r="AI1502" i="2"/>
  <c r="AH1502" i="2"/>
  <c r="AG1502" i="2"/>
  <c r="AF1502" i="2"/>
  <c r="AE1502" i="2"/>
  <c r="AD1502" i="2"/>
  <c r="AL1501" i="2"/>
  <c r="AK1501" i="2"/>
  <c r="AJ1501" i="2"/>
  <c r="AH1501" i="2"/>
  <c r="AI1501" i="2" s="1"/>
  <c r="AG1501" i="2"/>
  <c r="AF1501" i="2"/>
  <c r="AE1501" i="2"/>
  <c r="AD1501" i="2"/>
  <c r="AL1500" i="2"/>
  <c r="AK1500" i="2"/>
  <c r="AN1500" i="2" s="1"/>
  <c r="AJ1500" i="2"/>
  <c r="AI1500" i="2"/>
  <c r="AH1500" i="2"/>
  <c r="AG1500" i="2"/>
  <c r="AF1500" i="2"/>
  <c r="AE1500" i="2"/>
  <c r="AD1500" i="2"/>
  <c r="AL1499" i="2"/>
  <c r="AK1499" i="2"/>
  <c r="AJ1499" i="2"/>
  <c r="AH1499" i="2"/>
  <c r="AI1499" i="2" s="1"/>
  <c r="AG1499" i="2"/>
  <c r="AF1499" i="2"/>
  <c r="AE1499" i="2"/>
  <c r="AD1499" i="2"/>
  <c r="AN1498" i="2"/>
  <c r="AM1498" i="2"/>
  <c r="AL1498" i="2"/>
  <c r="AK1498" i="2"/>
  <c r="AJ1498" i="2"/>
  <c r="AH1498" i="2"/>
  <c r="AI1498" i="2" s="1"/>
  <c r="AG1498" i="2"/>
  <c r="AF1498" i="2"/>
  <c r="AE1498" i="2"/>
  <c r="AD1498" i="2"/>
  <c r="AL1497" i="2"/>
  <c r="AK1497" i="2"/>
  <c r="AJ1497" i="2"/>
  <c r="AH1497" i="2"/>
  <c r="AI1497" i="2" s="1"/>
  <c r="AG1497" i="2"/>
  <c r="AF1497" i="2"/>
  <c r="AE1497" i="2"/>
  <c r="AD1497" i="2"/>
  <c r="AL1496" i="2"/>
  <c r="AK1496" i="2"/>
  <c r="AJ1496" i="2"/>
  <c r="AH1496" i="2"/>
  <c r="AI1496" i="2" s="1"/>
  <c r="AG1496" i="2"/>
  <c r="AF1496" i="2"/>
  <c r="AE1496" i="2"/>
  <c r="AD1496" i="2"/>
  <c r="AL1495" i="2"/>
  <c r="AK1495" i="2"/>
  <c r="AN1495" i="2" s="1"/>
  <c r="AJ1495" i="2"/>
  <c r="AI1495" i="2"/>
  <c r="AH1495" i="2"/>
  <c r="AG1495" i="2"/>
  <c r="AF1495" i="2"/>
  <c r="AE1495" i="2"/>
  <c r="AD1495" i="2"/>
  <c r="AL1494" i="2"/>
  <c r="AK1494" i="2"/>
  <c r="AN1494" i="2" s="1"/>
  <c r="AJ1494" i="2"/>
  <c r="AH1494" i="2"/>
  <c r="AI1494" i="2" s="1"/>
  <c r="AG1494" i="2"/>
  <c r="AF1494" i="2"/>
  <c r="AE1494" i="2"/>
  <c r="AD1494" i="2"/>
  <c r="AL1493" i="2"/>
  <c r="AK1493" i="2"/>
  <c r="AJ1493" i="2"/>
  <c r="AI1493" i="2"/>
  <c r="AH1493" i="2"/>
  <c r="AG1493" i="2"/>
  <c r="AF1493" i="2"/>
  <c r="AE1493" i="2"/>
  <c r="AD1493" i="2"/>
  <c r="AL1492" i="2"/>
  <c r="AK1492" i="2"/>
  <c r="AJ1492" i="2"/>
  <c r="AI1492" i="2"/>
  <c r="AH1492" i="2"/>
  <c r="AG1492" i="2"/>
  <c r="AF1492" i="2"/>
  <c r="AE1492" i="2"/>
  <c r="AD1492" i="2"/>
  <c r="AL1491" i="2"/>
  <c r="AM1491" i="2" s="1"/>
  <c r="AK1491" i="2"/>
  <c r="AJ1491" i="2"/>
  <c r="AH1491" i="2"/>
  <c r="AI1491" i="2" s="1"/>
  <c r="AG1491" i="2"/>
  <c r="AF1491" i="2"/>
  <c r="AE1491" i="2"/>
  <c r="AD1491" i="2"/>
  <c r="AM1490" i="2"/>
  <c r="AL1490" i="2"/>
  <c r="AK1490" i="2"/>
  <c r="AJ1490" i="2"/>
  <c r="AH1490" i="2"/>
  <c r="AI1490" i="2" s="1"/>
  <c r="AG1490" i="2"/>
  <c r="AF1490" i="2"/>
  <c r="AE1490" i="2"/>
  <c r="AD1490" i="2"/>
  <c r="AL1489" i="2"/>
  <c r="AK1489" i="2"/>
  <c r="AJ1489" i="2"/>
  <c r="AH1489" i="2"/>
  <c r="AI1489" i="2" s="1"/>
  <c r="AG1489" i="2"/>
  <c r="AF1489" i="2"/>
  <c r="AE1489" i="2"/>
  <c r="AD1489" i="2"/>
  <c r="AL1488" i="2"/>
  <c r="AK1488" i="2"/>
  <c r="AJ1488" i="2"/>
  <c r="AH1488" i="2"/>
  <c r="AI1488" i="2" s="1"/>
  <c r="AG1488" i="2"/>
  <c r="AF1488" i="2"/>
  <c r="AE1488" i="2"/>
  <c r="AD1488" i="2"/>
  <c r="AL1487" i="2"/>
  <c r="AK1487" i="2"/>
  <c r="AJ1487" i="2"/>
  <c r="AH1487" i="2"/>
  <c r="AI1487" i="2" s="1"/>
  <c r="AG1487" i="2"/>
  <c r="AF1487" i="2"/>
  <c r="AE1487" i="2"/>
  <c r="AD1487" i="2"/>
  <c r="AL1486" i="2"/>
  <c r="AK1486" i="2"/>
  <c r="AJ1486" i="2"/>
  <c r="AH1486" i="2"/>
  <c r="AI1486" i="2" s="1"/>
  <c r="AG1486" i="2"/>
  <c r="AF1486" i="2"/>
  <c r="AE1486" i="2"/>
  <c r="AD1486" i="2"/>
  <c r="AN1485" i="2"/>
  <c r="AL1485" i="2"/>
  <c r="AK1485" i="2"/>
  <c r="AM1485" i="2" s="1"/>
  <c r="AJ1485" i="2"/>
  <c r="AH1485" i="2"/>
  <c r="AI1485" i="2" s="1"/>
  <c r="AG1485" i="2"/>
  <c r="AF1485" i="2"/>
  <c r="AE1485" i="2"/>
  <c r="AD1485" i="2"/>
  <c r="AL1484" i="2"/>
  <c r="AK1484" i="2"/>
  <c r="AN1484" i="2" s="1"/>
  <c r="AJ1484" i="2"/>
  <c r="AH1484" i="2"/>
  <c r="AI1484" i="2" s="1"/>
  <c r="AG1484" i="2"/>
  <c r="AF1484" i="2"/>
  <c r="AE1484" i="2"/>
  <c r="AD1484" i="2"/>
  <c r="AL1483" i="2"/>
  <c r="AK1483" i="2"/>
  <c r="AJ1483" i="2"/>
  <c r="AH1483" i="2"/>
  <c r="AI1483" i="2" s="1"/>
  <c r="AG1483" i="2"/>
  <c r="AF1483" i="2"/>
  <c r="AE1483" i="2"/>
  <c r="AD1483" i="2"/>
  <c r="AN1482" i="2"/>
  <c r="AL1482" i="2"/>
  <c r="AK1482" i="2"/>
  <c r="AM1482" i="2" s="1"/>
  <c r="AJ1482" i="2"/>
  <c r="AH1482" i="2"/>
  <c r="AI1482" i="2" s="1"/>
  <c r="AG1482" i="2"/>
  <c r="AF1482" i="2"/>
  <c r="AE1482" i="2"/>
  <c r="AD1482" i="2"/>
  <c r="AM1481" i="2"/>
  <c r="AL1481" i="2"/>
  <c r="AK1481" i="2"/>
  <c r="AJ1481" i="2"/>
  <c r="AH1481" i="2"/>
  <c r="AI1481" i="2" s="1"/>
  <c r="AG1481" i="2"/>
  <c r="AF1481" i="2"/>
  <c r="AE1481" i="2"/>
  <c r="AD1481" i="2"/>
  <c r="AL1480" i="2"/>
  <c r="AK1480" i="2"/>
  <c r="AJ1480" i="2"/>
  <c r="AI1480" i="2"/>
  <c r="AH1480" i="2"/>
  <c r="AG1480" i="2"/>
  <c r="AF1480" i="2"/>
  <c r="AE1480" i="2"/>
  <c r="AD1480" i="2"/>
  <c r="AL1479" i="2"/>
  <c r="AK1479" i="2"/>
  <c r="AJ1479" i="2"/>
  <c r="AH1479" i="2"/>
  <c r="AI1479" i="2" s="1"/>
  <c r="AG1479" i="2"/>
  <c r="AF1479" i="2"/>
  <c r="AE1479" i="2"/>
  <c r="AD1479" i="2"/>
  <c r="AN1478" i="2"/>
  <c r="AM1478" i="2"/>
  <c r="AL1478" i="2"/>
  <c r="AK1478" i="2"/>
  <c r="AJ1478" i="2"/>
  <c r="AH1478" i="2"/>
  <c r="AI1478" i="2" s="1"/>
  <c r="AG1478" i="2"/>
  <c r="AF1478" i="2"/>
  <c r="AE1478" i="2"/>
  <c r="AD1478" i="2"/>
  <c r="AL1477" i="2"/>
  <c r="AK1477" i="2"/>
  <c r="AJ1477" i="2"/>
  <c r="AI1477" i="2"/>
  <c r="AH1477" i="2"/>
  <c r="AG1477" i="2"/>
  <c r="AF1477" i="2"/>
  <c r="AE1477" i="2"/>
  <c r="AD1477" i="2"/>
  <c r="AL1476" i="2"/>
  <c r="AK1476" i="2"/>
  <c r="AM1476" i="2" s="1"/>
  <c r="AJ1476" i="2"/>
  <c r="AI1476" i="2"/>
  <c r="AH1476" i="2"/>
  <c r="AG1476" i="2"/>
  <c r="AF1476" i="2"/>
  <c r="AE1476" i="2"/>
  <c r="AD1476" i="2"/>
  <c r="AL1475" i="2"/>
  <c r="AK1475" i="2"/>
  <c r="AJ1475" i="2"/>
  <c r="AH1475" i="2"/>
  <c r="AI1475" i="2" s="1"/>
  <c r="AG1475" i="2"/>
  <c r="AF1475" i="2"/>
  <c r="AE1475" i="2"/>
  <c r="AD1475" i="2"/>
  <c r="AL1474" i="2"/>
  <c r="AK1474" i="2"/>
  <c r="AJ1474" i="2"/>
  <c r="AH1474" i="2"/>
  <c r="AI1474" i="2" s="1"/>
  <c r="AG1474" i="2"/>
  <c r="AF1474" i="2"/>
  <c r="AE1474" i="2"/>
  <c r="AD1474" i="2"/>
  <c r="AL1473" i="2"/>
  <c r="AK1473" i="2"/>
  <c r="AJ1473" i="2"/>
  <c r="AH1473" i="2"/>
  <c r="AI1473" i="2" s="1"/>
  <c r="AG1473" i="2"/>
  <c r="AF1473" i="2"/>
  <c r="AE1473" i="2"/>
  <c r="AD1473" i="2"/>
  <c r="AL1472" i="2"/>
  <c r="AK1472" i="2"/>
  <c r="AN1472" i="2" s="1"/>
  <c r="AJ1472" i="2"/>
  <c r="AI1472" i="2"/>
  <c r="AH1472" i="2"/>
  <c r="AG1472" i="2"/>
  <c r="AF1472" i="2"/>
  <c r="AE1472" i="2"/>
  <c r="AD1472" i="2"/>
  <c r="AM1471" i="2"/>
  <c r="AL1471" i="2"/>
  <c r="AK1471" i="2"/>
  <c r="AJ1471" i="2"/>
  <c r="AH1471" i="2"/>
  <c r="AI1471" i="2" s="1"/>
  <c r="AG1471" i="2"/>
  <c r="AF1471" i="2"/>
  <c r="AE1471" i="2"/>
  <c r="AD1471" i="2"/>
  <c r="AL1470" i="2"/>
  <c r="AK1470" i="2"/>
  <c r="AJ1470" i="2"/>
  <c r="AH1470" i="2"/>
  <c r="AI1470" i="2" s="1"/>
  <c r="AG1470" i="2"/>
  <c r="AF1470" i="2"/>
  <c r="AE1470" i="2"/>
  <c r="AD1470" i="2"/>
  <c r="AL1469" i="2"/>
  <c r="AK1469" i="2"/>
  <c r="AN1469" i="2" s="1"/>
  <c r="AJ1469" i="2"/>
  <c r="AI1469" i="2"/>
  <c r="AH1469" i="2"/>
  <c r="AG1469" i="2"/>
  <c r="AF1469" i="2"/>
  <c r="AE1469" i="2"/>
  <c r="AD1469" i="2"/>
  <c r="AL1468" i="2"/>
  <c r="AK1468" i="2"/>
  <c r="AN1468" i="2" s="1"/>
  <c r="AJ1468" i="2"/>
  <c r="AI1468" i="2"/>
  <c r="AH1468" i="2"/>
  <c r="AG1468" i="2"/>
  <c r="AF1468" i="2"/>
  <c r="AE1468" i="2"/>
  <c r="AD1468" i="2"/>
  <c r="AL1467" i="2"/>
  <c r="AK1467" i="2"/>
  <c r="AJ1467" i="2"/>
  <c r="AH1467" i="2"/>
  <c r="AI1467" i="2" s="1"/>
  <c r="AG1467" i="2"/>
  <c r="AF1467" i="2"/>
  <c r="AE1467" i="2"/>
  <c r="AD1467" i="2"/>
  <c r="AN1466" i="2"/>
  <c r="AM1466" i="2"/>
  <c r="AL1466" i="2"/>
  <c r="AK1466" i="2"/>
  <c r="AJ1466" i="2"/>
  <c r="AH1466" i="2"/>
  <c r="AI1466" i="2" s="1"/>
  <c r="AG1466" i="2"/>
  <c r="AF1466" i="2"/>
  <c r="AE1466" i="2"/>
  <c r="AD1466" i="2"/>
  <c r="AL1465" i="2"/>
  <c r="AK1465" i="2"/>
  <c r="AJ1465" i="2"/>
  <c r="AH1465" i="2"/>
  <c r="AI1465" i="2" s="1"/>
  <c r="AG1465" i="2"/>
  <c r="AF1465" i="2"/>
  <c r="AE1465" i="2"/>
  <c r="AD1465" i="2"/>
  <c r="AL1464" i="2"/>
  <c r="AK1464" i="2"/>
  <c r="AJ1464" i="2"/>
  <c r="AH1464" i="2"/>
  <c r="AI1464" i="2" s="1"/>
  <c r="AG1464" i="2"/>
  <c r="AF1464" i="2"/>
  <c r="AE1464" i="2"/>
  <c r="AD1464" i="2"/>
  <c r="AM1463" i="2"/>
  <c r="AL1463" i="2"/>
  <c r="AK1463" i="2"/>
  <c r="AN1463" i="2" s="1"/>
  <c r="AJ1463" i="2"/>
  <c r="AH1463" i="2"/>
  <c r="AI1463" i="2" s="1"/>
  <c r="AG1463" i="2"/>
  <c r="AF1463" i="2"/>
  <c r="AE1463" i="2"/>
  <c r="AD1463" i="2"/>
  <c r="AL1462" i="2"/>
  <c r="AK1462" i="2"/>
  <c r="AJ1462" i="2"/>
  <c r="AH1462" i="2"/>
  <c r="AI1462" i="2" s="1"/>
  <c r="AG1462" i="2"/>
  <c r="AF1462" i="2"/>
  <c r="AE1462" i="2"/>
  <c r="AD1462" i="2"/>
  <c r="AL1461" i="2"/>
  <c r="AK1461" i="2"/>
  <c r="AJ1461" i="2"/>
  <c r="AH1461" i="2"/>
  <c r="AI1461" i="2" s="1"/>
  <c r="AG1461" i="2"/>
  <c r="AF1461" i="2"/>
  <c r="AE1461" i="2"/>
  <c r="AD1461" i="2"/>
  <c r="AL1460" i="2"/>
  <c r="AK1460" i="2"/>
  <c r="AJ1460" i="2"/>
  <c r="AI1460" i="2"/>
  <c r="AH1460" i="2"/>
  <c r="AG1460" i="2"/>
  <c r="AF1460" i="2"/>
  <c r="AE1460" i="2"/>
  <c r="AD1460" i="2"/>
  <c r="AL1459" i="2"/>
  <c r="AK1459" i="2"/>
  <c r="AN1459" i="2" s="1"/>
  <c r="AJ1459" i="2"/>
  <c r="AH1459" i="2"/>
  <c r="AI1459" i="2" s="1"/>
  <c r="AG1459" i="2"/>
  <c r="AF1459" i="2"/>
  <c r="AE1459" i="2"/>
  <c r="AD1459" i="2"/>
  <c r="AL1458" i="2"/>
  <c r="AM1458" i="2" s="1"/>
  <c r="AK1458" i="2"/>
  <c r="AJ1458" i="2"/>
  <c r="AI1458" i="2"/>
  <c r="AH1458" i="2"/>
  <c r="AG1458" i="2"/>
  <c r="AF1458" i="2"/>
  <c r="AE1458" i="2"/>
  <c r="AD1458" i="2"/>
  <c r="AL1457" i="2"/>
  <c r="AK1457" i="2"/>
  <c r="AJ1457" i="2"/>
  <c r="AH1457" i="2"/>
  <c r="AI1457" i="2" s="1"/>
  <c r="AG1457" i="2"/>
  <c r="AF1457" i="2"/>
  <c r="AE1457" i="2"/>
  <c r="AD1457" i="2"/>
  <c r="AL1456" i="2"/>
  <c r="AK1456" i="2"/>
  <c r="AJ1456" i="2"/>
  <c r="AI1456" i="2"/>
  <c r="AH1456" i="2"/>
  <c r="AG1456" i="2"/>
  <c r="AF1456" i="2"/>
  <c r="AE1456" i="2"/>
  <c r="AD1456" i="2"/>
  <c r="AL1455" i="2"/>
  <c r="AK1455" i="2"/>
  <c r="AJ1455" i="2"/>
  <c r="AH1455" i="2"/>
  <c r="AI1455" i="2" s="1"/>
  <c r="AG1455" i="2"/>
  <c r="AF1455" i="2"/>
  <c r="AE1455" i="2"/>
  <c r="AD1455" i="2"/>
  <c r="AL1454" i="2"/>
  <c r="AK1454" i="2"/>
  <c r="AJ1454" i="2"/>
  <c r="AH1454" i="2"/>
  <c r="AI1454" i="2" s="1"/>
  <c r="AG1454" i="2"/>
  <c r="AF1454" i="2"/>
  <c r="AE1454" i="2"/>
  <c r="AD1454" i="2"/>
  <c r="AL1453" i="2"/>
  <c r="AK1453" i="2"/>
  <c r="AJ1453" i="2"/>
  <c r="AI1453" i="2"/>
  <c r="AH1453" i="2"/>
  <c r="AG1453" i="2"/>
  <c r="AF1453" i="2"/>
  <c r="AE1453" i="2"/>
  <c r="AD1453" i="2"/>
  <c r="AL1452" i="2"/>
  <c r="AK1452" i="2"/>
  <c r="AJ1452" i="2"/>
  <c r="AI1452" i="2"/>
  <c r="AH1452" i="2"/>
  <c r="AG1452" i="2"/>
  <c r="AF1452" i="2"/>
  <c r="AE1452" i="2"/>
  <c r="AD1452" i="2"/>
  <c r="AL1451" i="2"/>
  <c r="AK1451" i="2"/>
  <c r="AJ1451" i="2"/>
  <c r="AH1451" i="2"/>
  <c r="AI1451" i="2" s="1"/>
  <c r="AG1451" i="2"/>
  <c r="AF1451" i="2"/>
  <c r="AE1451" i="2"/>
  <c r="AD1451" i="2"/>
  <c r="AN1450" i="2"/>
  <c r="AM1450" i="2"/>
  <c r="AL1450" i="2"/>
  <c r="AK1450" i="2"/>
  <c r="AJ1450" i="2"/>
  <c r="AH1450" i="2"/>
  <c r="AI1450" i="2" s="1"/>
  <c r="AG1450" i="2"/>
  <c r="AF1450" i="2"/>
  <c r="AE1450" i="2"/>
  <c r="AD1450" i="2"/>
  <c r="AL1449" i="2"/>
  <c r="AK1449" i="2"/>
  <c r="AJ1449" i="2"/>
  <c r="AH1449" i="2"/>
  <c r="AI1449" i="2" s="1"/>
  <c r="AG1449" i="2"/>
  <c r="AF1449" i="2"/>
  <c r="AE1449" i="2"/>
  <c r="AD1449" i="2"/>
  <c r="AL1448" i="2"/>
  <c r="AK1448" i="2"/>
  <c r="AJ1448" i="2"/>
  <c r="AI1448" i="2"/>
  <c r="AH1448" i="2"/>
  <c r="AG1448" i="2"/>
  <c r="AF1448" i="2"/>
  <c r="AE1448" i="2"/>
  <c r="AD1448" i="2"/>
  <c r="AL1447" i="2"/>
  <c r="AK1447" i="2"/>
  <c r="AN1447" i="2" s="1"/>
  <c r="AJ1447" i="2"/>
  <c r="AH1447" i="2"/>
  <c r="AI1447" i="2" s="1"/>
  <c r="AG1447" i="2"/>
  <c r="AF1447" i="2"/>
  <c r="AE1447" i="2"/>
  <c r="AD1447" i="2"/>
  <c r="AM1446" i="2"/>
  <c r="AL1446" i="2"/>
  <c r="AN1446" i="2" s="1"/>
  <c r="AK1446" i="2"/>
  <c r="AJ1446" i="2"/>
  <c r="AH1446" i="2"/>
  <c r="AI1446" i="2" s="1"/>
  <c r="AG1446" i="2"/>
  <c r="AF1446" i="2"/>
  <c r="AE1446" i="2"/>
  <c r="AD1446" i="2"/>
  <c r="AL1445" i="2"/>
  <c r="AK1445" i="2"/>
  <c r="AJ1445" i="2"/>
  <c r="AH1445" i="2"/>
  <c r="AI1445" i="2" s="1"/>
  <c r="AG1445" i="2"/>
  <c r="AF1445" i="2"/>
  <c r="AE1445" i="2"/>
  <c r="AD1445" i="2"/>
  <c r="AN1444" i="2"/>
  <c r="AL1444" i="2"/>
  <c r="AK1444" i="2"/>
  <c r="AJ1444" i="2"/>
  <c r="AI1444" i="2"/>
  <c r="AH1444" i="2"/>
  <c r="AG1444" i="2"/>
  <c r="AF1444" i="2"/>
  <c r="AE1444" i="2"/>
  <c r="AD1444" i="2"/>
  <c r="AL1443" i="2"/>
  <c r="AK1443" i="2"/>
  <c r="AJ1443" i="2"/>
  <c r="AH1443" i="2"/>
  <c r="AI1443" i="2" s="1"/>
  <c r="AG1443" i="2"/>
  <c r="AF1443" i="2"/>
  <c r="AE1443" i="2"/>
  <c r="AD1443" i="2"/>
  <c r="AL1442" i="2"/>
  <c r="AK1442" i="2"/>
  <c r="AJ1442" i="2"/>
  <c r="AI1442" i="2"/>
  <c r="AH1442" i="2"/>
  <c r="AG1442" i="2"/>
  <c r="AF1442" i="2"/>
  <c r="AE1442" i="2"/>
  <c r="AD1442" i="2"/>
  <c r="AL1441" i="2"/>
  <c r="AK1441" i="2"/>
  <c r="AJ1441" i="2"/>
  <c r="AH1441" i="2"/>
  <c r="AI1441" i="2" s="1"/>
  <c r="AG1441" i="2"/>
  <c r="AF1441" i="2"/>
  <c r="AE1441" i="2"/>
  <c r="AD1441" i="2"/>
  <c r="AL1440" i="2"/>
  <c r="AK1440" i="2"/>
  <c r="AN1440" i="2" s="1"/>
  <c r="AJ1440" i="2"/>
  <c r="AH1440" i="2"/>
  <c r="AI1440" i="2" s="1"/>
  <c r="AG1440" i="2"/>
  <c r="AF1440" i="2"/>
  <c r="AE1440" i="2"/>
  <c r="AD1440" i="2"/>
  <c r="AL1439" i="2"/>
  <c r="AK1439" i="2"/>
  <c r="AM1439" i="2" s="1"/>
  <c r="AJ1439" i="2"/>
  <c r="AH1439" i="2"/>
  <c r="AI1439" i="2" s="1"/>
  <c r="AG1439" i="2"/>
  <c r="AF1439" i="2"/>
  <c r="AE1439" i="2"/>
  <c r="AD1439" i="2"/>
  <c r="AL1438" i="2"/>
  <c r="AK1438" i="2"/>
  <c r="AJ1438" i="2"/>
  <c r="AH1438" i="2"/>
  <c r="AI1438" i="2" s="1"/>
  <c r="AG1438" i="2"/>
  <c r="AF1438" i="2"/>
  <c r="AE1438" i="2"/>
  <c r="AD1438" i="2"/>
  <c r="AL1437" i="2"/>
  <c r="AK1437" i="2"/>
  <c r="AJ1437" i="2"/>
  <c r="AH1437" i="2"/>
  <c r="AI1437" i="2" s="1"/>
  <c r="AG1437" i="2"/>
  <c r="AF1437" i="2"/>
  <c r="AE1437" i="2"/>
  <c r="AD1437" i="2"/>
  <c r="AN1436" i="2"/>
  <c r="AL1436" i="2"/>
  <c r="AK1436" i="2"/>
  <c r="AM1436" i="2" s="1"/>
  <c r="AJ1436" i="2"/>
  <c r="AH1436" i="2"/>
  <c r="AI1436" i="2" s="1"/>
  <c r="AG1436" i="2"/>
  <c r="AF1436" i="2"/>
  <c r="AE1436" i="2"/>
  <c r="AD1436" i="2"/>
  <c r="AL1435" i="2"/>
  <c r="AK1435" i="2"/>
  <c r="AJ1435" i="2"/>
  <c r="AH1435" i="2"/>
  <c r="AI1435" i="2" s="1"/>
  <c r="AG1435" i="2"/>
  <c r="AF1435" i="2"/>
  <c r="AE1435" i="2"/>
  <c r="AD1435" i="2"/>
  <c r="AL1434" i="2"/>
  <c r="AK1434" i="2"/>
  <c r="AN1434" i="2" s="1"/>
  <c r="AJ1434" i="2"/>
  <c r="AH1434" i="2"/>
  <c r="AI1434" i="2" s="1"/>
  <c r="AG1434" i="2"/>
  <c r="AF1434" i="2"/>
  <c r="AE1434" i="2"/>
  <c r="AD1434" i="2"/>
  <c r="AL1433" i="2"/>
  <c r="AK1433" i="2"/>
  <c r="AJ1433" i="2"/>
  <c r="AI1433" i="2"/>
  <c r="AH1433" i="2"/>
  <c r="AG1433" i="2"/>
  <c r="AF1433" i="2"/>
  <c r="AE1433" i="2"/>
  <c r="AD1433" i="2"/>
  <c r="AL1432" i="2"/>
  <c r="AK1432" i="2"/>
  <c r="AJ1432" i="2"/>
  <c r="AH1432" i="2"/>
  <c r="AI1432" i="2" s="1"/>
  <c r="AG1432" i="2"/>
  <c r="AF1432" i="2"/>
  <c r="AE1432" i="2"/>
  <c r="AD1432" i="2"/>
  <c r="AL1431" i="2"/>
  <c r="AK1431" i="2"/>
  <c r="AN1431" i="2" s="1"/>
  <c r="AJ1431" i="2"/>
  <c r="AH1431" i="2"/>
  <c r="AI1431" i="2" s="1"/>
  <c r="AG1431" i="2"/>
  <c r="AF1431" i="2"/>
  <c r="AE1431" i="2"/>
  <c r="AD1431" i="2"/>
  <c r="AL1430" i="2"/>
  <c r="AK1430" i="2"/>
  <c r="AJ1430" i="2"/>
  <c r="AI1430" i="2"/>
  <c r="AH1430" i="2"/>
  <c r="AG1430" i="2"/>
  <c r="AF1430" i="2"/>
  <c r="AE1430" i="2"/>
  <c r="AD1430" i="2"/>
  <c r="AL1429" i="2"/>
  <c r="AK1429" i="2"/>
  <c r="AJ1429" i="2"/>
  <c r="AH1429" i="2"/>
  <c r="AI1429" i="2" s="1"/>
  <c r="AG1429" i="2"/>
  <c r="AF1429" i="2"/>
  <c r="AE1429" i="2"/>
  <c r="AD1429" i="2"/>
  <c r="AN1428" i="2"/>
  <c r="AM1428" i="2"/>
  <c r="AL1428" i="2"/>
  <c r="AK1428" i="2"/>
  <c r="AJ1428" i="2"/>
  <c r="AH1428" i="2"/>
  <c r="AI1428" i="2" s="1"/>
  <c r="AG1428" i="2"/>
  <c r="AF1428" i="2"/>
  <c r="AE1428" i="2"/>
  <c r="AD1428" i="2"/>
  <c r="AL1427" i="2"/>
  <c r="AK1427" i="2"/>
  <c r="AJ1427" i="2"/>
  <c r="AH1427" i="2"/>
  <c r="AI1427" i="2" s="1"/>
  <c r="AG1427" i="2"/>
  <c r="AF1427" i="2"/>
  <c r="AE1427" i="2"/>
  <c r="AD1427" i="2"/>
  <c r="AL1426" i="2"/>
  <c r="AK1426" i="2"/>
  <c r="AM1426" i="2" s="1"/>
  <c r="AJ1426" i="2"/>
  <c r="AH1426" i="2"/>
  <c r="AI1426" i="2" s="1"/>
  <c r="AG1426" i="2"/>
  <c r="AF1426" i="2"/>
  <c r="AE1426" i="2"/>
  <c r="AD1426" i="2"/>
  <c r="AL1425" i="2"/>
  <c r="AK1425" i="2"/>
  <c r="AJ1425" i="2"/>
  <c r="AI1425" i="2"/>
  <c r="AH1425" i="2"/>
  <c r="AG1425" i="2"/>
  <c r="AF1425" i="2"/>
  <c r="AE1425" i="2"/>
  <c r="AD1425" i="2"/>
  <c r="AL1424" i="2"/>
  <c r="AK1424" i="2"/>
  <c r="AN1424" i="2" s="1"/>
  <c r="AJ1424" i="2"/>
  <c r="AH1424" i="2"/>
  <c r="AI1424" i="2" s="1"/>
  <c r="AG1424" i="2"/>
  <c r="AF1424" i="2"/>
  <c r="AE1424" i="2"/>
  <c r="AD1424" i="2"/>
  <c r="AL1423" i="2"/>
  <c r="AN1423" i="2" s="1"/>
  <c r="AK1423" i="2"/>
  <c r="AJ1423" i="2"/>
  <c r="AH1423" i="2"/>
  <c r="AI1423" i="2" s="1"/>
  <c r="AG1423" i="2"/>
  <c r="AF1423" i="2"/>
  <c r="AE1423" i="2"/>
  <c r="AD1423" i="2"/>
  <c r="AL1422" i="2"/>
  <c r="AK1422" i="2"/>
  <c r="AJ1422" i="2"/>
  <c r="AI1422" i="2"/>
  <c r="AH1422" i="2"/>
  <c r="AG1422" i="2"/>
  <c r="AF1422" i="2"/>
  <c r="AE1422" i="2"/>
  <c r="AD1422" i="2"/>
  <c r="AL1421" i="2"/>
  <c r="AK1421" i="2"/>
  <c r="AJ1421" i="2"/>
  <c r="AH1421" i="2"/>
  <c r="AI1421" i="2" s="1"/>
  <c r="AG1421" i="2"/>
  <c r="AF1421" i="2"/>
  <c r="AE1421" i="2"/>
  <c r="AD1421" i="2"/>
  <c r="AN1420" i="2"/>
  <c r="AM1420" i="2"/>
  <c r="AL1420" i="2"/>
  <c r="AK1420" i="2"/>
  <c r="AJ1420" i="2"/>
  <c r="AH1420" i="2"/>
  <c r="AI1420" i="2" s="1"/>
  <c r="AG1420" i="2"/>
  <c r="AF1420" i="2"/>
  <c r="AE1420" i="2"/>
  <c r="AD1420" i="2"/>
  <c r="AL1419" i="2"/>
  <c r="AK1419" i="2"/>
  <c r="AJ1419" i="2"/>
  <c r="AH1419" i="2"/>
  <c r="AI1419" i="2" s="1"/>
  <c r="AG1419" i="2"/>
  <c r="AF1419" i="2"/>
  <c r="AE1419" i="2"/>
  <c r="AD1419" i="2"/>
  <c r="AL1418" i="2"/>
  <c r="AK1418" i="2"/>
  <c r="AJ1418" i="2"/>
  <c r="AI1418" i="2"/>
  <c r="AH1418" i="2"/>
  <c r="AG1418" i="2"/>
  <c r="AF1418" i="2"/>
  <c r="AE1418" i="2"/>
  <c r="AD1418" i="2"/>
  <c r="AL1417" i="2"/>
  <c r="AK1417" i="2"/>
  <c r="AJ1417" i="2"/>
  <c r="AH1417" i="2"/>
  <c r="AI1417" i="2" s="1"/>
  <c r="AG1417" i="2"/>
  <c r="AF1417" i="2"/>
  <c r="AE1417" i="2"/>
  <c r="AD1417" i="2"/>
  <c r="AL1416" i="2"/>
  <c r="AK1416" i="2"/>
  <c r="AJ1416" i="2"/>
  <c r="AH1416" i="2"/>
  <c r="AI1416" i="2" s="1"/>
  <c r="AG1416" i="2"/>
  <c r="AF1416" i="2"/>
  <c r="AE1416" i="2"/>
  <c r="AD1416" i="2"/>
  <c r="AL1415" i="2"/>
  <c r="AN1415" i="2" s="1"/>
  <c r="AK1415" i="2"/>
  <c r="AJ1415" i="2"/>
  <c r="AH1415" i="2"/>
  <c r="AI1415" i="2" s="1"/>
  <c r="AG1415" i="2"/>
  <c r="AF1415" i="2"/>
  <c r="AE1415" i="2"/>
  <c r="AD1415" i="2"/>
  <c r="AM1414" i="2"/>
  <c r="AL1414" i="2"/>
  <c r="AK1414" i="2"/>
  <c r="AJ1414" i="2"/>
  <c r="AI1414" i="2"/>
  <c r="AH1414" i="2"/>
  <c r="AG1414" i="2"/>
  <c r="AF1414" i="2"/>
  <c r="AE1414" i="2"/>
  <c r="AD1414" i="2"/>
  <c r="AL1413" i="2"/>
  <c r="AK1413" i="2"/>
  <c r="AN1413" i="2" s="1"/>
  <c r="AJ1413" i="2"/>
  <c r="AH1413" i="2"/>
  <c r="AI1413" i="2" s="1"/>
  <c r="AG1413" i="2"/>
  <c r="AF1413" i="2"/>
  <c r="AE1413" i="2"/>
  <c r="AD1413" i="2"/>
  <c r="AL1412" i="2"/>
  <c r="AK1412" i="2"/>
  <c r="AM1412" i="2" s="1"/>
  <c r="AJ1412" i="2"/>
  <c r="AH1412" i="2"/>
  <c r="AI1412" i="2" s="1"/>
  <c r="AG1412" i="2"/>
  <c r="AF1412" i="2"/>
  <c r="AE1412" i="2"/>
  <c r="AD1412" i="2"/>
  <c r="AL1411" i="2"/>
  <c r="AK1411" i="2"/>
  <c r="AN1411" i="2" s="1"/>
  <c r="AJ1411" i="2"/>
  <c r="AH1411" i="2"/>
  <c r="AI1411" i="2" s="1"/>
  <c r="AG1411" i="2"/>
  <c r="AF1411" i="2"/>
  <c r="AE1411" i="2"/>
  <c r="AD1411" i="2"/>
  <c r="AL1410" i="2"/>
  <c r="AK1410" i="2"/>
  <c r="AJ1410" i="2"/>
  <c r="AH1410" i="2"/>
  <c r="AI1410" i="2" s="1"/>
  <c r="AG1410" i="2"/>
  <c r="AF1410" i="2"/>
  <c r="AE1410" i="2"/>
  <c r="AD1410" i="2"/>
  <c r="AM1409" i="2"/>
  <c r="AL1409" i="2"/>
  <c r="AK1409" i="2"/>
  <c r="AJ1409" i="2"/>
  <c r="AH1409" i="2"/>
  <c r="AI1409" i="2" s="1"/>
  <c r="AG1409" i="2"/>
  <c r="AF1409" i="2"/>
  <c r="AE1409" i="2"/>
  <c r="AD1409" i="2"/>
  <c r="AL1408" i="2"/>
  <c r="AK1408" i="2"/>
  <c r="AN1408" i="2" s="1"/>
  <c r="AJ1408" i="2"/>
  <c r="AH1408" i="2"/>
  <c r="AI1408" i="2" s="1"/>
  <c r="AG1408" i="2"/>
  <c r="AF1408" i="2"/>
  <c r="AE1408" i="2"/>
  <c r="AD1408" i="2"/>
  <c r="AL1407" i="2"/>
  <c r="AK1407" i="2"/>
  <c r="AJ1407" i="2"/>
  <c r="AH1407" i="2"/>
  <c r="AI1407" i="2" s="1"/>
  <c r="AG1407" i="2"/>
  <c r="AF1407" i="2"/>
  <c r="AE1407" i="2"/>
  <c r="AD1407" i="2"/>
  <c r="AL1406" i="2"/>
  <c r="AK1406" i="2"/>
  <c r="AJ1406" i="2"/>
  <c r="AH1406" i="2"/>
  <c r="AI1406" i="2" s="1"/>
  <c r="AG1406" i="2"/>
  <c r="AF1406" i="2"/>
  <c r="AE1406" i="2"/>
  <c r="AD1406" i="2"/>
  <c r="AM1405" i="2"/>
  <c r="AL1405" i="2"/>
  <c r="AK1405" i="2"/>
  <c r="AJ1405" i="2"/>
  <c r="AH1405" i="2"/>
  <c r="AI1405" i="2" s="1"/>
  <c r="AG1405" i="2"/>
  <c r="AF1405" i="2"/>
  <c r="AE1405" i="2"/>
  <c r="AD1405" i="2"/>
  <c r="AL1404" i="2"/>
  <c r="AK1404" i="2"/>
  <c r="AJ1404" i="2"/>
  <c r="AI1404" i="2"/>
  <c r="AH1404" i="2"/>
  <c r="AG1404" i="2"/>
  <c r="AF1404" i="2"/>
  <c r="AE1404" i="2"/>
  <c r="AD1404" i="2"/>
  <c r="AL1403" i="2"/>
  <c r="AK1403" i="2"/>
  <c r="AJ1403" i="2"/>
  <c r="AH1403" i="2"/>
  <c r="AI1403" i="2" s="1"/>
  <c r="AG1403" i="2"/>
  <c r="AF1403" i="2"/>
  <c r="AE1403" i="2"/>
  <c r="AD1403" i="2"/>
  <c r="AL1402" i="2"/>
  <c r="AK1402" i="2"/>
  <c r="AJ1402" i="2"/>
  <c r="AI1402" i="2"/>
  <c r="AH1402" i="2"/>
  <c r="AG1402" i="2"/>
  <c r="AF1402" i="2"/>
  <c r="AE1402" i="2"/>
  <c r="AD1402" i="2"/>
  <c r="AL1401" i="2"/>
  <c r="AK1401" i="2"/>
  <c r="AJ1401" i="2"/>
  <c r="AH1401" i="2"/>
  <c r="AI1401" i="2" s="1"/>
  <c r="AG1401" i="2"/>
  <c r="AF1401" i="2"/>
  <c r="AE1401" i="2"/>
  <c r="AD1401" i="2"/>
  <c r="AL1400" i="2"/>
  <c r="AK1400" i="2"/>
  <c r="AJ1400" i="2"/>
  <c r="AI1400" i="2"/>
  <c r="AH1400" i="2"/>
  <c r="AG1400" i="2"/>
  <c r="AF1400" i="2"/>
  <c r="AE1400" i="2"/>
  <c r="AD1400" i="2"/>
  <c r="AL1399" i="2"/>
  <c r="AN1399" i="2" s="1"/>
  <c r="AK1399" i="2"/>
  <c r="AJ1399" i="2"/>
  <c r="AH1399" i="2"/>
  <c r="AI1399" i="2" s="1"/>
  <c r="AG1399" i="2"/>
  <c r="AF1399" i="2"/>
  <c r="AE1399" i="2"/>
  <c r="AD1399" i="2"/>
  <c r="AL1398" i="2"/>
  <c r="AK1398" i="2"/>
  <c r="AJ1398" i="2"/>
  <c r="AH1398" i="2"/>
  <c r="AI1398" i="2" s="1"/>
  <c r="AG1398" i="2"/>
  <c r="AF1398" i="2"/>
  <c r="AE1398" i="2"/>
  <c r="AD1398" i="2"/>
  <c r="AL1397" i="2"/>
  <c r="AK1397" i="2"/>
  <c r="AJ1397" i="2"/>
  <c r="AH1397" i="2"/>
  <c r="AI1397" i="2" s="1"/>
  <c r="AG1397" i="2"/>
  <c r="AF1397" i="2"/>
  <c r="AE1397" i="2"/>
  <c r="AD1397" i="2"/>
  <c r="AN1396" i="2"/>
  <c r="AL1396" i="2"/>
  <c r="AK1396" i="2"/>
  <c r="AJ1396" i="2"/>
  <c r="AI1396" i="2"/>
  <c r="AH1396" i="2"/>
  <c r="AG1396" i="2"/>
  <c r="AF1396" i="2"/>
  <c r="AE1396" i="2"/>
  <c r="AD1396" i="2"/>
  <c r="AL1395" i="2"/>
  <c r="AK1395" i="2"/>
  <c r="AN1395" i="2" s="1"/>
  <c r="AJ1395" i="2"/>
  <c r="AH1395" i="2"/>
  <c r="AI1395" i="2" s="1"/>
  <c r="AG1395" i="2"/>
  <c r="AF1395" i="2"/>
  <c r="AE1395" i="2"/>
  <c r="AD1395" i="2"/>
  <c r="AL1394" i="2"/>
  <c r="AK1394" i="2"/>
  <c r="AJ1394" i="2"/>
  <c r="AH1394" i="2"/>
  <c r="AI1394" i="2" s="1"/>
  <c r="AG1394" i="2"/>
  <c r="AF1394" i="2"/>
  <c r="AE1394" i="2"/>
  <c r="AD1394" i="2"/>
  <c r="AL1393" i="2"/>
  <c r="AK1393" i="2"/>
  <c r="AJ1393" i="2"/>
  <c r="AH1393" i="2"/>
  <c r="AI1393" i="2" s="1"/>
  <c r="AG1393" i="2"/>
  <c r="AF1393" i="2"/>
  <c r="AE1393" i="2"/>
  <c r="AD1393" i="2"/>
  <c r="AN1392" i="2"/>
  <c r="AL1392" i="2"/>
  <c r="AK1392" i="2"/>
  <c r="AJ1392" i="2"/>
  <c r="AI1392" i="2"/>
  <c r="AH1392" i="2"/>
  <c r="AG1392" i="2"/>
  <c r="AF1392" i="2"/>
  <c r="AE1392" i="2"/>
  <c r="AD1392" i="2"/>
  <c r="AL1391" i="2"/>
  <c r="AN1391" i="2" s="1"/>
  <c r="AK1391" i="2"/>
  <c r="AJ1391" i="2"/>
  <c r="AH1391" i="2"/>
  <c r="AI1391" i="2" s="1"/>
  <c r="AG1391" i="2"/>
  <c r="AF1391" i="2"/>
  <c r="AE1391" i="2"/>
  <c r="AD1391" i="2"/>
  <c r="AL1390" i="2"/>
  <c r="AK1390" i="2"/>
  <c r="AN1390" i="2" s="1"/>
  <c r="AJ1390" i="2"/>
  <c r="AH1390" i="2"/>
  <c r="AI1390" i="2" s="1"/>
  <c r="AG1390" i="2"/>
  <c r="AF1390" i="2"/>
  <c r="AE1390" i="2"/>
  <c r="AD1390" i="2"/>
  <c r="AL1389" i="2"/>
  <c r="AK1389" i="2"/>
  <c r="AJ1389" i="2"/>
  <c r="AH1389" i="2"/>
  <c r="AI1389" i="2" s="1"/>
  <c r="AG1389" i="2"/>
  <c r="AF1389" i="2"/>
  <c r="AE1389" i="2"/>
  <c r="AD1389" i="2"/>
  <c r="AL1388" i="2"/>
  <c r="AK1388" i="2"/>
  <c r="AJ1388" i="2"/>
  <c r="AI1388" i="2"/>
  <c r="AH1388" i="2"/>
  <c r="AG1388" i="2"/>
  <c r="AF1388" i="2"/>
  <c r="AE1388" i="2"/>
  <c r="AD1388" i="2"/>
  <c r="AL1387" i="2"/>
  <c r="AK1387" i="2"/>
  <c r="AN1387" i="2" s="1"/>
  <c r="AJ1387" i="2"/>
  <c r="AH1387" i="2"/>
  <c r="AI1387" i="2" s="1"/>
  <c r="AG1387" i="2"/>
  <c r="AF1387" i="2"/>
  <c r="AE1387" i="2"/>
  <c r="AD1387" i="2"/>
  <c r="AM1386" i="2"/>
  <c r="AL1386" i="2"/>
  <c r="AK1386" i="2"/>
  <c r="AJ1386" i="2"/>
  <c r="AH1386" i="2"/>
  <c r="AI1386" i="2" s="1"/>
  <c r="AG1386" i="2"/>
  <c r="AF1386" i="2"/>
  <c r="AE1386" i="2"/>
  <c r="AD1386" i="2"/>
  <c r="AL1385" i="2"/>
  <c r="AK1385" i="2"/>
  <c r="AJ1385" i="2"/>
  <c r="AH1385" i="2"/>
  <c r="AI1385" i="2" s="1"/>
  <c r="AG1385" i="2"/>
  <c r="AF1385" i="2"/>
  <c r="AE1385" i="2"/>
  <c r="AD1385" i="2"/>
  <c r="AN1384" i="2"/>
  <c r="AL1384" i="2"/>
  <c r="AK1384" i="2"/>
  <c r="AJ1384" i="2"/>
  <c r="AI1384" i="2"/>
  <c r="AH1384" i="2"/>
  <c r="AG1384" i="2"/>
  <c r="AF1384" i="2"/>
  <c r="AE1384" i="2"/>
  <c r="AD1384" i="2"/>
  <c r="AL1383" i="2"/>
  <c r="AK1383" i="2"/>
  <c r="AM1383" i="2" s="1"/>
  <c r="AJ1383" i="2"/>
  <c r="AH1383" i="2"/>
  <c r="AI1383" i="2" s="1"/>
  <c r="AG1383" i="2"/>
  <c r="AF1383" i="2"/>
  <c r="AE1383" i="2"/>
  <c r="AD1383" i="2"/>
  <c r="AL1382" i="2"/>
  <c r="AK1382" i="2"/>
  <c r="AJ1382" i="2"/>
  <c r="AH1382" i="2"/>
  <c r="AI1382" i="2" s="1"/>
  <c r="AG1382" i="2"/>
  <c r="AF1382" i="2"/>
  <c r="AE1382" i="2"/>
  <c r="AD1382" i="2"/>
  <c r="AL1381" i="2"/>
  <c r="AK1381" i="2"/>
  <c r="AJ1381" i="2"/>
  <c r="AH1381" i="2"/>
  <c r="AI1381" i="2" s="1"/>
  <c r="AG1381" i="2"/>
  <c r="AF1381" i="2"/>
  <c r="AE1381" i="2"/>
  <c r="AD1381" i="2"/>
  <c r="AN1380" i="2"/>
  <c r="AL1380" i="2"/>
  <c r="AK1380" i="2"/>
  <c r="AJ1380" i="2"/>
  <c r="AI1380" i="2"/>
  <c r="AH1380" i="2"/>
  <c r="AG1380" i="2"/>
  <c r="AF1380" i="2"/>
  <c r="AE1380" i="2"/>
  <c r="AD1380" i="2"/>
  <c r="AM1379" i="2"/>
  <c r="AL1379" i="2"/>
  <c r="AN1379" i="2" s="1"/>
  <c r="AK1379" i="2"/>
  <c r="AJ1379" i="2"/>
  <c r="AH1379" i="2"/>
  <c r="AI1379" i="2" s="1"/>
  <c r="AG1379" i="2"/>
  <c r="AF1379" i="2"/>
  <c r="AE1379" i="2"/>
  <c r="AD1379" i="2"/>
  <c r="AM1378" i="2"/>
  <c r="AL1378" i="2"/>
  <c r="AK1378" i="2"/>
  <c r="AJ1378" i="2"/>
  <c r="AH1378" i="2"/>
  <c r="AI1378" i="2" s="1"/>
  <c r="AG1378" i="2"/>
  <c r="AF1378" i="2"/>
  <c r="AE1378" i="2"/>
  <c r="AD1378" i="2"/>
  <c r="AL1377" i="2"/>
  <c r="AK1377" i="2"/>
  <c r="AJ1377" i="2"/>
  <c r="AH1377" i="2"/>
  <c r="AI1377" i="2" s="1"/>
  <c r="AG1377" i="2"/>
  <c r="AF1377" i="2"/>
  <c r="AE1377" i="2"/>
  <c r="AD1377" i="2"/>
  <c r="AL1376" i="2"/>
  <c r="AK1376" i="2"/>
  <c r="AM1376" i="2" s="1"/>
  <c r="AJ1376" i="2"/>
  <c r="AI1376" i="2"/>
  <c r="AH1376" i="2"/>
  <c r="AG1376" i="2"/>
  <c r="AF1376" i="2"/>
  <c r="AE1376" i="2"/>
  <c r="AD1376" i="2"/>
  <c r="AM1375" i="2"/>
  <c r="AL1375" i="2"/>
  <c r="AK1375" i="2"/>
  <c r="AN1375" i="2" s="1"/>
  <c r="AJ1375" i="2"/>
  <c r="AH1375" i="2"/>
  <c r="AI1375" i="2" s="1"/>
  <c r="AG1375" i="2"/>
  <c r="AF1375" i="2"/>
  <c r="AE1375" i="2"/>
  <c r="AD1375" i="2"/>
  <c r="AL1374" i="2"/>
  <c r="AK1374" i="2"/>
  <c r="AN1374" i="2" s="1"/>
  <c r="AJ1374" i="2"/>
  <c r="AI1374" i="2"/>
  <c r="AH1374" i="2"/>
  <c r="AG1374" i="2"/>
  <c r="AF1374" i="2"/>
  <c r="AE1374" i="2"/>
  <c r="AD1374" i="2"/>
  <c r="AL1373" i="2"/>
  <c r="AK1373" i="2"/>
  <c r="AJ1373" i="2"/>
  <c r="AH1373" i="2"/>
  <c r="AI1373" i="2" s="1"/>
  <c r="AG1373" i="2"/>
  <c r="AF1373" i="2"/>
  <c r="AE1373" i="2"/>
  <c r="AD1373" i="2"/>
  <c r="AN1372" i="2"/>
  <c r="AL1372" i="2"/>
  <c r="AK1372" i="2"/>
  <c r="AJ1372" i="2"/>
  <c r="AH1372" i="2"/>
  <c r="AI1372" i="2" s="1"/>
  <c r="AG1372" i="2"/>
  <c r="AF1372" i="2"/>
  <c r="AE1372" i="2"/>
  <c r="AD1372" i="2"/>
  <c r="AL1371" i="2"/>
  <c r="AK1371" i="2"/>
  <c r="AN1371" i="2" s="1"/>
  <c r="AJ1371" i="2"/>
  <c r="AH1371" i="2"/>
  <c r="AI1371" i="2" s="1"/>
  <c r="AG1371" i="2"/>
  <c r="AF1371" i="2"/>
  <c r="AE1371" i="2"/>
  <c r="AD1371" i="2"/>
  <c r="AL1370" i="2"/>
  <c r="AK1370" i="2"/>
  <c r="AJ1370" i="2"/>
  <c r="AI1370" i="2"/>
  <c r="AH1370" i="2"/>
  <c r="AG1370" i="2"/>
  <c r="AF1370" i="2"/>
  <c r="AE1370" i="2"/>
  <c r="AD1370" i="2"/>
  <c r="AL1369" i="2"/>
  <c r="AK1369" i="2"/>
  <c r="AJ1369" i="2"/>
  <c r="AH1369" i="2"/>
  <c r="AI1369" i="2" s="1"/>
  <c r="AG1369" i="2"/>
  <c r="AF1369" i="2"/>
  <c r="AE1369" i="2"/>
  <c r="AD1369" i="2"/>
  <c r="AL1368" i="2"/>
  <c r="AK1368" i="2"/>
  <c r="AJ1368" i="2"/>
  <c r="AH1368" i="2"/>
  <c r="AI1368" i="2" s="1"/>
  <c r="AG1368" i="2"/>
  <c r="AF1368" i="2"/>
  <c r="AE1368" i="2"/>
  <c r="AD1368" i="2"/>
  <c r="AL1367" i="2"/>
  <c r="AN1367" i="2" s="1"/>
  <c r="AK1367" i="2"/>
  <c r="AJ1367" i="2"/>
  <c r="AH1367" i="2"/>
  <c r="AI1367" i="2" s="1"/>
  <c r="AG1367" i="2"/>
  <c r="AF1367" i="2"/>
  <c r="AE1367" i="2"/>
  <c r="AD1367" i="2"/>
  <c r="AM1366" i="2"/>
  <c r="AL1366" i="2"/>
  <c r="AK1366" i="2"/>
  <c r="AJ1366" i="2"/>
  <c r="AI1366" i="2"/>
  <c r="AH1366" i="2"/>
  <c r="AG1366" i="2"/>
  <c r="AF1366" i="2"/>
  <c r="AE1366" i="2"/>
  <c r="AD1366" i="2"/>
  <c r="AL1365" i="2"/>
  <c r="AK1365" i="2"/>
  <c r="AJ1365" i="2"/>
  <c r="AI1365" i="2"/>
  <c r="AH1365" i="2"/>
  <c r="AG1365" i="2"/>
  <c r="AF1365" i="2"/>
  <c r="AE1365" i="2"/>
  <c r="AD1365" i="2"/>
  <c r="AN1364" i="2"/>
  <c r="AL1364" i="2"/>
  <c r="AK1364" i="2"/>
  <c r="AJ1364" i="2"/>
  <c r="AH1364" i="2"/>
  <c r="AI1364" i="2" s="1"/>
  <c r="AG1364" i="2"/>
  <c r="AF1364" i="2"/>
  <c r="AE1364" i="2"/>
  <c r="AD1364" i="2"/>
  <c r="AL1363" i="2"/>
  <c r="AN1363" i="2" s="1"/>
  <c r="AK1363" i="2"/>
  <c r="AJ1363" i="2"/>
  <c r="AH1363" i="2"/>
  <c r="AI1363" i="2" s="1"/>
  <c r="AG1363" i="2"/>
  <c r="AF1363" i="2"/>
  <c r="AE1363" i="2"/>
  <c r="AD1363" i="2"/>
  <c r="AM1362" i="2"/>
  <c r="AL1362" i="2"/>
  <c r="AK1362" i="2"/>
  <c r="AJ1362" i="2"/>
  <c r="AI1362" i="2"/>
  <c r="AH1362" i="2"/>
  <c r="AG1362" i="2"/>
  <c r="AF1362" i="2"/>
  <c r="AE1362" i="2"/>
  <c r="AD1362" i="2"/>
  <c r="AL1361" i="2"/>
  <c r="AK1361" i="2"/>
  <c r="AJ1361" i="2"/>
  <c r="AI1361" i="2"/>
  <c r="AH1361" i="2"/>
  <c r="AG1361" i="2"/>
  <c r="AF1361" i="2"/>
  <c r="AE1361" i="2"/>
  <c r="AD1361" i="2"/>
  <c r="AL1360" i="2"/>
  <c r="AK1360" i="2"/>
  <c r="AJ1360" i="2"/>
  <c r="AH1360" i="2"/>
  <c r="AI1360" i="2" s="1"/>
  <c r="AG1360" i="2"/>
  <c r="AF1360" i="2"/>
  <c r="AE1360" i="2"/>
  <c r="AD1360" i="2"/>
  <c r="AM1359" i="2"/>
  <c r="AL1359" i="2"/>
  <c r="AN1359" i="2" s="1"/>
  <c r="AK1359" i="2"/>
  <c r="AJ1359" i="2"/>
  <c r="AH1359" i="2"/>
  <c r="AI1359" i="2" s="1"/>
  <c r="AG1359" i="2"/>
  <c r="AF1359" i="2"/>
  <c r="AE1359" i="2"/>
  <c r="AD1359" i="2"/>
  <c r="AL1358" i="2"/>
  <c r="AK1358" i="2"/>
  <c r="AN1358" i="2" s="1"/>
  <c r="AJ1358" i="2"/>
  <c r="AI1358" i="2"/>
  <c r="AH1358" i="2"/>
  <c r="AG1358" i="2"/>
  <c r="AF1358" i="2"/>
  <c r="AE1358" i="2"/>
  <c r="AD1358" i="2"/>
  <c r="AL1357" i="2"/>
  <c r="AK1357" i="2"/>
  <c r="AJ1357" i="2"/>
  <c r="AH1357" i="2"/>
  <c r="AI1357" i="2" s="1"/>
  <c r="AG1357" i="2"/>
  <c r="AF1357" i="2"/>
  <c r="AE1357" i="2"/>
  <c r="AD1357" i="2"/>
  <c r="AN1356" i="2"/>
  <c r="AL1356" i="2"/>
  <c r="AK1356" i="2"/>
  <c r="AJ1356" i="2"/>
  <c r="AI1356" i="2"/>
  <c r="AH1356" i="2"/>
  <c r="AG1356" i="2"/>
  <c r="AF1356" i="2"/>
  <c r="AE1356" i="2"/>
  <c r="AD1356" i="2"/>
  <c r="AL1355" i="2"/>
  <c r="AK1355" i="2"/>
  <c r="AN1355" i="2" s="1"/>
  <c r="AJ1355" i="2"/>
  <c r="AH1355" i="2"/>
  <c r="AI1355" i="2" s="1"/>
  <c r="AG1355" i="2"/>
  <c r="AF1355" i="2"/>
  <c r="AE1355" i="2"/>
  <c r="AD1355" i="2"/>
  <c r="AL1354" i="2"/>
  <c r="AK1354" i="2"/>
  <c r="AN1354" i="2" s="1"/>
  <c r="AJ1354" i="2"/>
  <c r="AH1354" i="2"/>
  <c r="AI1354" i="2" s="1"/>
  <c r="AG1354" i="2"/>
  <c r="AF1354" i="2"/>
  <c r="AE1354" i="2"/>
  <c r="AD1354" i="2"/>
  <c r="AL1353" i="2"/>
  <c r="AK1353" i="2"/>
  <c r="AJ1353" i="2"/>
  <c r="AH1353" i="2"/>
  <c r="AI1353" i="2" s="1"/>
  <c r="AG1353" i="2"/>
  <c r="AF1353" i="2"/>
  <c r="AE1353" i="2"/>
  <c r="AD1353" i="2"/>
  <c r="AN1352" i="2"/>
  <c r="AL1352" i="2"/>
  <c r="AK1352" i="2"/>
  <c r="AJ1352" i="2"/>
  <c r="AI1352" i="2"/>
  <c r="AH1352" i="2"/>
  <c r="AG1352" i="2"/>
  <c r="AF1352" i="2"/>
  <c r="AE1352" i="2"/>
  <c r="AD1352" i="2"/>
  <c r="AL1351" i="2"/>
  <c r="AM1351" i="2" s="1"/>
  <c r="AK1351" i="2"/>
  <c r="AJ1351" i="2"/>
  <c r="AH1351" i="2"/>
  <c r="AI1351" i="2" s="1"/>
  <c r="AG1351" i="2"/>
  <c r="AF1351" i="2"/>
  <c r="AE1351" i="2"/>
  <c r="AD1351" i="2"/>
  <c r="AL1350" i="2"/>
  <c r="AK1350" i="2"/>
  <c r="AJ1350" i="2"/>
  <c r="AH1350" i="2"/>
  <c r="AI1350" i="2" s="1"/>
  <c r="AG1350" i="2"/>
  <c r="AF1350" i="2"/>
  <c r="AE1350" i="2"/>
  <c r="AD1350" i="2"/>
  <c r="AL1349" i="2"/>
  <c r="AK1349" i="2"/>
  <c r="AJ1349" i="2"/>
  <c r="AH1349" i="2"/>
  <c r="AI1349" i="2" s="1"/>
  <c r="AG1349" i="2"/>
  <c r="AF1349" i="2"/>
  <c r="AE1349" i="2"/>
  <c r="AD1349" i="2"/>
  <c r="AN1348" i="2"/>
  <c r="AL1348" i="2"/>
  <c r="AK1348" i="2"/>
  <c r="AJ1348" i="2"/>
  <c r="AH1348" i="2"/>
  <c r="AI1348" i="2" s="1"/>
  <c r="AG1348" i="2"/>
  <c r="AF1348" i="2"/>
  <c r="AE1348" i="2"/>
  <c r="AD1348" i="2"/>
  <c r="AL1347" i="2"/>
  <c r="AK1347" i="2"/>
  <c r="AN1347" i="2" s="1"/>
  <c r="AJ1347" i="2"/>
  <c r="AH1347" i="2"/>
  <c r="AI1347" i="2" s="1"/>
  <c r="AG1347" i="2"/>
  <c r="AF1347" i="2"/>
  <c r="AE1347" i="2"/>
  <c r="AD1347" i="2"/>
  <c r="AL1346" i="2"/>
  <c r="AK1346" i="2"/>
  <c r="AN1346" i="2" s="1"/>
  <c r="AJ1346" i="2"/>
  <c r="AH1346" i="2"/>
  <c r="AI1346" i="2" s="1"/>
  <c r="AG1346" i="2"/>
  <c r="AF1346" i="2"/>
  <c r="AE1346" i="2"/>
  <c r="AD1346" i="2"/>
  <c r="AL1345" i="2"/>
  <c r="AK1345" i="2"/>
  <c r="AJ1345" i="2"/>
  <c r="AH1345" i="2"/>
  <c r="AI1345" i="2" s="1"/>
  <c r="AG1345" i="2"/>
  <c r="AF1345" i="2"/>
  <c r="AE1345" i="2"/>
  <c r="AD1345" i="2"/>
  <c r="AL1344" i="2"/>
  <c r="AK1344" i="2"/>
  <c r="AJ1344" i="2"/>
  <c r="AH1344" i="2"/>
  <c r="AI1344" i="2" s="1"/>
  <c r="AG1344" i="2"/>
  <c r="AF1344" i="2"/>
  <c r="AE1344" i="2"/>
  <c r="AD1344" i="2"/>
  <c r="AL1343" i="2"/>
  <c r="AK1343" i="2"/>
  <c r="AJ1343" i="2"/>
  <c r="AH1343" i="2"/>
  <c r="AI1343" i="2" s="1"/>
  <c r="AG1343" i="2"/>
  <c r="AF1343" i="2"/>
  <c r="AE1343" i="2"/>
  <c r="AD1343" i="2"/>
  <c r="AL1342" i="2"/>
  <c r="AK1342" i="2"/>
  <c r="AN1342" i="2" s="1"/>
  <c r="AJ1342" i="2"/>
  <c r="AH1342" i="2"/>
  <c r="AI1342" i="2" s="1"/>
  <c r="AG1342" i="2"/>
  <c r="AF1342" i="2"/>
  <c r="AE1342" i="2"/>
  <c r="AD1342" i="2"/>
  <c r="AL1341" i="2"/>
  <c r="AK1341" i="2"/>
  <c r="AJ1341" i="2"/>
  <c r="AH1341" i="2"/>
  <c r="AI1341" i="2" s="1"/>
  <c r="AG1341" i="2"/>
  <c r="AF1341" i="2"/>
  <c r="AE1341" i="2"/>
  <c r="AD1341" i="2"/>
  <c r="AL1340" i="2"/>
  <c r="AK1340" i="2"/>
  <c r="AJ1340" i="2"/>
  <c r="AH1340" i="2"/>
  <c r="AI1340" i="2" s="1"/>
  <c r="AG1340" i="2"/>
  <c r="AF1340" i="2"/>
  <c r="AE1340" i="2"/>
  <c r="AD1340" i="2"/>
  <c r="AN1339" i="2"/>
  <c r="AM1339" i="2"/>
  <c r="AL1339" i="2"/>
  <c r="AK1339" i="2"/>
  <c r="AJ1339" i="2"/>
  <c r="AH1339" i="2"/>
  <c r="AI1339" i="2" s="1"/>
  <c r="AG1339" i="2"/>
  <c r="AF1339" i="2"/>
  <c r="AE1339" i="2"/>
  <c r="AD1339" i="2"/>
  <c r="AL1338" i="2"/>
  <c r="AK1338" i="2"/>
  <c r="AJ1338" i="2"/>
  <c r="AH1338" i="2"/>
  <c r="AI1338" i="2" s="1"/>
  <c r="AG1338" i="2"/>
  <c r="AF1338" i="2"/>
  <c r="AE1338" i="2"/>
  <c r="AD1338" i="2"/>
  <c r="AL1337" i="2"/>
  <c r="AK1337" i="2"/>
  <c r="AJ1337" i="2"/>
  <c r="AH1337" i="2"/>
  <c r="AI1337" i="2" s="1"/>
  <c r="AG1337" i="2"/>
  <c r="AF1337" i="2"/>
  <c r="AE1337" i="2"/>
  <c r="AD1337" i="2"/>
  <c r="AL1336" i="2"/>
  <c r="AK1336" i="2"/>
  <c r="AM1336" i="2" s="1"/>
  <c r="AJ1336" i="2"/>
  <c r="AH1336" i="2"/>
  <c r="AI1336" i="2" s="1"/>
  <c r="AG1336" i="2"/>
  <c r="AF1336" i="2"/>
  <c r="AE1336" i="2"/>
  <c r="AD1336" i="2"/>
  <c r="AL1335" i="2"/>
  <c r="AK1335" i="2"/>
  <c r="AN1335" i="2" s="1"/>
  <c r="AJ1335" i="2"/>
  <c r="AH1335" i="2"/>
  <c r="AI1335" i="2" s="1"/>
  <c r="AG1335" i="2"/>
  <c r="AF1335" i="2"/>
  <c r="AE1335" i="2"/>
  <c r="AD1335" i="2"/>
  <c r="AL1334" i="2"/>
  <c r="AK1334" i="2"/>
  <c r="AJ1334" i="2"/>
  <c r="AI1334" i="2"/>
  <c r="AH1334" i="2"/>
  <c r="AG1334" i="2"/>
  <c r="AF1334" i="2"/>
  <c r="AE1334" i="2"/>
  <c r="AD1334" i="2"/>
  <c r="AL1333" i="2"/>
  <c r="AK1333" i="2"/>
  <c r="AJ1333" i="2"/>
  <c r="AH1333" i="2"/>
  <c r="AI1333" i="2" s="1"/>
  <c r="AG1333" i="2"/>
  <c r="AF1333" i="2"/>
  <c r="AE1333" i="2"/>
  <c r="AD1333" i="2"/>
  <c r="AL1332" i="2"/>
  <c r="AK1332" i="2"/>
  <c r="AJ1332" i="2"/>
  <c r="AI1332" i="2"/>
  <c r="AH1332" i="2"/>
  <c r="AG1332" i="2"/>
  <c r="AF1332" i="2"/>
  <c r="AE1332" i="2"/>
  <c r="AD1332" i="2"/>
  <c r="AN1331" i="2"/>
  <c r="AM1331" i="2"/>
  <c r="AL1331" i="2"/>
  <c r="AK1331" i="2"/>
  <c r="AJ1331" i="2"/>
  <c r="AH1331" i="2"/>
  <c r="AI1331" i="2" s="1"/>
  <c r="AG1331" i="2"/>
  <c r="AF1331" i="2"/>
  <c r="AE1331" i="2"/>
  <c r="AD1331" i="2"/>
  <c r="AL1330" i="2"/>
  <c r="AK1330" i="2"/>
  <c r="AJ1330" i="2"/>
  <c r="AI1330" i="2"/>
  <c r="AH1330" i="2"/>
  <c r="AG1330" i="2"/>
  <c r="AF1330" i="2"/>
  <c r="AE1330" i="2"/>
  <c r="AD1330" i="2"/>
  <c r="AL1329" i="2"/>
  <c r="AK1329" i="2"/>
  <c r="AJ1329" i="2"/>
  <c r="AH1329" i="2"/>
  <c r="AI1329" i="2" s="1"/>
  <c r="AG1329" i="2"/>
  <c r="AF1329" i="2"/>
  <c r="AE1329" i="2"/>
  <c r="AD1329" i="2"/>
  <c r="AL1328" i="2"/>
  <c r="AK1328" i="2"/>
  <c r="AM1328" i="2" s="1"/>
  <c r="AJ1328" i="2"/>
  <c r="AH1328" i="2"/>
  <c r="AI1328" i="2" s="1"/>
  <c r="AG1328" i="2"/>
  <c r="AF1328" i="2"/>
  <c r="AE1328" i="2"/>
  <c r="AD1328" i="2"/>
  <c r="AN1327" i="2"/>
  <c r="AL1327" i="2"/>
  <c r="AK1327" i="2"/>
  <c r="AM1327" i="2" s="1"/>
  <c r="AJ1327" i="2"/>
  <c r="AH1327" i="2"/>
  <c r="AI1327" i="2" s="1"/>
  <c r="AG1327" i="2"/>
  <c r="AF1327" i="2"/>
  <c r="AE1327" i="2"/>
  <c r="AD1327" i="2"/>
  <c r="AL1326" i="2"/>
  <c r="AK1326" i="2"/>
  <c r="AJ1326" i="2"/>
  <c r="AH1326" i="2"/>
  <c r="AI1326" i="2" s="1"/>
  <c r="AG1326" i="2"/>
  <c r="AF1326" i="2"/>
  <c r="AE1326" i="2"/>
  <c r="AD1326" i="2"/>
  <c r="AL1325" i="2"/>
  <c r="AK1325" i="2"/>
  <c r="AJ1325" i="2"/>
  <c r="AH1325" i="2"/>
  <c r="AI1325" i="2" s="1"/>
  <c r="AG1325" i="2"/>
  <c r="AF1325" i="2"/>
  <c r="AE1325" i="2"/>
  <c r="AD1325" i="2"/>
  <c r="AL1324" i="2"/>
  <c r="AK1324" i="2"/>
  <c r="AM1324" i="2" s="1"/>
  <c r="AJ1324" i="2"/>
  <c r="AI1324" i="2"/>
  <c r="AH1324" i="2"/>
  <c r="AG1324" i="2"/>
  <c r="AF1324" i="2"/>
  <c r="AE1324" i="2"/>
  <c r="AD1324" i="2"/>
  <c r="AL1323" i="2"/>
  <c r="AM1323" i="2" s="1"/>
  <c r="AK1323" i="2"/>
  <c r="AJ1323" i="2"/>
  <c r="AH1323" i="2"/>
  <c r="AI1323" i="2" s="1"/>
  <c r="AG1323" i="2"/>
  <c r="AF1323" i="2"/>
  <c r="AE1323" i="2"/>
  <c r="AD1323" i="2"/>
  <c r="AL1322" i="2"/>
  <c r="AM1322" i="2" s="1"/>
  <c r="AK1322" i="2"/>
  <c r="AJ1322" i="2"/>
  <c r="AH1322" i="2"/>
  <c r="AI1322" i="2" s="1"/>
  <c r="AG1322" i="2"/>
  <c r="AF1322" i="2"/>
  <c r="AE1322" i="2"/>
  <c r="AD1322" i="2"/>
  <c r="AL1321" i="2"/>
  <c r="AK1321" i="2"/>
  <c r="AJ1321" i="2"/>
  <c r="AI1321" i="2"/>
  <c r="AH1321" i="2"/>
  <c r="AG1321" i="2"/>
  <c r="AF1321" i="2"/>
  <c r="AE1321" i="2"/>
  <c r="AD1321" i="2"/>
  <c r="AL1320" i="2"/>
  <c r="AK1320" i="2"/>
  <c r="AJ1320" i="2"/>
  <c r="AH1320" i="2"/>
  <c r="AI1320" i="2" s="1"/>
  <c r="AG1320" i="2"/>
  <c r="AF1320" i="2"/>
  <c r="AE1320" i="2"/>
  <c r="AD1320" i="2"/>
  <c r="AN1319" i="2"/>
  <c r="AL1319" i="2"/>
  <c r="AM1319" i="2" s="1"/>
  <c r="AK1319" i="2"/>
  <c r="AJ1319" i="2"/>
  <c r="AH1319" i="2"/>
  <c r="AI1319" i="2" s="1"/>
  <c r="AG1319" i="2"/>
  <c r="AF1319" i="2"/>
  <c r="AE1319" i="2"/>
  <c r="AD1319" i="2"/>
  <c r="AL1318" i="2"/>
  <c r="AM1318" i="2" s="1"/>
  <c r="AK1318" i="2"/>
  <c r="AJ1318" i="2"/>
  <c r="AH1318" i="2"/>
  <c r="AI1318" i="2" s="1"/>
  <c r="AG1318" i="2"/>
  <c r="AF1318" i="2"/>
  <c r="AE1318" i="2"/>
  <c r="AD1318" i="2"/>
  <c r="AL1317" i="2"/>
  <c r="AK1317" i="2"/>
  <c r="AJ1317" i="2"/>
  <c r="AH1317" i="2"/>
  <c r="AI1317" i="2" s="1"/>
  <c r="AG1317" i="2"/>
  <c r="AF1317" i="2"/>
  <c r="AE1317" i="2"/>
  <c r="AD1317" i="2"/>
  <c r="AL1316" i="2"/>
  <c r="AK1316" i="2"/>
  <c r="AM1316" i="2" s="1"/>
  <c r="AJ1316" i="2"/>
  <c r="AI1316" i="2"/>
  <c r="AH1316" i="2"/>
  <c r="AG1316" i="2"/>
  <c r="AF1316" i="2"/>
  <c r="AE1316" i="2"/>
  <c r="AD1316" i="2"/>
  <c r="AL1315" i="2"/>
  <c r="AM1315" i="2" s="1"/>
  <c r="AK1315" i="2"/>
  <c r="AN1315" i="2" s="1"/>
  <c r="AJ1315" i="2"/>
  <c r="AH1315" i="2"/>
  <c r="AI1315" i="2" s="1"/>
  <c r="AG1315" i="2"/>
  <c r="AF1315" i="2"/>
  <c r="AE1315" i="2"/>
  <c r="AD1315" i="2"/>
  <c r="AM1314" i="2"/>
  <c r="AL1314" i="2"/>
  <c r="AK1314" i="2"/>
  <c r="AJ1314" i="2"/>
  <c r="AI1314" i="2"/>
  <c r="AH1314" i="2"/>
  <c r="AG1314" i="2"/>
  <c r="AF1314" i="2"/>
  <c r="AE1314" i="2"/>
  <c r="AD1314" i="2"/>
  <c r="AL1313" i="2"/>
  <c r="AK1313" i="2"/>
  <c r="AJ1313" i="2"/>
  <c r="AH1313" i="2"/>
  <c r="AI1313" i="2" s="1"/>
  <c r="AG1313" i="2"/>
  <c r="AF1313" i="2"/>
  <c r="AE1313" i="2"/>
  <c r="AD1313" i="2"/>
  <c r="AN1312" i="2"/>
  <c r="AL1312" i="2"/>
  <c r="AK1312" i="2"/>
  <c r="AJ1312" i="2"/>
  <c r="AH1312" i="2"/>
  <c r="AI1312" i="2" s="1"/>
  <c r="AG1312" i="2"/>
  <c r="AF1312" i="2"/>
  <c r="AE1312" i="2"/>
  <c r="AD1312" i="2"/>
  <c r="AL1311" i="2"/>
  <c r="AN1311" i="2" s="1"/>
  <c r="AK1311" i="2"/>
  <c r="AJ1311" i="2"/>
  <c r="AH1311" i="2"/>
  <c r="AI1311" i="2" s="1"/>
  <c r="AG1311" i="2"/>
  <c r="AF1311" i="2"/>
  <c r="AE1311" i="2"/>
  <c r="AD1311" i="2"/>
  <c r="AM1310" i="2"/>
  <c r="AL1310" i="2"/>
  <c r="AK1310" i="2"/>
  <c r="AJ1310" i="2"/>
  <c r="AI1310" i="2"/>
  <c r="AH1310" i="2"/>
  <c r="AG1310" i="2"/>
  <c r="AF1310" i="2"/>
  <c r="AE1310" i="2"/>
  <c r="AD1310" i="2"/>
  <c r="AL1309" i="2"/>
  <c r="AK1309" i="2"/>
  <c r="AJ1309" i="2"/>
  <c r="AI1309" i="2"/>
  <c r="AH1309" i="2"/>
  <c r="AG1309" i="2"/>
  <c r="AF1309" i="2"/>
  <c r="AE1309" i="2"/>
  <c r="AD1309" i="2"/>
  <c r="AL1308" i="2"/>
  <c r="AK1308" i="2"/>
  <c r="AJ1308" i="2"/>
  <c r="AH1308" i="2"/>
  <c r="AI1308" i="2" s="1"/>
  <c r="AG1308" i="2"/>
  <c r="AF1308" i="2"/>
  <c r="AE1308" i="2"/>
  <c r="AD1308" i="2"/>
  <c r="AL1307" i="2"/>
  <c r="AN1307" i="2" s="1"/>
  <c r="AK1307" i="2"/>
  <c r="AJ1307" i="2"/>
  <c r="AH1307" i="2"/>
  <c r="AI1307" i="2" s="1"/>
  <c r="AG1307" i="2"/>
  <c r="AF1307" i="2"/>
  <c r="AE1307" i="2"/>
  <c r="AD1307" i="2"/>
  <c r="AM1306" i="2"/>
  <c r="AL1306" i="2"/>
  <c r="AK1306" i="2"/>
  <c r="AJ1306" i="2"/>
  <c r="AI1306" i="2"/>
  <c r="AH1306" i="2"/>
  <c r="AG1306" i="2"/>
  <c r="AF1306" i="2"/>
  <c r="AE1306" i="2"/>
  <c r="AD1306" i="2"/>
  <c r="AL1305" i="2"/>
  <c r="AK1305" i="2"/>
  <c r="AJ1305" i="2"/>
  <c r="AH1305" i="2"/>
  <c r="AI1305" i="2" s="1"/>
  <c r="AG1305" i="2"/>
  <c r="AF1305" i="2"/>
  <c r="AE1305" i="2"/>
  <c r="AD1305" i="2"/>
  <c r="AN1304" i="2"/>
  <c r="AL1304" i="2"/>
  <c r="AK1304" i="2"/>
  <c r="AJ1304" i="2"/>
  <c r="AH1304" i="2"/>
  <c r="AI1304" i="2" s="1"/>
  <c r="AG1304" i="2"/>
  <c r="AF1304" i="2"/>
  <c r="AE1304" i="2"/>
  <c r="AD1304" i="2"/>
  <c r="AL1303" i="2"/>
  <c r="AN1303" i="2" s="1"/>
  <c r="AK1303" i="2"/>
  <c r="AJ1303" i="2"/>
  <c r="AH1303" i="2"/>
  <c r="AI1303" i="2" s="1"/>
  <c r="AG1303" i="2"/>
  <c r="AF1303" i="2"/>
  <c r="AE1303" i="2"/>
  <c r="AD1303" i="2"/>
  <c r="AM1302" i="2"/>
  <c r="AL1302" i="2"/>
  <c r="AK1302" i="2"/>
  <c r="AJ1302" i="2"/>
  <c r="AI1302" i="2"/>
  <c r="AH1302" i="2"/>
  <c r="AG1302" i="2"/>
  <c r="AF1302" i="2"/>
  <c r="AE1302" i="2"/>
  <c r="AD1302" i="2"/>
  <c r="AL1301" i="2"/>
  <c r="AK1301" i="2"/>
  <c r="AJ1301" i="2"/>
  <c r="AI1301" i="2"/>
  <c r="AH1301" i="2"/>
  <c r="AG1301" i="2"/>
  <c r="AF1301" i="2"/>
  <c r="AE1301" i="2"/>
  <c r="AD1301" i="2"/>
  <c r="AL1300" i="2"/>
  <c r="AK1300" i="2"/>
  <c r="AJ1300" i="2"/>
  <c r="AH1300" i="2"/>
  <c r="AI1300" i="2" s="1"/>
  <c r="AG1300" i="2"/>
  <c r="AF1300" i="2"/>
  <c r="AE1300" i="2"/>
  <c r="AD1300" i="2"/>
  <c r="AL1299" i="2"/>
  <c r="AK1299" i="2"/>
  <c r="AJ1299" i="2"/>
  <c r="AH1299" i="2"/>
  <c r="AI1299" i="2" s="1"/>
  <c r="AG1299" i="2"/>
  <c r="AF1299" i="2"/>
  <c r="AE1299" i="2"/>
  <c r="AD1299" i="2"/>
  <c r="AL1298" i="2"/>
  <c r="AK1298" i="2"/>
  <c r="AJ1298" i="2"/>
  <c r="AH1298" i="2"/>
  <c r="AI1298" i="2" s="1"/>
  <c r="AG1298" i="2"/>
  <c r="AF1298" i="2"/>
  <c r="AE1298" i="2"/>
  <c r="AD1298" i="2"/>
  <c r="AL1297" i="2"/>
  <c r="AK1297" i="2"/>
  <c r="AJ1297" i="2"/>
  <c r="AH1297" i="2"/>
  <c r="AI1297" i="2" s="1"/>
  <c r="AG1297" i="2"/>
  <c r="AF1297" i="2"/>
  <c r="AE1297" i="2"/>
  <c r="AD1297" i="2"/>
  <c r="AN1296" i="2"/>
  <c r="AL1296" i="2"/>
  <c r="AK1296" i="2"/>
  <c r="AM1296" i="2" s="1"/>
  <c r="AJ1296" i="2"/>
  <c r="AH1296" i="2"/>
  <c r="AI1296" i="2" s="1"/>
  <c r="AG1296" i="2"/>
  <c r="AF1296" i="2"/>
  <c r="AE1296" i="2"/>
  <c r="AD1296" i="2"/>
  <c r="AL1295" i="2"/>
  <c r="AK1295" i="2"/>
  <c r="AN1295" i="2" s="1"/>
  <c r="AJ1295" i="2"/>
  <c r="AH1295" i="2"/>
  <c r="AI1295" i="2" s="1"/>
  <c r="AG1295" i="2"/>
  <c r="AF1295" i="2"/>
  <c r="AE1295" i="2"/>
  <c r="AD1295" i="2"/>
  <c r="AL1294" i="2"/>
  <c r="AM1294" i="2" s="1"/>
  <c r="AK1294" i="2"/>
  <c r="AN1294" i="2" s="1"/>
  <c r="AJ1294" i="2"/>
  <c r="AI1294" i="2"/>
  <c r="AH1294" i="2"/>
  <c r="AG1294" i="2"/>
  <c r="AF1294" i="2"/>
  <c r="AE1294" i="2"/>
  <c r="AD1294" i="2"/>
  <c r="AL1293" i="2"/>
  <c r="AK1293" i="2"/>
  <c r="AJ1293" i="2"/>
  <c r="AH1293" i="2"/>
  <c r="AI1293" i="2" s="1"/>
  <c r="AG1293" i="2"/>
  <c r="AF1293" i="2"/>
  <c r="AE1293" i="2"/>
  <c r="AD1293" i="2"/>
  <c r="AL1292" i="2"/>
  <c r="AK1292" i="2"/>
  <c r="AJ1292" i="2"/>
  <c r="AH1292" i="2"/>
  <c r="AI1292" i="2" s="1"/>
  <c r="AG1292" i="2"/>
  <c r="AF1292" i="2"/>
  <c r="AE1292" i="2"/>
  <c r="AD1292" i="2"/>
  <c r="AL1291" i="2"/>
  <c r="AK1291" i="2"/>
  <c r="AJ1291" i="2"/>
  <c r="AH1291" i="2"/>
  <c r="AI1291" i="2" s="1"/>
  <c r="AG1291" i="2"/>
  <c r="AF1291" i="2"/>
  <c r="AE1291" i="2"/>
  <c r="AD1291" i="2"/>
  <c r="AL1290" i="2"/>
  <c r="AN1290" i="2" s="1"/>
  <c r="AK1290" i="2"/>
  <c r="AJ1290" i="2"/>
  <c r="AH1290" i="2"/>
  <c r="AI1290" i="2" s="1"/>
  <c r="AG1290" i="2"/>
  <c r="AF1290" i="2"/>
  <c r="AE1290" i="2"/>
  <c r="AD1290" i="2"/>
  <c r="AL1289" i="2"/>
  <c r="AK1289" i="2"/>
  <c r="AJ1289" i="2"/>
  <c r="AH1289" i="2"/>
  <c r="AI1289" i="2" s="1"/>
  <c r="AG1289" i="2"/>
  <c r="AF1289" i="2"/>
  <c r="AE1289" i="2"/>
  <c r="AD1289" i="2"/>
  <c r="AL1288" i="2"/>
  <c r="AK1288" i="2"/>
  <c r="AM1288" i="2" s="1"/>
  <c r="AJ1288" i="2"/>
  <c r="AI1288" i="2"/>
  <c r="AH1288" i="2"/>
  <c r="AG1288" i="2"/>
  <c r="AF1288" i="2"/>
  <c r="AE1288" i="2"/>
  <c r="AD1288" i="2"/>
  <c r="AL1287" i="2"/>
  <c r="AK1287" i="2"/>
  <c r="AJ1287" i="2"/>
  <c r="AH1287" i="2"/>
  <c r="AI1287" i="2" s="1"/>
  <c r="AG1287" i="2"/>
  <c r="AF1287" i="2"/>
  <c r="AE1287" i="2"/>
  <c r="AD1287" i="2"/>
  <c r="AL1286" i="2"/>
  <c r="AK1286" i="2"/>
  <c r="AN1286" i="2" s="1"/>
  <c r="AJ1286" i="2"/>
  <c r="AH1286" i="2"/>
  <c r="AI1286" i="2" s="1"/>
  <c r="AG1286" i="2"/>
  <c r="AF1286" i="2"/>
  <c r="AE1286" i="2"/>
  <c r="AD1286" i="2"/>
  <c r="AL1285" i="2"/>
  <c r="AK1285" i="2"/>
  <c r="AJ1285" i="2"/>
  <c r="AH1285" i="2"/>
  <c r="AI1285" i="2" s="1"/>
  <c r="AG1285" i="2"/>
  <c r="AF1285" i="2"/>
  <c r="AE1285" i="2"/>
  <c r="AD1285" i="2"/>
  <c r="AN1284" i="2"/>
  <c r="AL1284" i="2"/>
  <c r="AK1284" i="2"/>
  <c r="AJ1284" i="2"/>
  <c r="AI1284" i="2"/>
  <c r="AH1284" i="2"/>
  <c r="AG1284" i="2"/>
  <c r="AF1284" i="2"/>
  <c r="AE1284" i="2"/>
  <c r="AD1284" i="2"/>
  <c r="AL1283" i="2"/>
  <c r="AK1283" i="2"/>
  <c r="AN1283" i="2" s="1"/>
  <c r="AJ1283" i="2"/>
  <c r="AH1283" i="2"/>
  <c r="AI1283" i="2" s="1"/>
  <c r="AG1283" i="2"/>
  <c r="AF1283" i="2"/>
  <c r="AE1283" i="2"/>
  <c r="AD1283" i="2"/>
  <c r="AL1282" i="2"/>
  <c r="AM1282" i="2" s="1"/>
  <c r="AK1282" i="2"/>
  <c r="AJ1282" i="2"/>
  <c r="AH1282" i="2"/>
  <c r="AI1282" i="2" s="1"/>
  <c r="AG1282" i="2"/>
  <c r="AF1282" i="2"/>
  <c r="AE1282" i="2"/>
  <c r="AD1282" i="2"/>
  <c r="AL1281" i="2"/>
  <c r="AK1281" i="2"/>
  <c r="AJ1281" i="2"/>
  <c r="AH1281" i="2"/>
  <c r="AI1281" i="2" s="1"/>
  <c r="AG1281" i="2"/>
  <c r="AF1281" i="2"/>
  <c r="AE1281" i="2"/>
  <c r="AD1281" i="2"/>
  <c r="AL1280" i="2"/>
  <c r="AK1280" i="2"/>
  <c r="AM1280" i="2" s="1"/>
  <c r="AJ1280" i="2"/>
  <c r="AH1280" i="2"/>
  <c r="AI1280" i="2" s="1"/>
  <c r="AG1280" i="2"/>
  <c r="AF1280" i="2"/>
  <c r="AE1280" i="2"/>
  <c r="AD1280" i="2"/>
  <c r="AL1279" i="2"/>
  <c r="AK1279" i="2"/>
  <c r="AJ1279" i="2"/>
  <c r="AI1279" i="2"/>
  <c r="AH1279" i="2"/>
  <c r="AG1279" i="2"/>
  <c r="AF1279" i="2"/>
  <c r="AE1279" i="2"/>
  <c r="AD1279" i="2"/>
  <c r="AL1278" i="2"/>
  <c r="AK1278" i="2"/>
  <c r="AN1278" i="2" s="1"/>
  <c r="AJ1278" i="2"/>
  <c r="AH1278" i="2"/>
  <c r="AI1278" i="2" s="1"/>
  <c r="AG1278" i="2"/>
  <c r="AF1278" i="2"/>
  <c r="AE1278" i="2"/>
  <c r="AD1278" i="2"/>
  <c r="AL1277" i="2"/>
  <c r="AM1277" i="2" s="1"/>
  <c r="AK1277" i="2"/>
  <c r="AJ1277" i="2"/>
  <c r="AH1277" i="2"/>
  <c r="AI1277" i="2" s="1"/>
  <c r="AG1277" i="2"/>
  <c r="AF1277" i="2"/>
  <c r="AE1277" i="2"/>
  <c r="AD1277" i="2"/>
  <c r="AL1276" i="2"/>
  <c r="AK1276" i="2"/>
  <c r="AJ1276" i="2"/>
  <c r="AI1276" i="2"/>
  <c r="AH1276" i="2"/>
  <c r="AG1276" i="2"/>
  <c r="AF1276" i="2"/>
  <c r="AE1276" i="2"/>
  <c r="AD1276" i="2"/>
  <c r="AL1275" i="2"/>
  <c r="AK1275" i="2"/>
  <c r="AN1275" i="2" s="1"/>
  <c r="AJ1275" i="2"/>
  <c r="AH1275" i="2"/>
  <c r="AI1275" i="2" s="1"/>
  <c r="AG1275" i="2"/>
  <c r="AF1275" i="2"/>
  <c r="AE1275" i="2"/>
  <c r="AD1275" i="2"/>
  <c r="AN1274" i="2"/>
  <c r="AM1274" i="2"/>
  <c r="AL1274" i="2"/>
  <c r="AK1274" i="2"/>
  <c r="AJ1274" i="2"/>
  <c r="AH1274" i="2"/>
  <c r="AI1274" i="2" s="1"/>
  <c r="AG1274" i="2"/>
  <c r="AF1274" i="2"/>
  <c r="AE1274" i="2"/>
  <c r="AD1274" i="2"/>
  <c r="AL1273" i="2"/>
  <c r="AK1273" i="2"/>
  <c r="AN1273" i="2" s="1"/>
  <c r="AJ1273" i="2"/>
  <c r="AI1273" i="2"/>
  <c r="AH1273" i="2"/>
  <c r="AG1273" i="2"/>
  <c r="AF1273" i="2"/>
  <c r="AE1273" i="2"/>
  <c r="AD1273" i="2"/>
  <c r="AL1272" i="2"/>
  <c r="AK1272" i="2"/>
  <c r="AM1272" i="2" s="1"/>
  <c r="AJ1272" i="2"/>
  <c r="AH1272" i="2"/>
  <c r="AI1272" i="2" s="1"/>
  <c r="AG1272" i="2"/>
  <c r="AF1272" i="2"/>
  <c r="AE1272" i="2"/>
  <c r="AD1272" i="2"/>
  <c r="AL1271" i="2"/>
  <c r="AK1271" i="2"/>
  <c r="AJ1271" i="2"/>
  <c r="AH1271" i="2"/>
  <c r="AI1271" i="2" s="1"/>
  <c r="AG1271" i="2"/>
  <c r="AF1271" i="2"/>
  <c r="AE1271" i="2"/>
  <c r="AD1271" i="2"/>
  <c r="AL1270" i="2"/>
  <c r="AK1270" i="2"/>
  <c r="AJ1270" i="2"/>
  <c r="AH1270" i="2"/>
  <c r="AI1270" i="2" s="1"/>
  <c r="AG1270" i="2"/>
  <c r="AF1270" i="2"/>
  <c r="AE1270" i="2"/>
  <c r="AD1270" i="2"/>
  <c r="AM1269" i="2"/>
  <c r="AL1269" i="2"/>
  <c r="AK1269" i="2"/>
  <c r="AJ1269" i="2"/>
  <c r="AH1269" i="2"/>
  <c r="AI1269" i="2" s="1"/>
  <c r="AG1269" i="2"/>
  <c r="AF1269" i="2"/>
  <c r="AE1269" i="2"/>
  <c r="AD1269" i="2"/>
  <c r="AL1268" i="2"/>
  <c r="AK1268" i="2"/>
  <c r="AJ1268" i="2"/>
  <c r="AH1268" i="2"/>
  <c r="AI1268" i="2" s="1"/>
  <c r="AG1268" i="2"/>
  <c r="AF1268" i="2"/>
  <c r="AE1268" i="2"/>
  <c r="AD1268" i="2"/>
  <c r="AL1267" i="2"/>
  <c r="AN1267" i="2" s="1"/>
  <c r="AK1267" i="2"/>
  <c r="AJ1267" i="2"/>
  <c r="AI1267" i="2"/>
  <c r="AH1267" i="2"/>
  <c r="AG1267" i="2"/>
  <c r="AF1267" i="2"/>
  <c r="AE1267" i="2"/>
  <c r="AD1267" i="2"/>
  <c r="AL1266" i="2"/>
  <c r="AN1266" i="2" s="1"/>
  <c r="AK1266" i="2"/>
  <c r="AJ1266" i="2"/>
  <c r="AH1266" i="2"/>
  <c r="AI1266" i="2" s="1"/>
  <c r="AG1266" i="2"/>
  <c r="AF1266" i="2"/>
  <c r="AE1266" i="2"/>
  <c r="AD1266" i="2"/>
  <c r="AL1265" i="2"/>
  <c r="AK1265" i="2"/>
  <c r="AN1265" i="2" s="1"/>
  <c r="AJ1265" i="2"/>
  <c r="AH1265" i="2"/>
  <c r="AI1265" i="2" s="1"/>
  <c r="AG1265" i="2"/>
  <c r="AF1265" i="2"/>
  <c r="AE1265" i="2"/>
  <c r="AD1265" i="2"/>
  <c r="AL1264" i="2"/>
  <c r="AK1264" i="2"/>
  <c r="AJ1264" i="2"/>
  <c r="AI1264" i="2"/>
  <c r="AH1264" i="2"/>
  <c r="AG1264" i="2"/>
  <c r="AF1264" i="2"/>
  <c r="AE1264" i="2"/>
  <c r="AD1264" i="2"/>
  <c r="AL1263" i="2"/>
  <c r="AK1263" i="2"/>
  <c r="AJ1263" i="2"/>
  <c r="AH1263" i="2"/>
  <c r="AI1263" i="2" s="1"/>
  <c r="AG1263" i="2"/>
  <c r="AF1263" i="2"/>
  <c r="AE1263" i="2"/>
  <c r="AD1263" i="2"/>
  <c r="AN1262" i="2"/>
  <c r="AM1262" i="2"/>
  <c r="AL1262" i="2"/>
  <c r="AK1262" i="2"/>
  <c r="AJ1262" i="2"/>
  <c r="AH1262" i="2"/>
  <c r="AI1262" i="2" s="1"/>
  <c r="AG1262" i="2"/>
  <c r="AF1262" i="2"/>
  <c r="AE1262" i="2"/>
  <c r="AD1262" i="2"/>
  <c r="AL1261" i="2"/>
  <c r="AK1261" i="2"/>
  <c r="AJ1261" i="2"/>
  <c r="AH1261" i="2"/>
  <c r="AI1261" i="2" s="1"/>
  <c r="AG1261" i="2"/>
  <c r="AF1261" i="2"/>
  <c r="AE1261" i="2"/>
  <c r="AD1261" i="2"/>
  <c r="AN1260" i="2"/>
  <c r="AL1260" i="2"/>
  <c r="AK1260" i="2"/>
  <c r="AM1260" i="2" s="1"/>
  <c r="AJ1260" i="2"/>
  <c r="AH1260" i="2"/>
  <c r="AI1260" i="2" s="1"/>
  <c r="AG1260" i="2"/>
  <c r="AF1260" i="2"/>
  <c r="AE1260" i="2"/>
  <c r="AD1260" i="2"/>
  <c r="AL1259" i="2"/>
  <c r="AK1259" i="2"/>
  <c r="AJ1259" i="2"/>
  <c r="AH1259" i="2"/>
  <c r="AI1259" i="2" s="1"/>
  <c r="AG1259" i="2"/>
  <c r="AF1259" i="2"/>
  <c r="AE1259" i="2"/>
  <c r="AD1259" i="2"/>
  <c r="AL1258" i="2"/>
  <c r="AK1258" i="2"/>
  <c r="AJ1258" i="2"/>
  <c r="AI1258" i="2"/>
  <c r="AH1258" i="2"/>
  <c r="AG1258" i="2"/>
  <c r="AF1258" i="2"/>
  <c r="AE1258" i="2"/>
  <c r="AD1258" i="2"/>
  <c r="AL1257" i="2"/>
  <c r="AK1257" i="2"/>
  <c r="AM1257" i="2" s="1"/>
  <c r="AJ1257" i="2"/>
  <c r="AH1257" i="2"/>
  <c r="AI1257" i="2" s="1"/>
  <c r="AG1257" i="2"/>
  <c r="AF1257" i="2"/>
  <c r="AE1257" i="2"/>
  <c r="AD1257" i="2"/>
  <c r="AL1256" i="2"/>
  <c r="AN1256" i="2" s="1"/>
  <c r="AK1256" i="2"/>
  <c r="AJ1256" i="2"/>
  <c r="AI1256" i="2"/>
  <c r="AH1256" i="2"/>
  <c r="AG1256" i="2"/>
  <c r="AF1256" i="2"/>
  <c r="AE1256" i="2"/>
  <c r="AD1256" i="2"/>
  <c r="AL1255" i="2"/>
  <c r="AK1255" i="2"/>
  <c r="AJ1255" i="2"/>
  <c r="AH1255" i="2"/>
  <c r="AI1255" i="2" s="1"/>
  <c r="AG1255" i="2"/>
  <c r="AF1255" i="2"/>
  <c r="AE1255" i="2"/>
  <c r="AD1255" i="2"/>
  <c r="AN1254" i="2"/>
  <c r="AM1254" i="2"/>
  <c r="AL1254" i="2"/>
  <c r="AK1254" i="2"/>
  <c r="AJ1254" i="2"/>
  <c r="AH1254" i="2"/>
  <c r="AI1254" i="2" s="1"/>
  <c r="AG1254" i="2"/>
  <c r="AF1254" i="2"/>
  <c r="AE1254" i="2"/>
  <c r="AD1254" i="2"/>
  <c r="AL1253" i="2"/>
  <c r="AK1253" i="2"/>
  <c r="AN1253" i="2" s="1"/>
  <c r="AJ1253" i="2"/>
  <c r="AH1253" i="2"/>
  <c r="AI1253" i="2" s="1"/>
  <c r="AG1253" i="2"/>
  <c r="AF1253" i="2"/>
  <c r="AE1253" i="2"/>
  <c r="AD1253" i="2"/>
  <c r="AL1252" i="2"/>
  <c r="AK1252" i="2"/>
  <c r="AJ1252" i="2"/>
  <c r="AI1252" i="2"/>
  <c r="AH1252" i="2"/>
  <c r="AG1252" i="2"/>
  <c r="AF1252" i="2"/>
  <c r="AE1252" i="2"/>
  <c r="AD1252" i="2"/>
  <c r="AL1251" i="2"/>
  <c r="AK1251" i="2"/>
  <c r="AJ1251" i="2"/>
  <c r="AH1251" i="2"/>
  <c r="AI1251" i="2" s="1"/>
  <c r="AG1251" i="2"/>
  <c r="AF1251" i="2"/>
  <c r="AE1251" i="2"/>
  <c r="AD1251" i="2"/>
  <c r="AL1250" i="2"/>
  <c r="AK1250" i="2"/>
  <c r="AM1250" i="2" s="1"/>
  <c r="AJ1250" i="2"/>
  <c r="AH1250" i="2"/>
  <c r="AI1250" i="2" s="1"/>
  <c r="AG1250" i="2"/>
  <c r="AF1250" i="2"/>
  <c r="AE1250" i="2"/>
  <c r="AD1250" i="2"/>
  <c r="AL1249" i="2"/>
  <c r="AK1249" i="2"/>
  <c r="AJ1249" i="2"/>
  <c r="AH1249" i="2"/>
  <c r="AI1249" i="2" s="1"/>
  <c r="AG1249" i="2"/>
  <c r="AF1249" i="2"/>
  <c r="AE1249" i="2"/>
  <c r="AD1249" i="2"/>
  <c r="AL1248" i="2"/>
  <c r="AK1248" i="2"/>
  <c r="AJ1248" i="2"/>
  <c r="AH1248" i="2"/>
  <c r="AI1248" i="2" s="1"/>
  <c r="AG1248" i="2"/>
  <c r="AF1248" i="2"/>
  <c r="AE1248" i="2"/>
  <c r="AD1248" i="2"/>
  <c r="AN1247" i="2"/>
  <c r="AL1247" i="2"/>
  <c r="AK1247" i="2"/>
  <c r="AM1247" i="2" s="1"/>
  <c r="AJ1247" i="2"/>
  <c r="AH1247" i="2"/>
  <c r="AI1247" i="2" s="1"/>
  <c r="AG1247" i="2"/>
  <c r="AF1247" i="2"/>
  <c r="AE1247" i="2"/>
  <c r="AD1247" i="2"/>
  <c r="AL1246" i="2"/>
  <c r="AK1246" i="2"/>
  <c r="AJ1246" i="2"/>
  <c r="AH1246" i="2"/>
  <c r="AI1246" i="2" s="1"/>
  <c r="AG1246" i="2"/>
  <c r="AF1246" i="2"/>
  <c r="AE1246" i="2"/>
  <c r="AD1246" i="2"/>
  <c r="AL1245" i="2"/>
  <c r="AM1245" i="2" s="1"/>
  <c r="AK1245" i="2"/>
  <c r="AN1245" i="2" s="1"/>
  <c r="AJ1245" i="2"/>
  <c r="AH1245" i="2"/>
  <c r="AI1245" i="2" s="1"/>
  <c r="AG1245" i="2"/>
  <c r="AF1245" i="2"/>
  <c r="AE1245" i="2"/>
  <c r="AD1245" i="2"/>
  <c r="AL1244" i="2"/>
  <c r="AK1244" i="2"/>
  <c r="AJ1244" i="2"/>
  <c r="AI1244" i="2"/>
  <c r="AH1244" i="2"/>
  <c r="AG1244" i="2"/>
  <c r="AF1244" i="2"/>
  <c r="AE1244" i="2"/>
  <c r="AD1244" i="2"/>
  <c r="AL1243" i="2"/>
  <c r="AK1243" i="2"/>
  <c r="AJ1243" i="2"/>
  <c r="AH1243" i="2"/>
  <c r="AI1243" i="2" s="1"/>
  <c r="AG1243" i="2"/>
  <c r="AF1243" i="2"/>
  <c r="AE1243" i="2"/>
  <c r="AD1243" i="2"/>
  <c r="AN1242" i="2"/>
  <c r="AL1242" i="2"/>
  <c r="AK1242" i="2"/>
  <c r="AM1242" i="2" s="1"/>
  <c r="AJ1242" i="2"/>
  <c r="AH1242" i="2"/>
  <c r="AI1242" i="2" s="1"/>
  <c r="AG1242" i="2"/>
  <c r="AF1242" i="2"/>
  <c r="AE1242" i="2"/>
  <c r="AD1242" i="2"/>
  <c r="AL1241" i="2"/>
  <c r="AK1241" i="2"/>
  <c r="AN1241" i="2" s="1"/>
  <c r="AJ1241" i="2"/>
  <c r="AH1241" i="2"/>
  <c r="AI1241" i="2" s="1"/>
  <c r="AG1241" i="2"/>
  <c r="AF1241" i="2"/>
  <c r="AE1241" i="2"/>
  <c r="AD1241" i="2"/>
  <c r="AL1240" i="2"/>
  <c r="AK1240" i="2"/>
  <c r="AJ1240" i="2"/>
  <c r="AI1240" i="2"/>
  <c r="AH1240" i="2"/>
  <c r="AG1240" i="2"/>
  <c r="AF1240" i="2"/>
  <c r="AE1240" i="2"/>
  <c r="AD1240" i="2"/>
  <c r="AL1239" i="2"/>
  <c r="AK1239" i="2"/>
  <c r="AJ1239" i="2"/>
  <c r="AH1239" i="2"/>
  <c r="AI1239" i="2" s="1"/>
  <c r="AG1239" i="2"/>
  <c r="AF1239" i="2"/>
  <c r="AE1239" i="2"/>
  <c r="AD1239" i="2"/>
  <c r="AN1238" i="2"/>
  <c r="AM1238" i="2"/>
  <c r="AL1238" i="2"/>
  <c r="AK1238" i="2"/>
  <c r="AJ1238" i="2"/>
  <c r="AH1238" i="2"/>
  <c r="AI1238" i="2" s="1"/>
  <c r="AG1238" i="2"/>
  <c r="AF1238" i="2"/>
  <c r="AE1238" i="2"/>
  <c r="AD1238" i="2"/>
  <c r="AL1237" i="2"/>
  <c r="AK1237" i="2"/>
  <c r="AJ1237" i="2"/>
  <c r="AH1237" i="2"/>
  <c r="AI1237" i="2" s="1"/>
  <c r="AG1237" i="2"/>
  <c r="AF1237" i="2"/>
  <c r="AE1237" i="2"/>
  <c r="AD1237" i="2"/>
  <c r="AL1236" i="2"/>
  <c r="AK1236" i="2"/>
  <c r="AJ1236" i="2"/>
  <c r="AH1236" i="2"/>
  <c r="AI1236" i="2" s="1"/>
  <c r="AG1236" i="2"/>
  <c r="AF1236" i="2"/>
  <c r="AE1236" i="2"/>
  <c r="AD1236" i="2"/>
  <c r="AN1235" i="2"/>
  <c r="AL1235" i="2"/>
  <c r="AK1235" i="2"/>
  <c r="AM1235" i="2" s="1"/>
  <c r="AJ1235" i="2"/>
  <c r="AH1235" i="2"/>
  <c r="AI1235" i="2" s="1"/>
  <c r="AG1235" i="2"/>
  <c r="AF1235" i="2"/>
  <c r="AE1235" i="2"/>
  <c r="AD1235" i="2"/>
  <c r="AL1234" i="2"/>
  <c r="AK1234" i="2"/>
  <c r="AJ1234" i="2"/>
  <c r="AH1234" i="2"/>
  <c r="AI1234" i="2" s="1"/>
  <c r="AG1234" i="2"/>
  <c r="AF1234" i="2"/>
  <c r="AE1234" i="2"/>
  <c r="AD1234" i="2"/>
  <c r="AL1233" i="2"/>
  <c r="AK1233" i="2"/>
  <c r="AJ1233" i="2"/>
  <c r="AI1233" i="2"/>
  <c r="AH1233" i="2"/>
  <c r="AG1233" i="2"/>
  <c r="AF1233" i="2"/>
  <c r="AE1233" i="2"/>
  <c r="AD1233" i="2"/>
  <c r="AL1232" i="2"/>
  <c r="AK1232" i="2"/>
  <c r="AJ1232" i="2"/>
  <c r="AI1232" i="2"/>
  <c r="AH1232" i="2"/>
  <c r="AG1232" i="2"/>
  <c r="AF1232" i="2"/>
  <c r="AE1232" i="2"/>
  <c r="AD1232" i="2"/>
  <c r="AL1231" i="2"/>
  <c r="AK1231" i="2"/>
  <c r="AJ1231" i="2"/>
  <c r="AH1231" i="2"/>
  <c r="AI1231" i="2" s="1"/>
  <c r="AG1231" i="2"/>
  <c r="AF1231" i="2"/>
  <c r="AE1231" i="2"/>
  <c r="AD1231" i="2"/>
  <c r="AN1230" i="2"/>
  <c r="AM1230" i="2"/>
  <c r="AL1230" i="2"/>
  <c r="AK1230" i="2"/>
  <c r="AJ1230" i="2"/>
  <c r="AH1230" i="2"/>
  <c r="AI1230" i="2" s="1"/>
  <c r="AG1230" i="2"/>
  <c r="AF1230" i="2"/>
  <c r="AE1230" i="2"/>
  <c r="AD1230" i="2"/>
  <c r="AL1229" i="2"/>
  <c r="AK1229" i="2"/>
  <c r="AM1229" i="2" s="1"/>
  <c r="AJ1229" i="2"/>
  <c r="AI1229" i="2"/>
  <c r="AH1229" i="2"/>
  <c r="AG1229" i="2"/>
  <c r="AF1229" i="2"/>
  <c r="AE1229" i="2"/>
  <c r="AD1229" i="2"/>
  <c r="AL1228" i="2"/>
  <c r="AK1228" i="2"/>
  <c r="AJ1228" i="2"/>
  <c r="AH1228" i="2"/>
  <c r="AI1228" i="2" s="1"/>
  <c r="AG1228" i="2"/>
  <c r="AF1228" i="2"/>
  <c r="AE1228" i="2"/>
  <c r="AD1228" i="2"/>
  <c r="AN1227" i="2"/>
  <c r="AL1227" i="2"/>
  <c r="AK1227" i="2"/>
  <c r="AJ1227" i="2"/>
  <c r="AH1227" i="2"/>
  <c r="AI1227" i="2" s="1"/>
  <c r="AG1227" i="2"/>
  <c r="AF1227" i="2"/>
  <c r="AE1227" i="2"/>
  <c r="AD1227" i="2"/>
  <c r="AL1226" i="2"/>
  <c r="AK1226" i="2"/>
  <c r="AM1226" i="2" s="1"/>
  <c r="AJ1226" i="2"/>
  <c r="AH1226" i="2"/>
  <c r="AI1226" i="2" s="1"/>
  <c r="AG1226" i="2"/>
  <c r="AF1226" i="2"/>
  <c r="AE1226" i="2"/>
  <c r="AD1226" i="2"/>
  <c r="AL1225" i="2"/>
  <c r="AM1225" i="2" s="1"/>
  <c r="AK1225" i="2"/>
  <c r="AJ1225" i="2"/>
  <c r="AH1225" i="2"/>
  <c r="AI1225" i="2" s="1"/>
  <c r="AG1225" i="2"/>
  <c r="AF1225" i="2"/>
  <c r="AE1225" i="2"/>
  <c r="AD1225" i="2"/>
  <c r="AL1224" i="2"/>
  <c r="AK1224" i="2"/>
  <c r="AJ1224" i="2"/>
  <c r="AI1224" i="2"/>
  <c r="AH1224" i="2"/>
  <c r="AG1224" i="2"/>
  <c r="AF1224" i="2"/>
  <c r="AE1224" i="2"/>
  <c r="AD1224" i="2"/>
  <c r="AL1223" i="2"/>
  <c r="AK1223" i="2"/>
  <c r="AJ1223" i="2"/>
  <c r="AH1223" i="2"/>
  <c r="AI1223" i="2" s="1"/>
  <c r="AG1223" i="2"/>
  <c r="AF1223" i="2"/>
  <c r="AE1223" i="2"/>
  <c r="AD1223" i="2"/>
  <c r="AN1222" i="2"/>
  <c r="AL1222" i="2"/>
  <c r="AK1222" i="2"/>
  <c r="AM1222" i="2" s="1"/>
  <c r="AJ1222" i="2"/>
  <c r="AH1222" i="2"/>
  <c r="AI1222" i="2" s="1"/>
  <c r="AG1222" i="2"/>
  <c r="AF1222" i="2"/>
  <c r="AE1222" i="2"/>
  <c r="AD1222" i="2"/>
  <c r="AM1221" i="2"/>
  <c r="AL1221" i="2"/>
  <c r="AN1221" i="2" s="1"/>
  <c r="AK1221" i="2"/>
  <c r="AJ1221" i="2"/>
  <c r="AH1221" i="2"/>
  <c r="AI1221" i="2" s="1"/>
  <c r="AG1221" i="2"/>
  <c r="AF1221" i="2"/>
  <c r="AE1221" i="2"/>
  <c r="AD1221" i="2"/>
  <c r="AL1220" i="2"/>
  <c r="AK1220" i="2"/>
  <c r="AJ1220" i="2"/>
  <c r="AH1220" i="2"/>
  <c r="AI1220" i="2" s="1"/>
  <c r="AG1220" i="2"/>
  <c r="AF1220" i="2"/>
  <c r="AE1220" i="2"/>
  <c r="AD1220" i="2"/>
  <c r="AL1219" i="2"/>
  <c r="AK1219" i="2"/>
  <c r="AJ1219" i="2"/>
  <c r="AH1219" i="2"/>
  <c r="AI1219" i="2" s="1"/>
  <c r="AG1219" i="2"/>
  <c r="AF1219" i="2"/>
  <c r="AE1219" i="2"/>
  <c r="AD1219" i="2"/>
  <c r="AN1218" i="2"/>
  <c r="AL1218" i="2"/>
  <c r="AK1218" i="2"/>
  <c r="AM1218" i="2" s="1"/>
  <c r="AJ1218" i="2"/>
  <c r="AH1218" i="2"/>
  <c r="AI1218" i="2" s="1"/>
  <c r="AG1218" i="2"/>
  <c r="AF1218" i="2"/>
  <c r="AE1218" i="2"/>
  <c r="AD1218" i="2"/>
  <c r="AL1217" i="2"/>
  <c r="AK1217" i="2"/>
  <c r="AN1217" i="2" s="1"/>
  <c r="AJ1217" i="2"/>
  <c r="AH1217" i="2"/>
  <c r="AI1217" i="2" s="1"/>
  <c r="AG1217" i="2"/>
  <c r="AF1217" i="2"/>
  <c r="AE1217" i="2"/>
  <c r="AD1217" i="2"/>
  <c r="AL1216" i="2"/>
  <c r="AK1216" i="2"/>
  <c r="AJ1216" i="2"/>
  <c r="AH1216" i="2"/>
  <c r="AI1216" i="2" s="1"/>
  <c r="AG1216" i="2"/>
  <c r="AF1216" i="2"/>
  <c r="AE1216" i="2"/>
  <c r="AD1216" i="2"/>
  <c r="AN1215" i="2"/>
  <c r="AL1215" i="2"/>
  <c r="AK1215" i="2"/>
  <c r="AM1215" i="2" s="1"/>
  <c r="AJ1215" i="2"/>
  <c r="AI1215" i="2"/>
  <c r="AH1215" i="2"/>
  <c r="AG1215" i="2"/>
  <c r="AF1215" i="2"/>
  <c r="AE1215" i="2"/>
  <c r="AD1215" i="2"/>
  <c r="AL1214" i="2"/>
  <c r="AK1214" i="2"/>
  <c r="AJ1214" i="2"/>
  <c r="AH1214" i="2"/>
  <c r="AI1214" i="2" s="1"/>
  <c r="AG1214" i="2"/>
  <c r="AF1214" i="2"/>
  <c r="AE1214" i="2"/>
  <c r="AD1214" i="2"/>
  <c r="AN1213" i="2"/>
  <c r="AL1213" i="2"/>
  <c r="AK1213" i="2"/>
  <c r="AJ1213" i="2"/>
  <c r="AI1213" i="2"/>
  <c r="AH1213" i="2"/>
  <c r="AG1213" i="2"/>
  <c r="AF1213" i="2"/>
  <c r="AE1213" i="2"/>
  <c r="AD1213" i="2"/>
  <c r="AL1212" i="2"/>
  <c r="AK1212" i="2"/>
  <c r="AJ1212" i="2"/>
  <c r="AH1212" i="2"/>
  <c r="AI1212" i="2" s="1"/>
  <c r="AG1212" i="2"/>
  <c r="AF1212" i="2"/>
  <c r="AE1212" i="2"/>
  <c r="AD1212" i="2"/>
  <c r="AN1211" i="2"/>
  <c r="AL1211" i="2"/>
  <c r="AK1211" i="2"/>
  <c r="AJ1211" i="2"/>
  <c r="AH1211" i="2"/>
  <c r="AI1211" i="2" s="1"/>
  <c r="AG1211" i="2"/>
  <c r="AF1211" i="2"/>
  <c r="AE1211" i="2"/>
  <c r="AD1211" i="2"/>
  <c r="AN1210" i="2"/>
  <c r="AL1210" i="2"/>
  <c r="AK1210" i="2"/>
  <c r="AM1210" i="2" s="1"/>
  <c r="AJ1210" i="2"/>
  <c r="AH1210" i="2"/>
  <c r="AI1210" i="2" s="1"/>
  <c r="AG1210" i="2"/>
  <c r="AF1210" i="2"/>
  <c r="AE1210" i="2"/>
  <c r="AD1210" i="2"/>
  <c r="AL1209" i="2"/>
  <c r="AK1209" i="2"/>
  <c r="AJ1209" i="2"/>
  <c r="AH1209" i="2"/>
  <c r="AI1209" i="2" s="1"/>
  <c r="AG1209" i="2"/>
  <c r="AF1209" i="2"/>
  <c r="AE1209" i="2"/>
  <c r="AD1209" i="2"/>
  <c r="AL1208" i="2"/>
  <c r="AK1208" i="2"/>
  <c r="AJ1208" i="2"/>
  <c r="AI1208" i="2"/>
  <c r="AH1208" i="2"/>
  <c r="AG1208" i="2"/>
  <c r="AF1208" i="2"/>
  <c r="AE1208" i="2"/>
  <c r="AD1208" i="2"/>
  <c r="AL1207" i="2"/>
  <c r="AK1207" i="2"/>
  <c r="AJ1207" i="2"/>
  <c r="AH1207" i="2"/>
  <c r="AI1207" i="2" s="1"/>
  <c r="AG1207" i="2"/>
  <c r="AF1207" i="2"/>
  <c r="AE1207" i="2"/>
  <c r="AD1207" i="2"/>
  <c r="AN1206" i="2"/>
  <c r="AL1206" i="2"/>
  <c r="AK1206" i="2"/>
  <c r="AM1206" i="2" s="1"/>
  <c r="AJ1206" i="2"/>
  <c r="AH1206" i="2"/>
  <c r="AI1206" i="2" s="1"/>
  <c r="AG1206" i="2"/>
  <c r="AF1206" i="2"/>
  <c r="AE1206" i="2"/>
  <c r="AD1206" i="2"/>
  <c r="AL1205" i="2"/>
  <c r="AK1205" i="2"/>
  <c r="AN1205" i="2" s="1"/>
  <c r="AJ1205" i="2"/>
  <c r="AI1205" i="2"/>
  <c r="AH1205" i="2"/>
  <c r="AG1205" i="2"/>
  <c r="AF1205" i="2"/>
  <c r="AE1205" i="2"/>
  <c r="AD1205" i="2"/>
  <c r="AL1204" i="2"/>
  <c r="AK1204" i="2"/>
  <c r="AJ1204" i="2"/>
  <c r="AH1204" i="2"/>
  <c r="AI1204" i="2" s="1"/>
  <c r="AG1204" i="2"/>
  <c r="AF1204" i="2"/>
  <c r="AE1204" i="2"/>
  <c r="AD1204" i="2"/>
  <c r="AN1203" i="2"/>
  <c r="AL1203" i="2"/>
  <c r="AK1203" i="2"/>
  <c r="AJ1203" i="2"/>
  <c r="AI1203" i="2"/>
  <c r="AH1203" i="2"/>
  <c r="AG1203" i="2"/>
  <c r="AF1203" i="2"/>
  <c r="AE1203" i="2"/>
  <c r="AD1203" i="2"/>
  <c r="AM1202" i="2"/>
  <c r="AL1202" i="2"/>
  <c r="AN1202" i="2" s="1"/>
  <c r="AK1202" i="2"/>
  <c r="AJ1202" i="2"/>
  <c r="AH1202" i="2"/>
  <c r="AI1202" i="2" s="1"/>
  <c r="AG1202" i="2"/>
  <c r="AF1202" i="2"/>
  <c r="AE1202" i="2"/>
  <c r="AD1202" i="2"/>
  <c r="AL1201" i="2"/>
  <c r="AN1201" i="2" s="1"/>
  <c r="AK1201" i="2"/>
  <c r="AJ1201" i="2"/>
  <c r="AH1201" i="2"/>
  <c r="AI1201" i="2" s="1"/>
  <c r="AG1201" i="2"/>
  <c r="AF1201" i="2"/>
  <c r="AE1201" i="2"/>
  <c r="AD1201" i="2"/>
  <c r="AL1200" i="2"/>
  <c r="AK1200" i="2"/>
  <c r="AJ1200" i="2"/>
  <c r="AH1200" i="2"/>
  <c r="AI1200" i="2" s="1"/>
  <c r="AG1200" i="2"/>
  <c r="AF1200" i="2"/>
  <c r="AE1200" i="2"/>
  <c r="AD1200" i="2"/>
  <c r="AL1199" i="2"/>
  <c r="AK1199" i="2"/>
  <c r="AJ1199" i="2"/>
  <c r="AH1199" i="2"/>
  <c r="AI1199" i="2" s="1"/>
  <c r="AG1199" i="2"/>
  <c r="AF1199" i="2"/>
  <c r="AE1199" i="2"/>
  <c r="AD1199" i="2"/>
  <c r="AM1198" i="2"/>
  <c r="AL1198" i="2"/>
  <c r="AK1198" i="2"/>
  <c r="AN1198" i="2" s="1"/>
  <c r="AJ1198" i="2"/>
  <c r="AH1198" i="2"/>
  <c r="AI1198" i="2" s="1"/>
  <c r="AG1198" i="2"/>
  <c r="AF1198" i="2"/>
  <c r="AE1198" i="2"/>
  <c r="AD1198" i="2"/>
  <c r="AL1197" i="2"/>
  <c r="AK1197" i="2"/>
  <c r="AM1197" i="2" s="1"/>
  <c r="AJ1197" i="2"/>
  <c r="AI1197" i="2"/>
  <c r="AH1197" i="2"/>
  <c r="AG1197" i="2"/>
  <c r="AF1197" i="2"/>
  <c r="AE1197" i="2"/>
  <c r="AD1197" i="2"/>
  <c r="AL1196" i="2"/>
  <c r="AK1196" i="2"/>
  <c r="AJ1196" i="2"/>
  <c r="AH1196" i="2"/>
  <c r="AI1196" i="2" s="1"/>
  <c r="AG1196" i="2"/>
  <c r="AF1196" i="2"/>
  <c r="AE1196" i="2"/>
  <c r="AD1196" i="2"/>
  <c r="AN1195" i="2"/>
  <c r="AL1195" i="2"/>
  <c r="AK1195" i="2"/>
  <c r="AM1195" i="2" s="1"/>
  <c r="AJ1195" i="2"/>
  <c r="AH1195" i="2"/>
  <c r="AI1195" i="2" s="1"/>
  <c r="AG1195" i="2"/>
  <c r="AF1195" i="2"/>
  <c r="AE1195" i="2"/>
  <c r="AD1195" i="2"/>
  <c r="AL1194" i="2"/>
  <c r="AK1194" i="2"/>
  <c r="AJ1194" i="2"/>
  <c r="AH1194" i="2"/>
  <c r="AI1194" i="2" s="1"/>
  <c r="AG1194" i="2"/>
  <c r="AF1194" i="2"/>
  <c r="AE1194" i="2"/>
  <c r="AD1194" i="2"/>
  <c r="AL1193" i="2"/>
  <c r="AK1193" i="2"/>
  <c r="AJ1193" i="2"/>
  <c r="AI1193" i="2"/>
  <c r="AH1193" i="2"/>
  <c r="AG1193" i="2"/>
  <c r="AF1193" i="2"/>
  <c r="AE1193" i="2"/>
  <c r="AD1193" i="2"/>
  <c r="AL1192" i="2"/>
  <c r="AK1192" i="2"/>
  <c r="AJ1192" i="2"/>
  <c r="AI1192" i="2"/>
  <c r="AH1192" i="2"/>
  <c r="AG1192" i="2"/>
  <c r="AF1192" i="2"/>
  <c r="AE1192" i="2"/>
  <c r="AD1192" i="2"/>
  <c r="AL1191" i="2"/>
  <c r="AK1191" i="2"/>
  <c r="AJ1191" i="2"/>
  <c r="AH1191" i="2"/>
  <c r="AI1191" i="2" s="1"/>
  <c r="AG1191" i="2"/>
  <c r="AF1191" i="2"/>
  <c r="AE1191" i="2"/>
  <c r="AD1191" i="2"/>
  <c r="AN1190" i="2"/>
  <c r="AL1190" i="2"/>
  <c r="AK1190" i="2"/>
  <c r="AM1190" i="2" s="1"/>
  <c r="AJ1190" i="2"/>
  <c r="AH1190" i="2"/>
  <c r="AI1190" i="2" s="1"/>
  <c r="AG1190" i="2"/>
  <c r="AF1190" i="2"/>
  <c r="AE1190" i="2"/>
  <c r="AD1190" i="2"/>
  <c r="AL1189" i="2"/>
  <c r="AK1189" i="2"/>
  <c r="AJ1189" i="2"/>
  <c r="AH1189" i="2"/>
  <c r="AI1189" i="2" s="1"/>
  <c r="AG1189" i="2"/>
  <c r="AF1189" i="2"/>
  <c r="AE1189" i="2"/>
  <c r="AD1189" i="2"/>
  <c r="AL1188" i="2"/>
  <c r="AK1188" i="2"/>
  <c r="AJ1188" i="2"/>
  <c r="AH1188" i="2"/>
  <c r="AI1188" i="2" s="1"/>
  <c r="AG1188" i="2"/>
  <c r="AF1188" i="2"/>
  <c r="AE1188" i="2"/>
  <c r="AD1188" i="2"/>
  <c r="AN1187" i="2"/>
  <c r="AL1187" i="2"/>
  <c r="AK1187" i="2"/>
  <c r="AM1187" i="2" s="1"/>
  <c r="AJ1187" i="2"/>
  <c r="AH1187" i="2"/>
  <c r="AI1187" i="2" s="1"/>
  <c r="AG1187" i="2"/>
  <c r="AF1187" i="2"/>
  <c r="AE1187" i="2"/>
  <c r="AD1187" i="2"/>
  <c r="AL1186" i="2"/>
  <c r="AN1186" i="2" s="1"/>
  <c r="AK1186" i="2"/>
  <c r="AJ1186" i="2"/>
  <c r="AH1186" i="2"/>
  <c r="AI1186" i="2" s="1"/>
  <c r="AG1186" i="2"/>
  <c r="AF1186" i="2"/>
  <c r="AE1186" i="2"/>
  <c r="AD1186" i="2"/>
  <c r="AN1185" i="2"/>
  <c r="AL1185" i="2"/>
  <c r="AK1185" i="2"/>
  <c r="AJ1185" i="2"/>
  <c r="AH1185" i="2"/>
  <c r="AI1185" i="2" s="1"/>
  <c r="AG1185" i="2"/>
  <c r="AF1185" i="2"/>
  <c r="AE1185" i="2"/>
  <c r="AD1185" i="2"/>
  <c r="AL1184" i="2"/>
  <c r="AK1184" i="2"/>
  <c r="AJ1184" i="2"/>
  <c r="AI1184" i="2"/>
  <c r="AH1184" i="2"/>
  <c r="AG1184" i="2"/>
  <c r="AF1184" i="2"/>
  <c r="AE1184" i="2"/>
  <c r="AD1184" i="2"/>
  <c r="AL1183" i="2"/>
  <c r="AK1183" i="2"/>
  <c r="AJ1183" i="2"/>
  <c r="AH1183" i="2"/>
  <c r="AI1183" i="2" s="1"/>
  <c r="AG1183" i="2"/>
  <c r="AF1183" i="2"/>
  <c r="AE1183" i="2"/>
  <c r="AD1183" i="2"/>
  <c r="AN1182" i="2"/>
  <c r="AL1182" i="2"/>
  <c r="AK1182" i="2"/>
  <c r="AM1182" i="2" s="1"/>
  <c r="AJ1182" i="2"/>
  <c r="AH1182" i="2"/>
  <c r="AI1182" i="2" s="1"/>
  <c r="AG1182" i="2"/>
  <c r="AF1182" i="2"/>
  <c r="AE1182" i="2"/>
  <c r="AD1182" i="2"/>
  <c r="AL1181" i="2"/>
  <c r="AK1181" i="2"/>
  <c r="AN1181" i="2" s="1"/>
  <c r="AJ1181" i="2"/>
  <c r="AH1181" i="2"/>
  <c r="AI1181" i="2" s="1"/>
  <c r="AG1181" i="2"/>
  <c r="AF1181" i="2"/>
  <c r="AE1181" i="2"/>
  <c r="AD1181" i="2"/>
  <c r="AL1180" i="2"/>
  <c r="AK1180" i="2"/>
  <c r="AJ1180" i="2"/>
  <c r="AH1180" i="2"/>
  <c r="AI1180" i="2" s="1"/>
  <c r="AG1180" i="2"/>
  <c r="AF1180" i="2"/>
  <c r="AE1180" i="2"/>
  <c r="AD1180" i="2"/>
  <c r="AN1179" i="2"/>
  <c r="AL1179" i="2"/>
  <c r="AK1179" i="2"/>
  <c r="AJ1179" i="2"/>
  <c r="AH1179" i="2"/>
  <c r="AI1179" i="2" s="1"/>
  <c r="AG1179" i="2"/>
  <c r="AF1179" i="2"/>
  <c r="AE1179" i="2"/>
  <c r="AD1179" i="2"/>
  <c r="AL1178" i="2"/>
  <c r="AK1178" i="2"/>
  <c r="AJ1178" i="2"/>
  <c r="AH1178" i="2"/>
  <c r="AI1178" i="2" s="1"/>
  <c r="AG1178" i="2"/>
  <c r="AF1178" i="2"/>
  <c r="AE1178" i="2"/>
  <c r="AD1178" i="2"/>
  <c r="AL1177" i="2"/>
  <c r="AK1177" i="2"/>
  <c r="AJ1177" i="2"/>
  <c r="AH1177" i="2"/>
  <c r="AI1177" i="2" s="1"/>
  <c r="AG1177" i="2"/>
  <c r="AF1177" i="2"/>
  <c r="AE1177" i="2"/>
  <c r="AD1177" i="2"/>
  <c r="AL1176" i="2"/>
  <c r="AK1176" i="2"/>
  <c r="AJ1176" i="2"/>
  <c r="AH1176" i="2"/>
  <c r="AI1176" i="2" s="1"/>
  <c r="AG1176" i="2"/>
  <c r="AF1176" i="2"/>
  <c r="AE1176" i="2"/>
  <c r="AD1176" i="2"/>
  <c r="AN1175" i="2"/>
  <c r="AL1175" i="2"/>
  <c r="AK1175" i="2"/>
  <c r="AM1175" i="2" s="1"/>
  <c r="AJ1175" i="2"/>
  <c r="AI1175" i="2"/>
  <c r="AH1175" i="2"/>
  <c r="AG1175" i="2"/>
  <c r="AF1175" i="2"/>
  <c r="AE1175" i="2"/>
  <c r="AD1175" i="2"/>
  <c r="AN1174" i="2"/>
  <c r="AM1174" i="2"/>
  <c r="AL1174" i="2"/>
  <c r="AK1174" i="2"/>
  <c r="AJ1174" i="2"/>
  <c r="AH1174" i="2"/>
  <c r="AI1174" i="2" s="1"/>
  <c r="AG1174" i="2"/>
  <c r="AF1174" i="2"/>
  <c r="AE1174" i="2"/>
  <c r="AD1174" i="2"/>
  <c r="AL1173" i="2"/>
  <c r="AK1173" i="2"/>
  <c r="AJ1173" i="2"/>
  <c r="AH1173" i="2"/>
  <c r="AI1173" i="2" s="1"/>
  <c r="AG1173" i="2"/>
  <c r="AF1173" i="2"/>
  <c r="AE1173" i="2"/>
  <c r="AD1173" i="2"/>
  <c r="AL1172" i="2"/>
  <c r="AK1172" i="2"/>
  <c r="AJ1172" i="2"/>
  <c r="AH1172" i="2"/>
  <c r="AI1172" i="2" s="1"/>
  <c r="AG1172" i="2"/>
  <c r="AF1172" i="2"/>
  <c r="AE1172" i="2"/>
  <c r="AD1172" i="2"/>
  <c r="AN1171" i="2"/>
  <c r="AL1171" i="2"/>
  <c r="AK1171" i="2"/>
  <c r="AJ1171" i="2"/>
  <c r="AH1171" i="2"/>
  <c r="AI1171" i="2" s="1"/>
  <c r="AG1171" i="2"/>
  <c r="AF1171" i="2"/>
  <c r="AE1171" i="2"/>
  <c r="AD1171" i="2"/>
  <c r="AL1170" i="2"/>
  <c r="AK1170" i="2"/>
  <c r="AJ1170" i="2"/>
  <c r="AH1170" i="2"/>
  <c r="AI1170" i="2" s="1"/>
  <c r="AG1170" i="2"/>
  <c r="AF1170" i="2"/>
  <c r="AE1170" i="2"/>
  <c r="AD1170" i="2"/>
  <c r="AN1169" i="2"/>
  <c r="AL1169" i="2"/>
  <c r="AK1169" i="2"/>
  <c r="AJ1169" i="2"/>
  <c r="AH1169" i="2"/>
  <c r="AI1169" i="2" s="1"/>
  <c r="AG1169" i="2"/>
  <c r="AF1169" i="2"/>
  <c r="AE1169" i="2"/>
  <c r="AD1169" i="2"/>
  <c r="AL1168" i="2"/>
  <c r="AK1168" i="2"/>
  <c r="AJ1168" i="2"/>
  <c r="AH1168" i="2"/>
  <c r="AI1168" i="2" s="1"/>
  <c r="AG1168" i="2"/>
  <c r="AF1168" i="2"/>
  <c r="AE1168" i="2"/>
  <c r="AD1168" i="2"/>
  <c r="AL1167" i="2"/>
  <c r="AK1167" i="2"/>
  <c r="AM1167" i="2" s="1"/>
  <c r="AJ1167" i="2"/>
  <c r="AI1167" i="2"/>
  <c r="AH1167" i="2"/>
  <c r="AG1167" i="2"/>
  <c r="AF1167" i="2"/>
  <c r="AE1167" i="2"/>
  <c r="AD1167" i="2"/>
  <c r="AM1166" i="2"/>
  <c r="AL1166" i="2"/>
  <c r="AK1166" i="2"/>
  <c r="AN1166" i="2" s="1"/>
  <c r="AJ1166" i="2"/>
  <c r="AH1166" i="2"/>
  <c r="AI1166" i="2" s="1"/>
  <c r="AG1166" i="2"/>
  <c r="AF1166" i="2"/>
  <c r="AE1166" i="2"/>
  <c r="AD1166" i="2"/>
  <c r="AL1165" i="2"/>
  <c r="AK1165" i="2"/>
  <c r="AJ1165" i="2"/>
  <c r="AH1165" i="2"/>
  <c r="AI1165" i="2" s="1"/>
  <c r="AG1165" i="2"/>
  <c r="AF1165" i="2"/>
  <c r="AE1165" i="2"/>
  <c r="AD1165" i="2"/>
  <c r="AL1164" i="2"/>
  <c r="AK1164" i="2"/>
  <c r="AJ1164" i="2"/>
  <c r="AI1164" i="2"/>
  <c r="AH1164" i="2"/>
  <c r="AG1164" i="2"/>
  <c r="AF1164" i="2"/>
  <c r="AE1164" i="2"/>
  <c r="AD1164" i="2"/>
  <c r="AL1163" i="2"/>
  <c r="AK1163" i="2"/>
  <c r="AJ1163" i="2"/>
  <c r="AH1163" i="2"/>
  <c r="AI1163" i="2" s="1"/>
  <c r="AG1163" i="2"/>
  <c r="AF1163" i="2"/>
  <c r="AE1163" i="2"/>
  <c r="AD1163" i="2"/>
  <c r="AN1162" i="2"/>
  <c r="AL1162" i="2"/>
  <c r="AK1162" i="2"/>
  <c r="AM1162" i="2" s="1"/>
  <c r="AJ1162" i="2"/>
  <c r="AH1162" i="2"/>
  <c r="AI1162" i="2" s="1"/>
  <c r="AG1162" i="2"/>
  <c r="AF1162" i="2"/>
  <c r="AE1162" i="2"/>
  <c r="AD1162" i="2"/>
  <c r="AL1161" i="2"/>
  <c r="AK1161" i="2"/>
  <c r="AJ1161" i="2"/>
  <c r="AI1161" i="2"/>
  <c r="AH1161" i="2"/>
  <c r="AG1161" i="2"/>
  <c r="AF1161" i="2"/>
  <c r="AE1161" i="2"/>
  <c r="AD1161" i="2"/>
  <c r="AL1160" i="2"/>
  <c r="AK1160" i="2"/>
  <c r="AJ1160" i="2"/>
  <c r="AI1160" i="2"/>
  <c r="AH1160" i="2"/>
  <c r="AG1160" i="2"/>
  <c r="AF1160" i="2"/>
  <c r="AE1160" i="2"/>
  <c r="AD1160" i="2"/>
  <c r="AL1159" i="2"/>
  <c r="AK1159" i="2"/>
  <c r="AJ1159" i="2"/>
  <c r="AH1159" i="2"/>
  <c r="AI1159" i="2" s="1"/>
  <c r="AG1159" i="2"/>
  <c r="AF1159" i="2"/>
  <c r="AE1159" i="2"/>
  <c r="AD1159" i="2"/>
  <c r="AN1158" i="2"/>
  <c r="AM1158" i="2"/>
  <c r="AL1158" i="2"/>
  <c r="AK1158" i="2"/>
  <c r="AJ1158" i="2"/>
  <c r="AH1158" i="2"/>
  <c r="AI1158" i="2" s="1"/>
  <c r="AG1158" i="2"/>
  <c r="AF1158" i="2"/>
  <c r="AE1158" i="2"/>
  <c r="AD1158" i="2"/>
  <c r="AL1157" i="2"/>
  <c r="AK1157" i="2"/>
  <c r="AJ1157" i="2"/>
  <c r="AH1157" i="2"/>
  <c r="AI1157" i="2" s="1"/>
  <c r="AG1157" i="2"/>
  <c r="AF1157" i="2"/>
  <c r="AE1157" i="2"/>
  <c r="AD1157" i="2"/>
  <c r="AL1156" i="2"/>
  <c r="AK1156" i="2"/>
  <c r="AJ1156" i="2"/>
  <c r="AH1156" i="2"/>
  <c r="AI1156" i="2" s="1"/>
  <c r="AG1156" i="2"/>
  <c r="AF1156" i="2"/>
  <c r="AE1156" i="2"/>
  <c r="AD1156" i="2"/>
  <c r="AN1155" i="2"/>
  <c r="AL1155" i="2"/>
  <c r="AK1155" i="2"/>
  <c r="AJ1155" i="2"/>
  <c r="AH1155" i="2"/>
  <c r="AI1155" i="2" s="1"/>
  <c r="AG1155" i="2"/>
  <c r="AF1155" i="2"/>
  <c r="AE1155" i="2"/>
  <c r="AD1155" i="2"/>
  <c r="AN1154" i="2"/>
  <c r="AL1154" i="2"/>
  <c r="AK1154" i="2"/>
  <c r="AM1154" i="2" s="1"/>
  <c r="AJ1154" i="2"/>
  <c r="AH1154" i="2"/>
  <c r="AI1154" i="2" s="1"/>
  <c r="AG1154" i="2"/>
  <c r="AF1154" i="2"/>
  <c r="AE1154" i="2"/>
  <c r="AD1154" i="2"/>
  <c r="AL1153" i="2"/>
  <c r="AK1153" i="2"/>
  <c r="AN1153" i="2" s="1"/>
  <c r="AJ1153" i="2"/>
  <c r="AH1153" i="2"/>
  <c r="AI1153" i="2" s="1"/>
  <c r="AG1153" i="2"/>
  <c r="AF1153" i="2"/>
  <c r="AE1153" i="2"/>
  <c r="AD1153" i="2"/>
  <c r="AL1152" i="2"/>
  <c r="AK1152" i="2"/>
  <c r="AJ1152" i="2"/>
  <c r="AH1152" i="2"/>
  <c r="AI1152" i="2" s="1"/>
  <c r="AG1152" i="2"/>
  <c r="AF1152" i="2"/>
  <c r="AE1152" i="2"/>
  <c r="AD1152" i="2"/>
  <c r="AL1151" i="2"/>
  <c r="AK1151" i="2"/>
  <c r="AM1151" i="2" s="1"/>
  <c r="AJ1151" i="2"/>
  <c r="AI1151" i="2"/>
  <c r="AH1151" i="2"/>
  <c r="AG1151" i="2"/>
  <c r="AF1151" i="2"/>
  <c r="AE1151" i="2"/>
  <c r="AD1151" i="2"/>
  <c r="AL1150" i="2"/>
  <c r="AM1150" i="2" s="1"/>
  <c r="AK1150" i="2"/>
  <c r="AN1150" i="2" s="1"/>
  <c r="AJ1150" i="2"/>
  <c r="AH1150" i="2"/>
  <c r="AI1150" i="2" s="1"/>
  <c r="AG1150" i="2"/>
  <c r="AF1150" i="2"/>
  <c r="AE1150" i="2"/>
  <c r="AD1150" i="2"/>
  <c r="AL1149" i="2"/>
  <c r="AK1149" i="2"/>
  <c r="AN1149" i="2" s="1"/>
  <c r="AJ1149" i="2"/>
  <c r="AH1149" i="2"/>
  <c r="AI1149" i="2" s="1"/>
  <c r="AG1149" i="2"/>
  <c r="AF1149" i="2"/>
  <c r="AE1149" i="2"/>
  <c r="AD1149" i="2"/>
  <c r="AL1148" i="2"/>
  <c r="AK1148" i="2"/>
  <c r="AJ1148" i="2"/>
  <c r="AH1148" i="2"/>
  <c r="AI1148" i="2" s="1"/>
  <c r="AG1148" i="2"/>
  <c r="AF1148" i="2"/>
  <c r="AE1148" i="2"/>
  <c r="AD1148" i="2"/>
  <c r="AN1147" i="2"/>
  <c r="AL1147" i="2"/>
  <c r="AK1147" i="2"/>
  <c r="AJ1147" i="2"/>
  <c r="AH1147" i="2"/>
  <c r="AI1147" i="2" s="1"/>
  <c r="AG1147" i="2"/>
  <c r="AF1147" i="2"/>
  <c r="AE1147" i="2"/>
  <c r="AD1147" i="2"/>
  <c r="AL1146" i="2"/>
  <c r="AK1146" i="2"/>
  <c r="AJ1146" i="2"/>
  <c r="AH1146" i="2"/>
  <c r="AI1146" i="2" s="1"/>
  <c r="AG1146" i="2"/>
  <c r="AF1146" i="2"/>
  <c r="AE1146" i="2"/>
  <c r="AD1146" i="2"/>
  <c r="AL1145" i="2"/>
  <c r="AM1145" i="2" s="1"/>
  <c r="AK1145" i="2"/>
  <c r="AJ1145" i="2"/>
  <c r="AH1145" i="2"/>
  <c r="AI1145" i="2" s="1"/>
  <c r="AG1145" i="2"/>
  <c r="AF1145" i="2"/>
  <c r="AE1145" i="2"/>
  <c r="AD1145" i="2"/>
  <c r="AL1144" i="2"/>
  <c r="AK1144" i="2"/>
  <c r="AJ1144" i="2"/>
  <c r="AI1144" i="2"/>
  <c r="AH1144" i="2"/>
  <c r="AG1144" i="2"/>
  <c r="AF1144" i="2"/>
  <c r="AE1144" i="2"/>
  <c r="AD1144" i="2"/>
  <c r="AL1143" i="2"/>
  <c r="AK1143" i="2"/>
  <c r="AJ1143" i="2"/>
  <c r="AH1143" i="2"/>
  <c r="AI1143" i="2" s="1"/>
  <c r="AG1143" i="2"/>
  <c r="AF1143" i="2"/>
  <c r="AE1143" i="2"/>
  <c r="AD1143" i="2"/>
  <c r="AN1142" i="2"/>
  <c r="AM1142" i="2"/>
  <c r="AL1142" i="2"/>
  <c r="AK1142" i="2"/>
  <c r="AJ1142" i="2"/>
  <c r="AH1142" i="2"/>
  <c r="AI1142" i="2" s="1"/>
  <c r="AG1142" i="2"/>
  <c r="AF1142" i="2"/>
  <c r="AE1142" i="2"/>
  <c r="AD1142" i="2"/>
  <c r="AL1141" i="2"/>
  <c r="AK1141" i="2"/>
  <c r="AM1141" i="2" s="1"/>
  <c r="AJ1141" i="2"/>
  <c r="AH1141" i="2"/>
  <c r="AI1141" i="2" s="1"/>
  <c r="AG1141" i="2"/>
  <c r="AF1141" i="2"/>
  <c r="AE1141" i="2"/>
  <c r="AD1141" i="2"/>
  <c r="AL1140" i="2"/>
  <c r="AK1140" i="2"/>
  <c r="AJ1140" i="2"/>
  <c r="AI1140" i="2"/>
  <c r="AH1140" i="2"/>
  <c r="AG1140" i="2"/>
  <c r="AF1140" i="2"/>
  <c r="AE1140" i="2"/>
  <c r="AD1140" i="2"/>
  <c r="AL1139" i="2"/>
  <c r="AK1139" i="2"/>
  <c r="AJ1139" i="2"/>
  <c r="AH1139" i="2"/>
  <c r="AI1139" i="2" s="1"/>
  <c r="AG1139" i="2"/>
  <c r="AF1139" i="2"/>
  <c r="AE1139" i="2"/>
  <c r="AD1139" i="2"/>
  <c r="AL1138" i="2"/>
  <c r="AK1138" i="2"/>
  <c r="AJ1138" i="2"/>
  <c r="AH1138" i="2"/>
  <c r="AI1138" i="2" s="1"/>
  <c r="AG1138" i="2"/>
  <c r="AF1138" i="2"/>
  <c r="AE1138" i="2"/>
  <c r="AD1138" i="2"/>
  <c r="AL1137" i="2"/>
  <c r="AK1137" i="2"/>
  <c r="AJ1137" i="2"/>
  <c r="AH1137" i="2"/>
  <c r="AI1137" i="2" s="1"/>
  <c r="AG1137" i="2"/>
  <c r="AF1137" i="2"/>
  <c r="AE1137" i="2"/>
  <c r="AD1137" i="2"/>
  <c r="AL1136" i="2"/>
  <c r="AK1136" i="2"/>
  <c r="AJ1136" i="2"/>
  <c r="AH1136" i="2"/>
  <c r="AI1136" i="2" s="1"/>
  <c r="AG1136" i="2"/>
  <c r="AF1136" i="2"/>
  <c r="AE1136" i="2"/>
  <c r="AD1136" i="2"/>
  <c r="AN1135" i="2"/>
  <c r="AL1135" i="2"/>
  <c r="AK1135" i="2"/>
  <c r="AM1135" i="2" s="1"/>
  <c r="AJ1135" i="2"/>
  <c r="AI1135" i="2"/>
  <c r="AH1135" i="2"/>
  <c r="AG1135" i="2"/>
  <c r="AF1135" i="2"/>
  <c r="AE1135" i="2"/>
  <c r="AD1135" i="2"/>
  <c r="AL1134" i="2"/>
  <c r="AK1134" i="2"/>
  <c r="AJ1134" i="2"/>
  <c r="AH1134" i="2"/>
  <c r="AI1134" i="2" s="1"/>
  <c r="AG1134" i="2"/>
  <c r="AF1134" i="2"/>
  <c r="AE1134" i="2"/>
  <c r="AD1134" i="2"/>
  <c r="AM1133" i="2"/>
  <c r="AL1133" i="2"/>
  <c r="AK1133" i="2"/>
  <c r="AJ1133" i="2"/>
  <c r="AH1133" i="2"/>
  <c r="AI1133" i="2" s="1"/>
  <c r="AG1133" i="2"/>
  <c r="AF1133" i="2"/>
  <c r="AE1133" i="2"/>
  <c r="AD1133" i="2"/>
  <c r="AL1132" i="2"/>
  <c r="AK1132" i="2"/>
  <c r="AJ1132" i="2"/>
  <c r="AI1132" i="2"/>
  <c r="AH1132" i="2"/>
  <c r="AG1132" i="2"/>
  <c r="AF1132" i="2"/>
  <c r="AE1132" i="2"/>
  <c r="AD1132" i="2"/>
  <c r="AL1131" i="2"/>
  <c r="AK1131" i="2"/>
  <c r="AJ1131" i="2"/>
  <c r="AH1131" i="2"/>
  <c r="AI1131" i="2" s="1"/>
  <c r="AG1131" i="2"/>
  <c r="AF1131" i="2"/>
  <c r="AE1131" i="2"/>
  <c r="AD1131" i="2"/>
  <c r="AN1130" i="2"/>
  <c r="AL1130" i="2"/>
  <c r="AK1130" i="2"/>
  <c r="AM1130" i="2" s="1"/>
  <c r="AJ1130" i="2"/>
  <c r="AH1130" i="2"/>
  <c r="AI1130" i="2" s="1"/>
  <c r="AG1130" i="2"/>
  <c r="AF1130" i="2"/>
  <c r="AE1130" i="2"/>
  <c r="AD1130" i="2"/>
  <c r="AL1129" i="2"/>
  <c r="AK1129" i="2"/>
  <c r="AJ1129" i="2"/>
  <c r="AH1129" i="2"/>
  <c r="AI1129" i="2" s="1"/>
  <c r="AG1129" i="2"/>
  <c r="AF1129" i="2"/>
  <c r="AE1129" i="2"/>
  <c r="AD1129" i="2"/>
  <c r="AL1128" i="2"/>
  <c r="AK1128" i="2"/>
  <c r="AJ1128" i="2"/>
  <c r="AI1128" i="2"/>
  <c r="AH1128" i="2"/>
  <c r="AG1128" i="2"/>
  <c r="AF1128" i="2"/>
  <c r="AE1128" i="2"/>
  <c r="AD1128" i="2"/>
  <c r="AL1127" i="2"/>
  <c r="AK1127" i="2"/>
  <c r="AM1127" i="2" s="1"/>
  <c r="AJ1127" i="2"/>
  <c r="AH1127" i="2"/>
  <c r="AI1127" i="2" s="1"/>
  <c r="AG1127" i="2"/>
  <c r="AF1127" i="2"/>
  <c r="AE1127" i="2"/>
  <c r="AD1127" i="2"/>
  <c r="AL1126" i="2"/>
  <c r="AN1126" i="2" s="1"/>
  <c r="AK1126" i="2"/>
  <c r="AJ1126" i="2"/>
  <c r="AH1126" i="2"/>
  <c r="AI1126" i="2" s="1"/>
  <c r="AG1126" i="2"/>
  <c r="AF1126" i="2"/>
  <c r="AE1126" i="2"/>
  <c r="AD1126" i="2"/>
  <c r="AN1125" i="2"/>
  <c r="AL1125" i="2"/>
  <c r="AK1125" i="2"/>
  <c r="AJ1125" i="2"/>
  <c r="AH1125" i="2"/>
  <c r="AI1125" i="2" s="1"/>
  <c r="AG1125" i="2"/>
  <c r="AF1125" i="2"/>
  <c r="AE1125" i="2"/>
  <c r="AD1125" i="2"/>
  <c r="AL1124" i="2"/>
  <c r="AK1124" i="2"/>
  <c r="AJ1124" i="2"/>
  <c r="AI1124" i="2"/>
  <c r="AH1124" i="2"/>
  <c r="AG1124" i="2"/>
  <c r="AF1124" i="2"/>
  <c r="AE1124" i="2"/>
  <c r="AD1124" i="2"/>
  <c r="AL1123" i="2"/>
  <c r="AK1123" i="2"/>
  <c r="AJ1123" i="2"/>
  <c r="AH1123" i="2"/>
  <c r="AI1123" i="2" s="1"/>
  <c r="AG1123" i="2"/>
  <c r="AF1123" i="2"/>
  <c r="AE1123" i="2"/>
  <c r="AD1123" i="2"/>
  <c r="AN1122" i="2"/>
  <c r="AM1122" i="2"/>
  <c r="AL1122" i="2"/>
  <c r="AK1122" i="2"/>
  <c r="AJ1122" i="2"/>
  <c r="AH1122" i="2"/>
  <c r="AI1122" i="2" s="1"/>
  <c r="AG1122" i="2"/>
  <c r="AF1122" i="2"/>
  <c r="AE1122" i="2"/>
  <c r="AD1122" i="2"/>
  <c r="AL1121" i="2"/>
  <c r="AK1121" i="2"/>
  <c r="AN1121" i="2" s="1"/>
  <c r="AJ1121" i="2"/>
  <c r="AH1121" i="2"/>
  <c r="AI1121" i="2" s="1"/>
  <c r="AG1121" i="2"/>
  <c r="AF1121" i="2"/>
  <c r="AE1121" i="2"/>
  <c r="AD1121" i="2"/>
  <c r="AL1120" i="2"/>
  <c r="AK1120" i="2"/>
  <c r="AJ1120" i="2"/>
  <c r="AH1120" i="2"/>
  <c r="AI1120" i="2" s="1"/>
  <c r="AG1120" i="2"/>
  <c r="AF1120" i="2"/>
  <c r="AE1120" i="2"/>
  <c r="AD1120" i="2"/>
  <c r="AN1119" i="2"/>
  <c r="AL1119" i="2"/>
  <c r="AK1119" i="2"/>
  <c r="AM1119" i="2" s="1"/>
  <c r="AJ1119" i="2"/>
  <c r="AI1119" i="2"/>
  <c r="AH1119" i="2"/>
  <c r="AG1119" i="2"/>
  <c r="AF1119" i="2"/>
  <c r="AE1119" i="2"/>
  <c r="AD1119" i="2"/>
  <c r="AL1118" i="2"/>
  <c r="AK1118" i="2"/>
  <c r="AJ1118" i="2"/>
  <c r="AH1118" i="2"/>
  <c r="AI1118" i="2" s="1"/>
  <c r="AG1118" i="2"/>
  <c r="AF1118" i="2"/>
  <c r="AE1118" i="2"/>
  <c r="AD1118" i="2"/>
  <c r="AL1117" i="2"/>
  <c r="AM1117" i="2" s="1"/>
  <c r="AK1117" i="2"/>
  <c r="AJ1117" i="2"/>
  <c r="AH1117" i="2"/>
  <c r="AI1117" i="2" s="1"/>
  <c r="AG1117" i="2"/>
  <c r="AF1117" i="2"/>
  <c r="AE1117" i="2"/>
  <c r="AD1117" i="2"/>
  <c r="AL1116" i="2"/>
  <c r="AK1116" i="2"/>
  <c r="AJ1116" i="2"/>
  <c r="AI1116" i="2"/>
  <c r="AH1116" i="2"/>
  <c r="AG1116" i="2"/>
  <c r="AF1116" i="2"/>
  <c r="AE1116" i="2"/>
  <c r="AD1116" i="2"/>
  <c r="AL1115" i="2"/>
  <c r="AK1115" i="2"/>
  <c r="AJ1115" i="2"/>
  <c r="AH1115" i="2"/>
  <c r="AI1115" i="2" s="1"/>
  <c r="AG1115" i="2"/>
  <c r="AF1115" i="2"/>
  <c r="AE1115" i="2"/>
  <c r="AD1115" i="2"/>
  <c r="AN1114" i="2"/>
  <c r="AM1114" i="2"/>
  <c r="AL1114" i="2"/>
  <c r="AK1114" i="2"/>
  <c r="AJ1114" i="2"/>
  <c r="AH1114" i="2"/>
  <c r="AI1114" i="2" s="1"/>
  <c r="AG1114" i="2"/>
  <c r="AF1114" i="2"/>
  <c r="AE1114" i="2"/>
  <c r="AD1114" i="2"/>
  <c r="AL1113" i="2"/>
  <c r="AK1113" i="2"/>
  <c r="AJ1113" i="2"/>
  <c r="AH1113" i="2"/>
  <c r="AI1113" i="2" s="1"/>
  <c r="AG1113" i="2"/>
  <c r="AF1113" i="2"/>
  <c r="AE1113" i="2"/>
  <c r="AD1113" i="2"/>
  <c r="AL1112" i="2"/>
  <c r="AK1112" i="2"/>
  <c r="AJ1112" i="2"/>
  <c r="AH1112" i="2"/>
  <c r="AI1112" i="2" s="1"/>
  <c r="AG1112" i="2"/>
  <c r="AF1112" i="2"/>
  <c r="AE1112" i="2"/>
  <c r="AD1112" i="2"/>
  <c r="AN1111" i="2"/>
  <c r="AL1111" i="2"/>
  <c r="AK1111" i="2"/>
  <c r="AJ1111" i="2"/>
  <c r="AH1111" i="2"/>
  <c r="AI1111" i="2" s="1"/>
  <c r="AG1111" i="2"/>
  <c r="AF1111" i="2"/>
  <c r="AE1111" i="2"/>
  <c r="AD1111" i="2"/>
  <c r="AN1110" i="2"/>
  <c r="AL1110" i="2"/>
  <c r="AK1110" i="2"/>
  <c r="AJ1110" i="2"/>
  <c r="AH1110" i="2"/>
  <c r="AI1110" i="2" s="1"/>
  <c r="AG1110" i="2"/>
  <c r="AF1110" i="2"/>
  <c r="AE1110" i="2"/>
  <c r="AD1110" i="2"/>
  <c r="AL1109" i="2"/>
  <c r="AK1109" i="2"/>
  <c r="AJ1109" i="2"/>
  <c r="AH1109" i="2"/>
  <c r="AI1109" i="2" s="1"/>
  <c r="AG1109" i="2"/>
  <c r="AF1109" i="2"/>
  <c r="AE1109" i="2"/>
  <c r="AD1109" i="2"/>
  <c r="AL1108" i="2"/>
  <c r="AK1108" i="2"/>
  <c r="AJ1108" i="2"/>
  <c r="AH1108" i="2"/>
  <c r="AI1108" i="2" s="1"/>
  <c r="AG1108" i="2"/>
  <c r="AF1108" i="2"/>
  <c r="AE1108" i="2"/>
  <c r="AD1108" i="2"/>
  <c r="AN1107" i="2"/>
  <c r="AL1107" i="2"/>
  <c r="AK1107" i="2"/>
  <c r="AM1107" i="2" s="1"/>
  <c r="AJ1107" i="2"/>
  <c r="AH1107" i="2"/>
  <c r="AI1107" i="2" s="1"/>
  <c r="AG1107" i="2"/>
  <c r="AF1107" i="2"/>
  <c r="AE1107" i="2"/>
  <c r="AD1107" i="2"/>
  <c r="AL1106" i="2"/>
  <c r="AK1106" i="2"/>
  <c r="AJ1106" i="2"/>
  <c r="AH1106" i="2"/>
  <c r="AI1106" i="2" s="1"/>
  <c r="AG1106" i="2"/>
  <c r="AF1106" i="2"/>
  <c r="AE1106" i="2"/>
  <c r="AD1106" i="2"/>
  <c r="AL1105" i="2"/>
  <c r="AK1105" i="2"/>
  <c r="AN1105" i="2" s="1"/>
  <c r="AJ1105" i="2"/>
  <c r="AH1105" i="2"/>
  <c r="AI1105" i="2" s="1"/>
  <c r="AG1105" i="2"/>
  <c r="AF1105" i="2"/>
  <c r="AE1105" i="2"/>
  <c r="AD1105" i="2"/>
  <c r="AL1104" i="2"/>
  <c r="AK1104" i="2"/>
  <c r="AJ1104" i="2"/>
  <c r="AI1104" i="2"/>
  <c r="AH1104" i="2"/>
  <c r="AG1104" i="2"/>
  <c r="AF1104" i="2"/>
  <c r="AE1104" i="2"/>
  <c r="AD1104" i="2"/>
  <c r="AL1103" i="2"/>
  <c r="AK1103" i="2"/>
  <c r="AM1103" i="2" s="1"/>
  <c r="AJ1103" i="2"/>
  <c r="AH1103" i="2"/>
  <c r="AI1103" i="2" s="1"/>
  <c r="AG1103" i="2"/>
  <c r="AF1103" i="2"/>
  <c r="AE1103" i="2"/>
  <c r="AD1103" i="2"/>
  <c r="AN1102" i="2"/>
  <c r="AM1102" i="2"/>
  <c r="AL1102" i="2"/>
  <c r="AK1102" i="2"/>
  <c r="AJ1102" i="2"/>
  <c r="AH1102" i="2"/>
  <c r="AI1102" i="2" s="1"/>
  <c r="AG1102" i="2"/>
  <c r="AF1102" i="2"/>
  <c r="AE1102" i="2"/>
  <c r="AD1102" i="2"/>
  <c r="AL1101" i="2"/>
  <c r="AK1101" i="2"/>
  <c r="AJ1101" i="2"/>
  <c r="AH1101" i="2"/>
  <c r="AI1101" i="2" s="1"/>
  <c r="AG1101" i="2"/>
  <c r="AF1101" i="2"/>
  <c r="AE1101" i="2"/>
  <c r="AD1101" i="2"/>
  <c r="AL1100" i="2"/>
  <c r="AK1100" i="2"/>
  <c r="AJ1100" i="2"/>
  <c r="AH1100" i="2"/>
  <c r="AI1100" i="2" s="1"/>
  <c r="AG1100" i="2"/>
  <c r="AF1100" i="2"/>
  <c r="AE1100" i="2"/>
  <c r="AD1100" i="2"/>
  <c r="AL1099" i="2"/>
  <c r="AK1099" i="2"/>
  <c r="AJ1099" i="2"/>
  <c r="AH1099" i="2"/>
  <c r="AI1099" i="2" s="1"/>
  <c r="AG1099" i="2"/>
  <c r="AF1099" i="2"/>
  <c r="AE1099" i="2"/>
  <c r="AD1099" i="2"/>
  <c r="AN1098" i="2"/>
  <c r="AM1098" i="2"/>
  <c r="AL1098" i="2"/>
  <c r="AK1098" i="2"/>
  <c r="AJ1098" i="2"/>
  <c r="AH1098" i="2"/>
  <c r="AI1098" i="2" s="1"/>
  <c r="AG1098" i="2"/>
  <c r="AF1098" i="2"/>
  <c r="AE1098" i="2"/>
  <c r="AD1098" i="2"/>
  <c r="AN1097" i="2"/>
  <c r="AM1097" i="2"/>
  <c r="AL1097" i="2"/>
  <c r="AK1097" i="2"/>
  <c r="AJ1097" i="2"/>
  <c r="AH1097" i="2"/>
  <c r="AI1097" i="2" s="1"/>
  <c r="AG1097" i="2"/>
  <c r="AF1097" i="2"/>
  <c r="AE1097" i="2"/>
  <c r="AD1097" i="2"/>
  <c r="AL1096" i="2"/>
  <c r="AK1096" i="2"/>
  <c r="AJ1096" i="2"/>
  <c r="AH1096" i="2"/>
  <c r="AI1096" i="2" s="1"/>
  <c r="AG1096" i="2"/>
  <c r="AF1096" i="2"/>
  <c r="AE1096" i="2"/>
  <c r="AD1096" i="2"/>
  <c r="AL1095" i="2"/>
  <c r="AK1095" i="2"/>
  <c r="AJ1095" i="2"/>
  <c r="AI1095" i="2"/>
  <c r="AH1095" i="2"/>
  <c r="AG1095" i="2"/>
  <c r="AF1095" i="2"/>
  <c r="AE1095" i="2"/>
  <c r="AD1095" i="2"/>
  <c r="AN1094" i="2"/>
  <c r="AL1094" i="2"/>
  <c r="AK1094" i="2"/>
  <c r="AM1094" i="2" s="1"/>
  <c r="AJ1094" i="2"/>
  <c r="AH1094" i="2"/>
  <c r="AI1094" i="2" s="1"/>
  <c r="AG1094" i="2"/>
  <c r="AF1094" i="2"/>
  <c r="AE1094" i="2"/>
  <c r="AD1094" i="2"/>
  <c r="AL1093" i="2"/>
  <c r="AK1093" i="2"/>
  <c r="AJ1093" i="2"/>
  <c r="AH1093" i="2"/>
  <c r="AI1093" i="2" s="1"/>
  <c r="AG1093" i="2"/>
  <c r="AF1093" i="2"/>
  <c r="AE1093" i="2"/>
  <c r="AD1093" i="2"/>
  <c r="AL1092" i="2"/>
  <c r="AK1092" i="2"/>
  <c r="AJ1092" i="2"/>
  <c r="AI1092" i="2"/>
  <c r="AH1092" i="2"/>
  <c r="AG1092" i="2"/>
  <c r="AF1092" i="2"/>
  <c r="AE1092" i="2"/>
  <c r="AD1092" i="2"/>
  <c r="AN1091" i="2"/>
  <c r="AL1091" i="2"/>
  <c r="AK1091" i="2"/>
  <c r="AJ1091" i="2"/>
  <c r="AH1091" i="2"/>
  <c r="AI1091" i="2" s="1"/>
  <c r="AG1091" i="2"/>
  <c r="AF1091" i="2"/>
  <c r="AE1091" i="2"/>
  <c r="AD1091" i="2"/>
  <c r="AL1090" i="2"/>
  <c r="AK1090" i="2"/>
  <c r="AJ1090" i="2"/>
  <c r="AH1090" i="2"/>
  <c r="AI1090" i="2" s="1"/>
  <c r="AG1090" i="2"/>
  <c r="AF1090" i="2"/>
  <c r="AE1090" i="2"/>
  <c r="AD1090" i="2"/>
  <c r="AL1089" i="2"/>
  <c r="AK1089" i="2"/>
  <c r="AJ1089" i="2"/>
  <c r="AH1089" i="2"/>
  <c r="AI1089" i="2" s="1"/>
  <c r="AG1089" i="2"/>
  <c r="AF1089" i="2"/>
  <c r="AE1089" i="2"/>
  <c r="AD1089" i="2"/>
  <c r="AL1088" i="2"/>
  <c r="AK1088" i="2"/>
  <c r="AJ1088" i="2"/>
  <c r="AI1088" i="2"/>
  <c r="AH1088" i="2"/>
  <c r="AG1088" i="2"/>
  <c r="AF1088" i="2"/>
  <c r="AE1088" i="2"/>
  <c r="AD1088" i="2"/>
  <c r="AL1087" i="2"/>
  <c r="AK1087" i="2"/>
  <c r="AM1087" i="2" s="1"/>
  <c r="AJ1087" i="2"/>
  <c r="AH1087" i="2"/>
  <c r="AI1087" i="2" s="1"/>
  <c r="AG1087" i="2"/>
  <c r="AF1087" i="2"/>
  <c r="AE1087" i="2"/>
  <c r="AD1087" i="2"/>
  <c r="AN1086" i="2"/>
  <c r="AM1086" i="2"/>
  <c r="AL1086" i="2"/>
  <c r="AK1086" i="2"/>
  <c r="AJ1086" i="2"/>
  <c r="AH1086" i="2"/>
  <c r="AI1086" i="2" s="1"/>
  <c r="AG1086" i="2"/>
  <c r="AF1086" i="2"/>
  <c r="AE1086" i="2"/>
  <c r="AD1086" i="2"/>
  <c r="AL1085" i="2"/>
  <c r="AK1085" i="2"/>
  <c r="AJ1085" i="2"/>
  <c r="AI1085" i="2"/>
  <c r="AH1085" i="2"/>
  <c r="AG1085" i="2"/>
  <c r="AF1085" i="2"/>
  <c r="AE1085" i="2"/>
  <c r="AD1085" i="2"/>
  <c r="AL1084" i="2"/>
  <c r="AK1084" i="2"/>
  <c r="AJ1084" i="2"/>
  <c r="AH1084" i="2"/>
  <c r="AI1084" i="2" s="1"/>
  <c r="AG1084" i="2"/>
  <c r="AF1084" i="2"/>
  <c r="AE1084" i="2"/>
  <c r="AD1084" i="2"/>
  <c r="AN1083" i="2"/>
  <c r="AL1083" i="2"/>
  <c r="AK1083" i="2"/>
  <c r="AJ1083" i="2"/>
  <c r="AH1083" i="2"/>
  <c r="AI1083" i="2" s="1"/>
  <c r="AG1083" i="2"/>
  <c r="AF1083" i="2"/>
  <c r="AE1083" i="2"/>
  <c r="AD1083" i="2"/>
  <c r="AN1082" i="2"/>
  <c r="AM1082" i="2"/>
  <c r="AL1082" i="2"/>
  <c r="AK1082" i="2"/>
  <c r="AJ1082" i="2"/>
  <c r="AH1082" i="2"/>
  <c r="AI1082" i="2" s="1"/>
  <c r="AG1082" i="2"/>
  <c r="AF1082" i="2"/>
  <c r="AE1082" i="2"/>
  <c r="AD1082" i="2"/>
  <c r="AL1081" i="2"/>
  <c r="AK1081" i="2"/>
  <c r="AN1081" i="2" s="1"/>
  <c r="AJ1081" i="2"/>
  <c r="AH1081" i="2"/>
  <c r="AI1081" i="2" s="1"/>
  <c r="AG1081" i="2"/>
  <c r="AF1081" i="2"/>
  <c r="AE1081" i="2"/>
  <c r="AD1081" i="2"/>
  <c r="AL1080" i="2"/>
  <c r="AK1080" i="2"/>
  <c r="AJ1080" i="2"/>
  <c r="AI1080" i="2"/>
  <c r="AH1080" i="2"/>
  <c r="AG1080" i="2"/>
  <c r="AF1080" i="2"/>
  <c r="AE1080" i="2"/>
  <c r="AD1080" i="2"/>
  <c r="AL1079" i="2"/>
  <c r="AK1079" i="2"/>
  <c r="AJ1079" i="2"/>
  <c r="AH1079" i="2"/>
  <c r="AI1079" i="2" s="1"/>
  <c r="AG1079" i="2"/>
  <c r="AF1079" i="2"/>
  <c r="AE1079" i="2"/>
  <c r="AD1079" i="2"/>
  <c r="AL1078" i="2"/>
  <c r="AK1078" i="2"/>
  <c r="AJ1078" i="2"/>
  <c r="AH1078" i="2"/>
  <c r="AI1078" i="2" s="1"/>
  <c r="AG1078" i="2"/>
  <c r="AF1078" i="2"/>
  <c r="AE1078" i="2"/>
  <c r="AD1078" i="2"/>
  <c r="AL1077" i="2"/>
  <c r="AK1077" i="2"/>
  <c r="AJ1077" i="2"/>
  <c r="AH1077" i="2"/>
  <c r="AI1077" i="2" s="1"/>
  <c r="AG1077" i="2"/>
  <c r="AF1077" i="2"/>
  <c r="AE1077" i="2"/>
  <c r="AD1077" i="2"/>
  <c r="AL1076" i="2"/>
  <c r="AK1076" i="2"/>
  <c r="AJ1076" i="2"/>
  <c r="AH1076" i="2"/>
  <c r="AI1076" i="2" s="1"/>
  <c r="AG1076" i="2"/>
  <c r="AF1076" i="2"/>
  <c r="AE1076" i="2"/>
  <c r="AD1076" i="2"/>
  <c r="AL1075" i="2"/>
  <c r="AK1075" i="2"/>
  <c r="AJ1075" i="2"/>
  <c r="AH1075" i="2"/>
  <c r="AI1075" i="2" s="1"/>
  <c r="AG1075" i="2"/>
  <c r="AF1075" i="2"/>
  <c r="AE1075" i="2"/>
  <c r="AD1075" i="2"/>
  <c r="AL1074" i="2"/>
  <c r="AK1074" i="2"/>
  <c r="AN1074" i="2" s="1"/>
  <c r="AJ1074" i="2"/>
  <c r="AH1074" i="2"/>
  <c r="AI1074" i="2" s="1"/>
  <c r="AG1074" i="2"/>
  <c r="AF1074" i="2"/>
  <c r="AE1074" i="2"/>
  <c r="AD1074" i="2"/>
  <c r="AL1073" i="2"/>
  <c r="AK1073" i="2"/>
  <c r="AM1073" i="2" s="1"/>
  <c r="AJ1073" i="2"/>
  <c r="AH1073" i="2"/>
  <c r="AI1073" i="2" s="1"/>
  <c r="AG1073" i="2"/>
  <c r="AF1073" i="2"/>
  <c r="AE1073" i="2"/>
  <c r="AD1073" i="2"/>
  <c r="AL1072" i="2"/>
  <c r="AK1072" i="2"/>
  <c r="AJ1072" i="2"/>
  <c r="AH1072" i="2"/>
  <c r="AI1072" i="2" s="1"/>
  <c r="AG1072" i="2"/>
  <c r="AF1072" i="2"/>
  <c r="AE1072" i="2"/>
  <c r="AD1072" i="2"/>
  <c r="AN1071" i="2"/>
  <c r="AL1071" i="2"/>
  <c r="AK1071" i="2"/>
  <c r="AM1071" i="2" s="1"/>
  <c r="AJ1071" i="2"/>
  <c r="AH1071" i="2"/>
  <c r="AI1071" i="2" s="1"/>
  <c r="AG1071" i="2"/>
  <c r="AF1071" i="2"/>
  <c r="AE1071" i="2"/>
  <c r="AD1071" i="2"/>
  <c r="AL1070" i="2"/>
  <c r="AK1070" i="2"/>
  <c r="AJ1070" i="2"/>
  <c r="AH1070" i="2"/>
  <c r="AI1070" i="2" s="1"/>
  <c r="AG1070" i="2"/>
  <c r="AF1070" i="2"/>
  <c r="AE1070" i="2"/>
  <c r="AD1070" i="2"/>
  <c r="AL1069" i="2"/>
  <c r="AK1069" i="2"/>
  <c r="AN1069" i="2" s="1"/>
  <c r="AJ1069" i="2"/>
  <c r="AH1069" i="2"/>
  <c r="AI1069" i="2" s="1"/>
  <c r="AG1069" i="2"/>
  <c r="AF1069" i="2"/>
  <c r="AE1069" i="2"/>
  <c r="AD1069" i="2"/>
  <c r="AL1068" i="2"/>
  <c r="AK1068" i="2"/>
  <c r="AJ1068" i="2"/>
  <c r="AI1068" i="2"/>
  <c r="AH1068" i="2"/>
  <c r="AG1068" i="2"/>
  <c r="AF1068" i="2"/>
  <c r="AE1068" i="2"/>
  <c r="AD1068" i="2"/>
  <c r="AL1067" i="2"/>
  <c r="AK1067" i="2"/>
  <c r="AJ1067" i="2"/>
  <c r="AH1067" i="2"/>
  <c r="AI1067" i="2" s="1"/>
  <c r="AG1067" i="2"/>
  <c r="AF1067" i="2"/>
  <c r="AE1067" i="2"/>
  <c r="AD1067" i="2"/>
  <c r="AN1066" i="2"/>
  <c r="AM1066" i="2"/>
  <c r="AL1066" i="2"/>
  <c r="AK1066" i="2"/>
  <c r="AJ1066" i="2"/>
  <c r="AH1066" i="2"/>
  <c r="AI1066" i="2" s="1"/>
  <c r="AG1066" i="2"/>
  <c r="AF1066" i="2"/>
  <c r="AE1066" i="2"/>
  <c r="AD1066" i="2"/>
  <c r="AL1065" i="2"/>
  <c r="AK1065" i="2"/>
  <c r="AJ1065" i="2"/>
  <c r="AI1065" i="2"/>
  <c r="AH1065" i="2"/>
  <c r="AG1065" i="2"/>
  <c r="AF1065" i="2"/>
  <c r="AE1065" i="2"/>
  <c r="AD1065" i="2"/>
  <c r="AL1064" i="2"/>
  <c r="AK1064" i="2"/>
  <c r="AJ1064" i="2"/>
  <c r="AH1064" i="2"/>
  <c r="AI1064" i="2" s="1"/>
  <c r="AG1064" i="2"/>
  <c r="AF1064" i="2"/>
  <c r="AE1064" i="2"/>
  <c r="AD1064" i="2"/>
  <c r="AL1063" i="2"/>
  <c r="AK1063" i="2"/>
  <c r="AJ1063" i="2"/>
  <c r="AH1063" i="2"/>
  <c r="AI1063" i="2" s="1"/>
  <c r="AG1063" i="2"/>
  <c r="AF1063" i="2"/>
  <c r="AE1063" i="2"/>
  <c r="AD1063" i="2"/>
  <c r="AN1062" i="2"/>
  <c r="AL1062" i="2"/>
  <c r="AM1062" i="2" s="1"/>
  <c r="AK1062" i="2"/>
  <c r="AJ1062" i="2"/>
  <c r="AH1062" i="2"/>
  <c r="AI1062" i="2" s="1"/>
  <c r="AG1062" i="2"/>
  <c r="AF1062" i="2"/>
  <c r="AE1062" i="2"/>
  <c r="AD1062" i="2"/>
  <c r="AL1061" i="2"/>
  <c r="AK1061" i="2"/>
  <c r="AJ1061" i="2"/>
  <c r="AH1061" i="2"/>
  <c r="AI1061" i="2" s="1"/>
  <c r="AG1061" i="2"/>
  <c r="AF1061" i="2"/>
  <c r="AE1061" i="2"/>
  <c r="AD1061" i="2"/>
  <c r="AL1060" i="2"/>
  <c r="AK1060" i="2"/>
  <c r="AJ1060" i="2"/>
  <c r="AH1060" i="2"/>
  <c r="AI1060" i="2" s="1"/>
  <c r="AG1060" i="2"/>
  <c r="AF1060" i="2"/>
  <c r="AE1060" i="2"/>
  <c r="AD1060" i="2"/>
  <c r="AL1059" i="2"/>
  <c r="AK1059" i="2"/>
  <c r="AJ1059" i="2"/>
  <c r="AH1059" i="2"/>
  <c r="AI1059" i="2" s="1"/>
  <c r="AG1059" i="2"/>
  <c r="AF1059" i="2"/>
  <c r="AE1059" i="2"/>
  <c r="AD1059" i="2"/>
  <c r="AL1058" i="2"/>
  <c r="AM1058" i="2" s="1"/>
  <c r="AK1058" i="2"/>
  <c r="AJ1058" i="2"/>
  <c r="AH1058" i="2"/>
  <c r="AI1058" i="2" s="1"/>
  <c r="AG1058" i="2"/>
  <c r="AF1058" i="2"/>
  <c r="AE1058" i="2"/>
  <c r="AD1058" i="2"/>
  <c r="AL1057" i="2"/>
  <c r="AK1057" i="2"/>
  <c r="AJ1057" i="2"/>
  <c r="AH1057" i="2"/>
  <c r="AI1057" i="2" s="1"/>
  <c r="AG1057" i="2"/>
  <c r="AF1057" i="2"/>
  <c r="AE1057" i="2"/>
  <c r="AD1057" i="2"/>
  <c r="AL1056" i="2"/>
  <c r="AK1056" i="2"/>
  <c r="AJ1056" i="2"/>
  <c r="AH1056" i="2"/>
  <c r="AI1056" i="2" s="1"/>
  <c r="AG1056" i="2"/>
  <c r="AF1056" i="2"/>
  <c r="AE1056" i="2"/>
  <c r="AD1056" i="2"/>
  <c r="AL1055" i="2"/>
  <c r="AK1055" i="2"/>
  <c r="AM1055" i="2" s="1"/>
  <c r="AJ1055" i="2"/>
  <c r="AH1055" i="2"/>
  <c r="AI1055" i="2" s="1"/>
  <c r="AG1055" i="2"/>
  <c r="AF1055" i="2"/>
  <c r="AE1055" i="2"/>
  <c r="AD1055" i="2"/>
  <c r="AN1054" i="2"/>
  <c r="AM1054" i="2"/>
  <c r="AL1054" i="2"/>
  <c r="AK1054" i="2"/>
  <c r="AJ1054" i="2"/>
  <c r="AH1054" i="2"/>
  <c r="AI1054" i="2" s="1"/>
  <c r="AG1054" i="2"/>
  <c r="AF1054" i="2"/>
  <c r="AE1054" i="2"/>
  <c r="AD1054" i="2"/>
  <c r="AL1053" i="2"/>
  <c r="AK1053" i="2"/>
  <c r="AN1053" i="2" s="1"/>
  <c r="AJ1053" i="2"/>
  <c r="AH1053" i="2"/>
  <c r="AI1053" i="2" s="1"/>
  <c r="AG1053" i="2"/>
  <c r="AF1053" i="2"/>
  <c r="AE1053" i="2"/>
  <c r="AD1053" i="2"/>
  <c r="AL1052" i="2"/>
  <c r="AK1052" i="2"/>
  <c r="AJ1052" i="2"/>
  <c r="AH1052" i="2"/>
  <c r="AI1052" i="2" s="1"/>
  <c r="AG1052" i="2"/>
  <c r="AF1052" i="2"/>
  <c r="AE1052" i="2"/>
  <c r="AD1052" i="2"/>
  <c r="AL1051" i="2"/>
  <c r="AK1051" i="2"/>
  <c r="AJ1051" i="2"/>
  <c r="AH1051" i="2"/>
  <c r="AI1051" i="2" s="1"/>
  <c r="AG1051" i="2"/>
  <c r="AF1051" i="2"/>
  <c r="AE1051" i="2"/>
  <c r="AD1051" i="2"/>
  <c r="AL1050" i="2"/>
  <c r="AK1050" i="2"/>
  <c r="AJ1050" i="2"/>
  <c r="AH1050" i="2"/>
  <c r="AI1050" i="2" s="1"/>
  <c r="AG1050" i="2"/>
  <c r="AF1050" i="2"/>
  <c r="AE1050" i="2"/>
  <c r="AD1050" i="2"/>
  <c r="AN1049" i="2"/>
  <c r="AL1049" i="2"/>
  <c r="AM1049" i="2" s="1"/>
  <c r="AK1049" i="2"/>
  <c r="AJ1049" i="2"/>
  <c r="AH1049" i="2"/>
  <c r="AI1049" i="2" s="1"/>
  <c r="AG1049" i="2"/>
  <c r="AF1049" i="2"/>
  <c r="AE1049" i="2"/>
  <c r="AD1049" i="2"/>
  <c r="AL1048" i="2"/>
  <c r="AK1048" i="2"/>
  <c r="AJ1048" i="2"/>
  <c r="AH1048" i="2"/>
  <c r="AI1048" i="2" s="1"/>
  <c r="AG1048" i="2"/>
  <c r="AF1048" i="2"/>
  <c r="AE1048" i="2"/>
  <c r="AD1048" i="2"/>
  <c r="AL1047" i="2"/>
  <c r="AK1047" i="2"/>
  <c r="AJ1047" i="2"/>
  <c r="AH1047" i="2"/>
  <c r="AI1047" i="2" s="1"/>
  <c r="AG1047" i="2"/>
  <c r="AF1047" i="2"/>
  <c r="AE1047" i="2"/>
  <c r="AD1047" i="2"/>
  <c r="AL1046" i="2"/>
  <c r="AK1046" i="2"/>
  <c r="AJ1046" i="2"/>
  <c r="AH1046" i="2"/>
  <c r="AI1046" i="2" s="1"/>
  <c r="AG1046" i="2"/>
  <c r="AF1046" i="2"/>
  <c r="AE1046" i="2"/>
  <c r="AD1046" i="2"/>
  <c r="AL1045" i="2"/>
  <c r="AK1045" i="2"/>
  <c r="AJ1045" i="2"/>
  <c r="AH1045" i="2"/>
  <c r="AI1045" i="2" s="1"/>
  <c r="AG1045" i="2"/>
  <c r="AF1045" i="2"/>
  <c r="AE1045" i="2"/>
  <c r="AD1045" i="2"/>
  <c r="AL1044" i="2"/>
  <c r="AK1044" i="2"/>
  <c r="AJ1044" i="2"/>
  <c r="AH1044" i="2"/>
  <c r="AI1044" i="2" s="1"/>
  <c r="AG1044" i="2"/>
  <c r="AF1044" i="2"/>
  <c r="AE1044" i="2"/>
  <c r="AD1044" i="2"/>
  <c r="AL1043" i="2"/>
  <c r="AK1043" i="2"/>
  <c r="AJ1043" i="2"/>
  <c r="AH1043" i="2"/>
  <c r="AI1043" i="2" s="1"/>
  <c r="AG1043" i="2"/>
  <c r="AF1043" i="2"/>
  <c r="AE1043" i="2"/>
  <c r="AD1043" i="2"/>
  <c r="AL1042" i="2"/>
  <c r="AK1042" i="2"/>
  <c r="AJ1042" i="2"/>
  <c r="AH1042" i="2"/>
  <c r="AI1042" i="2" s="1"/>
  <c r="AG1042" i="2"/>
  <c r="AF1042" i="2"/>
  <c r="AE1042" i="2"/>
  <c r="AD1042" i="2"/>
  <c r="AL1041" i="2"/>
  <c r="AK1041" i="2"/>
  <c r="AJ1041" i="2"/>
  <c r="AH1041" i="2"/>
  <c r="AI1041" i="2" s="1"/>
  <c r="AG1041" i="2"/>
  <c r="AF1041" i="2"/>
  <c r="AE1041" i="2"/>
  <c r="AD1041" i="2"/>
  <c r="AL1040" i="2"/>
  <c r="AK1040" i="2"/>
  <c r="AJ1040" i="2"/>
  <c r="AH1040" i="2"/>
  <c r="AI1040" i="2" s="1"/>
  <c r="AG1040" i="2"/>
  <c r="AF1040" i="2"/>
  <c r="AE1040" i="2"/>
  <c r="AD1040" i="2"/>
  <c r="AL1039" i="2"/>
  <c r="AK1039" i="2"/>
  <c r="AM1039" i="2" s="1"/>
  <c r="AJ1039" i="2"/>
  <c r="AH1039" i="2"/>
  <c r="AI1039" i="2" s="1"/>
  <c r="AG1039" i="2"/>
  <c r="AF1039" i="2"/>
  <c r="AE1039" i="2"/>
  <c r="AD1039" i="2"/>
  <c r="AM1038" i="2"/>
  <c r="AL1038" i="2"/>
  <c r="AK1038" i="2"/>
  <c r="AN1038" i="2" s="1"/>
  <c r="AJ1038" i="2"/>
  <c r="AH1038" i="2"/>
  <c r="AI1038" i="2" s="1"/>
  <c r="AG1038" i="2"/>
  <c r="AF1038" i="2"/>
  <c r="AE1038" i="2"/>
  <c r="AD1038" i="2"/>
  <c r="AL1037" i="2"/>
  <c r="AM1037" i="2" s="1"/>
  <c r="AK1037" i="2"/>
  <c r="AN1037" i="2" s="1"/>
  <c r="AJ1037" i="2"/>
  <c r="AH1037" i="2"/>
  <c r="AI1037" i="2" s="1"/>
  <c r="AG1037" i="2"/>
  <c r="AF1037" i="2"/>
  <c r="AE1037" i="2"/>
  <c r="AD1037" i="2"/>
  <c r="AL1036" i="2"/>
  <c r="AK1036" i="2"/>
  <c r="AJ1036" i="2"/>
  <c r="AH1036" i="2"/>
  <c r="AI1036" i="2" s="1"/>
  <c r="AG1036" i="2"/>
  <c r="AF1036" i="2"/>
  <c r="AE1036" i="2"/>
  <c r="AD1036" i="2"/>
  <c r="AL1035" i="2"/>
  <c r="AN1035" i="2" s="1"/>
  <c r="AK1035" i="2"/>
  <c r="AJ1035" i="2"/>
  <c r="AH1035" i="2"/>
  <c r="AI1035" i="2" s="1"/>
  <c r="AG1035" i="2"/>
  <c r="AF1035" i="2"/>
  <c r="AE1035" i="2"/>
  <c r="AD1035" i="2"/>
  <c r="AN1034" i="2"/>
  <c r="AL1034" i="2"/>
  <c r="AK1034" i="2"/>
  <c r="AM1034" i="2" s="1"/>
  <c r="AJ1034" i="2"/>
  <c r="AH1034" i="2"/>
  <c r="AI1034" i="2" s="1"/>
  <c r="AG1034" i="2"/>
  <c r="AF1034" i="2"/>
  <c r="AE1034" i="2"/>
  <c r="AD1034" i="2"/>
  <c r="AL1033" i="2"/>
  <c r="AK1033" i="2"/>
  <c r="AN1033" i="2" s="1"/>
  <c r="AJ1033" i="2"/>
  <c r="AH1033" i="2"/>
  <c r="AI1033" i="2" s="1"/>
  <c r="AG1033" i="2"/>
  <c r="AF1033" i="2"/>
  <c r="AE1033" i="2"/>
  <c r="AD1033" i="2"/>
  <c r="AL1032" i="2"/>
  <c r="AK1032" i="2"/>
  <c r="AJ1032" i="2"/>
  <c r="AH1032" i="2"/>
  <c r="AI1032" i="2" s="1"/>
  <c r="AG1032" i="2"/>
  <c r="AF1032" i="2"/>
  <c r="AE1032" i="2"/>
  <c r="AD1032" i="2"/>
  <c r="AL1031" i="2"/>
  <c r="AK1031" i="2"/>
  <c r="AJ1031" i="2"/>
  <c r="AH1031" i="2"/>
  <c r="AI1031" i="2" s="1"/>
  <c r="AG1031" i="2"/>
  <c r="AF1031" i="2"/>
  <c r="AE1031" i="2"/>
  <c r="AD1031" i="2"/>
  <c r="AL1030" i="2"/>
  <c r="AK1030" i="2"/>
  <c r="AJ1030" i="2"/>
  <c r="AH1030" i="2"/>
  <c r="AI1030" i="2" s="1"/>
  <c r="AG1030" i="2"/>
  <c r="AF1030" i="2"/>
  <c r="AE1030" i="2"/>
  <c r="AD1030" i="2"/>
  <c r="AL1029" i="2"/>
  <c r="AK1029" i="2"/>
  <c r="AJ1029" i="2"/>
  <c r="AH1029" i="2"/>
  <c r="AI1029" i="2" s="1"/>
  <c r="AG1029" i="2"/>
  <c r="AF1029" i="2"/>
  <c r="AE1029" i="2"/>
  <c r="AD1029" i="2"/>
  <c r="AL1028" i="2"/>
  <c r="AK1028" i="2"/>
  <c r="AJ1028" i="2"/>
  <c r="AH1028" i="2"/>
  <c r="AI1028" i="2" s="1"/>
  <c r="AG1028" i="2"/>
  <c r="AF1028" i="2"/>
  <c r="AE1028" i="2"/>
  <c r="AD1028" i="2"/>
  <c r="AL1027" i="2"/>
  <c r="AK1027" i="2"/>
  <c r="AM1027" i="2" s="1"/>
  <c r="AJ1027" i="2"/>
  <c r="AH1027" i="2"/>
  <c r="AI1027" i="2" s="1"/>
  <c r="AG1027" i="2"/>
  <c r="AF1027" i="2"/>
  <c r="AE1027" i="2"/>
  <c r="AD1027" i="2"/>
  <c r="AL1026" i="2"/>
  <c r="AK1026" i="2"/>
  <c r="AN1026" i="2" s="1"/>
  <c r="AJ1026" i="2"/>
  <c r="AH1026" i="2"/>
  <c r="AI1026" i="2" s="1"/>
  <c r="AG1026" i="2"/>
  <c r="AF1026" i="2"/>
  <c r="AE1026" i="2"/>
  <c r="AD1026" i="2"/>
  <c r="AL1025" i="2"/>
  <c r="AK1025" i="2"/>
  <c r="AJ1025" i="2"/>
  <c r="AH1025" i="2"/>
  <c r="AI1025" i="2" s="1"/>
  <c r="AG1025" i="2"/>
  <c r="AF1025" i="2"/>
  <c r="AE1025" i="2"/>
  <c r="AD1025" i="2"/>
  <c r="AL1024" i="2"/>
  <c r="AK1024" i="2"/>
  <c r="AJ1024" i="2"/>
  <c r="AI1024" i="2"/>
  <c r="AH1024" i="2"/>
  <c r="AG1024" i="2"/>
  <c r="AF1024" i="2"/>
  <c r="AE1024" i="2"/>
  <c r="AD1024" i="2"/>
  <c r="AL1023" i="2"/>
  <c r="AK1023" i="2"/>
  <c r="AJ1023" i="2"/>
  <c r="AH1023" i="2"/>
  <c r="AI1023" i="2" s="1"/>
  <c r="AG1023" i="2"/>
  <c r="AF1023" i="2"/>
  <c r="AE1023" i="2"/>
  <c r="AD1023" i="2"/>
  <c r="AN1022" i="2"/>
  <c r="AL1022" i="2"/>
  <c r="AK1022" i="2"/>
  <c r="AM1022" i="2" s="1"/>
  <c r="AJ1022" i="2"/>
  <c r="AH1022" i="2"/>
  <c r="AI1022" i="2" s="1"/>
  <c r="AG1022" i="2"/>
  <c r="AF1022" i="2"/>
  <c r="AE1022" i="2"/>
  <c r="AD1022" i="2"/>
  <c r="AL1021" i="2"/>
  <c r="AK1021" i="2"/>
  <c r="AN1021" i="2" s="1"/>
  <c r="AJ1021" i="2"/>
  <c r="AH1021" i="2"/>
  <c r="AI1021" i="2" s="1"/>
  <c r="AG1021" i="2"/>
  <c r="AF1021" i="2"/>
  <c r="AE1021" i="2"/>
  <c r="AD1021" i="2"/>
  <c r="AL1020" i="2"/>
  <c r="AK1020" i="2"/>
  <c r="AJ1020" i="2"/>
  <c r="AH1020" i="2"/>
  <c r="AI1020" i="2" s="1"/>
  <c r="AG1020" i="2"/>
  <c r="AF1020" i="2"/>
  <c r="AE1020" i="2"/>
  <c r="AD1020" i="2"/>
  <c r="AL1019" i="2"/>
  <c r="AK1019" i="2"/>
  <c r="AJ1019" i="2"/>
  <c r="AH1019" i="2"/>
  <c r="AI1019" i="2" s="1"/>
  <c r="AG1019" i="2"/>
  <c r="AF1019" i="2"/>
  <c r="AE1019" i="2"/>
  <c r="AD1019" i="2"/>
  <c r="AL1018" i="2"/>
  <c r="AK1018" i="2"/>
  <c r="AJ1018" i="2"/>
  <c r="AH1018" i="2"/>
  <c r="AI1018" i="2" s="1"/>
  <c r="AG1018" i="2"/>
  <c r="AF1018" i="2"/>
  <c r="AE1018" i="2"/>
  <c r="AD1018" i="2"/>
  <c r="AN1017" i="2"/>
  <c r="AL1017" i="2"/>
  <c r="AK1017" i="2"/>
  <c r="AM1017" i="2" s="1"/>
  <c r="AJ1017" i="2"/>
  <c r="AH1017" i="2"/>
  <c r="AI1017" i="2" s="1"/>
  <c r="AG1017" i="2"/>
  <c r="AF1017" i="2"/>
  <c r="AE1017" i="2"/>
  <c r="AD1017" i="2"/>
  <c r="AL1016" i="2"/>
  <c r="AK1016" i="2"/>
  <c r="AJ1016" i="2"/>
  <c r="AI1016" i="2"/>
  <c r="AH1016" i="2"/>
  <c r="AG1016" i="2"/>
  <c r="AF1016" i="2"/>
  <c r="AE1016" i="2"/>
  <c r="AD1016" i="2"/>
  <c r="AL1015" i="2"/>
  <c r="AK1015" i="2"/>
  <c r="AM1015" i="2" s="1"/>
  <c r="AJ1015" i="2"/>
  <c r="AI1015" i="2"/>
  <c r="AH1015" i="2"/>
  <c r="AG1015" i="2"/>
  <c r="AF1015" i="2"/>
  <c r="AE1015" i="2"/>
  <c r="AD1015" i="2"/>
  <c r="AN1014" i="2"/>
  <c r="AL1014" i="2"/>
  <c r="AK1014" i="2"/>
  <c r="AM1014" i="2" s="1"/>
  <c r="AJ1014" i="2"/>
  <c r="AH1014" i="2"/>
  <c r="AI1014" i="2" s="1"/>
  <c r="AG1014" i="2"/>
  <c r="AF1014" i="2"/>
  <c r="AE1014" i="2"/>
  <c r="AD1014" i="2"/>
  <c r="AL1013" i="2"/>
  <c r="AK1013" i="2"/>
  <c r="AJ1013" i="2"/>
  <c r="AH1013" i="2"/>
  <c r="AI1013" i="2" s="1"/>
  <c r="AG1013" i="2"/>
  <c r="AF1013" i="2"/>
  <c r="AE1013" i="2"/>
  <c r="AD1013" i="2"/>
  <c r="AL1012" i="2"/>
  <c r="AK1012" i="2"/>
  <c r="AJ1012" i="2"/>
  <c r="AH1012" i="2"/>
  <c r="AI1012" i="2" s="1"/>
  <c r="AG1012" i="2"/>
  <c r="AF1012" i="2"/>
  <c r="AE1012" i="2"/>
  <c r="AD1012" i="2"/>
  <c r="AL1011" i="2"/>
  <c r="AN1011" i="2" s="1"/>
  <c r="AK1011" i="2"/>
  <c r="AJ1011" i="2"/>
  <c r="AH1011" i="2"/>
  <c r="AI1011" i="2" s="1"/>
  <c r="AG1011" i="2"/>
  <c r="AF1011" i="2"/>
  <c r="AE1011" i="2"/>
  <c r="AD1011" i="2"/>
  <c r="AL1010" i="2"/>
  <c r="AK1010" i="2"/>
  <c r="AN1010" i="2" s="1"/>
  <c r="AJ1010" i="2"/>
  <c r="AH1010" i="2"/>
  <c r="AI1010" i="2" s="1"/>
  <c r="AG1010" i="2"/>
  <c r="AF1010" i="2"/>
  <c r="AE1010" i="2"/>
  <c r="AD1010" i="2"/>
  <c r="AL1009" i="2"/>
  <c r="AK1009" i="2"/>
  <c r="AJ1009" i="2"/>
  <c r="AH1009" i="2"/>
  <c r="AI1009" i="2" s="1"/>
  <c r="AG1009" i="2"/>
  <c r="AF1009" i="2"/>
  <c r="AE1009" i="2"/>
  <c r="AD1009" i="2"/>
  <c r="AL1008" i="2"/>
  <c r="AK1008" i="2"/>
  <c r="AJ1008" i="2"/>
  <c r="AH1008" i="2"/>
  <c r="AI1008" i="2" s="1"/>
  <c r="AG1008" i="2"/>
  <c r="AF1008" i="2"/>
  <c r="AE1008" i="2"/>
  <c r="AD1008" i="2"/>
  <c r="AL1007" i="2"/>
  <c r="AK1007" i="2"/>
  <c r="AJ1007" i="2"/>
  <c r="AH1007" i="2"/>
  <c r="AI1007" i="2" s="1"/>
  <c r="AG1007" i="2"/>
  <c r="AF1007" i="2"/>
  <c r="AE1007" i="2"/>
  <c r="AD1007" i="2"/>
  <c r="AN1006" i="2"/>
  <c r="AM1006" i="2"/>
  <c r="AL1006" i="2"/>
  <c r="AK1006" i="2"/>
  <c r="AJ1006" i="2"/>
  <c r="AH1006" i="2"/>
  <c r="AI1006" i="2" s="1"/>
  <c r="AG1006" i="2"/>
  <c r="AF1006" i="2"/>
  <c r="AE1006" i="2"/>
  <c r="AD1006" i="2"/>
  <c r="AL1005" i="2"/>
  <c r="AK1005" i="2"/>
  <c r="AN1005" i="2" s="1"/>
  <c r="AJ1005" i="2"/>
  <c r="AH1005" i="2"/>
  <c r="AI1005" i="2" s="1"/>
  <c r="AG1005" i="2"/>
  <c r="AF1005" i="2"/>
  <c r="AE1005" i="2"/>
  <c r="AD1005" i="2"/>
  <c r="AL1004" i="2"/>
  <c r="AK1004" i="2"/>
  <c r="AJ1004" i="2"/>
  <c r="AH1004" i="2"/>
  <c r="AI1004" i="2" s="1"/>
  <c r="AG1004" i="2"/>
  <c r="AF1004" i="2"/>
  <c r="AE1004" i="2"/>
  <c r="AD1004" i="2"/>
  <c r="AL1003" i="2"/>
  <c r="AK1003" i="2"/>
  <c r="AJ1003" i="2"/>
  <c r="AH1003" i="2"/>
  <c r="AI1003" i="2" s="1"/>
  <c r="AG1003" i="2"/>
  <c r="AF1003" i="2"/>
  <c r="AE1003" i="2"/>
  <c r="AD1003" i="2"/>
  <c r="AL1002" i="2"/>
  <c r="AN1002" i="2" s="1"/>
  <c r="AK1002" i="2"/>
  <c r="AJ1002" i="2"/>
  <c r="AH1002" i="2"/>
  <c r="AI1002" i="2" s="1"/>
  <c r="AG1002" i="2"/>
  <c r="AF1002" i="2"/>
  <c r="AE1002" i="2"/>
  <c r="AD1002" i="2"/>
  <c r="AN1001" i="2"/>
  <c r="AL1001" i="2"/>
  <c r="AK1001" i="2"/>
  <c r="AM1001" i="2" s="1"/>
  <c r="AJ1001" i="2"/>
  <c r="AI1001" i="2"/>
  <c r="AH1001" i="2"/>
  <c r="AG1001" i="2"/>
  <c r="AF1001" i="2"/>
  <c r="AE1001" i="2"/>
  <c r="AD1001" i="2"/>
  <c r="AL1000" i="2"/>
  <c r="AK1000" i="2"/>
  <c r="AJ1000" i="2"/>
  <c r="AH1000" i="2"/>
  <c r="AI1000" i="2" s="1"/>
  <c r="AG1000" i="2"/>
  <c r="AF1000" i="2"/>
  <c r="AE1000" i="2"/>
  <c r="AD1000" i="2"/>
  <c r="AL999" i="2"/>
  <c r="AK999" i="2"/>
  <c r="AM999" i="2" s="1"/>
  <c r="AJ999" i="2"/>
  <c r="AH999" i="2"/>
  <c r="AI999" i="2" s="1"/>
  <c r="AG999" i="2"/>
  <c r="AF999" i="2"/>
  <c r="AE999" i="2"/>
  <c r="AD999" i="2"/>
  <c r="AN998" i="2"/>
  <c r="AM998" i="2"/>
  <c r="AL998" i="2"/>
  <c r="AK998" i="2"/>
  <c r="AJ998" i="2"/>
  <c r="AH998" i="2"/>
  <c r="AI998" i="2" s="1"/>
  <c r="AG998" i="2"/>
  <c r="AF998" i="2"/>
  <c r="AE998" i="2"/>
  <c r="AD998" i="2"/>
  <c r="AL997" i="2"/>
  <c r="AK997" i="2"/>
  <c r="AN997" i="2" s="1"/>
  <c r="AJ997" i="2"/>
  <c r="AH997" i="2"/>
  <c r="AI997" i="2" s="1"/>
  <c r="AG997" i="2"/>
  <c r="AF997" i="2"/>
  <c r="AE997" i="2"/>
  <c r="AD997" i="2"/>
  <c r="AL996" i="2"/>
  <c r="AK996" i="2"/>
  <c r="AN996" i="2" s="1"/>
  <c r="AJ996" i="2"/>
  <c r="AH996" i="2"/>
  <c r="AI996" i="2" s="1"/>
  <c r="AG996" i="2"/>
  <c r="AF996" i="2"/>
  <c r="AE996" i="2"/>
  <c r="AD996" i="2"/>
  <c r="AL995" i="2"/>
  <c r="AK995" i="2"/>
  <c r="AM995" i="2" s="1"/>
  <c r="AJ995" i="2"/>
  <c r="AH995" i="2"/>
  <c r="AI995" i="2" s="1"/>
  <c r="AG995" i="2"/>
  <c r="AF995" i="2"/>
  <c r="AE995" i="2"/>
  <c r="AD995" i="2"/>
  <c r="AL994" i="2"/>
  <c r="AK994" i="2"/>
  <c r="AJ994" i="2"/>
  <c r="AH994" i="2"/>
  <c r="AI994" i="2" s="1"/>
  <c r="AG994" i="2"/>
  <c r="AF994" i="2"/>
  <c r="AE994" i="2"/>
  <c r="AD994" i="2"/>
  <c r="AL993" i="2"/>
  <c r="AK993" i="2"/>
  <c r="AJ993" i="2"/>
  <c r="AH993" i="2"/>
  <c r="AI993" i="2" s="1"/>
  <c r="AG993" i="2"/>
  <c r="AF993" i="2"/>
  <c r="AE993" i="2"/>
  <c r="AD993" i="2"/>
  <c r="AL992" i="2"/>
  <c r="AK992" i="2"/>
  <c r="AJ992" i="2"/>
  <c r="AH992" i="2"/>
  <c r="AI992" i="2" s="1"/>
  <c r="AG992" i="2"/>
  <c r="AF992" i="2"/>
  <c r="AE992" i="2"/>
  <c r="AD992" i="2"/>
  <c r="AL991" i="2"/>
  <c r="AK991" i="2"/>
  <c r="AM991" i="2" s="1"/>
  <c r="AJ991" i="2"/>
  <c r="AH991" i="2"/>
  <c r="AI991" i="2" s="1"/>
  <c r="AG991" i="2"/>
  <c r="AF991" i="2"/>
  <c r="AE991" i="2"/>
  <c r="AD991" i="2"/>
  <c r="AL990" i="2"/>
  <c r="AK990" i="2"/>
  <c r="AJ990" i="2"/>
  <c r="AH990" i="2"/>
  <c r="AI990" i="2" s="1"/>
  <c r="AG990" i="2"/>
  <c r="AF990" i="2"/>
  <c r="AE990" i="2"/>
  <c r="AD990" i="2"/>
  <c r="AL989" i="2"/>
  <c r="AK989" i="2"/>
  <c r="AN989" i="2" s="1"/>
  <c r="AJ989" i="2"/>
  <c r="AH989" i="2"/>
  <c r="AI989" i="2" s="1"/>
  <c r="AG989" i="2"/>
  <c r="AF989" i="2"/>
  <c r="AE989" i="2"/>
  <c r="AD989" i="2"/>
  <c r="AL988" i="2"/>
  <c r="AK988" i="2"/>
  <c r="AN988" i="2" s="1"/>
  <c r="AJ988" i="2"/>
  <c r="AH988" i="2"/>
  <c r="AI988" i="2" s="1"/>
  <c r="AG988" i="2"/>
  <c r="AF988" i="2"/>
  <c r="AE988" i="2"/>
  <c r="AD988" i="2"/>
  <c r="AL987" i="2"/>
  <c r="AN987" i="2" s="1"/>
  <c r="AK987" i="2"/>
  <c r="AJ987" i="2"/>
  <c r="AH987" i="2"/>
  <c r="AI987" i="2" s="1"/>
  <c r="AG987" i="2"/>
  <c r="AF987" i="2"/>
  <c r="AE987" i="2"/>
  <c r="AD987" i="2"/>
  <c r="AL986" i="2"/>
  <c r="AN986" i="2" s="1"/>
  <c r="AK986" i="2"/>
  <c r="AJ986" i="2"/>
  <c r="AH986" i="2"/>
  <c r="AI986" i="2" s="1"/>
  <c r="AG986" i="2"/>
  <c r="AF986" i="2"/>
  <c r="AE986" i="2"/>
  <c r="AD986" i="2"/>
  <c r="AL985" i="2"/>
  <c r="AK985" i="2"/>
  <c r="AM985" i="2" s="1"/>
  <c r="AJ985" i="2"/>
  <c r="AH985" i="2"/>
  <c r="AI985" i="2" s="1"/>
  <c r="AG985" i="2"/>
  <c r="AF985" i="2"/>
  <c r="AE985" i="2"/>
  <c r="AD985" i="2"/>
  <c r="AL984" i="2"/>
  <c r="AK984" i="2"/>
  <c r="AJ984" i="2"/>
  <c r="AH984" i="2"/>
  <c r="AI984" i="2" s="1"/>
  <c r="AG984" i="2"/>
  <c r="AF984" i="2"/>
  <c r="AE984" i="2"/>
  <c r="AD984" i="2"/>
  <c r="AL983" i="2"/>
  <c r="AK983" i="2"/>
  <c r="AM983" i="2" s="1"/>
  <c r="AJ983" i="2"/>
  <c r="AH983" i="2"/>
  <c r="AI983" i="2" s="1"/>
  <c r="AG983" i="2"/>
  <c r="AF983" i="2"/>
  <c r="AE983" i="2"/>
  <c r="AD983" i="2"/>
  <c r="AM982" i="2"/>
  <c r="AL982" i="2"/>
  <c r="AK982" i="2"/>
  <c r="AN982" i="2" s="1"/>
  <c r="AJ982" i="2"/>
  <c r="AH982" i="2"/>
  <c r="AI982" i="2" s="1"/>
  <c r="AG982" i="2"/>
  <c r="AF982" i="2"/>
  <c r="AE982" i="2"/>
  <c r="AD982" i="2"/>
  <c r="AL981" i="2"/>
  <c r="AK981" i="2"/>
  <c r="AJ981" i="2"/>
  <c r="AI981" i="2"/>
  <c r="AH981" i="2"/>
  <c r="AG981" i="2"/>
  <c r="AF981" i="2"/>
  <c r="AE981" i="2"/>
  <c r="AD981" i="2"/>
  <c r="AL980" i="2"/>
  <c r="AK980" i="2"/>
  <c r="AJ980" i="2"/>
  <c r="AH980" i="2"/>
  <c r="AI980" i="2" s="1"/>
  <c r="AG980" i="2"/>
  <c r="AF980" i="2"/>
  <c r="AE980" i="2"/>
  <c r="AD980" i="2"/>
  <c r="AL979" i="2"/>
  <c r="AK979" i="2"/>
  <c r="AJ979" i="2"/>
  <c r="AH979" i="2"/>
  <c r="AI979" i="2" s="1"/>
  <c r="AG979" i="2"/>
  <c r="AF979" i="2"/>
  <c r="AE979" i="2"/>
  <c r="AD979" i="2"/>
  <c r="AL978" i="2"/>
  <c r="AK978" i="2"/>
  <c r="AJ978" i="2"/>
  <c r="AH978" i="2"/>
  <c r="AI978" i="2" s="1"/>
  <c r="AG978" i="2"/>
  <c r="AF978" i="2"/>
  <c r="AE978" i="2"/>
  <c r="AD978" i="2"/>
  <c r="AL977" i="2"/>
  <c r="AK977" i="2"/>
  <c r="AJ977" i="2"/>
  <c r="AH977" i="2"/>
  <c r="AI977" i="2" s="1"/>
  <c r="AG977" i="2"/>
  <c r="AF977" i="2"/>
  <c r="AE977" i="2"/>
  <c r="AD977" i="2"/>
  <c r="AL976" i="2"/>
  <c r="AK976" i="2"/>
  <c r="AM976" i="2" s="1"/>
  <c r="AJ976" i="2"/>
  <c r="AH976" i="2"/>
  <c r="AI976" i="2" s="1"/>
  <c r="AG976" i="2"/>
  <c r="AF976" i="2"/>
  <c r="AE976" i="2"/>
  <c r="AD976" i="2"/>
  <c r="AL975" i="2"/>
  <c r="AK975" i="2"/>
  <c r="AJ975" i="2"/>
  <c r="AH975" i="2"/>
  <c r="AI975" i="2" s="1"/>
  <c r="AG975" i="2"/>
  <c r="AF975" i="2"/>
  <c r="AE975" i="2"/>
  <c r="AD975" i="2"/>
  <c r="AM974" i="2"/>
  <c r="AL974" i="2"/>
  <c r="AK974" i="2"/>
  <c r="AN974" i="2" s="1"/>
  <c r="AJ974" i="2"/>
  <c r="AH974" i="2"/>
  <c r="AI974" i="2" s="1"/>
  <c r="AG974" i="2"/>
  <c r="AF974" i="2"/>
  <c r="AE974" i="2"/>
  <c r="AD974" i="2"/>
  <c r="AL973" i="2"/>
  <c r="AK973" i="2"/>
  <c r="AJ973" i="2"/>
  <c r="AH973" i="2"/>
  <c r="AI973" i="2" s="1"/>
  <c r="AG973" i="2"/>
  <c r="AF973" i="2"/>
  <c r="AE973" i="2"/>
  <c r="AD973" i="2"/>
  <c r="AL972" i="2"/>
  <c r="AK972" i="2"/>
  <c r="AJ972" i="2"/>
  <c r="AH972" i="2"/>
  <c r="AI972" i="2" s="1"/>
  <c r="AG972" i="2"/>
  <c r="AF972" i="2"/>
  <c r="AE972" i="2"/>
  <c r="AD972" i="2"/>
  <c r="AL971" i="2"/>
  <c r="AK971" i="2"/>
  <c r="AM971" i="2" s="1"/>
  <c r="AJ971" i="2"/>
  <c r="AH971" i="2"/>
  <c r="AI971" i="2" s="1"/>
  <c r="AG971" i="2"/>
  <c r="AF971" i="2"/>
  <c r="AE971" i="2"/>
  <c r="AD971" i="2"/>
  <c r="AL970" i="2"/>
  <c r="AK970" i="2"/>
  <c r="AJ970" i="2"/>
  <c r="AH970" i="2"/>
  <c r="AI970" i="2" s="1"/>
  <c r="AG970" i="2"/>
  <c r="AF970" i="2"/>
  <c r="AE970" i="2"/>
  <c r="AD970" i="2"/>
  <c r="AL969" i="2"/>
  <c r="AK969" i="2"/>
  <c r="AJ969" i="2"/>
  <c r="AI969" i="2"/>
  <c r="AH969" i="2"/>
  <c r="AG969" i="2"/>
  <c r="AF969" i="2"/>
  <c r="AE969" i="2"/>
  <c r="AD969" i="2"/>
  <c r="AL968" i="2"/>
  <c r="AK968" i="2"/>
  <c r="AN968" i="2" s="1"/>
  <c r="AJ968" i="2"/>
  <c r="AH968" i="2"/>
  <c r="AI968" i="2" s="1"/>
  <c r="AG968" i="2"/>
  <c r="AF968" i="2"/>
  <c r="AE968" i="2"/>
  <c r="AD968" i="2"/>
  <c r="AL967" i="2"/>
  <c r="AK967" i="2"/>
  <c r="AJ967" i="2"/>
  <c r="AH967" i="2"/>
  <c r="AI967" i="2" s="1"/>
  <c r="AG967" i="2"/>
  <c r="AF967" i="2"/>
  <c r="AE967" i="2"/>
  <c r="AD967" i="2"/>
  <c r="AL966" i="2"/>
  <c r="AK966" i="2"/>
  <c r="AJ966" i="2"/>
  <c r="AI966" i="2"/>
  <c r="AH966" i="2"/>
  <c r="AG966" i="2"/>
  <c r="AF966" i="2"/>
  <c r="AE966" i="2"/>
  <c r="AD966" i="2"/>
  <c r="AN965" i="2"/>
  <c r="AL965" i="2"/>
  <c r="AK965" i="2"/>
  <c r="AM965" i="2" s="1"/>
  <c r="AJ965" i="2"/>
  <c r="AH965" i="2"/>
  <c r="AI965" i="2" s="1"/>
  <c r="AG965" i="2"/>
  <c r="AF965" i="2"/>
  <c r="AE965" i="2"/>
  <c r="AD965" i="2"/>
  <c r="AL964" i="2"/>
  <c r="AK964" i="2"/>
  <c r="AM964" i="2" s="1"/>
  <c r="AJ964" i="2"/>
  <c r="AH964" i="2"/>
  <c r="AI964" i="2" s="1"/>
  <c r="AG964" i="2"/>
  <c r="AF964" i="2"/>
  <c r="AE964" i="2"/>
  <c r="AD964" i="2"/>
  <c r="AL963" i="2"/>
  <c r="AK963" i="2"/>
  <c r="AM963" i="2" s="1"/>
  <c r="AJ963" i="2"/>
  <c r="AH963" i="2"/>
  <c r="AI963" i="2" s="1"/>
  <c r="AG963" i="2"/>
  <c r="AF963" i="2"/>
  <c r="AE963" i="2"/>
  <c r="AD963" i="2"/>
  <c r="AN962" i="2"/>
  <c r="AL962" i="2"/>
  <c r="AK962" i="2"/>
  <c r="AM962" i="2" s="1"/>
  <c r="AJ962" i="2"/>
  <c r="AH962" i="2"/>
  <c r="AI962" i="2" s="1"/>
  <c r="AG962" i="2"/>
  <c r="AF962" i="2"/>
  <c r="AE962" i="2"/>
  <c r="AD962" i="2"/>
  <c r="AL961" i="2"/>
  <c r="AK961" i="2"/>
  <c r="AJ961" i="2"/>
  <c r="AH961" i="2"/>
  <c r="AI961" i="2" s="1"/>
  <c r="AG961" i="2"/>
  <c r="AF961" i="2"/>
  <c r="AE961" i="2"/>
  <c r="AD961" i="2"/>
  <c r="AL960" i="2"/>
  <c r="AK960" i="2"/>
  <c r="AN960" i="2" s="1"/>
  <c r="AJ960" i="2"/>
  <c r="AI960" i="2"/>
  <c r="AH960" i="2"/>
  <c r="AG960" i="2"/>
  <c r="AF960" i="2"/>
  <c r="AE960" i="2"/>
  <c r="AD960" i="2"/>
  <c r="AN959" i="2"/>
  <c r="AL959" i="2"/>
  <c r="AK959" i="2"/>
  <c r="AM959" i="2" s="1"/>
  <c r="AJ959" i="2"/>
  <c r="AH959" i="2"/>
  <c r="AI959" i="2" s="1"/>
  <c r="AG959" i="2"/>
  <c r="AF959" i="2"/>
  <c r="AE959" i="2"/>
  <c r="AD959" i="2"/>
  <c r="AL958" i="2"/>
  <c r="AK958" i="2"/>
  <c r="AJ958" i="2"/>
  <c r="AI958" i="2"/>
  <c r="AH958" i="2"/>
  <c r="AG958" i="2"/>
  <c r="AF958" i="2"/>
  <c r="AE958" i="2"/>
  <c r="AD958" i="2"/>
  <c r="AL957" i="2"/>
  <c r="AN957" i="2" s="1"/>
  <c r="AK957" i="2"/>
  <c r="AJ957" i="2"/>
  <c r="AH957" i="2"/>
  <c r="AI957" i="2" s="1"/>
  <c r="AG957" i="2"/>
  <c r="AF957" i="2"/>
  <c r="AE957" i="2"/>
  <c r="AD957" i="2"/>
  <c r="AL956" i="2"/>
  <c r="AK956" i="2"/>
  <c r="AJ956" i="2"/>
  <c r="AH956" i="2"/>
  <c r="AI956" i="2" s="1"/>
  <c r="AG956" i="2"/>
  <c r="AF956" i="2"/>
  <c r="AE956" i="2"/>
  <c r="AD956" i="2"/>
  <c r="AL955" i="2"/>
  <c r="AK955" i="2"/>
  <c r="AM955" i="2" s="1"/>
  <c r="AJ955" i="2"/>
  <c r="AH955" i="2"/>
  <c r="AI955" i="2" s="1"/>
  <c r="AG955" i="2"/>
  <c r="AF955" i="2"/>
  <c r="AE955" i="2"/>
  <c r="AD955" i="2"/>
  <c r="AL954" i="2"/>
  <c r="AK954" i="2"/>
  <c r="AJ954" i="2"/>
  <c r="AI954" i="2"/>
  <c r="AH954" i="2"/>
  <c r="AG954" i="2"/>
  <c r="AF954" i="2"/>
  <c r="AE954" i="2"/>
  <c r="AD954" i="2"/>
  <c r="AL953" i="2"/>
  <c r="AK953" i="2"/>
  <c r="AJ953" i="2"/>
  <c r="AI953" i="2"/>
  <c r="AH953" i="2"/>
  <c r="AG953" i="2"/>
  <c r="AF953" i="2"/>
  <c r="AE953" i="2"/>
  <c r="AD953" i="2"/>
  <c r="AL952" i="2"/>
  <c r="AK952" i="2"/>
  <c r="AJ952" i="2"/>
  <c r="AH952" i="2"/>
  <c r="AI952" i="2" s="1"/>
  <c r="AG952" i="2"/>
  <c r="AF952" i="2"/>
  <c r="AE952" i="2"/>
  <c r="AD952" i="2"/>
  <c r="AM951" i="2"/>
  <c r="AL951" i="2"/>
  <c r="AN951" i="2" s="1"/>
  <c r="AK951" i="2"/>
  <c r="AJ951" i="2"/>
  <c r="AH951" i="2"/>
  <c r="AI951" i="2" s="1"/>
  <c r="AG951" i="2"/>
  <c r="AF951" i="2"/>
  <c r="AE951" i="2"/>
  <c r="AD951" i="2"/>
  <c r="AL950" i="2"/>
  <c r="AK950" i="2"/>
  <c r="AJ950" i="2"/>
  <c r="AH950" i="2"/>
  <c r="AI950" i="2" s="1"/>
  <c r="AG950" i="2"/>
  <c r="AF950" i="2"/>
  <c r="AE950" i="2"/>
  <c r="AD950" i="2"/>
  <c r="AL949" i="2"/>
  <c r="AK949" i="2"/>
  <c r="AJ949" i="2"/>
  <c r="AH949" i="2"/>
  <c r="AI949" i="2" s="1"/>
  <c r="AG949" i="2"/>
  <c r="AF949" i="2"/>
  <c r="AE949" i="2"/>
  <c r="AD949" i="2"/>
  <c r="AN948" i="2"/>
  <c r="AL948" i="2"/>
  <c r="AK948" i="2"/>
  <c r="AM948" i="2" s="1"/>
  <c r="AJ948" i="2"/>
  <c r="AI948" i="2"/>
  <c r="AH948" i="2"/>
  <c r="AG948" i="2"/>
  <c r="AF948" i="2"/>
  <c r="AE948" i="2"/>
  <c r="AD948" i="2"/>
  <c r="AL947" i="2"/>
  <c r="AK947" i="2"/>
  <c r="AJ947" i="2"/>
  <c r="AH947" i="2"/>
  <c r="AI947" i="2" s="1"/>
  <c r="AG947" i="2"/>
  <c r="AF947" i="2"/>
  <c r="AE947" i="2"/>
  <c r="AD947" i="2"/>
  <c r="AL946" i="2"/>
  <c r="AM946" i="2" s="1"/>
  <c r="AK946" i="2"/>
  <c r="AJ946" i="2"/>
  <c r="AI946" i="2"/>
  <c r="AH946" i="2"/>
  <c r="AG946" i="2"/>
  <c r="AF946" i="2"/>
  <c r="AE946" i="2"/>
  <c r="AD946" i="2"/>
  <c r="AL945" i="2"/>
  <c r="AK945" i="2"/>
  <c r="AJ945" i="2"/>
  <c r="AI945" i="2"/>
  <c r="AH945" i="2"/>
  <c r="AG945" i="2"/>
  <c r="AF945" i="2"/>
  <c r="AE945" i="2"/>
  <c r="AD945" i="2"/>
  <c r="AN944" i="2"/>
  <c r="AL944" i="2"/>
  <c r="AK944" i="2"/>
  <c r="AJ944" i="2"/>
  <c r="AH944" i="2"/>
  <c r="AI944" i="2" s="1"/>
  <c r="AG944" i="2"/>
  <c r="AF944" i="2"/>
  <c r="AE944" i="2"/>
  <c r="AD944" i="2"/>
  <c r="AN943" i="2"/>
  <c r="AL943" i="2"/>
  <c r="AK943" i="2"/>
  <c r="AM943" i="2" s="1"/>
  <c r="AJ943" i="2"/>
  <c r="AH943" i="2"/>
  <c r="AI943" i="2" s="1"/>
  <c r="AG943" i="2"/>
  <c r="AF943" i="2"/>
  <c r="AE943" i="2"/>
  <c r="AD943" i="2"/>
  <c r="AL942" i="2"/>
  <c r="AK942" i="2"/>
  <c r="AJ942" i="2"/>
  <c r="AH942" i="2"/>
  <c r="AI942" i="2" s="1"/>
  <c r="AG942" i="2"/>
  <c r="AF942" i="2"/>
  <c r="AE942" i="2"/>
  <c r="AD942" i="2"/>
  <c r="AL941" i="2"/>
  <c r="AK941" i="2"/>
  <c r="AJ941" i="2"/>
  <c r="AI941" i="2"/>
  <c r="AH941" i="2"/>
  <c r="AG941" i="2"/>
  <c r="AF941" i="2"/>
  <c r="AE941" i="2"/>
  <c r="AD941" i="2"/>
  <c r="AN940" i="2"/>
  <c r="AL940" i="2"/>
  <c r="AK940" i="2"/>
  <c r="AM940" i="2" s="1"/>
  <c r="AJ940" i="2"/>
  <c r="AH940" i="2"/>
  <c r="AI940" i="2" s="1"/>
  <c r="AG940" i="2"/>
  <c r="AF940" i="2"/>
  <c r="AE940" i="2"/>
  <c r="AD940" i="2"/>
  <c r="AN939" i="2"/>
  <c r="AM939" i="2"/>
  <c r="AL939" i="2"/>
  <c r="AK939" i="2"/>
  <c r="AJ939" i="2"/>
  <c r="AH939" i="2"/>
  <c r="AI939" i="2" s="1"/>
  <c r="AG939" i="2"/>
  <c r="AF939" i="2"/>
  <c r="AE939" i="2"/>
  <c r="AD939" i="2"/>
  <c r="AL938" i="2"/>
  <c r="AK938" i="2"/>
  <c r="AN938" i="2" s="1"/>
  <c r="AJ938" i="2"/>
  <c r="AH938" i="2"/>
  <c r="AI938" i="2" s="1"/>
  <c r="AG938" i="2"/>
  <c r="AF938" i="2"/>
  <c r="AE938" i="2"/>
  <c r="AD938" i="2"/>
  <c r="AL937" i="2"/>
  <c r="AK937" i="2"/>
  <c r="AJ937" i="2"/>
  <c r="AI937" i="2"/>
  <c r="AH937" i="2"/>
  <c r="AG937" i="2"/>
  <c r="AF937" i="2"/>
  <c r="AE937" i="2"/>
  <c r="AD937" i="2"/>
  <c r="AL936" i="2"/>
  <c r="AK936" i="2"/>
  <c r="AM936" i="2" s="1"/>
  <c r="AJ936" i="2"/>
  <c r="AH936" i="2"/>
  <c r="AI936" i="2" s="1"/>
  <c r="AG936" i="2"/>
  <c r="AF936" i="2"/>
  <c r="AE936" i="2"/>
  <c r="AD936" i="2"/>
  <c r="AM935" i="2"/>
  <c r="AL935" i="2"/>
  <c r="AN935" i="2" s="1"/>
  <c r="AK935" i="2"/>
  <c r="AJ935" i="2"/>
  <c r="AH935" i="2"/>
  <c r="AI935" i="2" s="1"/>
  <c r="AG935" i="2"/>
  <c r="AF935" i="2"/>
  <c r="AE935" i="2"/>
  <c r="AD935" i="2"/>
  <c r="AN934" i="2"/>
  <c r="AM934" i="2"/>
  <c r="AL934" i="2"/>
  <c r="AK934" i="2"/>
  <c r="AJ934" i="2"/>
  <c r="AI934" i="2"/>
  <c r="AH934" i="2"/>
  <c r="AG934" i="2"/>
  <c r="AF934" i="2"/>
  <c r="AE934" i="2"/>
  <c r="AD934" i="2"/>
  <c r="AL933" i="2"/>
  <c r="AK933" i="2"/>
  <c r="AJ933" i="2"/>
  <c r="AH933" i="2"/>
  <c r="AI933" i="2" s="1"/>
  <c r="AG933" i="2"/>
  <c r="AF933" i="2"/>
  <c r="AE933" i="2"/>
  <c r="AD933" i="2"/>
  <c r="AL932" i="2"/>
  <c r="AK932" i="2"/>
  <c r="AJ932" i="2"/>
  <c r="AH932" i="2"/>
  <c r="AI932" i="2" s="1"/>
  <c r="AG932" i="2"/>
  <c r="AF932" i="2"/>
  <c r="AE932" i="2"/>
  <c r="AD932" i="2"/>
  <c r="AL931" i="2"/>
  <c r="AK931" i="2"/>
  <c r="AN931" i="2" s="1"/>
  <c r="AJ931" i="2"/>
  <c r="AH931" i="2"/>
  <c r="AI931" i="2" s="1"/>
  <c r="AG931" i="2"/>
  <c r="AF931" i="2"/>
  <c r="AE931" i="2"/>
  <c r="AD931" i="2"/>
  <c r="AM930" i="2"/>
  <c r="AL930" i="2"/>
  <c r="AN930" i="2" s="1"/>
  <c r="AK930" i="2"/>
  <c r="AJ930" i="2"/>
  <c r="AH930" i="2"/>
  <c r="AI930" i="2" s="1"/>
  <c r="AG930" i="2"/>
  <c r="AF930" i="2"/>
  <c r="AE930" i="2"/>
  <c r="AD930" i="2"/>
  <c r="AL929" i="2"/>
  <c r="AK929" i="2"/>
  <c r="AJ929" i="2"/>
  <c r="AH929" i="2"/>
  <c r="AI929" i="2" s="1"/>
  <c r="AG929" i="2"/>
  <c r="AF929" i="2"/>
  <c r="AE929" i="2"/>
  <c r="AD929" i="2"/>
  <c r="AL928" i="2"/>
  <c r="AK928" i="2"/>
  <c r="AJ928" i="2"/>
  <c r="AH928" i="2"/>
  <c r="AI928" i="2" s="1"/>
  <c r="AG928" i="2"/>
  <c r="AF928" i="2"/>
  <c r="AE928" i="2"/>
  <c r="AD928" i="2"/>
  <c r="AL927" i="2"/>
  <c r="AK927" i="2"/>
  <c r="AJ927" i="2"/>
  <c r="AH927" i="2"/>
  <c r="AI927" i="2" s="1"/>
  <c r="AG927" i="2"/>
  <c r="AF927" i="2"/>
  <c r="AE927" i="2"/>
  <c r="AD927" i="2"/>
  <c r="AL926" i="2"/>
  <c r="AK926" i="2"/>
  <c r="AM926" i="2" s="1"/>
  <c r="AJ926" i="2"/>
  <c r="AH926" i="2"/>
  <c r="AI926" i="2" s="1"/>
  <c r="AG926" i="2"/>
  <c r="AF926" i="2"/>
  <c r="AE926" i="2"/>
  <c r="AD926" i="2"/>
  <c r="AL925" i="2"/>
  <c r="AK925" i="2"/>
  <c r="AJ925" i="2"/>
  <c r="AH925" i="2"/>
  <c r="AI925" i="2" s="1"/>
  <c r="AG925" i="2"/>
  <c r="AF925" i="2"/>
  <c r="AE925" i="2"/>
  <c r="AD925" i="2"/>
  <c r="AN924" i="2"/>
  <c r="AL924" i="2"/>
  <c r="AK924" i="2"/>
  <c r="AM924" i="2" s="1"/>
  <c r="AJ924" i="2"/>
  <c r="AH924" i="2"/>
  <c r="AI924" i="2" s="1"/>
  <c r="AG924" i="2"/>
  <c r="AF924" i="2"/>
  <c r="AE924" i="2"/>
  <c r="AD924" i="2"/>
  <c r="AL923" i="2"/>
  <c r="AK923" i="2"/>
  <c r="AJ923" i="2"/>
  <c r="AH923" i="2"/>
  <c r="AI923" i="2" s="1"/>
  <c r="AG923" i="2"/>
  <c r="AF923" i="2"/>
  <c r="AE923" i="2"/>
  <c r="AD923" i="2"/>
  <c r="AL922" i="2"/>
  <c r="AK922" i="2"/>
  <c r="AJ922" i="2"/>
  <c r="AI922" i="2"/>
  <c r="AH922" i="2"/>
  <c r="AG922" i="2"/>
  <c r="AF922" i="2"/>
  <c r="AE922" i="2"/>
  <c r="AD922" i="2"/>
  <c r="AL921" i="2"/>
  <c r="AK921" i="2"/>
  <c r="AJ921" i="2"/>
  <c r="AI921" i="2"/>
  <c r="AH921" i="2"/>
  <c r="AG921" i="2"/>
  <c r="AF921" i="2"/>
  <c r="AE921" i="2"/>
  <c r="AD921" i="2"/>
  <c r="AL920" i="2"/>
  <c r="AK920" i="2"/>
  <c r="AJ920" i="2"/>
  <c r="AH920" i="2"/>
  <c r="AI920" i="2" s="1"/>
  <c r="AG920" i="2"/>
  <c r="AF920" i="2"/>
  <c r="AE920" i="2"/>
  <c r="AD920" i="2"/>
  <c r="AN919" i="2"/>
  <c r="AM919" i="2"/>
  <c r="AL919" i="2"/>
  <c r="AK919" i="2"/>
  <c r="AJ919" i="2"/>
  <c r="AH919" i="2"/>
  <c r="AI919" i="2" s="1"/>
  <c r="AG919" i="2"/>
  <c r="AF919" i="2"/>
  <c r="AE919" i="2"/>
  <c r="AD919" i="2"/>
  <c r="AL918" i="2"/>
  <c r="AK918" i="2"/>
  <c r="AJ918" i="2"/>
  <c r="AI918" i="2"/>
  <c r="AH918" i="2"/>
  <c r="AG918" i="2"/>
  <c r="AF918" i="2"/>
  <c r="AE918" i="2"/>
  <c r="AD918" i="2"/>
  <c r="AL917" i="2"/>
  <c r="AK917" i="2"/>
  <c r="AJ917" i="2"/>
  <c r="AI917" i="2"/>
  <c r="AH917" i="2"/>
  <c r="AG917" i="2"/>
  <c r="AF917" i="2"/>
  <c r="AE917" i="2"/>
  <c r="AD917" i="2"/>
  <c r="AL916" i="2"/>
  <c r="AK916" i="2"/>
  <c r="AJ916" i="2"/>
  <c r="AI916" i="2"/>
  <c r="AH916" i="2"/>
  <c r="AG916" i="2"/>
  <c r="AF916" i="2"/>
  <c r="AE916" i="2"/>
  <c r="AD916" i="2"/>
  <c r="AL915" i="2"/>
  <c r="AN915" i="2" s="1"/>
  <c r="AK915" i="2"/>
  <c r="AJ915" i="2"/>
  <c r="AH915" i="2"/>
  <c r="AI915" i="2" s="1"/>
  <c r="AG915" i="2"/>
  <c r="AF915" i="2"/>
  <c r="AE915" i="2"/>
  <c r="AD915" i="2"/>
  <c r="AL914" i="2"/>
  <c r="AK914" i="2"/>
  <c r="AJ914" i="2"/>
  <c r="AH914" i="2"/>
  <c r="AI914" i="2" s="1"/>
  <c r="AG914" i="2"/>
  <c r="AF914" i="2"/>
  <c r="AE914" i="2"/>
  <c r="AD914" i="2"/>
  <c r="AL913" i="2"/>
  <c r="AK913" i="2"/>
  <c r="AJ913" i="2"/>
  <c r="AI913" i="2"/>
  <c r="AH913" i="2"/>
  <c r="AG913" i="2"/>
  <c r="AF913" i="2"/>
  <c r="AE913" i="2"/>
  <c r="AD913" i="2"/>
  <c r="AL912" i="2"/>
  <c r="AK912" i="2"/>
  <c r="AJ912" i="2"/>
  <c r="AH912" i="2"/>
  <c r="AI912" i="2" s="1"/>
  <c r="AG912" i="2"/>
  <c r="AF912" i="2"/>
  <c r="AE912" i="2"/>
  <c r="AD912" i="2"/>
  <c r="AL911" i="2"/>
  <c r="AK911" i="2"/>
  <c r="AJ911" i="2"/>
  <c r="AH911" i="2"/>
  <c r="AI911" i="2" s="1"/>
  <c r="AG911" i="2"/>
  <c r="AF911" i="2"/>
  <c r="AE911" i="2"/>
  <c r="AD911" i="2"/>
  <c r="AN910" i="2"/>
  <c r="AL910" i="2"/>
  <c r="AK910" i="2"/>
  <c r="AM910" i="2" s="1"/>
  <c r="AJ910" i="2"/>
  <c r="AH910" i="2"/>
  <c r="AI910" i="2" s="1"/>
  <c r="AG910" i="2"/>
  <c r="AF910" i="2"/>
  <c r="AE910" i="2"/>
  <c r="AD910" i="2"/>
  <c r="AL909" i="2"/>
  <c r="AK909" i="2"/>
  <c r="AJ909" i="2"/>
  <c r="AH909" i="2"/>
  <c r="AI909" i="2" s="1"/>
  <c r="AG909" i="2"/>
  <c r="AF909" i="2"/>
  <c r="AE909" i="2"/>
  <c r="AD909" i="2"/>
  <c r="AN908" i="2"/>
  <c r="AL908" i="2"/>
  <c r="AK908" i="2"/>
  <c r="AM908" i="2" s="1"/>
  <c r="AJ908" i="2"/>
  <c r="AH908" i="2"/>
  <c r="AI908" i="2" s="1"/>
  <c r="AG908" i="2"/>
  <c r="AF908" i="2"/>
  <c r="AE908" i="2"/>
  <c r="AD908" i="2"/>
  <c r="AM907" i="2"/>
  <c r="AL907" i="2"/>
  <c r="AK907" i="2"/>
  <c r="AJ907" i="2"/>
  <c r="AH907" i="2"/>
  <c r="AI907" i="2" s="1"/>
  <c r="AG907" i="2"/>
  <c r="AF907" i="2"/>
  <c r="AE907" i="2"/>
  <c r="AD907" i="2"/>
  <c r="AL906" i="2"/>
  <c r="AK906" i="2"/>
  <c r="AN906" i="2" s="1"/>
  <c r="AJ906" i="2"/>
  <c r="AH906" i="2"/>
  <c r="AI906" i="2" s="1"/>
  <c r="AG906" i="2"/>
  <c r="AF906" i="2"/>
  <c r="AE906" i="2"/>
  <c r="AD906" i="2"/>
  <c r="AL905" i="2"/>
  <c r="AK905" i="2"/>
  <c r="AJ905" i="2"/>
  <c r="AH905" i="2"/>
  <c r="AI905" i="2" s="1"/>
  <c r="AG905" i="2"/>
  <c r="AF905" i="2"/>
  <c r="AE905" i="2"/>
  <c r="AD905" i="2"/>
  <c r="AL904" i="2"/>
  <c r="AK904" i="2"/>
  <c r="AJ904" i="2"/>
  <c r="AI904" i="2"/>
  <c r="AH904" i="2"/>
  <c r="AG904" i="2"/>
  <c r="AF904" i="2"/>
  <c r="AE904" i="2"/>
  <c r="AD904" i="2"/>
  <c r="AN903" i="2"/>
  <c r="AL903" i="2"/>
  <c r="AK903" i="2"/>
  <c r="AM903" i="2" s="1"/>
  <c r="AJ903" i="2"/>
  <c r="AH903" i="2"/>
  <c r="AI903" i="2" s="1"/>
  <c r="AG903" i="2"/>
  <c r="AF903" i="2"/>
  <c r="AE903" i="2"/>
  <c r="AD903" i="2"/>
  <c r="AL902" i="2"/>
  <c r="AK902" i="2"/>
  <c r="AJ902" i="2"/>
  <c r="AH902" i="2"/>
  <c r="AI902" i="2" s="1"/>
  <c r="AG902" i="2"/>
  <c r="AF902" i="2"/>
  <c r="AE902" i="2"/>
  <c r="AD902" i="2"/>
  <c r="AL901" i="2"/>
  <c r="AK901" i="2"/>
  <c r="AJ901" i="2"/>
  <c r="AH901" i="2"/>
  <c r="AI901" i="2" s="1"/>
  <c r="AG901" i="2"/>
  <c r="AF901" i="2"/>
  <c r="AE901" i="2"/>
  <c r="AD901" i="2"/>
  <c r="AN900" i="2"/>
  <c r="AL900" i="2"/>
  <c r="AK900" i="2"/>
  <c r="AM900" i="2" s="1"/>
  <c r="AJ900" i="2"/>
  <c r="AH900" i="2"/>
  <c r="AI900" i="2" s="1"/>
  <c r="AG900" i="2"/>
  <c r="AF900" i="2"/>
  <c r="AE900" i="2"/>
  <c r="AD900" i="2"/>
  <c r="AM899" i="2"/>
  <c r="AL899" i="2"/>
  <c r="AK899" i="2"/>
  <c r="AJ899" i="2"/>
  <c r="AH899" i="2"/>
  <c r="AI899" i="2" s="1"/>
  <c r="AG899" i="2"/>
  <c r="AF899" i="2"/>
  <c r="AE899" i="2"/>
  <c r="AD899" i="2"/>
  <c r="AL898" i="2"/>
  <c r="AK898" i="2"/>
  <c r="AN898" i="2" s="1"/>
  <c r="AJ898" i="2"/>
  <c r="AH898" i="2"/>
  <c r="AI898" i="2" s="1"/>
  <c r="AG898" i="2"/>
  <c r="AF898" i="2"/>
  <c r="AE898" i="2"/>
  <c r="AD898" i="2"/>
  <c r="AL897" i="2"/>
  <c r="AK897" i="2"/>
  <c r="AJ897" i="2"/>
  <c r="AH897" i="2"/>
  <c r="AI897" i="2" s="1"/>
  <c r="AG897" i="2"/>
  <c r="AF897" i="2"/>
  <c r="AE897" i="2"/>
  <c r="AD897" i="2"/>
  <c r="AL896" i="2"/>
  <c r="AK896" i="2"/>
  <c r="AJ896" i="2"/>
  <c r="AH896" i="2"/>
  <c r="AI896" i="2" s="1"/>
  <c r="AG896" i="2"/>
  <c r="AF896" i="2"/>
  <c r="AE896" i="2"/>
  <c r="AD896" i="2"/>
  <c r="AL895" i="2"/>
  <c r="AK895" i="2"/>
  <c r="AJ895" i="2"/>
  <c r="AH895" i="2"/>
  <c r="AI895" i="2" s="1"/>
  <c r="AG895" i="2"/>
  <c r="AF895" i="2"/>
  <c r="AE895" i="2"/>
  <c r="AD895" i="2"/>
  <c r="AM894" i="2"/>
  <c r="AL894" i="2"/>
  <c r="AK894" i="2"/>
  <c r="AJ894" i="2"/>
  <c r="AI894" i="2"/>
  <c r="AH894" i="2"/>
  <c r="AG894" i="2"/>
  <c r="AF894" i="2"/>
  <c r="AE894" i="2"/>
  <c r="AD894" i="2"/>
  <c r="AL893" i="2"/>
  <c r="AK893" i="2"/>
  <c r="AJ893" i="2"/>
  <c r="AH893" i="2"/>
  <c r="AI893" i="2" s="1"/>
  <c r="AG893" i="2"/>
  <c r="AF893" i="2"/>
  <c r="AE893" i="2"/>
  <c r="AD893" i="2"/>
  <c r="AN892" i="2"/>
  <c r="AM892" i="2"/>
  <c r="AL892" i="2"/>
  <c r="AK892" i="2"/>
  <c r="AJ892" i="2"/>
  <c r="AH892" i="2"/>
  <c r="AI892" i="2" s="1"/>
  <c r="AG892" i="2"/>
  <c r="AF892" i="2"/>
  <c r="AE892" i="2"/>
  <c r="AD892" i="2"/>
  <c r="AL891" i="2"/>
  <c r="AK891" i="2"/>
  <c r="AN891" i="2" s="1"/>
  <c r="AJ891" i="2"/>
  <c r="AH891" i="2"/>
  <c r="AI891" i="2" s="1"/>
  <c r="AG891" i="2"/>
  <c r="AF891" i="2"/>
  <c r="AE891" i="2"/>
  <c r="AD891" i="2"/>
  <c r="AL890" i="2"/>
  <c r="AK890" i="2"/>
  <c r="AJ890" i="2"/>
  <c r="AI890" i="2"/>
  <c r="AH890" i="2"/>
  <c r="AG890" i="2"/>
  <c r="AF890" i="2"/>
  <c r="AE890" i="2"/>
  <c r="AD890" i="2"/>
  <c r="AL889" i="2"/>
  <c r="AK889" i="2"/>
  <c r="AJ889" i="2"/>
  <c r="AI889" i="2"/>
  <c r="AH889" i="2"/>
  <c r="AG889" i="2"/>
  <c r="AF889" i="2"/>
  <c r="AE889" i="2"/>
  <c r="AD889" i="2"/>
  <c r="AM888" i="2"/>
  <c r="AL888" i="2"/>
  <c r="AN888" i="2" s="1"/>
  <c r="AK888" i="2"/>
  <c r="AJ888" i="2"/>
  <c r="AH888" i="2"/>
  <c r="AI888" i="2" s="1"/>
  <c r="AG888" i="2"/>
  <c r="AF888" i="2"/>
  <c r="AE888" i="2"/>
  <c r="AD888" i="2"/>
  <c r="AL887" i="2"/>
  <c r="AK887" i="2"/>
  <c r="AJ887" i="2"/>
  <c r="AH887" i="2"/>
  <c r="AI887" i="2" s="1"/>
  <c r="AG887" i="2"/>
  <c r="AF887" i="2"/>
  <c r="AE887" i="2"/>
  <c r="AD887" i="2"/>
  <c r="AL886" i="2"/>
  <c r="AK886" i="2"/>
  <c r="AJ886" i="2"/>
  <c r="AH886" i="2"/>
  <c r="AI886" i="2" s="1"/>
  <c r="AG886" i="2"/>
  <c r="AF886" i="2"/>
  <c r="AE886" i="2"/>
  <c r="AD886" i="2"/>
  <c r="AL885" i="2"/>
  <c r="AK885" i="2"/>
  <c r="AJ885" i="2"/>
  <c r="AI885" i="2"/>
  <c r="AH885" i="2"/>
  <c r="AG885" i="2"/>
  <c r="AF885" i="2"/>
  <c r="AE885" i="2"/>
  <c r="AD885" i="2"/>
  <c r="AL884" i="2"/>
  <c r="AK884" i="2"/>
  <c r="AN884" i="2" s="1"/>
  <c r="AJ884" i="2"/>
  <c r="AH884" i="2"/>
  <c r="AI884" i="2" s="1"/>
  <c r="AG884" i="2"/>
  <c r="AF884" i="2"/>
  <c r="AE884" i="2"/>
  <c r="AD884" i="2"/>
  <c r="AN883" i="2"/>
  <c r="AL883" i="2"/>
  <c r="AK883" i="2"/>
  <c r="AM883" i="2" s="1"/>
  <c r="AJ883" i="2"/>
  <c r="AH883" i="2"/>
  <c r="AI883" i="2" s="1"/>
  <c r="AG883" i="2"/>
  <c r="AF883" i="2"/>
  <c r="AE883" i="2"/>
  <c r="AD883" i="2"/>
  <c r="AL882" i="2"/>
  <c r="AK882" i="2"/>
  <c r="AJ882" i="2"/>
  <c r="AI882" i="2"/>
  <c r="AH882" i="2"/>
  <c r="AG882" i="2"/>
  <c r="AF882" i="2"/>
  <c r="AE882" i="2"/>
  <c r="AD882" i="2"/>
  <c r="AL881" i="2"/>
  <c r="AK881" i="2"/>
  <c r="AJ881" i="2"/>
  <c r="AH881" i="2"/>
  <c r="AI881" i="2" s="1"/>
  <c r="AG881" i="2"/>
  <c r="AF881" i="2"/>
  <c r="AE881" i="2"/>
  <c r="AD881" i="2"/>
  <c r="AN880" i="2"/>
  <c r="AM880" i="2"/>
  <c r="AL880" i="2"/>
  <c r="AK880" i="2"/>
  <c r="AJ880" i="2"/>
  <c r="AH880" i="2"/>
  <c r="AI880" i="2" s="1"/>
  <c r="AG880" i="2"/>
  <c r="AF880" i="2"/>
  <c r="AE880" i="2"/>
  <c r="AD880" i="2"/>
  <c r="AL879" i="2"/>
  <c r="AK879" i="2"/>
  <c r="AJ879" i="2"/>
  <c r="AH879" i="2"/>
  <c r="AI879" i="2" s="1"/>
  <c r="AG879" i="2"/>
  <c r="AF879" i="2"/>
  <c r="AE879" i="2"/>
  <c r="AD879" i="2"/>
  <c r="AN878" i="2"/>
  <c r="AM878" i="2"/>
  <c r="AL878" i="2"/>
  <c r="AK878" i="2"/>
  <c r="AJ878" i="2"/>
  <c r="AH878" i="2"/>
  <c r="AI878" i="2" s="1"/>
  <c r="AG878" i="2"/>
  <c r="AF878" i="2"/>
  <c r="AE878" i="2"/>
  <c r="AD878" i="2"/>
  <c r="AL877" i="2"/>
  <c r="AK877" i="2"/>
  <c r="AJ877" i="2"/>
  <c r="AI877" i="2"/>
  <c r="AH877" i="2"/>
  <c r="AG877" i="2"/>
  <c r="AF877" i="2"/>
  <c r="AE877" i="2"/>
  <c r="AD877" i="2"/>
  <c r="AL876" i="2"/>
  <c r="AK876" i="2"/>
  <c r="AN876" i="2" s="1"/>
  <c r="AJ876" i="2"/>
  <c r="AI876" i="2"/>
  <c r="AH876" i="2"/>
  <c r="AG876" i="2"/>
  <c r="AF876" i="2"/>
  <c r="AE876" i="2"/>
  <c r="AD876" i="2"/>
  <c r="AN875" i="2"/>
  <c r="AM875" i="2"/>
  <c r="AL875" i="2"/>
  <c r="AK875" i="2"/>
  <c r="AJ875" i="2"/>
  <c r="AH875" i="2"/>
  <c r="AI875" i="2" s="1"/>
  <c r="AG875" i="2"/>
  <c r="AF875" i="2"/>
  <c r="AE875" i="2"/>
  <c r="AD875" i="2"/>
  <c r="AN874" i="2"/>
  <c r="AL874" i="2"/>
  <c r="AK874" i="2"/>
  <c r="AM874" i="2" s="1"/>
  <c r="AJ874" i="2"/>
  <c r="AI874" i="2"/>
  <c r="AH874" i="2"/>
  <c r="AG874" i="2"/>
  <c r="AF874" i="2"/>
  <c r="AE874" i="2"/>
  <c r="AD874" i="2"/>
  <c r="AL873" i="2"/>
  <c r="AK873" i="2"/>
  <c r="AJ873" i="2"/>
  <c r="AH873" i="2"/>
  <c r="AI873" i="2" s="1"/>
  <c r="AG873" i="2"/>
  <c r="AF873" i="2"/>
  <c r="AE873" i="2"/>
  <c r="AD873" i="2"/>
  <c r="AL872" i="2"/>
  <c r="AK872" i="2"/>
  <c r="AN872" i="2" s="1"/>
  <c r="AJ872" i="2"/>
  <c r="AH872" i="2"/>
  <c r="AI872" i="2" s="1"/>
  <c r="AG872" i="2"/>
  <c r="AF872" i="2"/>
  <c r="AE872" i="2"/>
  <c r="AD872" i="2"/>
  <c r="AN871" i="2"/>
  <c r="AM871" i="2"/>
  <c r="AL871" i="2"/>
  <c r="AK871" i="2"/>
  <c r="AJ871" i="2"/>
  <c r="AH871" i="2"/>
  <c r="AI871" i="2" s="1"/>
  <c r="AG871" i="2"/>
  <c r="AF871" i="2"/>
  <c r="AE871" i="2"/>
  <c r="AD871" i="2"/>
  <c r="AL870" i="2"/>
  <c r="AK870" i="2"/>
  <c r="AJ870" i="2"/>
  <c r="AH870" i="2"/>
  <c r="AI870" i="2" s="1"/>
  <c r="AG870" i="2"/>
  <c r="AF870" i="2"/>
  <c r="AE870" i="2"/>
  <c r="AD870" i="2"/>
  <c r="AL869" i="2"/>
  <c r="AK869" i="2"/>
  <c r="AJ869" i="2"/>
  <c r="AI869" i="2"/>
  <c r="AH869" i="2"/>
  <c r="AG869" i="2"/>
  <c r="AF869" i="2"/>
  <c r="AE869" i="2"/>
  <c r="AD869" i="2"/>
  <c r="AL868" i="2"/>
  <c r="AK868" i="2"/>
  <c r="AN868" i="2" s="1"/>
  <c r="AJ868" i="2"/>
  <c r="AI868" i="2"/>
  <c r="AH868" i="2"/>
  <c r="AG868" i="2"/>
  <c r="AF868" i="2"/>
  <c r="AE868" i="2"/>
  <c r="AD868" i="2"/>
  <c r="AN867" i="2"/>
  <c r="AM867" i="2"/>
  <c r="AL867" i="2"/>
  <c r="AK867" i="2"/>
  <c r="AJ867" i="2"/>
  <c r="AH867" i="2"/>
  <c r="AI867" i="2" s="1"/>
  <c r="AG867" i="2"/>
  <c r="AF867" i="2"/>
  <c r="AE867" i="2"/>
  <c r="AD867" i="2"/>
  <c r="AN866" i="2"/>
  <c r="AL866" i="2"/>
  <c r="AK866" i="2"/>
  <c r="AM866" i="2" s="1"/>
  <c r="AJ866" i="2"/>
  <c r="AI866" i="2"/>
  <c r="AH866" i="2"/>
  <c r="AG866" i="2"/>
  <c r="AF866" i="2"/>
  <c r="AE866" i="2"/>
  <c r="AD866" i="2"/>
  <c r="AL865" i="2"/>
  <c r="AK865" i="2"/>
  <c r="AJ865" i="2"/>
  <c r="AH865" i="2"/>
  <c r="AI865" i="2" s="1"/>
  <c r="AG865" i="2"/>
  <c r="AF865" i="2"/>
  <c r="AE865" i="2"/>
  <c r="AD865" i="2"/>
  <c r="AL864" i="2"/>
  <c r="AK864" i="2"/>
  <c r="AN864" i="2" s="1"/>
  <c r="AJ864" i="2"/>
  <c r="AH864" i="2"/>
  <c r="AI864" i="2" s="1"/>
  <c r="AG864" i="2"/>
  <c r="AF864" i="2"/>
  <c r="AE864" i="2"/>
  <c r="AD864" i="2"/>
  <c r="AL863" i="2"/>
  <c r="AK863" i="2"/>
  <c r="AJ863" i="2"/>
  <c r="AH863" i="2"/>
  <c r="AI863" i="2" s="1"/>
  <c r="AG863" i="2"/>
  <c r="AF863" i="2"/>
  <c r="AE863" i="2"/>
  <c r="AD863" i="2"/>
  <c r="AM862" i="2"/>
  <c r="AL862" i="2"/>
  <c r="AN862" i="2" s="1"/>
  <c r="AK862" i="2"/>
  <c r="AJ862" i="2"/>
  <c r="AH862" i="2"/>
  <c r="AI862" i="2" s="1"/>
  <c r="AG862" i="2"/>
  <c r="AF862" i="2"/>
  <c r="AE862" i="2"/>
  <c r="AD862" i="2"/>
  <c r="AL861" i="2"/>
  <c r="AK861" i="2"/>
  <c r="AJ861" i="2"/>
  <c r="AI861" i="2"/>
  <c r="AH861" i="2"/>
  <c r="AG861" i="2"/>
  <c r="AF861" i="2"/>
  <c r="AE861" i="2"/>
  <c r="AD861" i="2"/>
  <c r="AL860" i="2"/>
  <c r="AK860" i="2"/>
  <c r="AJ860" i="2"/>
  <c r="AH860" i="2"/>
  <c r="AI860" i="2" s="1"/>
  <c r="AG860" i="2"/>
  <c r="AF860" i="2"/>
  <c r="AE860" i="2"/>
  <c r="AD860" i="2"/>
  <c r="AL859" i="2"/>
  <c r="AK859" i="2"/>
  <c r="AJ859" i="2"/>
  <c r="AH859" i="2"/>
  <c r="AI859" i="2" s="1"/>
  <c r="AG859" i="2"/>
  <c r="AF859" i="2"/>
  <c r="AE859" i="2"/>
  <c r="AD859" i="2"/>
  <c r="AN858" i="2"/>
  <c r="AM858" i="2"/>
  <c r="AL858" i="2"/>
  <c r="AK858" i="2"/>
  <c r="AJ858" i="2"/>
  <c r="AH858" i="2"/>
  <c r="AI858" i="2" s="1"/>
  <c r="AG858" i="2"/>
  <c r="AF858" i="2"/>
  <c r="AE858" i="2"/>
  <c r="AD858" i="2"/>
  <c r="AL857" i="2"/>
  <c r="AK857" i="2"/>
  <c r="AJ857" i="2"/>
  <c r="AH857" i="2"/>
  <c r="AI857" i="2" s="1"/>
  <c r="AG857" i="2"/>
  <c r="AF857" i="2"/>
  <c r="AE857" i="2"/>
  <c r="AD857" i="2"/>
  <c r="AL856" i="2"/>
  <c r="AK856" i="2"/>
  <c r="AJ856" i="2"/>
  <c r="AH856" i="2"/>
  <c r="AI856" i="2" s="1"/>
  <c r="AG856" i="2"/>
  <c r="AF856" i="2"/>
  <c r="AE856" i="2"/>
  <c r="AD856" i="2"/>
  <c r="AL855" i="2"/>
  <c r="AK855" i="2"/>
  <c r="AJ855" i="2"/>
  <c r="AH855" i="2"/>
  <c r="AI855" i="2" s="1"/>
  <c r="AG855" i="2"/>
  <c r="AF855" i="2"/>
  <c r="AE855" i="2"/>
  <c r="AD855" i="2"/>
  <c r="AL854" i="2"/>
  <c r="AK854" i="2"/>
  <c r="AJ854" i="2"/>
  <c r="AI854" i="2"/>
  <c r="AH854" i="2"/>
  <c r="AG854" i="2"/>
  <c r="AF854" i="2"/>
  <c r="AE854" i="2"/>
  <c r="AD854" i="2"/>
  <c r="AL853" i="2"/>
  <c r="AK853" i="2"/>
  <c r="AJ853" i="2"/>
  <c r="AH853" i="2"/>
  <c r="AI853" i="2" s="1"/>
  <c r="AG853" i="2"/>
  <c r="AF853" i="2"/>
  <c r="AE853" i="2"/>
  <c r="AD853" i="2"/>
  <c r="AN852" i="2"/>
  <c r="AM852" i="2"/>
  <c r="AL852" i="2"/>
  <c r="AK852" i="2"/>
  <c r="AJ852" i="2"/>
  <c r="AI852" i="2"/>
  <c r="AH852" i="2"/>
  <c r="AG852" i="2"/>
  <c r="AF852" i="2"/>
  <c r="AE852" i="2"/>
  <c r="AD852" i="2"/>
  <c r="AL851" i="2"/>
  <c r="AK851" i="2"/>
  <c r="AJ851" i="2"/>
  <c r="AH851" i="2"/>
  <c r="AI851" i="2" s="1"/>
  <c r="AG851" i="2"/>
  <c r="AF851" i="2"/>
  <c r="AE851" i="2"/>
  <c r="AD851" i="2"/>
  <c r="AL850" i="2"/>
  <c r="AN850" i="2" s="1"/>
  <c r="AK850" i="2"/>
  <c r="AM850" i="2" s="1"/>
  <c r="AJ850" i="2"/>
  <c r="AI850" i="2"/>
  <c r="AH850" i="2"/>
  <c r="AG850" i="2"/>
  <c r="AF850" i="2"/>
  <c r="AE850" i="2"/>
  <c r="AD850" i="2"/>
  <c r="AL849" i="2"/>
  <c r="AK849" i="2"/>
  <c r="AJ849" i="2"/>
  <c r="AH849" i="2"/>
  <c r="AI849" i="2" s="1"/>
  <c r="AG849" i="2"/>
  <c r="AF849" i="2"/>
  <c r="AE849" i="2"/>
  <c r="AD849" i="2"/>
  <c r="AN848" i="2"/>
  <c r="AM848" i="2"/>
  <c r="AL848" i="2"/>
  <c r="AK848" i="2"/>
  <c r="AJ848" i="2"/>
  <c r="AH848" i="2"/>
  <c r="AI848" i="2" s="1"/>
  <c r="AG848" i="2"/>
  <c r="AF848" i="2"/>
  <c r="AE848" i="2"/>
  <c r="AD848" i="2"/>
  <c r="AL847" i="2"/>
  <c r="AK847" i="2"/>
  <c r="AJ847" i="2"/>
  <c r="AH847" i="2"/>
  <c r="AI847" i="2" s="1"/>
  <c r="AG847" i="2"/>
  <c r="AF847" i="2"/>
  <c r="AE847" i="2"/>
  <c r="AD847" i="2"/>
  <c r="AL846" i="2"/>
  <c r="AK846" i="2"/>
  <c r="AJ846" i="2"/>
  <c r="AI846" i="2"/>
  <c r="AH846" i="2"/>
  <c r="AG846" i="2"/>
  <c r="AF846" i="2"/>
  <c r="AE846" i="2"/>
  <c r="AD846" i="2"/>
  <c r="AL845" i="2"/>
  <c r="AK845" i="2"/>
  <c r="AJ845" i="2"/>
  <c r="AH845" i="2"/>
  <c r="AI845" i="2" s="1"/>
  <c r="AG845" i="2"/>
  <c r="AF845" i="2"/>
  <c r="AE845" i="2"/>
  <c r="AD845" i="2"/>
  <c r="AL844" i="2"/>
  <c r="AK844" i="2"/>
  <c r="AN844" i="2" s="1"/>
  <c r="AJ844" i="2"/>
  <c r="AH844" i="2"/>
  <c r="AI844" i="2" s="1"/>
  <c r="AG844" i="2"/>
  <c r="AF844" i="2"/>
  <c r="AE844" i="2"/>
  <c r="AD844" i="2"/>
  <c r="AN843" i="2"/>
  <c r="AL843" i="2"/>
  <c r="AK843" i="2"/>
  <c r="AM843" i="2" s="1"/>
  <c r="AJ843" i="2"/>
  <c r="AH843" i="2"/>
  <c r="AI843" i="2" s="1"/>
  <c r="AG843" i="2"/>
  <c r="AF843" i="2"/>
  <c r="AE843" i="2"/>
  <c r="AD843" i="2"/>
  <c r="AL842" i="2"/>
  <c r="AK842" i="2"/>
  <c r="AJ842" i="2"/>
  <c r="AI842" i="2"/>
  <c r="AH842" i="2"/>
  <c r="AG842" i="2"/>
  <c r="AF842" i="2"/>
  <c r="AE842" i="2"/>
  <c r="AD842" i="2"/>
  <c r="AL841" i="2"/>
  <c r="AK841" i="2"/>
  <c r="AJ841" i="2"/>
  <c r="AI841" i="2"/>
  <c r="AH841" i="2"/>
  <c r="AG841" i="2"/>
  <c r="AF841" i="2"/>
  <c r="AE841" i="2"/>
  <c r="AD841" i="2"/>
  <c r="AM840" i="2"/>
  <c r="AL840" i="2"/>
  <c r="AN840" i="2" s="1"/>
  <c r="AK840" i="2"/>
  <c r="AJ840" i="2"/>
  <c r="AH840" i="2"/>
  <c r="AI840" i="2" s="1"/>
  <c r="AG840" i="2"/>
  <c r="AF840" i="2"/>
  <c r="AE840" i="2"/>
  <c r="AD840" i="2"/>
  <c r="AL839" i="2"/>
  <c r="AK839" i="2"/>
  <c r="AJ839" i="2"/>
  <c r="AH839" i="2"/>
  <c r="AI839" i="2" s="1"/>
  <c r="AG839" i="2"/>
  <c r="AF839" i="2"/>
  <c r="AE839" i="2"/>
  <c r="AD839" i="2"/>
  <c r="AL838" i="2"/>
  <c r="AK838" i="2"/>
  <c r="AJ838" i="2"/>
  <c r="AH838" i="2"/>
  <c r="AI838" i="2" s="1"/>
  <c r="AG838" i="2"/>
  <c r="AF838" i="2"/>
  <c r="AE838" i="2"/>
  <c r="AD838" i="2"/>
  <c r="AL837" i="2"/>
  <c r="AK837" i="2"/>
  <c r="AJ837" i="2"/>
  <c r="AI837" i="2"/>
  <c r="AH837" i="2"/>
  <c r="AG837" i="2"/>
  <c r="AF837" i="2"/>
  <c r="AE837" i="2"/>
  <c r="AD837" i="2"/>
  <c r="AL836" i="2"/>
  <c r="AK836" i="2"/>
  <c r="AN836" i="2" s="1"/>
  <c r="AJ836" i="2"/>
  <c r="AH836" i="2"/>
  <c r="AI836" i="2" s="1"/>
  <c r="AG836" i="2"/>
  <c r="AF836" i="2"/>
  <c r="AE836" i="2"/>
  <c r="AD836" i="2"/>
  <c r="AN835" i="2"/>
  <c r="AL835" i="2"/>
  <c r="AK835" i="2"/>
  <c r="AM835" i="2" s="1"/>
  <c r="AJ835" i="2"/>
  <c r="AH835" i="2"/>
  <c r="AI835" i="2" s="1"/>
  <c r="AG835" i="2"/>
  <c r="AF835" i="2"/>
  <c r="AE835" i="2"/>
  <c r="AD835" i="2"/>
  <c r="AL834" i="2"/>
  <c r="AK834" i="2"/>
  <c r="AJ834" i="2"/>
  <c r="AH834" i="2"/>
  <c r="AI834" i="2" s="1"/>
  <c r="AG834" i="2"/>
  <c r="AF834" i="2"/>
  <c r="AE834" i="2"/>
  <c r="AD834" i="2"/>
  <c r="AL833" i="2"/>
  <c r="AK833" i="2"/>
  <c r="AJ833" i="2"/>
  <c r="AI833" i="2"/>
  <c r="AH833" i="2"/>
  <c r="AG833" i="2"/>
  <c r="AF833" i="2"/>
  <c r="AE833" i="2"/>
  <c r="AD833" i="2"/>
  <c r="AL832" i="2"/>
  <c r="AN832" i="2" s="1"/>
  <c r="AK832" i="2"/>
  <c r="AJ832" i="2"/>
  <c r="AH832" i="2"/>
  <c r="AI832" i="2" s="1"/>
  <c r="AG832" i="2"/>
  <c r="AF832" i="2"/>
  <c r="AE832" i="2"/>
  <c r="AD832" i="2"/>
  <c r="AL831" i="2"/>
  <c r="AK831" i="2"/>
  <c r="AJ831" i="2"/>
  <c r="AH831" i="2"/>
  <c r="AI831" i="2" s="1"/>
  <c r="AG831" i="2"/>
  <c r="AF831" i="2"/>
  <c r="AE831" i="2"/>
  <c r="AD831" i="2"/>
  <c r="AN830" i="2"/>
  <c r="AL830" i="2"/>
  <c r="AK830" i="2"/>
  <c r="AM830" i="2" s="1"/>
  <c r="AJ830" i="2"/>
  <c r="AI830" i="2"/>
  <c r="AH830" i="2"/>
  <c r="AG830" i="2"/>
  <c r="AF830" i="2"/>
  <c r="AE830" i="2"/>
  <c r="AD830" i="2"/>
  <c r="AL829" i="2"/>
  <c r="AK829" i="2"/>
  <c r="AJ829" i="2"/>
  <c r="AH829" i="2"/>
  <c r="AI829" i="2" s="1"/>
  <c r="AG829" i="2"/>
  <c r="AF829" i="2"/>
  <c r="AE829" i="2"/>
  <c r="AD829" i="2"/>
  <c r="AN828" i="2"/>
  <c r="AM828" i="2"/>
  <c r="AL828" i="2"/>
  <c r="AK828" i="2"/>
  <c r="AJ828" i="2"/>
  <c r="AH828" i="2"/>
  <c r="AI828" i="2" s="1"/>
  <c r="AG828" i="2"/>
  <c r="AF828" i="2"/>
  <c r="AE828" i="2"/>
  <c r="AD828" i="2"/>
  <c r="AN827" i="2"/>
  <c r="AM827" i="2"/>
  <c r="AL827" i="2"/>
  <c r="AK827" i="2"/>
  <c r="AJ827" i="2"/>
  <c r="AH827" i="2"/>
  <c r="AI827" i="2" s="1"/>
  <c r="AG827" i="2"/>
  <c r="AF827" i="2"/>
  <c r="AE827" i="2"/>
  <c r="AD827" i="2"/>
  <c r="AL826" i="2"/>
  <c r="AK826" i="2"/>
  <c r="AJ826" i="2"/>
  <c r="AH826" i="2"/>
  <c r="AI826" i="2" s="1"/>
  <c r="AG826" i="2"/>
  <c r="AF826" i="2"/>
  <c r="AE826" i="2"/>
  <c r="AD826" i="2"/>
  <c r="AL825" i="2"/>
  <c r="AK825" i="2"/>
  <c r="AJ825" i="2"/>
  <c r="AI825" i="2"/>
  <c r="AH825" i="2"/>
  <c r="AG825" i="2"/>
  <c r="AF825" i="2"/>
  <c r="AE825" i="2"/>
  <c r="AD825" i="2"/>
  <c r="AL824" i="2"/>
  <c r="AK824" i="2"/>
  <c r="AN824" i="2" s="1"/>
  <c r="AJ824" i="2"/>
  <c r="AH824" i="2"/>
  <c r="AI824" i="2" s="1"/>
  <c r="AG824" i="2"/>
  <c r="AF824" i="2"/>
  <c r="AE824" i="2"/>
  <c r="AD824" i="2"/>
  <c r="AN823" i="2"/>
  <c r="AL823" i="2"/>
  <c r="AK823" i="2"/>
  <c r="AM823" i="2" s="1"/>
  <c r="AJ823" i="2"/>
  <c r="AH823" i="2"/>
  <c r="AI823" i="2" s="1"/>
  <c r="AG823" i="2"/>
  <c r="AF823" i="2"/>
  <c r="AE823" i="2"/>
  <c r="AD823" i="2"/>
  <c r="AL822" i="2"/>
  <c r="AK822" i="2"/>
  <c r="AJ822" i="2"/>
  <c r="AH822" i="2"/>
  <c r="AI822" i="2" s="1"/>
  <c r="AG822" i="2"/>
  <c r="AF822" i="2"/>
  <c r="AE822" i="2"/>
  <c r="AD822" i="2"/>
  <c r="AL821" i="2"/>
  <c r="AK821" i="2"/>
  <c r="AJ821" i="2"/>
  <c r="AI821" i="2"/>
  <c r="AH821" i="2"/>
  <c r="AG821" i="2"/>
  <c r="AF821" i="2"/>
  <c r="AE821" i="2"/>
  <c r="AD821" i="2"/>
  <c r="AL820" i="2"/>
  <c r="AK820" i="2"/>
  <c r="AN820" i="2" s="1"/>
  <c r="AJ820" i="2"/>
  <c r="AH820" i="2"/>
  <c r="AI820" i="2" s="1"/>
  <c r="AG820" i="2"/>
  <c r="AF820" i="2"/>
  <c r="AE820" i="2"/>
  <c r="AD820" i="2"/>
  <c r="AN819" i="2"/>
  <c r="AM819" i="2"/>
  <c r="AL819" i="2"/>
  <c r="AK819" i="2"/>
  <c r="AJ819" i="2"/>
  <c r="AH819" i="2"/>
  <c r="AI819" i="2" s="1"/>
  <c r="AG819" i="2"/>
  <c r="AF819" i="2"/>
  <c r="AE819" i="2"/>
  <c r="AD819" i="2"/>
  <c r="AN818" i="2"/>
  <c r="AL818" i="2"/>
  <c r="AK818" i="2"/>
  <c r="AM818" i="2" s="1"/>
  <c r="AJ818" i="2"/>
  <c r="AI818" i="2"/>
  <c r="AH818" i="2"/>
  <c r="AG818" i="2"/>
  <c r="AF818" i="2"/>
  <c r="AE818" i="2"/>
  <c r="AD818" i="2"/>
  <c r="AL817" i="2"/>
  <c r="AK817" i="2"/>
  <c r="AJ817" i="2"/>
  <c r="AH817" i="2"/>
  <c r="AI817" i="2" s="1"/>
  <c r="AG817" i="2"/>
  <c r="AF817" i="2"/>
  <c r="AE817" i="2"/>
  <c r="AD817" i="2"/>
  <c r="AL816" i="2"/>
  <c r="AK816" i="2"/>
  <c r="AN816" i="2" s="1"/>
  <c r="AJ816" i="2"/>
  <c r="AH816" i="2"/>
  <c r="AI816" i="2" s="1"/>
  <c r="AG816" i="2"/>
  <c r="AF816" i="2"/>
  <c r="AE816" i="2"/>
  <c r="AD816" i="2"/>
  <c r="AL815" i="2"/>
  <c r="AK815" i="2"/>
  <c r="AJ815" i="2"/>
  <c r="AH815" i="2"/>
  <c r="AI815" i="2" s="1"/>
  <c r="AG815" i="2"/>
  <c r="AF815" i="2"/>
  <c r="AE815" i="2"/>
  <c r="AD815" i="2"/>
  <c r="AM814" i="2"/>
  <c r="AL814" i="2"/>
  <c r="AN814" i="2" s="1"/>
  <c r="AK814" i="2"/>
  <c r="AJ814" i="2"/>
  <c r="AH814" i="2"/>
  <c r="AI814" i="2" s="1"/>
  <c r="AG814" i="2"/>
  <c r="AF814" i="2"/>
  <c r="AE814" i="2"/>
  <c r="AD814" i="2"/>
  <c r="AL813" i="2"/>
  <c r="AK813" i="2"/>
  <c r="AJ813" i="2"/>
  <c r="AI813" i="2"/>
  <c r="AH813" i="2"/>
  <c r="AG813" i="2"/>
  <c r="AF813" i="2"/>
  <c r="AE813" i="2"/>
  <c r="AD813" i="2"/>
  <c r="AL812" i="2"/>
  <c r="AK812" i="2"/>
  <c r="AJ812" i="2"/>
  <c r="AH812" i="2"/>
  <c r="AI812" i="2" s="1"/>
  <c r="AG812" i="2"/>
  <c r="AF812" i="2"/>
  <c r="AE812" i="2"/>
  <c r="AD812" i="2"/>
  <c r="AL811" i="2"/>
  <c r="AK811" i="2"/>
  <c r="AN811" i="2" s="1"/>
  <c r="AJ811" i="2"/>
  <c r="AH811" i="2"/>
  <c r="AI811" i="2" s="1"/>
  <c r="AG811" i="2"/>
  <c r="AF811" i="2"/>
  <c r="AE811" i="2"/>
  <c r="AD811" i="2"/>
  <c r="AM810" i="2"/>
  <c r="AL810" i="2"/>
  <c r="AN810" i="2" s="1"/>
  <c r="AK810" i="2"/>
  <c r="AJ810" i="2"/>
  <c r="AH810" i="2"/>
  <c r="AI810" i="2" s="1"/>
  <c r="AG810" i="2"/>
  <c r="AF810" i="2"/>
  <c r="AE810" i="2"/>
  <c r="AD810" i="2"/>
  <c r="AL809" i="2"/>
  <c r="AK809" i="2"/>
  <c r="AJ809" i="2"/>
  <c r="AH809" i="2"/>
  <c r="AI809" i="2" s="1"/>
  <c r="AG809" i="2"/>
  <c r="AF809" i="2"/>
  <c r="AE809" i="2"/>
  <c r="AD809" i="2"/>
  <c r="AN808" i="2"/>
  <c r="AL808" i="2"/>
  <c r="AK808" i="2"/>
  <c r="AM808" i="2" s="1"/>
  <c r="AJ808" i="2"/>
  <c r="AI808" i="2"/>
  <c r="AH808" i="2"/>
  <c r="AG808" i="2"/>
  <c r="AF808" i="2"/>
  <c r="AE808" i="2"/>
  <c r="AD808" i="2"/>
  <c r="AL807" i="2"/>
  <c r="AK807" i="2"/>
  <c r="AN807" i="2" s="1"/>
  <c r="AJ807" i="2"/>
  <c r="AH807" i="2"/>
  <c r="AI807" i="2" s="1"/>
  <c r="AG807" i="2"/>
  <c r="AF807" i="2"/>
  <c r="AE807" i="2"/>
  <c r="AD807" i="2"/>
  <c r="AL806" i="2"/>
  <c r="AK806" i="2"/>
  <c r="AJ806" i="2"/>
  <c r="AI806" i="2"/>
  <c r="AH806" i="2"/>
  <c r="AG806" i="2"/>
  <c r="AF806" i="2"/>
  <c r="AE806" i="2"/>
  <c r="AD806" i="2"/>
  <c r="AL805" i="2"/>
  <c r="AK805" i="2"/>
  <c r="AJ805" i="2"/>
  <c r="AH805" i="2"/>
  <c r="AI805" i="2" s="1"/>
  <c r="AG805" i="2"/>
  <c r="AF805" i="2"/>
  <c r="AE805" i="2"/>
  <c r="AD805" i="2"/>
  <c r="AN804" i="2"/>
  <c r="AM804" i="2"/>
  <c r="AL804" i="2"/>
  <c r="AK804" i="2"/>
  <c r="AJ804" i="2"/>
  <c r="AH804" i="2"/>
  <c r="AI804" i="2" s="1"/>
  <c r="AG804" i="2"/>
  <c r="AF804" i="2"/>
  <c r="AE804" i="2"/>
  <c r="AD804" i="2"/>
  <c r="AL803" i="2"/>
  <c r="AK803" i="2"/>
  <c r="AJ803" i="2"/>
  <c r="AH803" i="2"/>
  <c r="AI803" i="2" s="1"/>
  <c r="AG803" i="2"/>
  <c r="AF803" i="2"/>
  <c r="AE803" i="2"/>
  <c r="AD803" i="2"/>
  <c r="AL802" i="2"/>
  <c r="AK802" i="2"/>
  <c r="AN802" i="2" s="1"/>
  <c r="AJ802" i="2"/>
  <c r="AH802" i="2"/>
  <c r="AI802" i="2" s="1"/>
  <c r="AG802" i="2"/>
  <c r="AF802" i="2"/>
  <c r="AE802" i="2"/>
  <c r="AD802" i="2"/>
  <c r="AL801" i="2"/>
  <c r="AK801" i="2"/>
  <c r="AJ801" i="2"/>
  <c r="AI801" i="2"/>
  <c r="AH801" i="2"/>
  <c r="AG801" i="2"/>
  <c r="AF801" i="2"/>
  <c r="AE801" i="2"/>
  <c r="AD801" i="2"/>
  <c r="AN800" i="2"/>
  <c r="AL800" i="2"/>
  <c r="AK800" i="2"/>
  <c r="AM800" i="2" s="1"/>
  <c r="AJ800" i="2"/>
  <c r="AH800" i="2"/>
  <c r="AI800" i="2" s="1"/>
  <c r="AG800" i="2"/>
  <c r="AF800" i="2"/>
  <c r="AE800" i="2"/>
  <c r="AD800" i="2"/>
  <c r="AL799" i="2"/>
  <c r="AK799" i="2"/>
  <c r="AJ799" i="2"/>
  <c r="AH799" i="2"/>
  <c r="AI799" i="2" s="1"/>
  <c r="AG799" i="2"/>
  <c r="AF799" i="2"/>
  <c r="AE799" i="2"/>
  <c r="AD799" i="2"/>
  <c r="AN798" i="2"/>
  <c r="AM798" i="2"/>
  <c r="AL798" i="2"/>
  <c r="AK798" i="2"/>
  <c r="AJ798" i="2"/>
  <c r="AI798" i="2"/>
  <c r="AH798" i="2"/>
  <c r="AG798" i="2"/>
  <c r="AF798" i="2"/>
  <c r="AE798" i="2"/>
  <c r="AD798" i="2"/>
  <c r="AL797" i="2"/>
  <c r="AK797" i="2"/>
  <c r="AJ797" i="2"/>
  <c r="AI797" i="2"/>
  <c r="AH797" i="2"/>
  <c r="AG797" i="2"/>
  <c r="AF797" i="2"/>
  <c r="AE797" i="2"/>
  <c r="AD797" i="2"/>
  <c r="AL796" i="2"/>
  <c r="AK796" i="2"/>
  <c r="AJ796" i="2"/>
  <c r="AH796" i="2"/>
  <c r="AI796" i="2" s="1"/>
  <c r="AG796" i="2"/>
  <c r="AF796" i="2"/>
  <c r="AE796" i="2"/>
  <c r="AD796" i="2"/>
  <c r="AL795" i="2"/>
  <c r="AK795" i="2"/>
  <c r="AJ795" i="2"/>
  <c r="AH795" i="2"/>
  <c r="AI795" i="2" s="1"/>
  <c r="AG795" i="2"/>
  <c r="AF795" i="2"/>
  <c r="AE795" i="2"/>
  <c r="AD795" i="2"/>
  <c r="AN794" i="2"/>
  <c r="AM794" i="2"/>
  <c r="AL794" i="2"/>
  <c r="AK794" i="2"/>
  <c r="AJ794" i="2"/>
  <c r="AH794" i="2"/>
  <c r="AI794" i="2" s="1"/>
  <c r="AG794" i="2"/>
  <c r="AF794" i="2"/>
  <c r="AE794" i="2"/>
  <c r="AD794" i="2"/>
  <c r="AL793" i="2"/>
  <c r="AK793" i="2"/>
  <c r="AJ793" i="2"/>
  <c r="AH793" i="2"/>
  <c r="AI793" i="2" s="1"/>
  <c r="AG793" i="2"/>
  <c r="AF793" i="2"/>
  <c r="AE793" i="2"/>
  <c r="AD793" i="2"/>
  <c r="AL792" i="2"/>
  <c r="AK792" i="2"/>
  <c r="AJ792" i="2"/>
  <c r="AH792" i="2"/>
  <c r="AI792" i="2" s="1"/>
  <c r="AG792" i="2"/>
  <c r="AF792" i="2"/>
  <c r="AE792" i="2"/>
  <c r="AD792" i="2"/>
  <c r="AL791" i="2"/>
  <c r="AK791" i="2"/>
  <c r="AJ791" i="2"/>
  <c r="AH791" i="2"/>
  <c r="AI791" i="2" s="1"/>
  <c r="AG791" i="2"/>
  <c r="AF791" i="2"/>
  <c r="AE791" i="2"/>
  <c r="AD791" i="2"/>
  <c r="AL790" i="2"/>
  <c r="AK790" i="2"/>
  <c r="AJ790" i="2"/>
  <c r="AI790" i="2"/>
  <c r="AH790" i="2"/>
  <c r="AG790" i="2"/>
  <c r="AF790" i="2"/>
  <c r="AE790" i="2"/>
  <c r="AD790" i="2"/>
  <c r="AL789" i="2"/>
  <c r="AK789" i="2"/>
  <c r="AJ789" i="2"/>
  <c r="AH789" i="2"/>
  <c r="AI789" i="2" s="1"/>
  <c r="AG789" i="2"/>
  <c r="AF789" i="2"/>
  <c r="AE789" i="2"/>
  <c r="AD789" i="2"/>
  <c r="AN788" i="2"/>
  <c r="AM788" i="2"/>
  <c r="AL788" i="2"/>
  <c r="AK788" i="2"/>
  <c r="AJ788" i="2"/>
  <c r="AH788" i="2"/>
  <c r="AI788" i="2" s="1"/>
  <c r="AG788" i="2"/>
  <c r="AF788" i="2"/>
  <c r="AE788" i="2"/>
  <c r="AD788" i="2"/>
  <c r="AL787" i="2"/>
  <c r="AK787" i="2"/>
  <c r="AJ787" i="2"/>
  <c r="AH787" i="2"/>
  <c r="AI787" i="2" s="1"/>
  <c r="AG787" i="2"/>
  <c r="AF787" i="2"/>
  <c r="AE787" i="2"/>
  <c r="AD787" i="2"/>
  <c r="AL786" i="2"/>
  <c r="AK786" i="2"/>
  <c r="AN786" i="2" s="1"/>
  <c r="AJ786" i="2"/>
  <c r="AI786" i="2"/>
  <c r="AH786" i="2"/>
  <c r="AG786" i="2"/>
  <c r="AF786" i="2"/>
  <c r="AE786" i="2"/>
  <c r="AD786" i="2"/>
  <c r="AL785" i="2"/>
  <c r="AK785" i="2"/>
  <c r="AJ785" i="2"/>
  <c r="AH785" i="2"/>
  <c r="AI785" i="2" s="1"/>
  <c r="AG785" i="2"/>
  <c r="AF785" i="2"/>
  <c r="AE785" i="2"/>
  <c r="AD785" i="2"/>
  <c r="AN784" i="2"/>
  <c r="AM784" i="2"/>
  <c r="AL784" i="2"/>
  <c r="AK784" i="2"/>
  <c r="AJ784" i="2"/>
  <c r="AH784" i="2"/>
  <c r="AI784" i="2" s="1"/>
  <c r="AG784" i="2"/>
  <c r="AF784" i="2"/>
  <c r="AE784" i="2"/>
  <c r="AD784" i="2"/>
  <c r="AL783" i="2"/>
  <c r="AK783" i="2"/>
  <c r="AJ783" i="2"/>
  <c r="AH783" i="2"/>
  <c r="AI783" i="2" s="1"/>
  <c r="AG783" i="2"/>
  <c r="AF783" i="2"/>
  <c r="AE783" i="2"/>
  <c r="AD783" i="2"/>
  <c r="AN782" i="2"/>
  <c r="AM782" i="2"/>
  <c r="AL782" i="2"/>
  <c r="AK782" i="2"/>
  <c r="AJ782" i="2"/>
  <c r="AH782" i="2"/>
  <c r="AI782" i="2" s="1"/>
  <c r="AG782" i="2"/>
  <c r="AF782" i="2"/>
  <c r="AE782" i="2"/>
  <c r="AD782" i="2"/>
  <c r="AL781" i="2"/>
  <c r="AK781" i="2"/>
  <c r="AJ781" i="2"/>
  <c r="AI781" i="2"/>
  <c r="AH781" i="2"/>
  <c r="AG781" i="2"/>
  <c r="AF781" i="2"/>
  <c r="AE781" i="2"/>
  <c r="AD781" i="2"/>
  <c r="AL780" i="2"/>
  <c r="AK780" i="2"/>
  <c r="AN780" i="2" s="1"/>
  <c r="AJ780" i="2"/>
  <c r="AI780" i="2"/>
  <c r="AH780" i="2"/>
  <c r="AG780" i="2"/>
  <c r="AF780" i="2"/>
  <c r="AE780" i="2"/>
  <c r="AD780" i="2"/>
  <c r="AM779" i="2"/>
  <c r="AL779" i="2"/>
  <c r="AK779" i="2"/>
  <c r="AJ779" i="2"/>
  <c r="AH779" i="2"/>
  <c r="AI779" i="2" s="1"/>
  <c r="AG779" i="2"/>
  <c r="AF779" i="2"/>
  <c r="AE779" i="2"/>
  <c r="AD779" i="2"/>
  <c r="AN778" i="2"/>
  <c r="AM778" i="2"/>
  <c r="AL778" i="2"/>
  <c r="AK778" i="2"/>
  <c r="AJ778" i="2"/>
  <c r="AI778" i="2"/>
  <c r="AH778" i="2"/>
  <c r="AG778" i="2"/>
  <c r="AF778" i="2"/>
  <c r="AE778" i="2"/>
  <c r="AD778" i="2"/>
  <c r="AL777" i="2"/>
  <c r="AK777" i="2"/>
  <c r="AJ777" i="2"/>
  <c r="AH777" i="2"/>
  <c r="AI777" i="2" s="1"/>
  <c r="AG777" i="2"/>
  <c r="AF777" i="2"/>
  <c r="AE777" i="2"/>
  <c r="AD777" i="2"/>
  <c r="AM776" i="2"/>
  <c r="AL776" i="2"/>
  <c r="AK776" i="2"/>
  <c r="AJ776" i="2"/>
  <c r="AH776" i="2"/>
  <c r="AI776" i="2" s="1"/>
  <c r="AG776" i="2"/>
  <c r="AF776" i="2"/>
  <c r="AE776" i="2"/>
  <c r="AD776" i="2"/>
  <c r="AL775" i="2"/>
  <c r="AK775" i="2"/>
  <c r="AN775" i="2" s="1"/>
  <c r="AJ775" i="2"/>
  <c r="AH775" i="2"/>
  <c r="AI775" i="2" s="1"/>
  <c r="AG775" i="2"/>
  <c r="AF775" i="2"/>
  <c r="AE775" i="2"/>
  <c r="AD775" i="2"/>
  <c r="AL774" i="2"/>
  <c r="AK774" i="2"/>
  <c r="AJ774" i="2"/>
  <c r="AH774" i="2"/>
  <c r="AI774" i="2" s="1"/>
  <c r="AG774" i="2"/>
  <c r="AF774" i="2"/>
  <c r="AE774" i="2"/>
  <c r="AD774" i="2"/>
  <c r="AL773" i="2"/>
  <c r="AK773" i="2"/>
  <c r="AJ773" i="2"/>
  <c r="AH773" i="2"/>
  <c r="AI773" i="2" s="1"/>
  <c r="AG773" i="2"/>
  <c r="AF773" i="2"/>
  <c r="AE773" i="2"/>
  <c r="AD773" i="2"/>
  <c r="AL772" i="2"/>
  <c r="AK772" i="2"/>
  <c r="AJ772" i="2"/>
  <c r="AH772" i="2"/>
  <c r="AI772" i="2" s="1"/>
  <c r="AG772" i="2"/>
  <c r="AF772" i="2"/>
  <c r="AE772" i="2"/>
  <c r="AD772" i="2"/>
  <c r="AM771" i="2"/>
  <c r="AL771" i="2"/>
  <c r="AK771" i="2"/>
  <c r="AJ771" i="2"/>
  <c r="AH771" i="2"/>
  <c r="AI771" i="2" s="1"/>
  <c r="AG771" i="2"/>
  <c r="AF771" i="2"/>
  <c r="AE771" i="2"/>
  <c r="AD771" i="2"/>
  <c r="AM770" i="2"/>
  <c r="AL770" i="2"/>
  <c r="AK770" i="2"/>
  <c r="AN770" i="2" s="1"/>
  <c r="AJ770" i="2"/>
  <c r="AH770" i="2"/>
  <c r="AI770" i="2" s="1"/>
  <c r="AG770" i="2"/>
  <c r="AF770" i="2"/>
  <c r="AE770" i="2"/>
  <c r="AD770" i="2"/>
  <c r="AL769" i="2"/>
  <c r="AK769" i="2"/>
  <c r="AJ769" i="2"/>
  <c r="AH769" i="2"/>
  <c r="AI769" i="2" s="1"/>
  <c r="AG769" i="2"/>
  <c r="AF769" i="2"/>
  <c r="AE769" i="2"/>
  <c r="AD769" i="2"/>
  <c r="AN768" i="2"/>
  <c r="AL768" i="2"/>
  <c r="AK768" i="2"/>
  <c r="AM768" i="2" s="1"/>
  <c r="AJ768" i="2"/>
  <c r="AH768" i="2"/>
  <c r="AI768" i="2" s="1"/>
  <c r="AG768" i="2"/>
  <c r="AF768" i="2"/>
  <c r="AE768" i="2"/>
  <c r="AD768" i="2"/>
  <c r="AL767" i="2"/>
  <c r="AK767" i="2"/>
  <c r="AJ767" i="2"/>
  <c r="AH767" i="2"/>
  <c r="AI767" i="2" s="1"/>
  <c r="AG767" i="2"/>
  <c r="AF767" i="2"/>
  <c r="AE767" i="2"/>
  <c r="AD767" i="2"/>
  <c r="AL766" i="2"/>
  <c r="AK766" i="2"/>
  <c r="AJ766" i="2"/>
  <c r="AI766" i="2"/>
  <c r="AH766" i="2"/>
  <c r="AG766" i="2"/>
  <c r="AF766" i="2"/>
  <c r="AE766" i="2"/>
  <c r="AD766" i="2"/>
  <c r="AL765" i="2"/>
  <c r="AK765" i="2"/>
  <c r="AJ765" i="2"/>
  <c r="AI765" i="2"/>
  <c r="AH765" i="2"/>
  <c r="AG765" i="2"/>
  <c r="AF765" i="2"/>
  <c r="AE765" i="2"/>
  <c r="AD765" i="2"/>
  <c r="AN764" i="2"/>
  <c r="AM764" i="2"/>
  <c r="AL764" i="2"/>
  <c r="AK764" i="2"/>
  <c r="AJ764" i="2"/>
  <c r="AH764" i="2"/>
  <c r="AI764" i="2" s="1"/>
  <c r="AG764" i="2"/>
  <c r="AF764" i="2"/>
  <c r="AE764" i="2"/>
  <c r="AD764" i="2"/>
  <c r="AN763" i="2"/>
  <c r="AL763" i="2"/>
  <c r="AK763" i="2"/>
  <c r="AM763" i="2" s="1"/>
  <c r="AJ763" i="2"/>
  <c r="AH763" i="2"/>
  <c r="AI763" i="2" s="1"/>
  <c r="AG763" i="2"/>
  <c r="AF763" i="2"/>
  <c r="AE763" i="2"/>
  <c r="AD763" i="2"/>
  <c r="AL762" i="2"/>
  <c r="AK762" i="2"/>
  <c r="AJ762" i="2"/>
  <c r="AI762" i="2"/>
  <c r="AH762" i="2"/>
  <c r="AG762" i="2"/>
  <c r="AF762" i="2"/>
  <c r="AE762" i="2"/>
  <c r="AD762" i="2"/>
  <c r="AL761" i="2"/>
  <c r="AK761" i="2"/>
  <c r="AJ761" i="2"/>
  <c r="AH761" i="2"/>
  <c r="AI761" i="2" s="1"/>
  <c r="AG761" i="2"/>
  <c r="AF761" i="2"/>
  <c r="AE761" i="2"/>
  <c r="AD761" i="2"/>
  <c r="AL760" i="2"/>
  <c r="AK760" i="2"/>
  <c r="AN760" i="2" s="1"/>
  <c r="AJ760" i="2"/>
  <c r="AH760" i="2"/>
  <c r="AI760" i="2" s="1"/>
  <c r="AG760" i="2"/>
  <c r="AF760" i="2"/>
  <c r="AE760" i="2"/>
  <c r="AD760" i="2"/>
  <c r="AN759" i="2"/>
  <c r="AL759" i="2"/>
  <c r="AK759" i="2"/>
  <c r="AM759" i="2" s="1"/>
  <c r="AJ759" i="2"/>
  <c r="AH759" i="2"/>
  <c r="AI759" i="2" s="1"/>
  <c r="AG759" i="2"/>
  <c r="AF759" i="2"/>
  <c r="AE759" i="2"/>
  <c r="AD759" i="2"/>
  <c r="AL758" i="2"/>
  <c r="AK758" i="2"/>
  <c r="AJ758" i="2"/>
  <c r="AI758" i="2"/>
  <c r="AH758" i="2"/>
  <c r="AG758" i="2"/>
  <c r="AF758" i="2"/>
  <c r="AE758" i="2"/>
  <c r="AD758" i="2"/>
  <c r="AL757" i="2"/>
  <c r="AK757" i="2"/>
  <c r="AJ757" i="2"/>
  <c r="AI757" i="2"/>
  <c r="AH757" i="2"/>
  <c r="AG757" i="2"/>
  <c r="AF757" i="2"/>
  <c r="AE757" i="2"/>
  <c r="AD757" i="2"/>
  <c r="AM756" i="2"/>
  <c r="AL756" i="2"/>
  <c r="AN756" i="2" s="1"/>
  <c r="AK756" i="2"/>
  <c r="AJ756" i="2"/>
  <c r="AH756" i="2"/>
  <c r="AI756" i="2" s="1"/>
  <c r="AG756" i="2"/>
  <c r="AF756" i="2"/>
  <c r="AE756" i="2"/>
  <c r="AD756" i="2"/>
  <c r="AN755" i="2"/>
  <c r="AL755" i="2"/>
  <c r="AM755" i="2" s="1"/>
  <c r="AK755" i="2"/>
  <c r="AJ755" i="2"/>
  <c r="AH755" i="2"/>
  <c r="AI755" i="2" s="1"/>
  <c r="AG755" i="2"/>
  <c r="AF755" i="2"/>
  <c r="AE755" i="2"/>
  <c r="AD755" i="2"/>
  <c r="AN754" i="2"/>
  <c r="AL754" i="2"/>
  <c r="AK754" i="2"/>
  <c r="AM754" i="2" s="1"/>
  <c r="AJ754" i="2"/>
  <c r="AH754" i="2"/>
  <c r="AI754" i="2" s="1"/>
  <c r="AG754" i="2"/>
  <c r="AF754" i="2"/>
  <c r="AE754" i="2"/>
  <c r="AD754" i="2"/>
  <c r="AL753" i="2"/>
  <c r="AK753" i="2"/>
  <c r="AJ753" i="2"/>
  <c r="AI753" i="2"/>
  <c r="AH753" i="2"/>
  <c r="AG753" i="2"/>
  <c r="AF753" i="2"/>
  <c r="AE753" i="2"/>
  <c r="AD753" i="2"/>
  <c r="AL752" i="2"/>
  <c r="AK752" i="2"/>
  <c r="AN752" i="2" s="1"/>
  <c r="AJ752" i="2"/>
  <c r="AH752" i="2"/>
  <c r="AI752" i="2" s="1"/>
  <c r="AG752" i="2"/>
  <c r="AF752" i="2"/>
  <c r="AE752" i="2"/>
  <c r="AD752" i="2"/>
  <c r="AL751" i="2"/>
  <c r="AK751" i="2"/>
  <c r="AJ751" i="2"/>
  <c r="AH751" i="2"/>
  <c r="AI751" i="2" s="1"/>
  <c r="AG751" i="2"/>
  <c r="AF751" i="2"/>
  <c r="AE751" i="2"/>
  <c r="AD751" i="2"/>
  <c r="AM750" i="2"/>
  <c r="AL750" i="2"/>
  <c r="AN750" i="2" s="1"/>
  <c r="AK750" i="2"/>
  <c r="AJ750" i="2"/>
  <c r="AH750" i="2"/>
  <c r="AI750" i="2" s="1"/>
  <c r="AG750" i="2"/>
  <c r="AF750" i="2"/>
  <c r="AE750" i="2"/>
  <c r="AD750" i="2"/>
  <c r="AL749" i="2"/>
  <c r="AK749" i="2"/>
  <c r="AJ749" i="2"/>
  <c r="AH749" i="2"/>
  <c r="AI749" i="2" s="1"/>
  <c r="AG749" i="2"/>
  <c r="AF749" i="2"/>
  <c r="AE749" i="2"/>
  <c r="AD749" i="2"/>
  <c r="AL748" i="2"/>
  <c r="AK748" i="2"/>
  <c r="AJ748" i="2"/>
  <c r="AH748" i="2"/>
  <c r="AI748" i="2" s="1"/>
  <c r="AG748" i="2"/>
  <c r="AF748" i="2"/>
  <c r="AE748" i="2"/>
  <c r="AD748" i="2"/>
  <c r="AL747" i="2"/>
  <c r="AK747" i="2"/>
  <c r="AN747" i="2" s="1"/>
  <c r="AJ747" i="2"/>
  <c r="AH747" i="2"/>
  <c r="AI747" i="2" s="1"/>
  <c r="AG747" i="2"/>
  <c r="AF747" i="2"/>
  <c r="AE747" i="2"/>
  <c r="AD747" i="2"/>
  <c r="AM746" i="2"/>
  <c r="AL746" i="2"/>
  <c r="AN746" i="2" s="1"/>
  <c r="AK746" i="2"/>
  <c r="AJ746" i="2"/>
  <c r="AH746" i="2"/>
  <c r="AI746" i="2" s="1"/>
  <c r="AG746" i="2"/>
  <c r="AF746" i="2"/>
  <c r="AE746" i="2"/>
  <c r="AD746" i="2"/>
  <c r="AL745" i="2"/>
  <c r="AK745" i="2"/>
  <c r="AJ745" i="2"/>
  <c r="AI745" i="2"/>
  <c r="AH745" i="2"/>
  <c r="AG745" i="2"/>
  <c r="AF745" i="2"/>
  <c r="AE745" i="2"/>
  <c r="AD745" i="2"/>
  <c r="AL744" i="2"/>
  <c r="AK744" i="2"/>
  <c r="AJ744" i="2"/>
  <c r="AH744" i="2"/>
  <c r="AI744" i="2" s="1"/>
  <c r="AG744" i="2"/>
  <c r="AF744" i="2"/>
  <c r="AE744" i="2"/>
  <c r="AD744" i="2"/>
  <c r="AM743" i="2"/>
  <c r="AL743" i="2"/>
  <c r="AN743" i="2" s="1"/>
  <c r="AK743" i="2"/>
  <c r="AJ743" i="2"/>
  <c r="AH743" i="2"/>
  <c r="AI743" i="2" s="1"/>
  <c r="AG743" i="2"/>
  <c r="AF743" i="2"/>
  <c r="AE743" i="2"/>
  <c r="AD743" i="2"/>
  <c r="AL742" i="2"/>
  <c r="AK742" i="2"/>
  <c r="AJ742" i="2"/>
  <c r="AH742" i="2"/>
  <c r="AI742" i="2" s="1"/>
  <c r="AG742" i="2"/>
  <c r="AF742" i="2"/>
  <c r="AE742" i="2"/>
  <c r="AD742" i="2"/>
  <c r="AL741" i="2"/>
  <c r="AK741" i="2"/>
  <c r="AJ741" i="2"/>
  <c r="AH741" i="2"/>
  <c r="AI741" i="2" s="1"/>
  <c r="AG741" i="2"/>
  <c r="AF741" i="2"/>
  <c r="AE741" i="2"/>
  <c r="AD741" i="2"/>
  <c r="AN740" i="2"/>
  <c r="AL740" i="2"/>
  <c r="AK740" i="2"/>
  <c r="AM740" i="2" s="1"/>
  <c r="AJ740" i="2"/>
  <c r="AH740" i="2"/>
  <c r="AI740" i="2" s="1"/>
  <c r="AG740" i="2"/>
  <c r="AF740" i="2"/>
  <c r="AE740" i="2"/>
  <c r="AD740" i="2"/>
  <c r="AL739" i="2"/>
  <c r="AK739" i="2"/>
  <c r="AJ739" i="2"/>
  <c r="AH739" i="2"/>
  <c r="AI739" i="2" s="1"/>
  <c r="AG739" i="2"/>
  <c r="AF739" i="2"/>
  <c r="AE739" i="2"/>
  <c r="AD739" i="2"/>
  <c r="AL738" i="2"/>
  <c r="AN738" i="2" s="1"/>
  <c r="AK738" i="2"/>
  <c r="AM738" i="2" s="1"/>
  <c r="AJ738" i="2"/>
  <c r="AI738" i="2"/>
  <c r="AH738" i="2"/>
  <c r="AG738" i="2"/>
  <c r="AF738" i="2"/>
  <c r="AE738" i="2"/>
  <c r="AD738" i="2"/>
  <c r="AL737" i="2"/>
  <c r="AK737" i="2"/>
  <c r="AJ737" i="2"/>
  <c r="AH737" i="2"/>
  <c r="AI737" i="2" s="1"/>
  <c r="AG737" i="2"/>
  <c r="AF737" i="2"/>
  <c r="AE737" i="2"/>
  <c r="AD737" i="2"/>
  <c r="AN736" i="2"/>
  <c r="AM736" i="2"/>
  <c r="AL736" i="2"/>
  <c r="AK736" i="2"/>
  <c r="AJ736" i="2"/>
  <c r="AH736" i="2"/>
  <c r="AI736" i="2" s="1"/>
  <c r="AG736" i="2"/>
  <c r="AF736" i="2"/>
  <c r="AE736" i="2"/>
  <c r="AD736" i="2"/>
  <c r="AL735" i="2"/>
  <c r="AK735" i="2"/>
  <c r="AJ735" i="2"/>
  <c r="AH735" i="2"/>
  <c r="AI735" i="2" s="1"/>
  <c r="AG735" i="2"/>
  <c r="AF735" i="2"/>
  <c r="AE735" i="2"/>
  <c r="AD735" i="2"/>
  <c r="AL734" i="2"/>
  <c r="AK734" i="2"/>
  <c r="AJ734" i="2"/>
  <c r="AI734" i="2"/>
  <c r="AH734" i="2"/>
  <c r="AG734" i="2"/>
  <c r="AF734" i="2"/>
  <c r="AE734" i="2"/>
  <c r="AD734" i="2"/>
  <c r="AL733" i="2"/>
  <c r="AK733" i="2"/>
  <c r="AJ733" i="2"/>
  <c r="AH733" i="2"/>
  <c r="AI733" i="2" s="1"/>
  <c r="AG733" i="2"/>
  <c r="AF733" i="2"/>
  <c r="AE733" i="2"/>
  <c r="AD733" i="2"/>
  <c r="AN732" i="2"/>
  <c r="AM732" i="2"/>
  <c r="AL732" i="2"/>
  <c r="AK732" i="2"/>
  <c r="AJ732" i="2"/>
  <c r="AH732" i="2"/>
  <c r="AI732" i="2" s="1"/>
  <c r="AG732" i="2"/>
  <c r="AF732" i="2"/>
  <c r="AE732" i="2"/>
  <c r="AD732" i="2"/>
  <c r="AN731" i="2"/>
  <c r="AL731" i="2"/>
  <c r="AK731" i="2"/>
  <c r="AM731" i="2" s="1"/>
  <c r="AJ731" i="2"/>
  <c r="AH731" i="2"/>
  <c r="AI731" i="2" s="1"/>
  <c r="AG731" i="2"/>
  <c r="AF731" i="2"/>
  <c r="AE731" i="2"/>
  <c r="AD731" i="2"/>
  <c r="AL730" i="2"/>
  <c r="AK730" i="2"/>
  <c r="AJ730" i="2"/>
  <c r="AI730" i="2"/>
  <c r="AH730" i="2"/>
  <c r="AG730" i="2"/>
  <c r="AF730" i="2"/>
  <c r="AE730" i="2"/>
  <c r="AD730" i="2"/>
  <c r="AL729" i="2"/>
  <c r="AK729" i="2"/>
  <c r="AJ729" i="2"/>
  <c r="AI729" i="2"/>
  <c r="AH729" i="2"/>
  <c r="AG729" i="2"/>
  <c r="AF729" i="2"/>
  <c r="AE729" i="2"/>
  <c r="AD729" i="2"/>
  <c r="AN728" i="2"/>
  <c r="AM728" i="2"/>
  <c r="AL728" i="2"/>
  <c r="AK728" i="2"/>
  <c r="AJ728" i="2"/>
  <c r="AH728" i="2"/>
  <c r="AI728" i="2" s="1"/>
  <c r="AG728" i="2"/>
  <c r="AF728" i="2"/>
  <c r="AE728" i="2"/>
  <c r="AD728" i="2"/>
  <c r="AL727" i="2"/>
  <c r="AK727" i="2"/>
  <c r="AJ727" i="2"/>
  <c r="AH727" i="2"/>
  <c r="AI727" i="2" s="1"/>
  <c r="AG727" i="2"/>
  <c r="AF727" i="2"/>
  <c r="AE727" i="2"/>
  <c r="AD727" i="2"/>
  <c r="AL726" i="2"/>
  <c r="AK726" i="2"/>
  <c r="AJ726" i="2"/>
  <c r="AH726" i="2"/>
  <c r="AI726" i="2" s="1"/>
  <c r="AG726" i="2"/>
  <c r="AF726" i="2"/>
  <c r="AE726" i="2"/>
  <c r="AD726" i="2"/>
  <c r="AL725" i="2"/>
  <c r="AK725" i="2"/>
  <c r="AJ725" i="2"/>
  <c r="AI725" i="2"/>
  <c r="AH725" i="2"/>
  <c r="AG725" i="2"/>
  <c r="AF725" i="2"/>
  <c r="AE725" i="2"/>
  <c r="AD725" i="2"/>
  <c r="AN724" i="2"/>
  <c r="AL724" i="2"/>
  <c r="AK724" i="2"/>
  <c r="AM724" i="2" s="1"/>
  <c r="AJ724" i="2"/>
  <c r="AH724" i="2"/>
  <c r="AI724" i="2" s="1"/>
  <c r="AG724" i="2"/>
  <c r="AF724" i="2"/>
  <c r="AE724" i="2"/>
  <c r="AD724" i="2"/>
  <c r="AN723" i="2"/>
  <c r="AM723" i="2"/>
  <c r="AL723" i="2"/>
  <c r="AK723" i="2"/>
  <c r="AJ723" i="2"/>
  <c r="AH723" i="2"/>
  <c r="AI723" i="2" s="1"/>
  <c r="AG723" i="2"/>
  <c r="AF723" i="2"/>
  <c r="AE723" i="2"/>
  <c r="AD723" i="2"/>
  <c r="AL722" i="2"/>
  <c r="AK722" i="2"/>
  <c r="AJ722" i="2"/>
  <c r="AI722" i="2"/>
  <c r="AH722" i="2"/>
  <c r="AG722" i="2"/>
  <c r="AF722" i="2"/>
  <c r="AE722" i="2"/>
  <c r="AD722" i="2"/>
  <c r="AL721" i="2"/>
  <c r="AK721" i="2"/>
  <c r="AJ721" i="2"/>
  <c r="AI721" i="2"/>
  <c r="AH721" i="2"/>
  <c r="AG721" i="2"/>
  <c r="AF721" i="2"/>
  <c r="AE721" i="2"/>
  <c r="AD721" i="2"/>
  <c r="AM720" i="2"/>
  <c r="AL720" i="2"/>
  <c r="AN720" i="2" s="1"/>
  <c r="AK720" i="2"/>
  <c r="AJ720" i="2"/>
  <c r="AH720" i="2"/>
  <c r="AI720" i="2" s="1"/>
  <c r="AG720" i="2"/>
  <c r="AF720" i="2"/>
  <c r="AE720" i="2"/>
  <c r="AD720" i="2"/>
  <c r="AL719" i="2"/>
  <c r="AK719" i="2"/>
  <c r="AJ719" i="2"/>
  <c r="AH719" i="2"/>
  <c r="AI719" i="2" s="1"/>
  <c r="AG719" i="2"/>
  <c r="AF719" i="2"/>
  <c r="AE719" i="2"/>
  <c r="AD719" i="2"/>
  <c r="AN718" i="2"/>
  <c r="AM718" i="2"/>
  <c r="AL718" i="2"/>
  <c r="AK718" i="2"/>
  <c r="AJ718" i="2"/>
  <c r="AI718" i="2"/>
  <c r="AH718" i="2"/>
  <c r="AG718" i="2"/>
  <c r="AF718" i="2"/>
  <c r="AE718" i="2"/>
  <c r="AD718" i="2"/>
  <c r="AL717" i="2"/>
  <c r="AK717" i="2"/>
  <c r="AJ717" i="2"/>
  <c r="AH717" i="2"/>
  <c r="AI717" i="2" s="1"/>
  <c r="AG717" i="2"/>
  <c r="AF717" i="2"/>
  <c r="AE717" i="2"/>
  <c r="AD717" i="2"/>
  <c r="AM716" i="2"/>
  <c r="AL716" i="2"/>
  <c r="AK716" i="2"/>
  <c r="AJ716" i="2"/>
  <c r="AI716" i="2"/>
  <c r="AH716" i="2"/>
  <c r="AG716" i="2"/>
  <c r="AF716" i="2"/>
  <c r="AE716" i="2"/>
  <c r="AD716" i="2"/>
  <c r="AM715" i="2"/>
  <c r="AL715" i="2"/>
  <c r="AN715" i="2" s="1"/>
  <c r="AK715" i="2"/>
  <c r="AJ715" i="2"/>
  <c r="AH715" i="2"/>
  <c r="AI715" i="2" s="1"/>
  <c r="AG715" i="2"/>
  <c r="AF715" i="2"/>
  <c r="AE715" i="2"/>
  <c r="AD715" i="2"/>
  <c r="AL714" i="2"/>
  <c r="AK714" i="2"/>
  <c r="AJ714" i="2"/>
  <c r="AH714" i="2"/>
  <c r="AI714" i="2" s="1"/>
  <c r="AG714" i="2"/>
  <c r="AF714" i="2"/>
  <c r="AE714" i="2"/>
  <c r="AD714" i="2"/>
  <c r="AL713" i="2"/>
  <c r="AK713" i="2"/>
  <c r="AJ713" i="2"/>
  <c r="AH713" i="2"/>
  <c r="AI713" i="2" s="1"/>
  <c r="AG713" i="2"/>
  <c r="AF713" i="2"/>
  <c r="AE713" i="2"/>
  <c r="AD713" i="2"/>
  <c r="AL712" i="2"/>
  <c r="AK712" i="2"/>
  <c r="AJ712" i="2"/>
  <c r="AH712" i="2"/>
  <c r="AI712" i="2" s="1"/>
  <c r="AG712" i="2"/>
  <c r="AF712" i="2"/>
  <c r="AE712" i="2"/>
  <c r="AD712" i="2"/>
  <c r="AL711" i="2"/>
  <c r="AM711" i="2" s="1"/>
  <c r="AK711" i="2"/>
  <c r="AN711" i="2" s="1"/>
  <c r="AJ711" i="2"/>
  <c r="AH711" i="2"/>
  <c r="AI711" i="2" s="1"/>
  <c r="AG711" i="2"/>
  <c r="AF711" i="2"/>
  <c r="AE711" i="2"/>
  <c r="AD711" i="2"/>
  <c r="AL710" i="2"/>
  <c r="AK710" i="2"/>
  <c r="AN710" i="2" s="1"/>
  <c r="AJ710" i="2"/>
  <c r="AH710" i="2"/>
  <c r="AI710" i="2" s="1"/>
  <c r="AG710" i="2"/>
  <c r="AF710" i="2"/>
  <c r="AE710" i="2"/>
  <c r="AD710" i="2"/>
  <c r="AL709" i="2"/>
  <c r="AK709" i="2"/>
  <c r="AJ709" i="2"/>
  <c r="AH709" i="2"/>
  <c r="AI709" i="2" s="1"/>
  <c r="AG709" i="2"/>
  <c r="AF709" i="2"/>
  <c r="AE709" i="2"/>
  <c r="AD709" i="2"/>
  <c r="AL708" i="2"/>
  <c r="AK708" i="2"/>
  <c r="AJ708" i="2"/>
  <c r="AH708" i="2"/>
  <c r="AI708" i="2" s="1"/>
  <c r="AG708" i="2"/>
  <c r="AF708" i="2"/>
  <c r="AE708" i="2"/>
  <c r="AD708" i="2"/>
  <c r="AL707" i="2"/>
  <c r="AK707" i="2"/>
  <c r="AJ707" i="2"/>
  <c r="AH707" i="2"/>
  <c r="AI707" i="2" s="1"/>
  <c r="AG707" i="2"/>
  <c r="AF707" i="2"/>
  <c r="AE707" i="2"/>
  <c r="AD707" i="2"/>
  <c r="AL706" i="2"/>
  <c r="AM706" i="2" s="1"/>
  <c r="AK706" i="2"/>
  <c r="AJ706" i="2"/>
  <c r="AI706" i="2"/>
  <c r="AH706" i="2"/>
  <c r="AG706" i="2"/>
  <c r="AF706" i="2"/>
  <c r="AE706" i="2"/>
  <c r="AD706" i="2"/>
  <c r="AL705" i="2"/>
  <c r="AK705" i="2"/>
  <c r="AJ705" i="2"/>
  <c r="AH705" i="2"/>
  <c r="AI705" i="2" s="1"/>
  <c r="AG705" i="2"/>
  <c r="AF705" i="2"/>
  <c r="AE705" i="2"/>
  <c r="AD705" i="2"/>
  <c r="AL704" i="2"/>
  <c r="AK704" i="2"/>
  <c r="AN704" i="2" s="1"/>
  <c r="AJ704" i="2"/>
  <c r="AH704" i="2"/>
  <c r="AI704" i="2" s="1"/>
  <c r="AG704" i="2"/>
  <c r="AF704" i="2"/>
  <c r="AE704" i="2"/>
  <c r="AD704" i="2"/>
  <c r="AN703" i="2"/>
  <c r="AL703" i="2"/>
  <c r="AK703" i="2"/>
  <c r="AM703" i="2" s="1"/>
  <c r="AJ703" i="2"/>
  <c r="AH703" i="2"/>
  <c r="AI703" i="2" s="1"/>
  <c r="AG703" i="2"/>
  <c r="AF703" i="2"/>
  <c r="AE703" i="2"/>
  <c r="AD703" i="2"/>
  <c r="AL702" i="2"/>
  <c r="AK702" i="2"/>
  <c r="AJ702" i="2"/>
  <c r="AH702" i="2"/>
  <c r="AI702" i="2" s="1"/>
  <c r="AG702" i="2"/>
  <c r="AF702" i="2"/>
  <c r="AE702" i="2"/>
  <c r="AD702" i="2"/>
  <c r="AL701" i="2"/>
  <c r="AK701" i="2"/>
  <c r="AJ701" i="2"/>
  <c r="AH701" i="2"/>
  <c r="AI701" i="2" s="1"/>
  <c r="AG701" i="2"/>
  <c r="AF701" i="2"/>
  <c r="AE701" i="2"/>
  <c r="AD701" i="2"/>
  <c r="AL700" i="2"/>
  <c r="AK700" i="2"/>
  <c r="AJ700" i="2"/>
  <c r="AH700" i="2"/>
  <c r="AI700" i="2" s="1"/>
  <c r="AG700" i="2"/>
  <c r="AF700" i="2"/>
  <c r="AE700" i="2"/>
  <c r="AD700" i="2"/>
  <c r="AL699" i="2"/>
  <c r="AK699" i="2"/>
  <c r="AN699" i="2" s="1"/>
  <c r="AJ699" i="2"/>
  <c r="AH699" i="2"/>
  <c r="AI699" i="2" s="1"/>
  <c r="AG699" i="2"/>
  <c r="AF699" i="2"/>
  <c r="AE699" i="2"/>
  <c r="AD699" i="2"/>
  <c r="AL698" i="2"/>
  <c r="AK698" i="2"/>
  <c r="AJ698" i="2"/>
  <c r="AH698" i="2"/>
  <c r="AI698" i="2" s="1"/>
  <c r="AG698" i="2"/>
  <c r="AF698" i="2"/>
  <c r="AE698" i="2"/>
  <c r="AD698" i="2"/>
  <c r="AL697" i="2"/>
  <c r="AK697" i="2"/>
  <c r="AJ697" i="2"/>
  <c r="AH697" i="2"/>
  <c r="AI697" i="2" s="1"/>
  <c r="AG697" i="2"/>
  <c r="AF697" i="2"/>
  <c r="AE697" i="2"/>
  <c r="AD697" i="2"/>
  <c r="AN696" i="2"/>
  <c r="AL696" i="2"/>
  <c r="AK696" i="2"/>
  <c r="AM696" i="2" s="1"/>
  <c r="AJ696" i="2"/>
  <c r="AH696" i="2"/>
  <c r="AI696" i="2" s="1"/>
  <c r="AG696" i="2"/>
  <c r="AF696" i="2"/>
  <c r="AE696" i="2"/>
  <c r="AD696" i="2"/>
  <c r="AL695" i="2"/>
  <c r="AK695" i="2"/>
  <c r="AM695" i="2" s="1"/>
  <c r="AJ695" i="2"/>
  <c r="AH695" i="2"/>
  <c r="AI695" i="2" s="1"/>
  <c r="AG695" i="2"/>
  <c r="AF695" i="2"/>
  <c r="AE695" i="2"/>
  <c r="AD695" i="2"/>
  <c r="AL694" i="2"/>
  <c r="AK694" i="2"/>
  <c r="AN694" i="2" s="1"/>
  <c r="AJ694" i="2"/>
  <c r="AI694" i="2"/>
  <c r="AH694" i="2"/>
  <c r="AG694" i="2"/>
  <c r="AF694" i="2"/>
  <c r="AE694" i="2"/>
  <c r="AD694" i="2"/>
  <c r="AL693" i="2"/>
  <c r="AK693" i="2"/>
  <c r="AJ693" i="2"/>
  <c r="AH693" i="2"/>
  <c r="AI693" i="2" s="1"/>
  <c r="AG693" i="2"/>
  <c r="AF693" i="2"/>
  <c r="AE693" i="2"/>
  <c r="AD693" i="2"/>
  <c r="AN692" i="2"/>
  <c r="AM692" i="2"/>
  <c r="AL692" i="2"/>
  <c r="AK692" i="2"/>
  <c r="AJ692" i="2"/>
  <c r="AH692" i="2"/>
  <c r="AI692" i="2" s="1"/>
  <c r="AG692" i="2"/>
  <c r="AF692" i="2"/>
  <c r="AE692" i="2"/>
  <c r="AD692" i="2"/>
  <c r="AL691" i="2"/>
  <c r="AK691" i="2"/>
  <c r="AJ691" i="2"/>
  <c r="AH691" i="2"/>
  <c r="AI691" i="2" s="1"/>
  <c r="AG691" i="2"/>
  <c r="AF691" i="2"/>
  <c r="AE691" i="2"/>
  <c r="AD691" i="2"/>
  <c r="AL690" i="2"/>
  <c r="AK690" i="2"/>
  <c r="AN690" i="2" s="1"/>
  <c r="AJ690" i="2"/>
  <c r="AI690" i="2"/>
  <c r="AH690" i="2"/>
  <c r="AG690" i="2"/>
  <c r="AF690" i="2"/>
  <c r="AE690" i="2"/>
  <c r="AD690" i="2"/>
  <c r="AL689" i="2"/>
  <c r="AK689" i="2"/>
  <c r="AJ689" i="2"/>
  <c r="AI689" i="2"/>
  <c r="AH689" i="2"/>
  <c r="AG689" i="2"/>
  <c r="AF689" i="2"/>
  <c r="AE689" i="2"/>
  <c r="AD689" i="2"/>
  <c r="AN688" i="2"/>
  <c r="AM688" i="2"/>
  <c r="AL688" i="2"/>
  <c r="AK688" i="2"/>
  <c r="AJ688" i="2"/>
  <c r="AH688" i="2"/>
  <c r="AI688" i="2" s="1"/>
  <c r="AG688" i="2"/>
  <c r="AF688" i="2"/>
  <c r="AE688" i="2"/>
  <c r="AD688" i="2"/>
  <c r="AL687" i="2"/>
  <c r="AK687" i="2"/>
  <c r="AJ687" i="2"/>
  <c r="AH687" i="2"/>
  <c r="AI687" i="2" s="1"/>
  <c r="AG687" i="2"/>
  <c r="AF687" i="2"/>
  <c r="AE687" i="2"/>
  <c r="AD687" i="2"/>
  <c r="AL686" i="2"/>
  <c r="AK686" i="2"/>
  <c r="AJ686" i="2"/>
  <c r="AI686" i="2"/>
  <c r="AH686" i="2"/>
  <c r="AG686" i="2"/>
  <c r="AF686" i="2"/>
  <c r="AE686" i="2"/>
  <c r="AD686" i="2"/>
  <c r="AL685" i="2"/>
  <c r="AK685" i="2"/>
  <c r="AJ685" i="2"/>
  <c r="AH685" i="2"/>
  <c r="AI685" i="2" s="1"/>
  <c r="AG685" i="2"/>
  <c r="AF685" i="2"/>
  <c r="AE685" i="2"/>
  <c r="AD685" i="2"/>
  <c r="AL684" i="2"/>
  <c r="AK684" i="2"/>
  <c r="AN684" i="2" s="1"/>
  <c r="AJ684" i="2"/>
  <c r="AH684" i="2"/>
  <c r="AI684" i="2" s="1"/>
  <c r="AG684" i="2"/>
  <c r="AF684" i="2"/>
  <c r="AE684" i="2"/>
  <c r="AD684" i="2"/>
  <c r="AL683" i="2"/>
  <c r="AK683" i="2"/>
  <c r="AN683" i="2" s="1"/>
  <c r="AJ683" i="2"/>
  <c r="AH683" i="2"/>
  <c r="AI683" i="2" s="1"/>
  <c r="AG683" i="2"/>
  <c r="AF683" i="2"/>
  <c r="AE683" i="2"/>
  <c r="AD683" i="2"/>
  <c r="AL682" i="2"/>
  <c r="AK682" i="2"/>
  <c r="AJ682" i="2"/>
  <c r="AH682" i="2"/>
  <c r="AI682" i="2" s="1"/>
  <c r="AG682" i="2"/>
  <c r="AF682" i="2"/>
  <c r="AE682" i="2"/>
  <c r="AD682" i="2"/>
  <c r="AL681" i="2"/>
  <c r="AK681" i="2"/>
  <c r="AJ681" i="2"/>
  <c r="AH681" i="2"/>
  <c r="AI681" i="2" s="1"/>
  <c r="AG681" i="2"/>
  <c r="AF681" i="2"/>
  <c r="AE681" i="2"/>
  <c r="AD681" i="2"/>
  <c r="AL680" i="2"/>
  <c r="AK680" i="2"/>
  <c r="AM680" i="2" s="1"/>
  <c r="AJ680" i="2"/>
  <c r="AI680" i="2"/>
  <c r="AH680" i="2"/>
  <c r="AG680" i="2"/>
  <c r="AF680" i="2"/>
  <c r="AE680" i="2"/>
  <c r="AD680" i="2"/>
  <c r="AL679" i="2"/>
  <c r="AK679" i="2"/>
  <c r="AN679" i="2" s="1"/>
  <c r="AJ679" i="2"/>
  <c r="AH679" i="2"/>
  <c r="AI679" i="2" s="1"/>
  <c r="AG679" i="2"/>
  <c r="AF679" i="2"/>
  <c r="AE679" i="2"/>
  <c r="AD679" i="2"/>
  <c r="AL678" i="2"/>
  <c r="AK678" i="2"/>
  <c r="AJ678" i="2"/>
  <c r="AH678" i="2"/>
  <c r="AI678" i="2" s="1"/>
  <c r="AG678" i="2"/>
  <c r="AF678" i="2"/>
  <c r="AE678" i="2"/>
  <c r="AD678" i="2"/>
  <c r="AL677" i="2"/>
  <c r="AK677" i="2"/>
  <c r="AJ677" i="2"/>
  <c r="AH677" i="2"/>
  <c r="AI677" i="2" s="1"/>
  <c r="AG677" i="2"/>
  <c r="AF677" i="2"/>
  <c r="AE677" i="2"/>
  <c r="AD677" i="2"/>
  <c r="AN676" i="2"/>
  <c r="AM676" i="2"/>
  <c r="AL676" i="2"/>
  <c r="AK676" i="2"/>
  <c r="AJ676" i="2"/>
  <c r="AH676" i="2"/>
  <c r="AI676" i="2" s="1"/>
  <c r="AG676" i="2"/>
  <c r="AF676" i="2"/>
  <c r="AE676" i="2"/>
  <c r="AD676" i="2"/>
  <c r="AL675" i="2"/>
  <c r="AK675" i="2"/>
  <c r="AJ675" i="2"/>
  <c r="AH675" i="2"/>
  <c r="AI675" i="2" s="1"/>
  <c r="AG675" i="2"/>
  <c r="AF675" i="2"/>
  <c r="AE675" i="2"/>
  <c r="AD675" i="2"/>
  <c r="AL674" i="2"/>
  <c r="AM674" i="2" s="1"/>
  <c r="AK674" i="2"/>
  <c r="AJ674" i="2"/>
  <c r="AI674" i="2"/>
  <c r="AH674" i="2"/>
  <c r="AG674" i="2"/>
  <c r="AF674" i="2"/>
  <c r="AE674" i="2"/>
  <c r="AD674" i="2"/>
  <c r="AL673" i="2"/>
  <c r="AK673" i="2"/>
  <c r="AJ673" i="2"/>
  <c r="AH673" i="2"/>
  <c r="AI673" i="2" s="1"/>
  <c r="AG673" i="2"/>
  <c r="AF673" i="2"/>
  <c r="AE673" i="2"/>
  <c r="AD673" i="2"/>
  <c r="AL672" i="2"/>
  <c r="AK672" i="2"/>
  <c r="AJ672" i="2"/>
  <c r="AH672" i="2"/>
  <c r="AI672" i="2" s="1"/>
  <c r="AG672" i="2"/>
  <c r="AF672" i="2"/>
  <c r="AE672" i="2"/>
  <c r="AD672" i="2"/>
  <c r="AL671" i="2"/>
  <c r="AN671" i="2" s="1"/>
  <c r="AK671" i="2"/>
  <c r="AM671" i="2" s="1"/>
  <c r="AJ671" i="2"/>
  <c r="AH671" i="2"/>
  <c r="AI671" i="2" s="1"/>
  <c r="AG671" i="2"/>
  <c r="AF671" i="2"/>
  <c r="AE671" i="2"/>
  <c r="AD671" i="2"/>
  <c r="AL670" i="2"/>
  <c r="AK670" i="2"/>
  <c r="AJ670" i="2"/>
  <c r="AI670" i="2"/>
  <c r="AH670" i="2"/>
  <c r="AG670" i="2"/>
  <c r="AF670" i="2"/>
  <c r="AE670" i="2"/>
  <c r="AD670" i="2"/>
  <c r="AL669" i="2"/>
  <c r="AK669" i="2"/>
  <c r="AJ669" i="2"/>
  <c r="AH669" i="2"/>
  <c r="AI669" i="2" s="1"/>
  <c r="AG669" i="2"/>
  <c r="AF669" i="2"/>
  <c r="AE669" i="2"/>
  <c r="AD669" i="2"/>
  <c r="AL668" i="2"/>
  <c r="AK668" i="2"/>
  <c r="AN668" i="2" s="1"/>
  <c r="AJ668" i="2"/>
  <c r="AH668" i="2"/>
  <c r="AI668" i="2" s="1"/>
  <c r="AG668" i="2"/>
  <c r="AF668" i="2"/>
  <c r="AE668" i="2"/>
  <c r="AD668" i="2"/>
  <c r="AN667" i="2"/>
  <c r="AM667" i="2"/>
  <c r="AL667" i="2"/>
  <c r="AK667" i="2"/>
  <c r="AJ667" i="2"/>
  <c r="AH667" i="2"/>
  <c r="AI667" i="2" s="1"/>
  <c r="AG667" i="2"/>
  <c r="AF667" i="2"/>
  <c r="AE667" i="2"/>
  <c r="AD667" i="2"/>
  <c r="AL666" i="2"/>
  <c r="AK666" i="2"/>
  <c r="AM666" i="2" s="1"/>
  <c r="AJ666" i="2"/>
  <c r="AI666" i="2"/>
  <c r="AH666" i="2"/>
  <c r="AG666" i="2"/>
  <c r="AF666" i="2"/>
  <c r="AE666" i="2"/>
  <c r="AD666" i="2"/>
  <c r="AL665" i="2"/>
  <c r="AK665" i="2"/>
  <c r="AJ665" i="2"/>
  <c r="AI665" i="2"/>
  <c r="AH665" i="2"/>
  <c r="AG665" i="2"/>
  <c r="AF665" i="2"/>
  <c r="AE665" i="2"/>
  <c r="AD665" i="2"/>
  <c r="AM664" i="2"/>
  <c r="AL664" i="2"/>
  <c r="AK664" i="2"/>
  <c r="AN664" i="2" s="1"/>
  <c r="AJ664" i="2"/>
  <c r="AH664" i="2"/>
  <c r="AI664" i="2" s="1"/>
  <c r="AG664" i="2"/>
  <c r="AF664" i="2"/>
  <c r="AE664" i="2"/>
  <c r="AD664" i="2"/>
  <c r="AL663" i="2"/>
  <c r="AK663" i="2"/>
  <c r="AN663" i="2" s="1"/>
  <c r="AJ663" i="2"/>
  <c r="AH663" i="2"/>
  <c r="AI663" i="2" s="1"/>
  <c r="AG663" i="2"/>
  <c r="AF663" i="2"/>
  <c r="AE663" i="2"/>
  <c r="AD663" i="2"/>
  <c r="AN662" i="2"/>
  <c r="AM662" i="2"/>
  <c r="AL662" i="2"/>
  <c r="AK662" i="2"/>
  <c r="AJ662" i="2"/>
  <c r="AH662" i="2"/>
  <c r="AI662" i="2" s="1"/>
  <c r="AG662" i="2"/>
  <c r="AF662" i="2"/>
  <c r="AE662" i="2"/>
  <c r="AD662" i="2"/>
  <c r="AL661" i="2"/>
  <c r="AK661" i="2"/>
  <c r="AJ661" i="2"/>
  <c r="AI661" i="2"/>
  <c r="AH661" i="2"/>
  <c r="AG661" i="2"/>
  <c r="AF661" i="2"/>
  <c r="AE661" i="2"/>
  <c r="AD661" i="2"/>
  <c r="AL660" i="2"/>
  <c r="AK660" i="2"/>
  <c r="AN660" i="2" s="1"/>
  <c r="AJ660" i="2"/>
  <c r="AI660" i="2"/>
  <c r="AH660" i="2"/>
  <c r="AG660" i="2"/>
  <c r="AF660" i="2"/>
  <c r="AE660" i="2"/>
  <c r="AD660" i="2"/>
  <c r="AL659" i="2"/>
  <c r="AN659" i="2" s="1"/>
  <c r="AK659" i="2"/>
  <c r="AJ659" i="2"/>
  <c r="AH659" i="2"/>
  <c r="AI659" i="2" s="1"/>
  <c r="AG659" i="2"/>
  <c r="AF659" i="2"/>
  <c r="AE659" i="2"/>
  <c r="AD659" i="2"/>
  <c r="AM658" i="2"/>
  <c r="AL658" i="2"/>
  <c r="AK658" i="2"/>
  <c r="AN658" i="2" s="1"/>
  <c r="AJ658" i="2"/>
  <c r="AH658" i="2"/>
  <c r="AI658" i="2" s="1"/>
  <c r="AG658" i="2"/>
  <c r="AF658" i="2"/>
  <c r="AE658" i="2"/>
  <c r="AD658" i="2"/>
  <c r="AL657" i="2"/>
  <c r="AK657" i="2"/>
  <c r="AJ657" i="2"/>
  <c r="AI657" i="2"/>
  <c r="AH657" i="2"/>
  <c r="AG657" i="2"/>
  <c r="AF657" i="2"/>
  <c r="AE657" i="2"/>
  <c r="AD657" i="2"/>
  <c r="AL656" i="2"/>
  <c r="AK656" i="2"/>
  <c r="AN656" i="2" s="1"/>
  <c r="AJ656" i="2"/>
  <c r="AI656" i="2"/>
  <c r="AH656" i="2"/>
  <c r="AG656" i="2"/>
  <c r="AF656" i="2"/>
  <c r="AE656" i="2"/>
  <c r="AD656" i="2"/>
  <c r="AL655" i="2"/>
  <c r="AK655" i="2"/>
  <c r="AJ655" i="2"/>
  <c r="AH655" i="2"/>
  <c r="AI655" i="2" s="1"/>
  <c r="AG655" i="2"/>
  <c r="AF655" i="2"/>
  <c r="AE655" i="2"/>
  <c r="AD655" i="2"/>
  <c r="AL654" i="2"/>
  <c r="AN654" i="2" s="1"/>
  <c r="AK654" i="2"/>
  <c r="AJ654" i="2"/>
  <c r="AI654" i="2"/>
  <c r="AH654" i="2"/>
  <c r="AG654" i="2"/>
  <c r="AF654" i="2"/>
  <c r="AE654" i="2"/>
  <c r="AD654" i="2"/>
  <c r="AL653" i="2"/>
  <c r="AK653" i="2"/>
  <c r="AJ653" i="2"/>
  <c r="AH653" i="2"/>
  <c r="AI653" i="2" s="1"/>
  <c r="AG653" i="2"/>
  <c r="AF653" i="2"/>
  <c r="AE653" i="2"/>
  <c r="AD653" i="2"/>
  <c r="AL652" i="2"/>
  <c r="AK652" i="2"/>
  <c r="AJ652" i="2"/>
  <c r="AH652" i="2"/>
  <c r="AI652" i="2" s="1"/>
  <c r="AG652" i="2"/>
  <c r="AF652" i="2"/>
  <c r="AE652" i="2"/>
  <c r="AD652" i="2"/>
  <c r="AL651" i="2"/>
  <c r="AK651" i="2"/>
  <c r="AJ651" i="2"/>
  <c r="AH651" i="2"/>
  <c r="AI651" i="2" s="1"/>
  <c r="AG651" i="2"/>
  <c r="AF651" i="2"/>
  <c r="AE651" i="2"/>
  <c r="AD651" i="2"/>
  <c r="AL650" i="2"/>
  <c r="AK650" i="2"/>
  <c r="AJ650" i="2"/>
  <c r="AI650" i="2"/>
  <c r="AH650" i="2"/>
  <c r="AG650" i="2"/>
  <c r="AF650" i="2"/>
  <c r="AE650" i="2"/>
  <c r="AD650" i="2"/>
  <c r="AL649" i="2"/>
  <c r="AK649" i="2"/>
  <c r="AJ649" i="2"/>
  <c r="AH649" i="2"/>
  <c r="AI649" i="2" s="1"/>
  <c r="AG649" i="2"/>
  <c r="AF649" i="2"/>
  <c r="AE649" i="2"/>
  <c r="AD649" i="2"/>
  <c r="AM648" i="2"/>
  <c r="AL648" i="2"/>
  <c r="AK648" i="2"/>
  <c r="AN648" i="2" s="1"/>
  <c r="AJ648" i="2"/>
  <c r="AH648" i="2"/>
  <c r="AI648" i="2" s="1"/>
  <c r="AG648" i="2"/>
  <c r="AF648" i="2"/>
  <c r="AE648" i="2"/>
  <c r="AD648" i="2"/>
  <c r="AN647" i="2"/>
  <c r="AL647" i="2"/>
  <c r="AK647" i="2"/>
  <c r="AJ647" i="2"/>
  <c r="AH647" i="2"/>
  <c r="AI647" i="2" s="1"/>
  <c r="AG647" i="2"/>
  <c r="AF647" i="2"/>
  <c r="AE647" i="2"/>
  <c r="AD647" i="2"/>
  <c r="AL646" i="2"/>
  <c r="AK646" i="2"/>
  <c r="AJ646" i="2"/>
  <c r="AH646" i="2"/>
  <c r="AI646" i="2" s="1"/>
  <c r="AG646" i="2"/>
  <c r="AF646" i="2"/>
  <c r="AE646" i="2"/>
  <c r="AD646" i="2"/>
  <c r="AL645" i="2"/>
  <c r="AK645" i="2"/>
  <c r="AJ645" i="2"/>
  <c r="AH645" i="2"/>
  <c r="AI645" i="2" s="1"/>
  <c r="AG645" i="2"/>
  <c r="AF645" i="2"/>
  <c r="AE645" i="2"/>
  <c r="AD645" i="2"/>
  <c r="AM644" i="2"/>
  <c r="AL644" i="2"/>
  <c r="AK644" i="2"/>
  <c r="AJ644" i="2"/>
  <c r="AH644" i="2"/>
  <c r="AI644" i="2" s="1"/>
  <c r="AG644" i="2"/>
  <c r="AF644" i="2"/>
  <c r="AE644" i="2"/>
  <c r="AD644" i="2"/>
  <c r="AL643" i="2"/>
  <c r="AK643" i="2"/>
  <c r="AJ643" i="2"/>
  <c r="AH643" i="2"/>
  <c r="AI643" i="2" s="1"/>
  <c r="AG643" i="2"/>
  <c r="AF643" i="2"/>
  <c r="AE643" i="2"/>
  <c r="AD643" i="2"/>
  <c r="AN642" i="2"/>
  <c r="AL642" i="2"/>
  <c r="AK642" i="2"/>
  <c r="AJ642" i="2"/>
  <c r="AI642" i="2"/>
  <c r="AH642" i="2"/>
  <c r="AG642" i="2"/>
  <c r="AF642" i="2"/>
  <c r="AE642" i="2"/>
  <c r="AD642" i="2"/>
  <c r="AL641" i="2"/>
  <c r="AK641" i="2"/>
  <c r="AJ641" i="2"/>
  <c r="AH641" i="2"/>
  <c r="AI641" i="2" s="1"/>
  <c r="AG641" i="2"/>
  <c r="AF641" i="2"/>
  <c r="AE641" i="2"/>
  <c r="AD641" i="2"/>
  <c r="AL640" i="2"/>
  <c r="AN640" i="2" s="1"/>
  <c r="AK640" i="2"/>
  <c r="AJ640" i="2"/>
  <c r="AH640" i="2"/>
  <c r="AI640" i="2" s="1"/>
  <c r="AG640" i="2"/>
  <c r="AF640" i="2"/>
  <c r="AE640" i="2"/>
  <c r="AD640" i="2"/>
  <c r="AM639" i="2"/>
  <c r="AL639" i="2"/>
  <c r="AK639" i="2"/>
  <c r="AJ639" i="2"/>
  <c r="AH639" i="2"/>
  <c r="AI639" i="2" s="1"/>
  <c r="AG639" i="2"/>
  <c r="AF639" i="2"/>
  <c r="AE639" i="2"/>
  <c r="AD639" i="2"/>
  <c r="AL638" i="2"/>
  <c r="AK638" i="2"/>
  <c r="AJ638" i="2"/>
  <c r="AI638" i="2"/>
  <c r="AH638" i="2"/>
  <c r="AG638" i="2"/>
  <c r="AF638" i="2"/>
  <c r="AE638" i="2"/>
  <c r="AD638" i="2"/>
  <c r="AL637" i="2"/>
  <c r="AK637" i="2"/>
  <c r="AJ637" i="2"/>
  <c r="AH637" i="2"/>
  <c r="AI637" i="2" s="1"/>
  <c r="AG637" i="2"/>
  <c r="AF637" i="2"/>
  <c r="AE637" i="2"/>
  <c r="AD637" i="2"/>
  <c r="AL636" i="2"/>
  <c r="AK636" i="2"/>
  <c r="AJ636" i="2"/>
  <c r="AH636" i="2"/>
  <c r="AI636" i="2" s="1"/>
  <c r="AG636" i="2"/>
  <c r="AF636" i="2"/>
  <c r="AE636" i="2"/>
  <c r="AD636" i="2"/>
  <c r="AN635" i="2"/>
  <c r="AM635" i="2"/>
  <c r="AL635" i="2"/>
  <c r="AK635" i="2"/>
  <c r="AJ635" i="2"/>
  <c r="AH635" i="2"/>
  <c r="AI635" i="2" s="1"/>
  <c r="AG635" i="2"/>
  <c r="AF635" i="2"/>
  <c r="AE635" i="2"/>
  <c r="AD635" i="2"/>
  <c r="AM634" i="2"/>
  <c r="AL634" i="2"/>
  <c r="AN634" i="2" s="1"/>
  <c r="AK634" i="2"/>
  <c r="AJ634" i="2"/>
  <c r="AH634" i="2"/>
  <c r="AI634" i="2" s="1"/>
  <c r="AG634" i="2"/>
  <c r="AF634" i="2"/>
  <c r="AE634" i="2"/>
  <c r="AD634" i="2"/>
  <c r="AL633" i="2"/>
  <c r="AK633" i="2"/>
  <c r="AJ633" i="2"/>
  <c r="AI633" i="2"/>
  <c r="AH633" i="2"/>
  <c r="AG633" i="2"/>
  <c r="AF633" i="2"/>
  <c r="AE633" i="2"/>
  <c r="AD633" i="2"/>
  <c r="AL632" i="2"/>
  <c r="AK632" i="2"/>
  <c r="AN632" i="2" s="1"/>
  <c r="AJ632" i="2"/>
  <c r="AH632" i="2"/>
  <c r="AI632" i="2" s="1"/>
  <c r="AG632" i="2"/>
  <c r="AF632" i="2"/>
  <c r="AE632" i="2"/>
  <c r="AD632" i="2"/>
  <c r="AL631" i="2"/>
  <c r="AK631" i="2"/>
  <c r="AJ631" i="2"/>
  <c r="AH631" i="2"/>
  <c r="AI631" i="2" s="1"/>
  <c r="AG631" i="2"/>
  <c r="AF631" i="2"/>
  <c r="AE631" i="2"/>
  <c r="AD631" i="2"/>
  <c r="AM630" i="2"/>
  <c r="AL630" i="2"/>
  <c r="AN630" i="2" s="1"/>
  <c r="AK630" i="2"/>
  <c r="AJ630" i="2"/>
  <c r="AH630" i="2"/>
  <c r="AI630" i="2" s="1"/>
  <c r="AG630" i="2"/>
  <c r="AF630" i="2"/>
  <c r="AE630" i="2"/>
  <c r="AD630" i="2"/>
  <c r="AL629" i="2"/>
  <c r="AK629" i="2"/>
  <c r="AJ629" i="2"/>
  <c r="AH629" i="2"/>
  <c r="AI629" i="2" s="1"/>
  <c r="AG629" i="2"/>
  <c r="AF629" i="2"/>
  <c r="AE629" i="2"/>
  <c r="AD629" i="2"/>
  <c r="AN628" i="2"/>
  <c r="AL628" i="2"/>
  <c r="AK628" i="2"/>
  <c r="AM628" i="2" s="1"/>
  <c r="AJ628" i="2"/>
  <c r="AH628" i="2"/>
  <c r="AI628" i="2" s="1"/>
  <c r="AG628" i="2"/>
  <c r="AF628" i="2"/>
  <c r="AE628" i="2"/>
  <c r="AD628" i="2"/>
  <c r="AL627" i="2"/>
  <c r="AK627" i="2"/>
  <c r="AJ627" i="2"/>
  <c r="AH627" i="2"/>
  <c r="AI627" i="2" s="1"/>
  <c r="AG627" i="2"/>
  <c r="AF627" i="2"/>
  <c r="AE627" i="2"/>
  <c r="AD627" i="2"/>
  <c r="AL626" i="2"/>
  <c r="AK626" i="2"/>
  <c r="AJ626" i="2"/>
  <c r="AI626" i="2"/>
  <c r="AH626" i="2"/>
  <c r="AG626" i="2"/>
  <c r="AF626" i="2"/>
  <c r="AE626" i="2"/>
  <c r="AD626" i="2"/>
  <c r="AL625" i="2"/>
  <c r="AK625" i="2"/>
  <c r="AJ625" i="2"/>
  <c r="AH625" i="2"/>
  <c r="AI625" i="2" s="1"/>
  <c r="AG625" i="2"/>
  <c r="AF625" i="2"/>
  <c r="AE625" i="2"/>
  <c r="AD625" i="2"/>
  <c r="AL624" i="2"/>
  <c r="AK624" i="2"/>
  <c r="AN624" i="2" s="1"/>
  <c r="AJ624" i="2"/>
  <c r="AI624" i="2"/>
  <c r="AH624" i="2"/>
  <c r="AG624" i="2"/>
  <c r="AF624" i="2"/>
  <c r="AE624" i="2"/>
  <c r="AD624" i="2"/>
  <c r="AL623" i="2"/>
  <c r="AK623" i="2"/>
  <c r="AJ623" i="2"/>
  <c r="AH623" i="2"/>
  <c r="AI623" i="2" s="1"/>
  <c r="AG623" i="2"/>
  <c r="AF623" i="2"/>
  <c r="AE623" i="2"/>
  <c r="AD623" i="2"/>
  <c r="AL622" i="2"/>
  <c r="AN622" i="2" s="1"/>
  <c r="AK622" i="2"/>
  <c r="AJ622" i="2"/>
  <c r="AI622" i="2"/>
  <c r="AH622" i="2"/>
  <c r="AG622" i="2"/>
  <c r="AF622" i="2"/>
  <c r="AE622" i="2"/>
  <c r="AD622" i="2"/>
  <c r="AL621" i="2"/>
  <c r="AK621" i="2"/>
  <c r="AJ621" i="2"/>
  <c r="AH621" i="2"/>
  <c r="AI621" i="2" s="1"/>
  <c r="AG621" i="2"/>
  <c r="AF621" i="2"/>
  <c r="AE621" i="2"/>
  <c r="AD621" i="2"/>
  <c r="AL620" i="2"/>
  <c r="AK620" i="2"/>
  <c r="AN620" i="2" s="1"/>
  <c r="AJ620" i="2"/>
  <c r="AH620" i="2"/>
  <c r="AI620" i="2" s="1"/>
  <c r="AG620" i="2"/>
  <c r="AF620" i="2"/>
  <c r="AE620" i="2"/>
  <c r="AD620" i="2"/>
  <c r="AL619" i="2"/>
  <c r="AK619" i="2"/>
  <c r="AN619" i="2" s="1"/>
  <c r="AJ619" i="2"/>
  <c r="AH619" i="2"/>
  <c r="AI619" i="2" s="1"/>
  <c r="AG619" i="2"/>
  <c r="AF619" i="2"/>
  <c r="AE619" i="2"/>
  <c r="AD619" i="2"/>
  <c r="AL618" i="2"/>
  <c r="AN618" i="2" s="1"/>
  <c r="AK618" i="2"/>
  <c r="AJ618" i="2"/>
  <c r="AI618" i="2"/>
  <c r="AH618" i="2"/>
  <c r="AG618" i="2"/>
  <c r="AF618" i="2"/>
  <c r="AE618" i="2"/>
  <c r="AD618" i="2"/>
  <c r="AL617" i="2"/>
  <c r="AK617" i="2"/>
  <c r="AJ617" i="2"/>
  <c r="AH617" i="2"/>
  <c r="AI617" i="2" s="1"/>
  <c r="AG617" i="2"/>
  <c r="AF617" i="2"/>
  <c r="AE617" i="2"/>
  <c r="AD617" i="2"/>
  <c r="AM616" i="2"/>
  <c r="AL616" i="2"/>
  <c r="AK616" i="2"/>
  <c r="AN616" i="2" s="1"/>
  <c r="AJ616" i="2"/>
  <c r="AI616" i="2"/>
  <c r="AH616" i="2"/>
  <c r="AG616" i="2"/>
  <c r="AF616" i="2"/>
  <c r="AE616" i="2"/>
  <c r="AD616" i="2"/>
  <c r="AL615" i="2"/>
  <c r="AK615" i="2"/>
  <c r="AN615" i="2" s="1"/>
  <c r="AJ615" i="2"/>
  <c r="AH615" i="2"/>
  <c r="AI615" i="2" s="1"/>
  <c r="AG615" i="2"/>
  <c r="AF615" i="2"/>
  <c r="AE615" i="2"/>
  <c r="AD615" i="2"/>
  <c r="AL614" i="2"/>
  <c r="AK614" i="2"/>
  <c r="AJ614" i="2"/>
  <c r="AI614" i="2"/>
  <c r="AH614" i="2"/>
  <c r="AG614" i="2"/>
  <c r="AF614" i="2"/>
  <c r="AE614" i="2"/>
  <c r="AD614" i="2"/>
  <c r="AL613" i="2"/>
  <c r="AK613" i="2"/>
  <c r="AJ613" i="2"/>
  <c r="AH613" i="2"/>
  <c r="AI613" i="2" s="1"/>
  <c r="AG613" i="2"/>
  <c r="AF613" i="2"/>
  <c r="AE613" i="2"/>
  <c r="AD613" i="2"/>
  <c r="AN612" i="2"/>
  <c r="AM612" i="2"/>
  <c r="AL612" i="2"/>
  <c r="AK612" i="2"/>
  <c r="AJ612" i="2"/>
  <c r="AH612" i="2"/>
  <c r="AI612" i="2" s="1"/>
  <c r="AG612" i="2"/>
  <c r="AF612" i="2"/>
  <c r="AE612" i="2"/>
  <c r="AD612" i="2"/>
  <c r="AL611" i="2"/>
  <c r="AK611" i="2"/>
  <c r="AJ611" i="2"/>
  <c r="AH611" i="2"/>
  <c r="AI611" i="2" s="1"/>
  <c r="AG611" i="2"/>
  <c r="AF611" i="2"/>
  <c r="AE611" i="2"/>
  <c r="AD611" i="2"/>
  <c r="AL610" i="2"/>
  <c r="AM610" i="2" s="1"/>
  <c r="AK610" i="2"/>
  <c r="AN610" i="2" s="1"/>
  <c r="AJ610" i="2"/>
  <c r="AI610" i="2"/>
  <c r="AH610" i="2"/>
  <c r="AG610" i="2"/>
  <c r="AF610" i="2"/>
  <c r="AE610" i="2"/>
  <c r="AD610" i="2"/>
  <c r="AL609" i="2"/>
  <c r="AK609" i="2"/>
  <c r="AJ609" i="2"/>
  <c r="AH609" i="2"/>
  <c r="AI609" i="2" s="1"/>
  <c r="AG609" i="2"/>
  <c r="AF609" i="2"/>
  <c r="AE609" i="2"/>
  <c r="AD609" i="2"/>
  <c r="AN608" i="2"/>
  <c r="AL608" i="2"/>
  <c r="AK608" i="2"/>
  <c r="AM608" i="2" s="1"/>
  <c r="AJ608" i="2"/>
  <c r="AH608" i="2"/>
  <c r="AI608" i="2" s="1"/>
  <c r="AG608" i="2"/>
  <c r="AF608" i="2"/>
  <c r="AE608" i="2"/>
  <c r="AD608" i="2"/>
  <c r="AL607" i="2"/>
  <c r="AK607" i="2"/>
  <c r="AJ607" i="2"/>
  <c r="AH607" i="2"/>
  <c r="AI607" i="2" s="1"/>
  <c r="AG607" i="2"/>
  <c r="AF607" i="2"/>
  <c r="AE607" i="2"/>
  <c r="AD607" i="2"/>
  <c r="AL606" i="2"/>
  <c r="AK606" i="2"/>
  <c r="AJ606" i="2"/>
  <c r="AI606" i="2"/>
  <c r="AH606" i="2"/>
  <c r="AG606" i="2"/>
  <c r="AF606" i="2"/>
  <c r="AE606" i="2"/>
  <c r="AD606" i="2"/>
  <c r="AL605" i="2"/>
  <c r="AK605" i="2"/>
  <c r="AJ605" i="2"/>
  <c r="AH605" i="2"/>
  <c r="AI605" i="2" s="1"/>
  <c r="AG605" i="2"/>
  <c r="AF605" i="2"/>
  <c r="AE605" i="2"/>
  <c r="AD605" i="2"/>
  <c r="AM604" i="2"/>
  <c r="AL604" i="2"/>
  <c r="AK604" i="2"/>
  <c r="AN604" i="2" s="1"/>
  <c r="AJ604" i="2"/>
  <c r="AH604" i="2"/>
  <c r="AI604" i="2" s="1"/>
  <c r="AG604" i="2"/>
  <c r="AF604" i="2"/>
  <c r="AE604" i="2"/>
  <c r="AD604" i="2"/>
  <c r="AL603" i="2"/>
  <c r="AK603" i="2"/>
  <c r="AN603" i="2" s="1"/>
  <c r="AJ603" i="2"/>
  <c r="AH603" i="2"/>
  <c r="AI603" i="2" s="1"/>
  <c r="AG603" i="2"/>
  <c r="AF603" i="2"/>
  <c r="AE603" i="2"/>
  <c r="AD603" i="2"/>
  <c r="AM602" i="2"/>
  <c r="AL602" i="2"/>
  <c r="AN602" i="2" s="1"/>
  <c r="AK602" i="2"/>
  <c r="AJ602" i="2"/>
  <c r="AH602" i="2"/>
  <c r="AI602" i="2" s="1"/>
  <c r="AG602" i="2"/>
  <c r="AF602" i="2"/>
  <c r="AE602" i="2"/>
  <c r="AD602" i="2"/>
  <c r="AL601" i="2"/>
  <c r="AK601" i="2"/>
  <c r="AJ601" i="2"/>
  <c r="AI601" i="2"/>
  <c r="AH601" i="2"/>
  <c r="AG601" i="2"/>
  <c r="AF601" i="2"/>
  <c r="AE601" i="2"/>
  <c r="AD601" i="2"/>
  <c r="AL600" i="2"/>
  <c r="AK600" i="2"/>
  <c r="AN600" i="2" s="1"/>
  <c r="AJ600" i="2"/>
  <c r="AH600" i="2"/>
  <c r="AI600" i="2" s="1"/>
  <c r="AG600" i="2"/>
  <c r="AF600" i="2"/>
  <c r="AE600" i="2"/>
  <c r="AD600" i="2"/>
  <c r="AM599" i="2"/>
  <c r="AL599" i="2"/>
  <c r="AK599" i="2"/>
  <c r="AJ599" i="2"/>
  <c r="AH599" i="2"/>
  <c r="AI599" i="2" s="1"/>
  <c r="AG599" i="2"/>
  <c r="AF599" i="2"/>
  <c r="AE599" i="2"/>
  <c r="AD599" i="2"/>
  <c r="AL598" i="2"/>
  <c r="AK598" i="2"/>
  <c r="AN598" i="2" s="1"/>
  <c r="AJ598" i="2"/>
  <c r="AI598" i="2"/>
  <c r="AH598" i="2"/>
  <c r="AG598" i="2"/>
  <c r="AF598" i="2"/>
  <c r="AE598" i="2"/>
  <c r="AD598" i="2"/>
  <c r="AL597" i="2"/>
  <c r="AK597" i="2"/>
  <c r="AJ597" i="2"/>
  <c r="AH597" i="2"/>
  <c r="AI597" i="2" s="1"/>
  <c r="AG597" i="2"/>
  <c r="AF597" i="2"/>
  <c r="AE597" i="2"/>
  <c r="AD597" i="2"/>
  <c r="AL596" i="2"/>
  <c r="AK596" i="2"/>
  <c r="AN596" i="2" s="1"/>
  <c r="AJ596" i="2"/>
  <c r="AH596" i="2"/>
  <c r="AI596" i="2" s="1"/>
  <c r="AG596" i="2"/>
  <c r="AF596" i="2"/>
  <c r="AE596" i="2"/>
  <c r="AD596" i="2"/>
  <c r="AL595" i="2"/>
  <c r="AK595" i="2"/>
  <c r="AN595" i="2" s="1"/>
  <c r="AJ595" i="2"/>
  <c r="AH595" i="2"/>
  <c r="AI595" i="2" s="1"/>
  <c r="AG595" i="2"/>
  <c r="AF595" i="2"/>
  <c r="AE595" i="2"/>
  <c r="AD595" i="2"/>
  <c r="AL594" i="2"/>
  <c r="AK594" i="2"/>
  <c r="AJ594" i="2"/>
  <c r="AH594" i="2"/>
  <c r="AI594" i="2" s="1"/>
  <c r="AG594" i="2"/>
  <c r="AF594" i="2"/>
  <c r="AE594" i="2"/>
  <c r="AD594" i="2"/>
  <c r="AL593" i="2"/>
  <c r="AK593" i="2"/>
  <c r="AJ593" i="2"/>
  <c r="AH593" i="2"/>
  <c r="AI593" i="2" s="1"/>
  <c r="AG593" i="2"/>
  <c r="AF593" i="2"/>
  <c r="AE593" i="2"/>
  <c r="AD593" i="2"/>
  <c r="AN592" i="2"/>
  <c r="AM592" i="2"/>
  <c r="AL592" i="2"/>
  <c r="AK592" i="2"/>
  <c r="AJ592" i="2"/>
  <c r="AI592" i="2"/>
  <c r="AH592" i="2"/>
  <c r="AG592" i="2"/>
  <c r="AF592" i="2"/>
  <c r="AE592" i="2"/>
  <c r="AD592" i="2"/>
  <c r="AL591" i="2"/>
  <c r="AK591" i="2"/>
  <c r="AM591" i="2" s="1"/>
  <c r="AJ591" i="2"/>
  <c r="AH591" i="2"/>
  <c r="AI591" i="2" s="1"/>
  <c r="AG591" i="2"/>
  <c r="AF591" i="2"/>
  <c r="AE591" i="2"/>
  <c r="AD591" i="2"/>
  <c r="AL590" i="2"/>
  <c r="AK590" i="2"/>
  <c r="AN590" i="2" s="1"/>
  <c r="AJ590" i="2"/>
  <c r="AH590" i="2"/>
  <c r="AI590" i="2" s="1"/>
  <c r="AG590" i="2"/>
  <c r="AF590" i="2"/>
  <c r="AE590" i="2"/>
  <c r="AD590" i="2"/>
  <c r="AL589" i="2"/>
  <c r="AK589" i="2"/>
  <c r="AJ589" i="2"/>
  <c r="AI589" i="2"/>
  <c r="AH589" i="2"/>
  <c r="AG589" i="2"/>
  <c r="AF589" i="2"/>
  <c r="AE589" i="2"/>
  <c r="AD589" i="2"/>
  <c r="AL588" i="2"/>
  <c r="AK588" i="2"/>
  <c r="AN588" i="2" s="1"/>
  <c r="AJ588" i="2"/>
  <c r="AI588" i="2"/>
  <c r="AH588" i="2"/>
  <c r="AG588" i="2"/>
  <c r="AF588" i="2"/>
  <c r="AE588" i="2"/>
  <c r="AD588" i="2"/>
  <c r="AN587" i="2"/>
  <c r="AL587" i="2"/>
  <c r="AK587" i="2"/>
  <c r="AM587" i="2" s="1"/>
  <c r="AJ587" i="2"/>
  <c r="AH587" i="2"/>
  <c r="AI587" i="2" s="1"/>
  <c r="AG587" i="2"/>
  <c r="AF587" i="2"/>
  <c r="AE587" i="2"/>
  <c r="AD587" i="2"/>
  <c r="AL586" i="2"/>
  <c r="AK586" i="2"/>
  <c r="AJ586" i="2"/>
  <c r="AI586" i="2"/>
  <c r="AH586" i="2"/>
  <c r="AG586" i="2"/>
  <c r="AF586" i="2"/>
  <c r="AE586" i="2"/>
  <c r="AD586" i="2"/>
  <c r="AL585" i="2"/>
  <c r="AK585" i="2"/>
  <c r="AJ585" i="2"/>
  <c r="AH585" i="2"/>
  <c r="AI585" i="2" s="1"/>
  <c r="AG585" i="2"/>
  <c r="AF585" i="2"/>
  <c r="AE585" i="2"/>
  <c r="AD585" i="2"/>
  <c r="AM584" i="2"/>
  <c r="AL584" i="2"/>
  <c r="AK584" i="2"/>
  <c r="AN584" i="2" s="1"/>
  <c r="AJ584" i="2"/>
  <c r="AI584" i="2"/>
  <c r="AH584" i="2"/>
  <c r="AG584" i="2"/>
  <c r="AF584" i="2"/>
  <c r="AE584" i="2"/>
  <c r="AD584" i="2"/>
  <c r="AL583" i="2"/>
  <c r="AK583" i="2"/>
  <c r="AJ583" i="2"/>
  <c r="AH583" i="2"/>
  <c r="AI583" i="2" s="1"/>
  <c r="AG583" i="2"/>
  <c r="AF583" i="2"/>
  <c r="AE583" i="2"/>
  <c r="AD583" i="2"/>
  <c r="AM582" i="2"/>
  <c r="AL582" i="2"/>
  <c r="AN582" i="2" s="1"/>
  <c r="AK582" i="2"/>
  <c r="AJ582" i="2"/>
  <c r="AH582" i="2"/>
  <c r="AI582" i="2" s="1"/>
  <c r="AG582" i="2"/>
  <c r="AF582" i="2"/>
  <c r="AE582" i="2"/>
  <c r="AD582" i="2"/>
  <c r="AL581" i="2"/>
  <c r="AK581" i="2"/>
  <c r="AJ581" i="2"/>
  <c r="AI581" i="2"/>
  <c r="AH581" i="2"/>
  <c r="AG581" i="2"/>
  <c r="AF581" i="2"/>
  <c r="AE581" i="2"/>
  <c r="AD581" i="2"/>
  <c r="AL580" i="2"/>
  <c r="AK580" i="2"/>
  <c r="AN580" i="2" s="1"/>
  <c r="AJ580" i="2"/>
  <c r="AH580" i="2"/>
  <c r="AI580" i="2" s="1"/>
  <c r="AG580" i="2"/>
  <c r="AF580" i="2"/>
  <c r="AE580" i="2"/>
  <c r="AD580" i="2"/>
  <c r="AL579" i="2"/>
  <c r="AK579" i="2"/>
  <c r="AJ579" i="2"/>
  <c r="AI579" i="2"/>
  <c r="AH579" i="2"/>
  <c r="AG579" i="2"/>
  <c r="AF579" i="2"/>
  <c r="AE579" i="2"/>
  <c r="AD579" i="2"/>
  <c r="AL578" i="2"/>
  <c r="AK578" i="2"/>
  <c r="AJ578" i="2"/>
  <c r="AI578" i="2"/>
  <c r="AH578" i="2"/>
  <c r="AG578" i="2"/>
  <c r="AF578" i="2"/>
  <c r="AE578" i="2"/>
  <c r="AD578" i="2"/>
  <c r="AM577" i="2"/>
  <c r="AL577" i="2"/>
  <c r="AK577" i="2"/>
  <c r="AJ577" i="2"/>
  <c r="AH577" i="2"/>
  <c r="AI577" i="2" s="1"/>
  <c r="AG577" i="2"/>
  <c r="AF577" i="2"/>
  <c r="AE577" i="2"/>
  <c r="AD577" i="2"/>
  <c r="AL576" i="2"/>
  <c r="AK576" i="2"/>
  <c r="AJ576" i="2"/>
  <c r="AH576" i="2"/>
  <c r="AI576" i="2" s="1"/>
  <c r="AG576" i="2"/>
  <c r="AF576" i="2"/>
  <c r="AE576" i="2"/>
  <c r="AD576" i="2"/>
  <c r="AL575" i="2"/>
  <c r="AK575" i="2"/>
  <c r="AN575" i="2" s="1"/>
  <c r="AJ575" i="2"/>
  <c r="AI575" i="2"/>
  <c r="AH575" i="2"/>
  <c r="AG575" i="2"/>
  <c r="AF575" i="2"/>
  <c r="AE575" i="2"/>
  <c r="AD575" i="2"/>
  <c r="AL574" i="2"/>
  <c r="AK574" i="2"/>
  <c r="AJ574" i="2"/>
  <c r="AI574" i="2"/>
  <c r="AH574" i="2"/>
  <c r="AG574" i="2"/>
  <c r="AF574" i="2"/>
  <c r="AE574" i="2"/>
  <c r="AD574" i="2"/>
  <c r="AM573" i="2"/>
  <c r="AL573" i="2"/>
  <c r="AK573" i="2"/>
  <c r="AJ573" i="2"/>
  <c r="AH573" i="2"/>
  <c r="AI573" i="2" s="1"/>
  <c r="AG573" i="2"/>
  <c r="AF573" i="2"/>
  <c r="AE573" i="2"/>
  <c r="AD573" i="2"/>
  <c r="AL572" i="2"/>
  <c r="AK572" i="2"/>
  <c r="AJ572" i="2"/>
  <c r="AI572" i="2"/>
  <c r="AH572" i="2"/>
  <c r="AG572" i="2"/>
  <c r="AF572" i="2"/>
  <c r="AE572" i="2"/>
  <c r="AD572" i="2"/>
  <c r="AM571" i="2"/>
  <c r="AL571" i="2"/>
  <c r="AK571" i="2"/>
  <c r="AN571" i="2" s="1"/>
  <c r="AJ571" i="2"/>
  <c r="AH571" i="2"/>
  <c r="AI571" i="2" s="1"/>
  <c r="AG571" i="2"/>
  <c r="AF571" i="2"/>
  <c r="AE571" i="2"/>
  <c r="AD571" i="2"/>
  <c r="AL570" i="2"/>
  <c r="AK570" i="2"/>
  <c r="AN570" i="2" s="1"/>
  <c r="AJ570" i="2"/>
  <c r="AI570" i="2"/>
  <c r="AH570" i="2"/>
  <c r="AG570" i="2"/>
  <c r="AF570" i="2"/>
  <c r="AE570" i="2"/>
  <c r="AD570" i="2"/>
  <c r="AL569" i="2"/>
  <c r="AK569" i="2"/>
  <c r="AJ569" i="2"/>
  <c r="AH569" i="2"/>
  <c r="AI569" i="2" s="1"/>
  <c r="AG569" i="2"/>
  <c r="AF569" i="2"/>
  <c r="AE569" i="2"/>
  <c r="AD569" i="2"/>
  <c r="AL568" i="2"/>
  <c r="AK568" i="2"/>
  <c r="AN568" i="2" s="1"/>
  <c r="AJ568" i="2"/>
  <c r="AH568" i="2"/>
  <c r="AI568" i="2" s="1"/>
  <c r="AG568" i="2"/>
  <c r="AF568" i="2"/>
  <c r="AE568" i="2"/>
  <c r="AD568" i="2"/>
  <c r="AL567" i="2"/>
  <c r="AK567" i="2"/>
  <c r="AN567" i="2" s="1"/>
  <c r="AJ567" i="2"/>
  <c r="AH567" i="2"/>
  <c r="AI567" i="2" s="1"/>
  <c r="AG567" i="2"/>
  <c r="AF567" i="2"/>
  <c r="AE567" i="2"/>
  <c r="AD567" i="2"/>
  <c r="AL566" i="2"/>
  <c r="AK566" i="2"/>
  <c r="AJ566" i="2"/>
  <c r="AI566" i="2"/>
  <c r="AH566" i="2"/>
  <c r="AG566" i="2"/>
  <c r="AF566" i="2"/>
  <c r="AE566" i="2"/>
  <c r="AD566" i="2"/>
  <c r="AL565" i="2"/>
  <c r="AM565" i="2" s="1"/>
  <c r="AK565" i="2"/>
  <c r="AJ565" i="2"/>
  <c r="AI565" i="2"/>
  <c r="AH565" i="2"/>
  <c r="AG565" i="2"/>
  <c r="AF565" i="2"/>
  <c r="AE565" i="2"/>
  <c r="AD565" i="2"/>
  <c r="AL564" i="2"/>
  <c r="AK564" i="2"/>
  <c r="AJ564" i="2"/>
  <c r="AH564" i="2"/>
  <c r="AI564" i="2" s="1"/>
  <c r="AG564" i="2"/>
  <c r="AF564" i="2"/>
  <c r="AE564" i="2"/>
  <c r="AD564" i="2"/>
  <c r="AL563" i="2"/>
  <c r="AK563" i="2"/>
  <c r="AJ563" i="2"/>
  <c r="AH563" i="2"/>
  <c r="AI563" i="2" s="1"/>
  <c r="AG563" i="2"/>
  <c r="AF563" i="2"/>
  <c r="AE563" i="2"/>
  <c r="AD563" i="2"/>
  <c r="AN562" i="2"/>
  <c r="AM562" i="2"/>
  <c r="AL562" i="2"/>
  <c r="AK562" i="2"/>
  <c r="AJ562" i="2"/>
  <c r="AI562" i="2"/>
  <c r="AH562" i="2"/>
  <c r="AG562" i="2"/>
  <c r="AF562" i="2"/>
  <c r="AE562" i="2"/>
  <c r="AD562" i="2"/>
  <c r="AL561" i="2"/>
  <c r="AK561" i="2"/>
  <c r="AJ561" i="2"/>
  <c r="AH561" i="2"/>
  <c r="AI561" i="2" s="1"/>
  <c r="AG561" i="2"/>
  <c r="AF561" i="2"/>
  <c r="AE561" i="2"/>
  <c r="AD561" i="2"/>
  <c r="AL560" i="2"/>
  <c r="AK560" i="2"/>
  <c r="AN560" i="2" s="1"/>
  <c r="AJ560" i="2"/>
  <c r="AH560" i="2"/>
  <c r="AI560" i="2" s="1"/>
  <c r="AG560" i="2"/>
  <c r="AF560" i="2"/>
  <c r="AE560" i="2"/>
  <c r="AD560" i="2"/>
  <c r="AM559" i="2"/>
  <c r="AL559" i="2"/>
  <c r="AK559" i="2"/>
  <c r="AN559" i="2" s="1"/>
  <c r="AJ559" i="2"/>
  <c r="AH559" i="2"/>
  <c r="AI559" i="2" s="1"/>
  <c r="AG559" i="2"/>
  <c r="AF559" i="2"/>
  <c r="AE559" i="2"/>
  <c r="AD559" i="2"/>
  <c r="AL558" i="2"/>
  <c r="AK558" i="2"/>
  <c r="AJ558" i="2"/>
  <c r="AI558" i="2"/>
  <c r="AH558" i="2"/>
  <c r="AG558" i="2"/>
  <c r="AF558" i="2"/>
  <c r="AE558" i="2"/>
  <c r="AD558" i="2"/>
  <c r="AL557" i="2"/>
  <c r="AK557" i="2"/>
  <c r="AM557" i="2" s="1"/>
  <c r="AJ557" i="2"/>
  <c r="AH557" i="2"/>
  <c r="AI557" i="2" s="1"/>
  <c r="AG557" i="2"/>
  <c r="AF557" i="2"/>
  <c r="AE557" i="2"/>
  <c r="AD557" i="2"/>
  <c r="AN556" i="2"/>
  <c r="AL556" i="2"/>
  <c r="AK556" i="2"/>
  <c r="AJ556" i="2"/>
  <c r="AH556" i="2"/>
  <c r="AI556" i="2" s="1"/>
  <c r="AG556" i="2"/>
  <c r="AF556" i="2"/>
  <c r="AE556" i="2"/>
  <c r="AD556" i="2"/>
  <c r="AL555" i="2"/>
  <c r="AK555" i="2"/>
  <c r="AJ555" i="2"/>
  <c r="AH555" i="2"/>
  <c r="AI555" i="2" s="1"/>
  <c r="AG555" i="2"/>
  <c r="AF555" i="2"/>
  <c r="AE555" i="2"/>
  <c r="AD555" i="2"/>
  <c r="AN554" i="2"/>
  <c r="AL554" i="2"/>
  <c r="AK554" i="2"/>
  <c r="AM554" i="2" s="1"/>
  <c r="AJ554" i="2"/>
  <c r="AH554" i="2"/>
  <c r="AI554" i="2" s="1"/>
  <c r="AG554" i="2"/>
  <c r="AF554" i="2"/>
  <c r="AE554" i="2"/>
  <c r="AD554" i="2"/>
  <c r="AL553" i="2"/>
  <c r="AK553" i="2"/>
  <c r="AJ553" i="2"/>
  <c r="AI553" i="2"/>
  <c r="AH553" i="2"/>
  <c r="AG553" i="2"/>
  <c r="AF553" i="2"/>
  <c r="AE553" i="2"/>
  <c r="AD553" i="2"/>
  <c r="AN552" i="2"/>
  <c r="AL552" i="2"/>
  <c r="AK552" i="2"/>
  <c r="AM552" i="2" s="1"/>
  <c r="AJ552" i="2"/>
  <c r="AH552" i="2"/>
  <c r="AI552" i="2" s="1"/>
  <c r="AG552" i="2"/>
  <c r="AF552" i="2"/>
  <c r="AE552" i="2"/>
  <c r="AD552" i="2"/>
  <c r="AL551" i="2"/>
  <c r="AK551" i="2"/>
  <c r="AJ551" i="2"/>
  <c r="AH551" i="2"/>
  <c r="AI551" i="2" s="1"/>
  <c r="AG551" i="2"/>
  <c r="AF551" i="2"/>
  <c r="AE551" i="2"/>
  <c r="AD551" i="2"/>
  <c r="AL550" i="2"/>
  <c r="AK550" i="2"/>
  <c r="AJ550" i="2"/>
  <c r="AI550" i="2"/>
  <c r="AH550" i="2"/>
  <c r="AG550" i="2"/>
  <c r="AF550" i="2"/>
  <c r="AE550" i="2"/>
  <c r="AD550" i="2"/>
  <c r="AL549" i="2"/>
  <c r="AK549" i="2"/>
  <c r="AM549" i="2" s="1"/>
  <c r="AJ549" i="2"/>
  <c r="AH549" i="2"/>
  <c r="AI549" i="2" s="1"/>
  <c r="AG549" i="2"/>
  <c r="AF549" i="2"/>
  <c r="AE549" i="2"/>
  <c r="AD549" i="2"/>
  <c r="AM548" i="2"/>
  <c r="AL548" i="2"/>
  <c r="AN548" i="2" s="1"/>
  <c r="AK548" i="2"/>
  <c r="AJ548" i="2"/>
  <c r="AH548" i="2"/>
  <c r="AI548" i="2" s="1"/>
  <c r="AG548" i="2"/>
  <c r="AF548" i="2"/>
  <c r="AE548" i="2"/>
  <c r="AD548" i="2"/>
  <c r="AM547" i="2"/>
  <c r="AL547" i="2"/>
  <c r="AK547" i="2"/>
  <c r="AJ547" i="2"/>
  <c r="AI547" i="2"/>
  <c r="AH547" i="2"/>
  <c r="AG547" i="2"/>
  <c r="AF547" i="2"/>
  <c r="AE547" i="2"/>
  <c r="AD547" i="2"/>
  <c r="AL546" i="2"/>
  <c r="AK546" i="2"/>
  <c r="AN546" i="2" s="1"/>
  <c r="AJ546" i="2"/>
  <c r="AI546" i="2"/>
  <c r="AH546" i="2"/>
  <c r="AG546" i="2"/>
  <c r="AF546" i="2"/>
  <c r="AE546" i="2"/>
  <c r="AD546" i="2"/>
  <c r="AL545" i="2"/>
  <c r="AK545" i="2"/>
  <c r="AJ545" i="2"/>
  <c r="AH545" i="2"/>
  <c r="AI545" i="2" s="1"/>
  <c r="AG545" i="2"/>
  <c r="AF545" i="2"/>
  <c r="AE545" i="2"/>
  <c r="AD545" i="2"/>
  <c r="AL544" i="2"/>
  <c r="AK544" i="2"/>
  <c r="AJ544" i="2"/>
  <c r="AH544" i="2"/>
  <c r="AI544" i="2" s="1"/>
  <c r="AG544" i="2"/>
  <c r="AF544" i="2"/>
  <c r="AE544" i="2"/>
  <c r="AD544" i="2"/>
  <c r="AL543" i="2"/>
  <c r="AK543" i="2"/>
  <c r="AJ543" i="2"/>
  <c r="AH543" i="2"/>
  <c r="AI543" i="2" s="1"/>
  <c r="AG543" i="2"/>
  <c r="AF543" i="2"/>
  <c r="AE543" i="2"/>
  <c r="AD543" i="2"/>
  <c r="AN542" i="2"/>
  <c r="AL542" i="2"/>
  <c r="AK542" i="2"/>
  <c r="AM542" i="2" s="1"/>
  <c r="AJ542" i="2"/>
  <c r="AI542" i="2"/>
  <c r="AH542" i="2"/>
  <c r="AG542" i="2"/>
  <c r="AF542" i="2"/>
  <c r="AE542" i="2"/>
  <c r="AD542" i="2"/>
  <c r="AL541" i="2"/>
  <c r="AK541" i="2"/>
  <c r="AJ541" i="2"/>
  <c r="AH541" i="2"/>
  <c r="AI541" i="2" s="1"/>
  <c r="AG541" i="2"/>
  <c r="AF541" i="2"/>
  <c r="AE541" i="2"/>
  <c r="AD541" i="2"/>
  <c r="AL540" i="2"/>
  <c r="AK540" i="2"/>
  <c r="AJ540" i="2"/>
  <c r="AH540" i="2"/>
  <c r="AI540" i="2" s="1"/>
  <c r="AG540" i="2"/>
  <c r="AF540" i="2"/>
  <c r="AE540" i="2"/>
  <c r="AD540" i="2"/>
  <c r="AN539" i="2"/>
  <c r="AL539" i="2"/>
  <c r="AK539" i="2"/>
  <c r="AM539" i="2" s="1"/>
  <c r="AJ539" i="2"/>
  <c r="AH539" i="2"/>
  <c r="AI539" i="2" s="1"/>
  <c r="AG539" i="2"/>
  <c r="AF539" i="2"/>
  <c r="AE539" i="2"/>
  <c r="AD539" i="2"/>
  <c r="AL538" i="2"/>
  <c r="AK538" i="2"/>
  <c r="AJ538" i="2"/>
  <c r="AH538" i="2"/>
  <c r="AI538" i="2" s="1"/>
  <c r="AG538" i="2"/>
  <c r="AF538" i="2"/>
  <c r="AE538" i="2"/>
  <c r="AD538" i="2"/>
  <c r="AL537" i="2"/>
  <c r="AK537" i="2"/>
  <c r="AJ537" i="2"/>
  <c r="AH537" i="2"/>
  <c r="AI537" i="2" s="1"/>
  <c r="AG537" i="2"/>
  <c r="AF537" i="2"/>
  <c r="AE537" i="2"/>
  <c r="AD537" i="2"/>
  <c r="AN536" i="2"/>
  <c r="AM536" i="2"/>
  <c r="AL536" i="2"/>
  <c r="AK536" i="2"/>
  <c r="AJ536" i="2"/>
  <c r="AH536" i="2"/>
  <c r="AI536" i="2" s="1"/>
  <c r="AG536" i="2"/>
  <c r="AF536" i="2"/>
  <c r="AE536" i="2"/>
  <c r="AD536" i="2"/>
  <c r="AL535" i="2"/>
  <c r="AK535" i="2"/>
  <c r="AJ535" i="2"/>
  <c r="AI535" i="2"/>
  <c r="AH535" i="2"/>
  <c r="AG535" i="2"/>
  <c r="AF535" i="2"/>
  <c r="AE535" i="2"/>
  <c r="AD535" i="2"/>
  <c r="AL534" i="2"/>
  <c r="AK534" i="2"/>
  <c r="AM534" i="2" s="1"/>
  <c r="AJ534" i="2"/>
  <c r="AH534" i="2"/>
  <c r="AI534" i="2" s="1"/>
  <c r="AG534" i="2"/>
  <c r="AF534" i="2"/>
  <c r="AE534" i="2"/>
  <c r="AD534" i="2"/>
  <c r="AL533" i="2"/>
  <c r="AM533" i="2" s="1"/>
  <c r="AK533" i="2"/>
  <c r="AJ533" i="2"/>
  <c r="AI533" i="2"/>
  <c r="AH533" i="2"/>
  <c r="AG533" i="2"/>
  <c r="AF533" i="2"/>
  <c r="AE533" i="2"/>
  <c r="AD533" i="2"/>
  <c r="AL532" i="2"/>
  <c r="AK532" i="2"/>
  <c r="AJ532" i="2"/>
  <c r="AH532" i="2"/>
  <c r="AI532" i="2" s="1"/>
  <c r="AG532" i="2"/>
  <c r="AF532" i="2"/>
  <c r="AE532" i="2"/>
  <c r="AD532" i="2"/>
  <c r="AL531" i="2"/>
  <c r="AK531" i="2"/>
  <c r="AM531" i="2" s="1"/>
  <c r="AJ531" i="2"/>
  <c r="AH531" i="2"/>
  <c r="AI531" i="2" s="1"/>
  <c r="AG531" i="2"/>
  <c r="AF531" i="2"/>
  <c r="AE531" i="2"/>
  <c r="AD531" i="2"/>
  <c r="AL530" i="2"/>
  <c r="AK530" i="2"/>
  <c r="AJ530" i="2"/>
  <c r="AH530" i="2"/>
  <c r="AI530" i="2" s="1"/>
  <c r="AG530" i="2"/>
  <c r="AF530" i="2"/>
  <c r="AE530" i="2"/>
  <c r="AD530" i="2"/>
  <c r="AM529" i="2"/>
  <c r="AL529" i="2"/>
  <c r="AK529" i="2"/>
  <c r="AJ529" i="2"/>
  <c r="AH529" i="2"/>
  <c r="AI529" i="2" s="1"/>
  <c r="AG529" i="2"/>
  <c r="AF529" i="2"/>
  <c r="AE529" i="2"/>
  <c r="AD529" i="2"/>
  <c r="AL528" i="2"/>
  <c r="AK528" i="2"/>
  <c r="AN528" i="2" s="1"/>
  <c r="AJ528" i="2"/>
  <c r="AI528" i="2"/>
  <c r="AH528" i="2"/>
  <c r="AG528" i="2"/>
  <c r="AF528" i="2"/>
  <c r="AE528" i="2"/>
  <c r="AD528" i="2"/>
  <c r="AL527" i="2"/>
  <c r="AK527" i="2"/>
  <c r="AJ527" i="2"/>
  <c r="AI527" i="2"/>
  <c r="AH527" i="2"/>
  <c r="AG527" i="2"/>
  <c r="AF527" i="2"/>
  <c r="AE527" i="2"/>
  <c r="AD527" i="2"/>
  <c r="AM526" i="2"/>
  <c r="AL526" i="2"/>
  <c r="AK526" i="2"/>
  <c r="AN526" i="2" s="1"/>
  <c r="AJ526" i="2"/>
  <c r="AI526" i="2"/>
  <c r="AH526" i="2"/>
  <c r="AG526" i="2"/>
  <c r="AF526" i="2"/>
  <c r="AE526" i="2"/>
  <c r="AD526" i="2"/>
  <c r="AL525" i="2"/>
  <c r="AK525" i="2"/>
  <c r="AN525" i="2" s="1"/>
  <c r="AJ525" i="2"/>
  <c r="AH525" i="2"/>
  <c r="AI525" i="2" s="1"/>
  <c r="AG525" i="2"/>
  <c r="AF525" i="2"/>
  <c r="AE525" i="2"/>
  <c r="AD525" i="2"/>
  <c r="AN524" i="2"/>
  <c r="AL524" i="2"/>
  <c r="AK524" i="2"/>
  <c r="AJ524" i="2"/>
  <c r="AH524" i="2"/>
  <c r="AI524" i="2" s="1"/>
  <c r="AG524" i="2"/>
  <c r="AF524" i="2"/>
  <c r="AE524" i="2"/>
  <c r="AD524" i="2"/>
  <c r="AL523" i="2"/>
  <c r="AK523" i="2"/>
  <c r="AJ523" i="2"/>
  <c r="AH523" i="2"/>
  <c r="AI523" i="2" s="1"/>
  <c r="AG523" i="2"/>
  <c r="AF523" i="2"/>
  <c r="AE523" i="2"/>
  <c r="AD523" i="2"/>
  <c r="AL522" i="2"/>
  <c r="AK522" i="2"/>
  <c r="AJ522" i="2"/>
  <c r="AI522" i="2"/>
  <c r="AH522" i="2"/>
  <c r="AG522" i="2"/>
  <c r="AF522" i="2"/>
  <c r="AE522" i="2"/>
  <c r="AD522" i="2"/>
  <c r="AL521" i="2"/>
  <c r="AK521" i="2"/>
  <c r="AJ521" i="2"/>
  <c r="AH521" i="2"/>
  <c r="AI521" i="2" s="1"/>
  <c r="AG521" i="2"/>
  <c r="AF521" i="2"/>
  <c r="AE521" i="2"/>
  <c r="AD521" i="2"/>
  <c r="AL520" i="2"/>
  <c r="AK520" i="2"/>
  <c r="AN520" i="2" s="1"/>
  <c r="AJ520" i="2"/>
  <c r="AI520" i="2"/>
  <c r="AH520" i="2"/>
  <c r="AG520" i="2"/>
  <c r="AF520" i="2"/>
  <c r="AE520" i="2"/>
  <c r="AD520" i="2"/>
  <c r="AL519" i="2"/>
  <c r="AN519" i="2" s="1"/>
  <c r="AK519" i="2"/>
  <c r="AM519" i="2" s="1"/>
  <c r="AJ519" i="2"/>
  <c r="AH519" i="2"/>
  <c r="AI519" i="2" s="1"/>
  <c r="AG519" i="2"/>
  <c r="AF519" i="2"/>
  <c r="AE519" i="2"/>
  <c r="AD519" i="2"/>
  <c r="AL518" i="2"/>
  <c r="AM518" i="2" s="1"/>
  <c r="AK518" i="2"/>
  <c r="AJ518" i="2"/>
  <c r="AH518" i="2"/>
  <c r="AI518" i="2" s="1"/>
  <c r="AG518" i="2"/>
  <c r="AF518" i="2"/>
  <c r="AE518" i="2"/>
  <c r="AD518" i="2"/>
  <c r="AL517" i="2"/>
  <c r="AK517" i="2"/>
  <c r="AJ517" i="2"/>
  <c r="AI517" i="2"/>
  <c r="AH517" i="2"/>
  <c r="AG517" i="2"/>
  <c r="AF517" i="2"/>
  <c r="AE517" i="2"/>
  <c r="AD517" i="2"/>
  <c r="AL516" i="2"/>
  <c r="AK516" i="2"/>
  <c r="AJ516" i="2"/>
  <c r="AH516" i="2"/>
  <c r="AI516" i="2" s="1"/>
  <c r="AG516" i="2"/>
  <c r="AF516" i="2"/>
  <c r="AE516" i="2"/>
  <c r="AD516" i="2"/>
  <c r="AL515" i="2"/>
  <c r="AK515" i="2"/>
  <c r="AJ515" i="2"/>
  <c r="AI515" i="2"/>
  <c r="AH515" i="2"/>
  <c r="AG515" i="2"/>
  <c r="AF515" i="2"/>
  <c r="AE515" i="2"/>
  <c r="AD515" i="2"/>
  <c r="AL514" i="2"/>
  <c r="AK514" i="2"/>
  <c r="AJ514" i="2"/>
  <c r="AI514" i="2"/>
  <c r="AH514" i="2"/>
  <c r="AG514" i="2"/>
  <c r="AF514" i="2"/>
  <c r="AE514" i="2"/>
  <c r="AD514" i="2"/>
  <c r="AL513" i="2"/>
  <c r="AK513" i="2"/>
  <c r="AM513" i="2" s="1"/>
  <c r="AJ513" i="2"/>
  <c r="AH513" i="2"/>
  <c r="AI513" i="2" s="1"/>
  <c r="AG513" i="2"/>
  <c r="AF513" i="2"/>
  <c r="AE513" i="2"/>
  <c r="AD513" i="2"/>
  <c r="AL512" i="2"/>
  <c r="AK512" i="2"/>
  <c r="AJ512" i="2"/>
  <c r="AH512" i="2"/>
  <c r="AI512" i="2" s="1"/>
  <c r="AG512" i="2"/>
  <c r="AF512" i="2"/>
  <c r="AE512" i="2"/>
  <c r="AD512" i="2"/>
  <c r="AN511" i="2"/>
  <c r="AL511" i="2"/>
  <c r="AK511" i="2"/>
  <c r="AM511" i="2" s="1"/>
  <c r="AJ511" i="2"/>
  <c r="AI511" i="2"/>
  <c r="AH511" i="2"/>
  <c r="AG511" i="2"/>
  <c r="AF511" i="2"/>
  <c r="AE511" i="2"/>
  <c r="AD511" i="2"/>
  <c r="AL510" i="2"/>
  <c r="AK510" i="2"/>
  <c r="AN510" i="2" s="1"/>
  <c r="AJ510" i="2"/>
  <c r="AH510" i="2"/>
  <c r="AI510" i="2" s="1"/>
  <c r="AG510" i="2"/>
  <c r="AF510" i="2"/>
  <c r="AE510" i="2"/>
  <c r="AD510" i="2"/>
  <c r="AL509" i="2"/>
  <c r="AK509" i="2"/>
  <c r="AJ509" i="2"/>
  <c r="AH509" i="2"/>
  <c r="AI509" i="2" s="1"/>
  <c r="AG509" i="2"/>
  <c r="AF509" i="2"/>
  <c r="AE509" i="2"/>
  <c r="AD509" i="2"/>
  <c r="AL508" i="2"/>
  <c r="AN508" i="2" s="1"/>
  <c r="AK508" i="2"/>
  <c r="AJ508" i="2"/>
  <c r="AH508" i="2"/>
  <c r="AI508" i="2" s="1"/>
  <c r="AG508" i="2"/>
  <c r="AF508" i="2"/>
  <c r="AE508" i="2"/>
  <c r="AD508" i="2"/>
  <c r="AL507" i="2"/>
  <c r="AK507" i="2"/>
  <c r="AJ507" i="2"/>
  <c r="AI507" i="2"/>
  <c r="AH507" i="2"/>
  <c r="AG507" i="2"/>
  <c r="AF507" i="2"/>
  <c r="AE507" i="2"/>
  <c r="AD507" i="2"/>
  <c r="AL506" i="2"/>
  <c r="AN506" i="2" s="1"/>
  <c r="AK506" i="2"/>
  <c r="AJ506" i="2"/>
  <c r="AH506" i="2"/>
  <c r="AI506" i="2" s="1"/>
  <c r="AG506" i="2"/>
  <c r="AF506" i="2"/>
  <c r="AE506" i="2"/>
  <c r="AD506" i="2"/>
  <c r="AL505" i="2"/>
  <c r="AK505" i="2"/>
  <c r="AJ505" i="2"/>
  <c r="AH505" i="2"/>
  <c r="AI505" i="2" s="1"/>
  <c r="AG505" i="2"/>
  <c r="AF505" i="2"/>
  <c r="AE505" i="2"/>
  <c r="AD505" i="2"/>
  <c r="AL504" i="2"/>
  <c r="AK504" i="2"/>
  <c r="AJ504" i="2"/>
  <c r="AH504" i="2"/>
  <c r="AI504" i="2" s="1"/>
  <c r="AG504" i="2"/>
  <c r="AF504" i="2"/>
  <c r="AE504" i="2"/>
  <c r="AD504" i="2"/>
  <c r="AN503" i="2"/>
  <c r="AL503" i="2"/>
  <c r="AK503" i="2"/>
  <c r="AM503" i="2" s="1"/>
  <c r="AJ503" i="2"/>
  <c r="AH503" i="2"/>
  <c r="AI503" i="2" s="1"/>
  <c r="AG503" i="2"/>
  <c r="AF503" i="2"/>
  <c r="AE503" i="2"/>
  <c r="AD503" i="2"/>
  <c r="AL502" i="2"/>
  <c r="AK502" i="2"/>
  <c r="AN502" i="2" s="1"/>
  <c r="AJ502" i="2"/>
  <c r="AH502" i="2"/>
  <c r="AI502" i="2" s="1"/>
  <c r="AG502" i="2"/>
  <c r="AF502" i="2"/>
  <c r="AE502" i="2"/>
  <c r="AD502" i="2"/>
  <c r="AM501" i="2"/>
  <c r="AL501" i="2"/>
  <c r="AK501" i="2"/>
  <c r="AJ501" i="2"/>
  <c r="AH501" i="2"/>
  <c r="AI501" i="2" s="1"/>
  <c r="AG501" i="2"/>
  <c r="AF501" i="2"/>
  <c r="AE501" i="2"/>
  <c r="AD501" i="2"/>
  <c r="AL500" i="2"/>
  <c r="AK500" i="2"/>
  <c r="AJ500" i="2"/>
  <c r="AH500" i="2"/>
  <c r="AI500" i="2" s="1"/>
  <c r="AG500" i="2"/>
  <c r="AF500" i="2"/>
  <c r="AE500" i="2"/>
  <c r="AD500" i="2"/>
  <c r="AL499" i="2"/>
  <c r="AK499" i="2"/>
  <c r="AJ499" i="2"/>
  <c r="AH499" i="2"/>
  <c r="AI499" i="2" s="1"/>
  <c r="AG499" i="2"/>
  <c r="AF499" i="2"/>
  <c r="AE499" i="2"/>
  <c r="AD499" i="2"/>
  <c r="AM498" i="2"/>
  <c r="AL498" i="2"/>
  <c r="AK498" i="2"/>
  <c r="AN498" i="2" s="1"/>
  <c r="AJ498" i="2"/>
  <c r="AI498" i="2"/>
  <c r="AH498" i="2"/>
  <c r="AG498" i="2"/>
  <c r="AF498" i="2"/>
  <c r="AE498" i="2"/>
  <c r="AD498" i="2"/>
  <c r="AL497" i="2"/>
  <c r="AK497" i="2"/>
  <c r="AM497" i="2" s="1"/>
  <c r="AJ497" i="2"/>
  <c r="AH497" i="2"/>
  <c r="AI497" i="2" s="1"/>
  <c r="AG497" i="2"/>
  <c r="AF497" i="2"/>
  <c r="AE497" i="2"/>
  <c r="AD497" i="2"/>
  <c r="AN496" i="2"/>
  <c r="AM496" i="2"/>
  <c r="AL496" i="2"/>
  <c r="AK496" i="2"/>
  <c r="AJ496" i="2"/>
  <c r="AH496" i="2"/>
  <c r="AI496" i="2" s="1"/>
  <c r="AG496" i="2"/>
  <c r="AF496" i="2"/>
  <c r="AE496" i="2"/>
  <c r="AD496" i="2"/>
  <c r="AL495" i="2"/>
  <c r="AK495" i="2"/>
  <c r="AJ495" i="2"/>
  <c r="AH495" i="2"/>
  <c r="AI495" i="2" s="1"/>
  <c r="AG495" i="2"/>
  <c r="AF495" i="2"/>
  <c r="AE495" i="2"/>
  <c r="AD495" i="2"/>
  <c r="AL494" i="2"/>
  <c r="AK494" i="2"/>
  <c r="AJ494" i="2"/>
  <c r="AI494" i="2"/>
  <c r="AH494" i="2"/>
  <c r="AG494" i="2"/>
  <c r="AF494" i="2"/>
  <c r="AE494" i="2"/>
  <c r="AD494" i="2"/>
  <c r="AL493" i="2"/>
  <c r="AK493" i="2"/>
  <c r="AM493" i="2" s="1"/>
  <c r="AJ493" i="2"/>
  <c r="AH493" i="2"/>
  <c r="AI493" i="2" s="1"/>
  <c r="AG493" i="2"/>
  <c r="AF493" i="2"/>
  <c r="AE493" i="2"/>
  <c r="AD493" i="2"/>
  <c r="AL492" i="2"/>
  <c r="AK492" i="2"/>
  <c r="AM492" i="2" s="1"/>
  <c r="AJ492" i="2"/>
  <c r="AH492" i="2"/>
  <c r="AI492" i="2" s="1"/>
  <c r="AG492" i="2"/>
  <c r="AF492" i="2"/>
  <c r="AE492" i="2"/>
  <c r="AD492" i="2"/>
  <c r="AN491" i="2"/>
  <c r="AM491" i="2"/>
  <c r="AL491" i="2"/>
  <c r="AK491" i="2"/>
  <c r="AJ491" i="2"/>
  <c r="AH491" i="2"/>
  <c r="AI491" i="2" s="1"/>
  <c r="AG491" i="2"/>
  <c r="AF491" i="2"/>
  <c r="AE491" i="2"/>
  <c r="AD491" i="2"/>
  <c r="AL490" i="2"/>
  <c r="AK490" i="2"/>
  <c r="AJ490" i="2"/>
  <c r="AH490" i="2"/>
  <c r="AI490" i="2" s="1"/>
  <c r="AG490" i="2"/>
  <c r="AF490" i="2"/>
  <c r="AE490" i="2"/>
  <c r="AD490" i="2"/>
  <c r="AL489" i="2"/>
  <c r="AK489" i="2"/>
  <c r="AJ489" i="2"/>
  <c r="AH489" i="2"/>
  <c r="AI489" i="2" s="1"/>
  <c r="AG489" i="2"/>
  <c r="AF489" i="2"/>
  <c r="AE489" i="2"/>
  <c r="AD489" i="2"/>
  <c r="AL488" i="2"/>
  <c r="AK488" i="2"/>
  <c r="AM488" i="2" s="1"/>
  <c r="AJ488" i="2"/>
  <c r="AH488" i="2"/>
  <c r="AI488" i="2" s="1"/>
  <c r="AG488" i="2"/>
  <c r="AF488" i="2"/>
  <c r="AE488" i="2"/>
  <c r="AD488" i="2"/>
  <c r="AN487" i="2"/>
  <c r="AL487" i="2"/>
  <c r="AK487" i="2"/>
  <c r="AM487" i="2" s="1"/>
  <c r="AJ487" i="2"/>
  <c r="AI487" i="2"/>
  <c r="AH487" i="2"/>
  <c r="AG487" i="2"/>
  <c r="AF487" i="2"/>
  <c r="AE487" i="2"/>
  <c r="AD487" i="2"/>
  <c r="AL486" i="2"/>
  <c r="AK486" i="2"/>
  <c r="AJ486" i="2"/>
  <c r="AH486" i="2"/>
  <c r="AI486" i="2" s="1"/>
  <c r="AG486" i="2"/>
  <c r="AF486" i="2"/>
  <c r="AE486" i="2"/>
  <c r="AD486" i="2"/>
  <c r="AM485" i="2"/>
  <c r="AL485" i="2"/>
  <c r="AK485" i="2"/>
  <c r="AJ485" i="2"/>
  <c r="AI485" i="2"/>
  <c r="AH485" i="2"/>
  <c r="AG485" i="2"/>
  <c r="AF485" i="2"/>
  <c r="AE485" i="2"/>
  <c r="AD485" i="2"/>
  <c r="AL484" i="2"/>
  <c r="AN484" i="2" s="1"/>
  <c r="AK484" i="2"/>
  <c r="AJ484" i="2"/>
  <c r="AH484" i="2"/>
  <c r="AI484" i="2" s="1"/>
  <c r="AG484" i="2"/>
  <c r="AF484" i="2"/>
  <c r="AE484" i="2"/>
  <c r="AD484" i="2"/>
  <c r="AL483" i="2"/>
  <c r="AK483" i="2"/>
  <c r="AJ483" i="2"/>
  <c r="AH483" i="2"/>
  <c r="AI483" i="2" s="1"/>
  <c r="AG483" i="2"/>
  <c r="AF483" i="2"/>
  <c r="AE483" i="2"/>
  <c r="AD483" i="2"/>
  <c r="AL482" i="2"/>
  <c r="AK482" i="2"/>
  <c r="AJ482" i="2"/>
  <c r="AH482" i="2"/>
  <c r="AI482" i="2" s="1"/>
  <c r="AG482" i="2"/>
  <c r="AF482" i="2"/>
  <c r="AE482" i="2"/>
  <c r="AD482" i="2"/>
  <c r="AL481" i="2"/>
  <c r="AK481" i="2"/>
  <c r="AJ481" i="2"/>
  <c r="AH481" i="2"/>
  <c r="AI481" i="2" s="1"/>
  <c r="AG481" i="2"/>
  <c r="AF481" i="2"/>
  <c r="AE481" i="2"/>
  <c r="AD481" i="2"/>
  <c r="AM480" i="2"/>
  <c r="AL480" i="2"/>
  <c r="AK480" i="2"/>
  <c r="AN480" i="2" s="1"/>
  <c r="AJ480" i="2"/>
  <c r="AH480" i="2"/>
  <c r="AI480" i="2" s="1"/>
  <c r="AG480" i="2"/>
  <c r="AF480" i="2"/>
  <c r="AE480" i="2"/>
  <c r="AD480" i="2"/>
  <c r="AL479" i="2"/>
  <c r="AK479" i="2"/>
  <c r="AN479" i="2" s="1"/>
  <c r="AJ479" i="2"/>
  <c r="AH479" i="2"/>
  <c r="AI479" i="2" s="1"/>
  <c r="AG479" i="2"/>
  <c r="AF479" i="2"/>
  <c r="AE479" i="2"/>
  <c r="AD479" i="2"/>
  <c r="AL478" i="2"/>
  <c r="AK478" i="2"/>
  <c r="AJ478" i="2"/>
  <c r="AH478" i="2"/>
  <c r="AI478" i="2" s="1"/>
  <c r="AG478" i="2"/>
  <c r="AF478" i="2"/>
  <c r="AE478" i="2"/>
  <c r="AD478" i="2"/>
  <c r="AN477" i="2"/>
  <c r="AL477" i="2"/>
  <c r="AK477" i="2"/>
  <c r="AM477" i="2" s="1"/>
  <c r="AJ477" i="2"/>
  <c r="AI477" i="2"/>
  <c r="AH477" i="2"/>
  <c r="AG477" i="2"/>
  <c r="AF477" i="2"/>
  <c r="AE477" i="2"/>
  <c r="AD477" i="2"/>
  <c r="AL476" i="2"/>
  <c r="AK476" i="2"/>
  <c r="AJ476" i="2"/>
  <c r="AH476" i="2"/>
  <c r="AI476" i="2" s="1"/>
  <c r="AG476" i="2"/>
  <c r="AF476" i="2"/>
  <c r="AE476" i="2"/>
  <c r="AD476" i="2"/>
  <c r="AL475" i="2"/>
  <c r="AK475" i="2"/>
  <c r="AJ475" i="2"/>
  <c r="AH475" i="2"/>
  <c r="AI475" i="2" s="1"/>
  <c r="AG475" i="2"/>
  <c r="AF475" i="2"/>
  <c r="AE475" i="2"/>
  <c r="AD475" i="2"/>
  <c r="AL474" i="2"/>
  <c r="AK474" i="2"/>
  <c r="AJ474" i="2"/>
  <c r="AH474" i="2"/>
  <c r="AI474" i="2" s="1"/>
  <c r="AG474" i="2"/>
  <c r="AF474" i="2"/>
  <c r="AE474" i="2"/>
  <c r="AD474" i="2"/>
  <c r="AM473" i="2"/>
  <c r="AL473" i="2"/>
  <c r="AK473" i="2"/>
  <c r="AN473" i="2" s="1"/>
  <c r="AJ473" i="2"/>
  <c r="AH473" i="2"/>
  <c r="AI473" i="2" s="1"/>
  <c r="AG473" i="2"/>
  <c r="AF473" i="2"/>
  <c r="AE473" i="2"/>
  <c r="AD473" i="2"/>
  <c r="AL472" i="2"/>
  <c r="AK472" i="2"/>
  <c r="AM472" i="2" s="1"/>
  <c r="AJ472" i="2"/>
  <c r="AH472" i="2"/>
  <c r="AI472" i="2" s="1"/>
  <c r="AG472" i="2"/>
  <c r="AF472" i="2"/>
  <c r="AE472" i="2"/>
  <c r="AD472" i="2"/>
  <c r="AL471" i="2"/>
  <c r="AM471" i="2" s="1"/>
  <c r="AK471" i="2"/>
  <c r="AJ471" i="2"/>
  <c r="AH471" i="2"/>
  <c r="AI471" i="2" s="1"/>
  <c r="AG471" i="2"/>
  <c r="AF471" i="2"/>
  <c r="AE471" i="2"/>
  <c r="AD471" i="2"/>
  <c r="AL470" i="2"/>
  <c r="AK470" i="2"/>
  <c r="AJ470" i="2"/>
  <c r="AH470" i="2"/>
  <c r="AI470" i="2" s="1"/>
  <c r="AG470" i="2"/>
  <c r="AF470" i="2"/>
  <c r="AE470" i="2"/>
  <c r="AD470" i="2"/>
  <c r="AL469" i="2"/>
  <c r="AK469" i="2"/>
  <c r="AJ469" i="2"/>
  <c r="AH469" i="2"/>
  <c r="AI469" i="2" s="1"/>
  <c r="AG469" i="2"/>
  <c r="AF469" i="2"/>
  <c r="AE469" i="2"/>
  <c r="AD469" i="2"/>
  <c r="AL468" i="2"/>
  <c r="AK468" i="2"/>
  <c r="AJ468" i="2"/>
  <c r="AH468" i="2"/>
  <c r="AI468" i="2" s="1"/>
  <c r="AG468" i="2"/>
  <c r="AF468" i="2"/>
  <c r="AE468" i="2"/>
  <c r="AD468" i="2"/>
  <c r="AL467" i="2"/>
  <c r="AK467" i="2"/>
  <c r="AJ467" i="2"/>
  <c r="AI467" i="2"/>
  <c r="AH467" i="2"/>
  <c r="AG467" i="2"/>
  <c r="AF467" i="2"/>
  <c r="AE467" i="2"/>
  <c r="AD467" i="2"/>
  <c r="AL466" i="2"/>
  <c r="AK466" i="2"/>
  <c r="AJ466" i="2"/>
  <c r="AH466" i="2"/>
  <c r="AI466" i="2" s="1"/>
  <c r="AG466" i="2"/>
  <c r="AF466" i="2"/>
  <c r="AE466" i="2"/>
  <c r="AD466" i="2"/>
  <c r="AL465" i="2"/>
  <c r="AN465" i="2" s="1"/>
  <c r="AK465" i="2"/>
  <c r="AJ465" i="2"/>
  <c r="AH465" i="2"/>
  <c r="AI465" i="2" s="1"/>
  <c r="AG465" i="2"/>
  <c r="AF465" i="2"/>
  <c r="AE465" i="2"/>
  <c r="AD465" i="2"/>
  <c r="AN464" i="2"/>
  <c r="AL464" i="2"/>
  <c r="AK464" i="2"/>
  <c r="AM464" i="2" s="1"/>
  <c r="AJ464" i="2"/>
  <c r="AH464" i="2"/>
  <c r="AI464" i="2" s="1"/>
  <c r="AG464" i="2"/>
  <c r="AF464" i="2"/>
  <c r="AE464" i="2"/>
  <c r="AD464" i="2"/>
  <c r="AL463" i="2"/>
  <c r="AK463" i="2"/>
  <c r="AN463" i="2" s="1"/>
  <c r="AJ463" i="2"/>
  <c r="AI463" i="2"/>
  <c r="AH463" i="2"/>
  <c r="AG463" i="2"/>
  <c r="AF463" i="2"/>
  <c r="AE463" i="2"/>
  <c r="AD463" i="2"/>
  <c r="AL462" i="2"/>
  <c r="AK462" i="2"/>
  <c r="AJ462" i="2"/>
  <c r="AH462" i="2"/>
  <c r="AI462" i="2" s="1"/>
  <c r="AG462" i="2"/>
  <c r="AF462" i="2"/>
  <c r="AE462" i="2"/>
  <c r="AD462" i="2"/>
  <c r="AN461" i="2"/>
  <c r="AL461" i="2"/>
  <c r="AK461" i="2"/>
  <c r="AM461" i="2" s="1"/>
  <c r="AJ461" i="2"/>
  <c r="AH461" i="2"/>
  <c r="AI461" i="2" s="1"/>
  <c r="AG461" i="2"/>
  <c r="AF461" i="2"/>
  <c r="AE461" i="2"/>
  <c r="AD461" i="2"/>
  <c r="AL460" i="2"/>
  <c r="AK460" i="2"/>
  <c r="AJ460" i="2"/>
  <c r="AH460" i="2"/>
  <c r="AI460" i="2" s="1"/>
  <c r="AG460" i="2"/>
  <c r="AF460" i="2"/>
  <c r="AE460" i="2"/>
  <c r="AD460" i="2"/>
  <c r="AL459" i="2"/>
  <c r="AK459" i="2"/>
  <c r="AJ459" i="2"/>
  <c r="AH459" i="2"/>
  <c r="AI459" i="2" s="1"/>
  <c r="AG459" i="2"/>
  <c r="AF459" i="2"/>
  <c r="AE459" i="2"/>
  <c r="AD459" i="2"/>
  <c r="AL458" i="2"/>
  <c r="AK458" i="2"/>
  <c r="AJ458" i="2"/>
  <c r="AH458" i="2"/>
  <c r="AI458" i="2" s="1"/>
  <c r="AG458" i="2"/>
  <c r="AF458" i="2"/>
  <c r="AE458" i="2"/>
  <c r="AD458" i="2"/>
  <c r="AN457" i="2"/>
  <c r="AL457" i="2"/>
  <c r="AK457" i="2"/>
  <c r="AM457" i="2" s="1"/>
  <c r="AJ457" i="2"/>
  <c r="AH457" i="2"/>
  <c r="AI457" i="2" s="1"/>
  <c r="AG457" i="2"/>
  <c r="AF457" i="2"/>
  <c r="AE457" i="2"/>
  <c r="AD457" i="2"/>
  <c r="AL456" i="2"/>
  <c r="AK456" i="2"/>
  <c r="AM456" i="2" s="1"/>
  <c r="AJ456" i="2"/>
  <c r="AH456" i="2"/>
  <c r="AI456" i="2" s="1"/>
  <c r="AG456" i="2"/>
  <c r="AF456" i="2"/>
  <c r="AE456" i="2"/>
  <c r="AD456" i="2"/>
  <c r="AL455" i="2"/>
  <c r="AK455" i="2"/>
  <c r="AJ455" i="2"/>
  <c r="AH455" i="2"/>
  <c r="AI455" i="2" s="1"/>
  <c r="AG455" i="2"/>
  <c r="AF455" i="2"/>
  <c r="AE455" i="2"/>
  <c r="AD455" i="2"/>
  <c r="AL454" i="2"/>
  <c r="AK454" i="2"/>
  <c r="AJ454" i="2"/>
  <c r="AI454" i="2"/>
  <c r="AH454" i="2"/>
  <c r="AG454" i="2"/>
  <c r="AF454" i="2"/>
  <c r="AE454" i="2"/>
  <c r="AD454" i="2"/>
  <c r="AL453" i="2"/>
  <c r="AN453" i="2" s="1"/>
  <c r="AK453" i="2"/>
  <c r="AJ453" i="2"/>
  <c r="AH453" i="2"/>
  <c r="AI453" i="2" s="1"/>
  <c r="AG453" i="2"/>
  <c r="AF453" i="2"/>
  <c r="AE453" i="2"/>
  <c r="AD453" i="2"/>
  <c r="AL452" i="2"/>
  <c r="AK452" i="2"/>
  <c r="AJ452" i="2"/>
  <c r="AH452" i="2"/>
  <c r="AI452" i="2" s="1"/>
  <c r="AG452" i="2"/>
  <c r="AF452" i="2"/>
  <c r="AE452" i="2"/>
  <c r="AD452" i="2"/>
  <c r="AL451" i="2"/>
  <c r="AK451" i="2"/>
  <c r="AN451" i="2" s="1"/>
  <c r="AJ451" i="2"/>
  <c r="AH451" i="2"/>
  <c r="AI451" i="2" s="1"/>
  <c r="AG451" i="2"/>
  <c r="AF451" i="2"/>
  <c r="AE451" i="2"/>
  <c r="AD451" i="2"/>
  <c r="AL450" i="2"/>
  <c r="AK450" i="2"/>
  <c r="AJ450" i="2"/>
  <c r="AH450" i="2"/>
  <c r="AI450" i="2" s="1"/>
  <c r="AG450" i="2"/>
  <c r="AF450" i="2"/>
  <c r="AE450" i="2"/>
  <c r="AD450" i="2"/>
  <c r="AL449" i="2"/>
  <c r="AK449" i="2"/>
  <c r="AJ449" i="2"/>
  <c r="AH449" i="2"/>
  <c r="AI449" i="2" s="1"/>
  <c r="AG449" i="2"/>
  <c r="AF449" i="2"/>
  <c r="AE449" i="2"/>
  <c r="AD449" i="2"/>
  <c r="AM448" i="2"/>
  <c r="AL448" i="2"/>
  <c r="AK448" i="2"/>
  <c r="AN448" i="2" s="1"/>
  <c r="AJ448" i="2"/>
  <c r="AH448" i="2"/>
  <c r="AI448" i="2" s="1"/>
  <c r="AG448" i="2"/>
  <c r="AF448" i="2"/>
  <c r="AE448" i="2"/>
  <c r="AD448" i="2"/>
  <c r="AL447" i="2"/>
  <c r="AK447" i="2"/>
  <c r="AN447" i="2" s="1"/>
  <c r="AJ447" i="2"/>
  <c r="AH447" i="2"/>
  <c r="AI447" i="2" s="1"/>
  <c r="AG447" i="2"/>
  <c r="AF447" i="2"/>
  <c r="AE447" i="2"/>
  <c r="AD447" i="2"/>
  <c r="AL446" i="2"/>
  <c r="AK446" i="2"/>
  <c r="AJ446" i="2"/>
  <c r="AH446" i="2"/>
  <c r="AI446" i="2" s="1"/>
  <c r="AG446" i="2"/>
  <c r="AF446" i="2"/>
  <c r="AE446" i="2"/>
  <c r="AD446" i="2"/>
  <c r="AN445" i="2"/>
  <c r="AL445" i="2"/>
  <c r="AK445" i="2"/>
  <c r="AM445" i="2" s="1"/>
  <c r="AJ445" i="2"/>
  <c r="AI445" i="2"/>
  <c r="AH445" i="2"/>
  <c r="AG445" i="2"/>
  <c r="AF445" i="2"/>
  <c r="AE445" i="2"/>
  <c r="AD445" i="2"/>
  <c r="AL444" i="2"/>
  <c r="AK444" i="2"/>
  <c r="AJ444" i="2"/>
  <c r="AH444" i="2"/>
  <c r="AI444" i="2" s="1"/>
  <c r="AG444" i="2"/>
  <c r="AF444" i="2"/>
  <c r="AE444" i="2"/>
  <c r="AD444" i="2"/>
  <c r="AL443" i="2"/>
  <c r="AK443" i="2"/>
  <c r="AJ443" i="2"/>
  <c r="AH443" i="2"/>
  <c r="AI443" i="2" s="1"/>
  <c r="AG443" i="2"/>
  <c r="AF443" i="2"/>
  <c r="AE443" i="2"/>
  <c r="AD443" i="2"/>
  <c r="AL442" i="2"/>
  <c r="AK442" i="2"/>
  <c r="AJ442" i="2"/>
  <c r="AH442" i="2"/>
  <c r="AI442" i="2" s="1"/>
  <c r="AG442" i="2"/>
  <c r="AF442" i="2"/>
  <c r="AE442" i="2"/>
  <c r="AD442" i="2"/>
  <c r="AN441" i="2"/>
  <c r="AL441" i="2"/>
  <c r="AK441" i="2"/>
  <c r="AM441" i="2" s="1"/>
  <c r="AJ441" i="2"/>
  <c r="AH441" i="2"/>
  <c r="AI441" i="2" s="1"/>
  <c r="AG441" i="2"/>
  <c r="AF441" i="2"/>
  <c r="AE441" i="2"/>
  <c r="AD441" i="2"/>
  <c r="AL440" i="2"/>
  <c r="AK440" i="2"/>
  <c r="AM440" i="2" s="1"/>
  <c r="AJ440" i="2"/>
  <c r="AH440" i="2"/>
  <c r="AI440" i="2" s="1"/>
  <c r="AG440" i="2"/>
  <c r="AF440" i="2"/>
  <c r="AE440" i="2"/>
  <c r="AD440" i="2"/>
  <c r="AL439" i="2"/>
  <c r="AM439" i="2" s="1"/>
  <c r="AK439" i="2"/>
  <c r="AJ439" i="2"/>
  <c r="AH439" i="2"/>
  <c r="AI439" i="2" s="1"/>
  <c r="AG439" i="2"/>
  <c r="AF439" i="2"/>
  <c r="AE439" i="2"/>
  <c r="AD439" i="2"/>
  <c r="AL438" i="2"/>
  <c r="AK438" i="2"/>
  <c r="AJ438" i="2"/>
  <c r="AH438" i="2"/>
  <c r="AI438" i="2" s="1"/>
  <c r="AG438" i="2"/>
  <c r="AF438" i="2"/>
  <c r="AE438" i="2"/>
  <c r="AD438" i="2"/>
  <c r="AL437" i="2"/>
  <c r="AK437" i="2"/>
  <c r="AJ437" i="2"/>
  <c r="AH437" i="2"/>
  <c r="AI437" i="2" s="1"/>
  <c r="AG437" i="2"/>
  <c r="AF437" i="2"/>
  <c r="AE437" i="2"/>
  <c r="AD437" i="2"/>
  <c r="AL436" i="2"/>
  <c r="AK436" i="2"/>
  <c r="AJ436" i="2"/>
  <c r="AH436" i="2"/>
  <c r="AI436" i="2" s="1"/>
  <c r="AG436" i="2"/>
  <c r="AF436" i="2"/>
  <c r="AE436" i="2"/>
  <c r="AD436" i="2"/>
  <c r="AL435" i="2"/>
  <c r="AK435" i="2"/>
  <c r="AJ435" i="2"/>
  <c r="AI435" i="2"/>
  <c r="AH435" i="2"/>
  <c r="AG435" i="2"/>
  <c r="AF435" i="2"/>
  <c r="AE435" i="2"/>
  <c r="AD435" i="2"/>
  <c r="AL434" i="2"/>
  <c r="AK434" i="2"/>
  <c r="AJ434" i="2"/>
  <c r="AH434" i="2"/>
  <c r="AI434" i="2" s="1"/>
  <c r="AG434" i="2"/>
  <c r="AF434" i="2"/>
  <c r="AE434" i="2"/>
  <c r="AD434" i="2"/>
  <c r="AL433" i="2"/>
  <c r="AN433" i="2" s="1"/>
  <c r="AK433" i="2"/>
  <c r="AJ433" i="2"/>
  <c r="AH433" i="2"/>
  <c r="AI433" i="2" s="1"/>
  <c r="AG433" i="2"/>
  <c r="AF433" i="2"/>
  <c r="AE433" i="2"/>
  <c r="AD433" i="2"/>
  <c r="AN432" i="2"/>
  <c r="AL432" i="2"/>
  <c r="AK432" i="2"/>
  <c r="AM432" i="2" s="1"/>
  <c r="AJ432" i="2"/>
  <c r="AH432" i="2"/>
  <c r="AI432" i="2" s="1"/>
  <c r="AG432" i="2"/>
  <c r="AF432" i="2"/>
  <c r="AE432" i="2"/>
  <c r="AD432" i="2"/>
  <c r="AL431" i="2"/>
  <c r="AK431" i="2"/>
  <c r="AN431" i="2" s="1"/>
  <c r="AJ431" i="2"/>
  <c r="AI431" i="2"/>
  <c r="AH431" i="2"/>
  <c r="AG431" i="2"/>
  <c r="AF431" i="2"/>
  <c r="AE431" i="2"/>
  <c r="AD431" i="2"/>
  <c r="AL430" i="2"/>
  <c r="AK430" i="2"/>
  <c r="AJ430" i="2"/>
  <c r="AH430" i="2"/>
  <c r="AI430" i="2" s="1"/>
  <c r="AG430" i="2"/>
  <c r="AF430" i="2"/>
  <c r="AE430" i="2"/>
  <c r="AD430" i="2"/>
  <c r="AL429" i="2"/>
  <c r="AK429" i="2"/>
  <c r="AN429" i="2" s="1"/>
  <c r="AJ429" i="2"/>
  <c r="AH429" i="2"/>
  <c r="AI429" i="2" s="1"/>
  <c r="AG429" i="2"/>
  <c r="AF429" i="2"/>
  <c r="AE429" i="2"/>
  <c r="AD429" i="2"/>
  <c r="AL428" i="2"/>
  <c r="AK428" i="2"/>
  <c r="AJ428" i="2"/>
  <c r="AH428" i="2"/>
  <c r="AI428" i="2" s="1"/>
  <c r="AG428" i="2"/>
  <c r="AF428" i="2"/>
  <c r="AE428" i="2"/>
  <c r="AD428" i="2"/>
  <c r="AL427" i="2"/>
  <c r="AM427" i="2" s="1"/>
  <c r="AK427" i="2"/>
  <c r="AJ427" i="2"/>
  <c r="AH427" i="2"/>
  <c r="AI427" i="2" s="1"/>
  <c r="AG427" i="2"/>
  <c r="AF427" i="2"/>
  <c r="AE427" i="2"/>
  <c r="AD427" i="2"/>
  <c r="AL426" i="2"/>
  <c r="AK426" i="2"/>
  <c r="AJ426" i="2"/>
  <c r="AH426" i="2"/>
  <c r="AI426" i="2" s="1"/>
  <c r="AG426" i="2"/>
  <c r="AF426" i="2"/>
  <c r="AE426" i="2"/>
  <c r="AD426" i="2"/>
  <c r="AL425" i="2"/>
  <c r="AK425" i="2"/>
  <c r="AJ425" i="2"/>
  <c r="AH425" i="2"/>
  <c r="AI425" i="2" s="1"/>
  <c r="AG425" i="2"/>
  <c r="AF425" i="2"/>
  <c r="AE425" i="2"/>
  <c r="AD425" i="2"/>
  <c r="AM424" i="2"/>
  <c r="AL424" i="2"/>
  <c r="AN424" i="2" s="1"/>
  <c r="AK424" i="2"/>
  <c r="AJ424" i="2"/>
  <c r="AH424" i="2"/>
  <c r="AI424" i="2" s="1"/>
  <c r="AG424" i="2"/>
  <c r="AF424" i="2"/>
  <c r="AE424" i="2"/>
  <c r="AD424" i="2"/>
  <c r="AL423" i="2"/>
  <c r="AK423" i="2"/>
  <c r="AM423" i="2" s="1"/>
  <c r="AJ423" i="2"/>
  <c r="AH423" i="2"/>
  <c r="AI423" i="2" s="1"/>
  <c r="AG423" i="2"/>
  <c r="AF423" i="2"/>
  <c r="AE423" i="2"/>
  <c r="AD423" i="2"/>
  <c r="AL422" i="2"/>
  <c r="AK422" i="2"/>
  <c r="AJ422" i="2"/>
  <c r="AH422" i="2"/>
  <c r="AI422" i="2" s="1"/>
  <c r="AG422" i="2"/>
  <c r="AF422" i="2"/>
  <c r="AE422" i="2"/>
  <c r="AD422" i="2"/>
  <c r="AN421" i="2"/>
  <c r="AL421" i="2"/>
  <c r="AK421" i="2"/>
  <c r="AM421" i="2" s="1"/>
  <c r="AJ421" i="2"/>
  <c r="AH421" i="2"/>
  <c r="AI421" i="2" s="1"/>
  <c r="AG421" i="2"/>
  <c r="AF421" i="2"/>
  <c r="AE421" i="2"/>
  <c r="AD421" i="2"/>
  <c r="AL420" i="2"/>
  <c r="AK420" i="2"/>
  <c r="AJ420" i="2"/>
  <c r="AH420" i="2"/>
  <c r="AI420" i="2" s="1"/>
  <c r="AG420" i="2"/>
  <c r="AF420" i="2"/>
  <c r="AE420" i="2"/>
  <c r="AD420" i="2"/>
  <c r="AL419" i="2"/>
  <c r="AK419" i="2"/>
  <c r="AN419" i="2" s="1"/>
  <c r="AJ419" i="2"/>
  <c r="AI419" i="2"/>
  <c r="AH419" i="2"/>
  <c r="AG419" i="2"/>
  <c r="AF419" i="2"/>
  <c r="AE419" i="2"/>
  <c r="AD419" i="2"/>
  <c r="AL418" i="2"/>
  <c r="AK418" i="2"/>
  <c r="AJ418" i="2"/>
  <c r="AH418" i="2"/>
  <c r="AI418" i="2" s="1"/>
  <c r="AG418" i="2"/>
  <c r="AF418" i="2"/>
  <c r="AE418" i="2"/>
  <c r="AD418" i="2"/>
  <c r="AL417" i="2"/>
  <c r="AM417" i="2" s="1"/>
  <c r="AK417" i="2"/>
  <c r="AN417" i="2" s="1"/>
  <c r="AJ417" i="2"/>
  <c r="AH417" i="2"/>
  <c r="AI417" i="2" s="1"/>
  <c r="AG417" i="2"/>
  <c r="AF417" i="2"/>
  <c r="AE417" i="2"/>
  <c r="AD417" i="2"/>
  <c r="AL416" i="2"/>
  <c r="AK416" i="2"/>
  <c r="AM416" i="2" s="1"/>
  <c r="AJ416" i="2"/>
  <c r="AH416" i="2"/>
  <c r="AI416" i="2" s="1"/>
  <c r="AG416" i="2"/>
  <c r="AF416" i="2"/>
  <c r="AE416" i="2"/>
  <c r="AD416" i="2"/>
  <c r="AL415" i="2"/>
  <c r="AK415" i="2"/>
  <c r="AJ415" i="2"/>
  <c r="AH415" i="2"/>
  <c r="AI415" i="2" s="1"/>
  <c r="AG415" i="2"/>
  <c r="AF415" i="2"/>
  <c r="AE415" i="2"/>
  <c r="AD415" i="2"/>
  <c r="AL414" i="2"/>
  <c r="AK414" i="2"/>
  <c r="AJ414" i="2"/>
  <c r="AH414" i="2"/>
  <c r="AI414" i="2" s="1"/>
  <c r="AG414" i="2"/>
  <c r="AF414" i="2"/>
  <c r="AE414" i="2"/>
  <c r="AD414" i="2"/>
  <c r="AN413" i="2"/>
  <c r="AL413" i="2"/>
  <c r="AK413" i="2"/>
  <c r="AM413" i="2" s="1"/>
  <c r="AJ413" i="2"/>
  <c r="AI413" i="2"/>
  <c r="AH413" i="2"/>
  <c r="AG413" i="2"/>
  <c r="AF413" i="2"/>
  <c r="AE413" i="2"/>
  <c r="AD413" i="2"/>
  <c r="AL412" i="2"/>
  <c r="AK412" i="2"/>
  <c r="AJ412" i="2"/>
  <c r="AH412" i="2"/>
  <c r="AI412" i="2" s="1"/>
  <c r="AG412" i="2"/>
  <c r="AF412" i="2"/>
  <c r="AE412" i="2"/>
  <c r="AD412" i="2"/>
  <c r="AL411" i="2"/>
  <c r="AK411" i="2"/>
  <c r="AJ411" i="2"/>
  <c r="AI411" i="2"/>
  <c r="AH411" i="2"/>
  <c r="AG411" i="2"/>
  <c r="AF411" i="2"/>
  <c r="AE411" i="2"/>
  <c r="AD411" i="2"/>
  <c r="AL410" i="2"/>
  <c r="AK410" i="2"/>
  <c r="AJ410" i="2"/>
  <c r="AI410" i="2"/>
  <c r="AH410" i="2"/>
  <c r="AG410" i="2"/>
  <c r="AF410" i="2"/>
  <c r="AE410" i="2"/>
  <c r="AD410" i="2"/>
  <c r="AL409" i="2"/>
  <c r="AN409" i="2" s="1"/>
  <c r="AK409" i="2"/>
  <c r="AJ409" i="2"/>
  <c r="AH409" i="2"/>
  <c r="AI409" i="2" s="1"/>
  <c r="AG409" i="2"/>
  <c r="AF409" i="2"/>
  <c r="AE409" i="2"/>
  <c r="AD409" i="2"/>
  <c r="AL408" i="2"/>
  <c r="AN408" i="2" s="1"/>
  <c r="AK408" i="2"/>
  <c r="AJ408" i="2"/>
  <c r="AH408" i="2"/>
  <c r="AI408" i="2" s="1"/>
  <c r="AG408" i="2"/>
  <c r="AF408" i="2"/>
  <c r="AE408" i="2"/>
  <c r="AD408" i="2"/>
  <c r="AM407" i="2"/>
  <c r="AL407" i="2"/>
  <c r="AK407" i="2"/>
  <c r="AJ407" i="2"/>
  <c r="AH407" i="2"/>
  <c r="AI407" i="2" s="1"/>
  <c r="AG407" i="2"/>
  <c r="AF407" i="2"/>
  <c r="AE407" i="2"/>
  <c r="AD407" i="2"/>
  <c r="AL406" i="2"/>
  <c r="AK406" i="2"/>
  <c r="AJ406" i="2"/>
  <c r="AI406" i="2"/>
  <c r="AH406" i="2"/>
  <c r="AG406" i="2"/>
  <c r="AF406" i="2"/>
  <c r="AE406" i="2"/>
  <c r="AD406" i="2"/>
  <c r="AL405" i="2"/>
  <c r="AM405" i="2" s="1"/>
  <c r="AK405" i="2"/>
  <c r="AN405" i="2" s="1"/>
  <c r="AJ405" i="2"/>
  <c r="AH405" i="2"/>
  <c r="AI405" i="2" s="1"/>
  <c r="AG405" i="2"/>
  <c r="AF405" i="2"/>
  <c r="AE405" i="2"/>
  <c r="AD405" i="2"/>
  <c r="AL404" i="2"/>
  <c r="AK404" i="2"/>
  <c r="AM404" i="2" s="1"/>
  <c r="AJ404" i="2"/>
  <c r="AH404" i="2"/>
  <c r="AI404" i="2" s="1"/>
  <c r="AG404" i="2"/>
  <c r="AF404" i="2"/>
  <c r="AE404" i="2"/>
  <c r="AD404" i="2"/>
  <c r="AL403" i="2"/>
  <c r="AK403" i="2"/>
  <c r="AN403" i="2" s="1"/>
  <c r="AJ403" i="2"/>
  <c r="AH403" i="2"/>
  <c r="AI403" i="2" s="1"/>
  <c r="AG403" i="2"/>
  <c r="AF403" i="2"/>
  <c r="AE403" i="2"/>
  <c r="AD403" i="2"/>
  <c r="AL402" i="2"/>
  <c r="AK402" i="2"/>
  <c r="AJ402" i="2"/>
  <c r="AH402" i="2"/>
  <c r="AI402" i="2" s="1"/>
  <c r="AG402" i="2"/>
  <c r="AF402" i="2"/>
  <c r="AE402" i="2"/>
  <c r="AD402" i="2"/>
  <c r="AN401" i="2"/>
  <c r="AM401" i="2"/>
  <c r="AL401" i="2"/>
  <c r="AK401" i="2"/>
  <c r="AJ401" i="2"/>
  <c r="AH401" i="2"/>
  <c r="AI401" i="2" s="1"/>
  <c r="AG401" i="2"/>
  <c r="AF401" i="2"/>
  <c r="AE401" i="2"/>
  <c r="AD401" i="2"/>
  <c r="AL400" i="2"/>
  <c r="AK400" i="2"/>
  <c r="AJ400" i="2"/>
  <c r="AH400" i="2"/>
  <c r="AI400" i="2" s="1"/>
  <c r="AG400" i="2"/>
  <c r="AF400" i="2"/>
  <c r="AE400" i="2"/>
  <c r="AD400" i="2"/>
  <c r="AL399" i="2"/>
  <c r="AK399" i="2"/>
  <c r="AJ399" i="2"/>
  <c r="AH399" i="2"/>
  <c r="AI399" i="2" s="1"/>
  <c r="AG399" i="2"/>
  <c r="AF399" i="2"/>
  <c r="AE399" i="2"/>
  <c r="AD399" i="2"/>
  <c r="AL398" i="2"/>
  <c r="AK398" i="2"/>
  <c r="AJ398" i="2"/>
  <c r="AH398" i="2"/>
  <c r="AI398" i="2" s="1"/>
  <c r="AG398" i="2"/>
  <c r="AF398" i="2"/>
  <c r="AE398" i="2"/>
  <c r="AD398" i="2"/>
  <c r="AL397" i="2"/>
  <c r="AK397" i="2"/>
  <c r="AM397" i="2" s="1"/>
  <c r="AJ397" i="2"/>
  <c r="AH397" i="2"/>
  <c r="AI397" i="2" s="1"/>
  <c r="AG397" i="2"/>
  <c r="AF397" i="2"/>
  <c r="AE397" i="2"/>
  <c r="AD397" i="2"/>
  <c r="AL396" i="2"/>
  <c r="AN396" i="2" s="1"/>
  <c r="AK396" i="2"/>
  <c r="AJ396" i="2"/>
  <c r="AH396" i="2"/>
  <c r="AI396" i="2" s="1"/>
  <c r="AG396" i="2"/>
  <c r="AF396" i="2"/>
  <c r="AE396" i="2"/>
  <c r="AD396" i="2"/>
  <c r="AM395" i="2"/>
  <c r="AL395" i="2"/>
  <c r="AK395" i="2"/>
  <c r="AJ395" i="2"/>
  <c r="AH395" i="2"/>
  <c r="AI395" i="2" s="1"/>
  <c r="AG395" i="2"/>
  <c r="AF395" i="2"/>
  <c r="AE395" i="2"/>
  <c r="AD395" i="2"/>
  <c r="AL394" i="2"/>
  <c r="AK394" i="2"/>
  <c r="AJ394" i="2"/>
  <c r="AI394" i="2"/>
  <c r="AH394" i="2"/>
  <c r="AG394" i="2"/>
  <c r="AF394" i="2"/>
  <c r="AE394" i="2"/>
  <c r="AD394" i="2"/>
  <c r="AM393" i="2"/>
  <c r="AL393" i="2"/>
  <c r="AK393" i="2"/>
  <c r="AN393" i="2" s="1"/>
  <c r="AJ393" i="2"/>
  <c r="AH393" i="2"/>
  <c r="AI393" i="2" s="1"/>
  <c r="AG393" i="2"/>
  <c r="AF393" i="2"/>
  <c r="AE393" i="2"/>
  <c r="AD393" i="2"/>
  <c r="AL392" i="2"/>
  <c r="AN392" i="2" s="1"/>
  <c r="AK392" i="2"/>
  <c r="AJ392" i="2"/>
  <c r="AH392" i="2"/>
  <c r="AI392" i="2" s="1"/>
  <c r="AG392" i="2"/>
  <c r="AF392" i="2"/>
  <c r="AE392" i="2"/>
  <c r="AD392" i="2"/>
  <c r="AL391" i="2"/>
  <c r="AK391" i="2"/>
  <c r="AM391" i="2" s="1"/>
  <c r="AJ391" i="2"/>
  <c r="AH391" i="2"/>
  <c r="AI391" i="2" s="1"/>
  <c r="AG391" i="2"/>
  <c r="AF391" i="2"/>
  <c r="AE391" i="2"/>
  <c r="AD391" i="2"/>
  <c r="AL390" i="2"/>
  <c r="AK390" i="2"/>
  <c r="AJ390" i="2"/>
  <c r="AH390" i="2"/>
  <c r="AI390" i="2" s="1"/>
  <c r="AG390" i="2"/>
  <c r="AF390" i="2"/>
  <c r="AE390" i="2"/>
  <c r="AD390" i="2"/>
  <c r="AN389" i="2"/>
  <c r="AL389" i="2"/>
  <c r="AK389" i="2"/>
  <c r="AM389" i="2" s="1"/>
  <c r="AJ389" i="2"/>
  <c r="AH389" i="2"/>
  <c r="AI389" i="2" s="1"/>
  <c r="AG389" i="2"/>
  <c r="AF389" i="2"/>
  <c r="AE389" i="2"/>
  <c r="AD389" i="2"/>
  <c r="AL388" i="2"/>
  <c r="AK388" i="2"/>
  <c r="AM388" i="2" s="1"/>
  <c r="AJ388" i="2"/>
  <c r="AH388" i="2"/>
  <c r="AI388" i="2" s="1"/>
  <c r="AG388" i="2"/>
  <c r="AF388" i="2"/>
  <c r="AE388" i="2"/>
  <c r="AD388" i="2"/>
  <c r="AL387" i="2"/>
  <c r="AK387" i="2"/>
  <c r="AN387" i="2" s="1"/>
  <c r="AJ387" i="2"/>
  <c r="AH387" i="2"/>
  <c r="AI387" i="2" s="1"/>
  <c r="AG387" i="2"/>
  <c r="AF387" i="2"/>
  <c r="AE387" i="2"/>
  <c r="AD387" i="2"/>
  <c r="AL386" i="2"/>
  <c r="AK386" i="2"/>
  <c r="AJ386" i="2"/>
  <c r="AH386" i="2"/>
  <c r="AI386" i="2" s="1"/>
  <c r="AG386" i="2"/>
  <c r="AF386" i="2"/>
  <c r="AE386" i="2"/>
  <c r="AD386" i="2"/>
  <c r="AN385" i="2"/>
  <c r="AL385" i="2"/>
  <c r="AK385" i="2"/>
  <c r="AM385" i="2" s="1"/>
  <c r="AJ385" i="2"/>
  <c r="AH385" i="2"/>
  <c r="AI385" i="2" s="1"/>
  <c r="AG385" i="2"/>
  <c r="AF385" i="2"/>
  <c r="AE385" i="2"/>
  <c r="AD385" i="2"/>
  <c r="AL384" i="2"/>
  <c r="AN384" i="2" s="1"/>
  <c r="AK384" i="2"/>
  <c r="AJ384" i="2"/>
  <c r="AH384" i="2"/>
  <c r="AI384" i="2" s="1"/>
  <c r="AG384" i="2"/>
  <c r="AF384" i="2"/>
  <c r="AE384" i="2"/>
  <c r="AD384" i="2"/>
  <c r="AL383" i="2"/>
  <c r="AK383" i="2"/>
  <c r="AJ383" i="2"/>
  <c r="AH383" i="2"/>
  <c r="AI383" i="2" s="1"/>
  <c r="AG383" i="2"/>
  <c r="AF383" i="2"/>
  <c r="AE383" i="2"/>
  <c r="AD383" i="2"/>
  <c r="AL382" i="2"/>
  <c r="AK382" i="2"/>
  <c r="AJ382" i="2"/>
  <c r="AH382" i="2"/>
  <c r="AI382" i="2" s="1"/>
  <c r="AG382" i="2"/>
  <c r="AF382" i="2"/>
  <c r="AE382" i="2"/>
  <c r="AD382" i="2"/>
  <c r="AL381" i="2"/>
  <c r="AK381" i="2"/>
  <c r="AJ381" i="2"/>
  <c r="AH381" i="2"/>
  <c r="AI381" i="2" s="1"/>
  <c r="AG381" i="2"/>
  <c r="AF381" i="2"/>
  <c r="AE381" i="2"/>
  <c r="AD381" i="2"/>
  <c r="AL380" i="2"/>
  <c r="AK380" i="2"/>
  <c r="AJ380" i="2"/>
  <c r="AH380" i="2"/>
  <c r="AI380" i="2" s="1"/>
  <c r="AG380" i="2"/>
  <c r="AF380" i="2"/>
  <c r="AE380" i="2"/>
  <c r="AD380" i="2"/>
  <c r="AL379" i="2"/>
  <c r="AK379" i="2"/>
  <c r="AJ379" i="2"/>
  <c r="AH379" i="2"/>
  <c r="AI379" i="2" s="1"/>
  <c r="AG379" i="2"/>
  <c r="AF379" i="2"/>
  <c r="AE379" i="2"/>
  <c r="AD379" i="2"/>
  <c r="AL378" i="2"/>
  <c r="AK378" i="2"/>
  <c r="AJ378" i="2"/>
  <c r="AH378" i="2"/>
  <c r="AI378" i="2" s="1"/>
  <c r="AG378" i="2"/>
  <c r="AF378" i="2"/>
  <c r="AE378" i="2"/>
  <c r="AD378" i="2"/>
  <c r="AL377" i="2"/>
  <c r="AK377" i="2"/>
  <c r="AJ377" i="2"/>
  <c r="AH377" i="2"/>
  <c r="AI377" i="2" s="1"/>
  <c r="AG377" i="2"/>
  <c r="AF377" i="2"/>
  <c r="AE377" i="2"/>
  <c r="AD377" i="2"/>
  <c r="AL376" i="2"/>
  <c r="AK376" i="2"/>
  <c r="AJ376" i="2"/>
  <c r="AH376" i="2"/>
  <c r="AI376" i="2" s="1"/>
  <c r="AG376" i="2"/>
  <c r="AF376" i="2"/>
  <c r="AE376" i="2"/>
  <c r="AD376" i="2"/>
  <c r="AM375" i="2"/>
  <c r="AL375" i="2"/>
  <c r="AK375" i="2"/>
  <c r="AJ375" i="2"/>
  <c r="AH375" i="2"/>
  <c r="AI375" i="2" s="1"/>
  <c r="AG375" i="2"/>
  <c r="AF375" i="2"/>
  <c r="AE375" i="2"/>
  <c r="AD375" i="2"/>
  <c r="AL374" i="2"/>
  <c r="AK374" i="2"/>
  <c r="AJ374" i="2"/>
  <c r="AH374" i="2"/>
  <c r="AI374" i="2" s="1"/>
  <c r="AG374" i="2"/>
  <c r="AF374" i="2"/>
  <c r="AE374" i="2"/>
  <c r="AD374" i="2"/>
  <c r="AL373" i="2"/>
  <c r="AK373" i="2"/>
  <c r="AJ373" i="2"/>
  <c r="AH373" i="2"/>
  <c r="AI373" i="2" s="1"/>
  <c r="AG373" i="2"/>
  <c r="AF373" i="2"/>
  <c r="AE373" i="2"/>
  <c r="AD373" i="2"/>
  <c r="AL372" i="2"/>
  <c r="AN372" i="2" s="1"/>
  <c r="AK372" i="2"/>
  <c r="AJ372" i="2"/>
  <c r="AH372" i="2"/>
  <c r="AI372" i="2" s="1"/>
  <c r="AG372" i="2"/>
  <c r="AF372" i="2"/>
  <c r="AE372" i="2"/>
  <c r="AD372" i="2"/>
  <c r="AL371" i="2"/>
  <c r="AK371" i="2"/>
  <c r="AJ371" i="2"/>
  <c r="AI371" i="2"/>
  <c r="AH371" i="2"/>
  <c r="AG371" i="2"/>
  <c r="AF371" i="2"/>
  <c r="AE371" i="2"/>
  <c r="AD371" i="2"/>
  <c r="AL370" i="2"/>
  <c r="AK370" i="2"/>
  <c r="AJ370" i="2"/>
  <c r="AH370" i="2"/>
  <c r="AI370" i="2" s="1"/>
  <c r="AG370" i="2"/>
  <c r="AF370" i="2"/>
  <c r="AE370" i="2"/>
  <c r="AD370" i="2"/>
  <c r="AL369" i="2"/>
  <c r="AN369" i="2" s="1"/>
  <c r="AK369" i="2"/>
  <c r="AJ369" i="2"/>
  <c r="AH369" i="2"/>
  <c r="AI369" i="2" s="1"/>
  <c r="AG369" i="2"/>
  <c r="AF369" i="2"/>
  <c r="AE369" i="2"/>
  <c r="AD369" i="2"/>
  <c r="AN368" i="2"/>
  <c r="AL368" i="2"/>
  <c r="AK368" i="2"/>
  <c r="AM368" i="2" s="1"/>
  <c r="AJ368" i="2"/>
  <c r="AH368" i="2"/>
  <c r="AI368" i="2" s="1"/>
  <c r="AG368" i="2"/>
  <c r="AF368" i="2"/>
  <c r="AE368" i="2"/>
  <c r="AD368" i="2"/>
  <c r="AL367" i="2"/>
  <c r="AK367" i="2"/>
  <c r="AJ367" i="2"/>
  <c r="AI367" i="2"/>
  <c r="AH367" i="2"/>
  <c r="AG367" i="2"/>
  <c r="AF367" i="2"/>
  <c r="AE367" i="2"/>
  <c r="AD367" i="2"/>
  <c r="AL366" i="2"/>
  <c r="AK366" i="2"/>
  <c r="AJ366" i="2"/>
  <c r="AH366" i="2"/>
  <c r="AI366" i="2" s="1"/>
  <c r="AG366" i="2"/>
  <c r="AF366" i="2"/>
  <c r="AE366" i="2"/>
  <c r="AD366" i="2"/>
  <c r="AL365" i="2"/>
  <c r="AM365" i="2" s="1"/>
  <c r="AK365" i="2"/>
  <c r="AJ365" i="2"/>
  <c r="AI365" i="2"/>
  <c r="AH365" i="2"/>
  <c r="AG365" i="2"/>
  <c r="AF365" i="2"/>
  <c r="AE365" i="2"/>
  <c r="AD365" i="2"/>
  <c r="AL364" i="2"/>
  <c r="AK364" i="2"/>
  <c r="AJ364" i="2"/>
  <c r="AH364" i="2"/>
  <c r="AI364" i="2" s="1"/>
  <c r="AG364" i="2"/>
  <c r="AF364" i="2"/>
  <c r="AE364" i="2"/>
  <c r="AD364" i="2"/>
  <c r="AL363" i="2"/>
  <c r="AK363" i="2"/>
  <c r="AJ363" i="2"/>
  <c r="AH363" i="2"/>
  <c r="AI363" i="2" s="1"/>
  <c r="AG363" i="2"/>
  <c r="AF363" i="2"/>
  <c r="AE363" i="2"/>
  <c r="AD363" i="2"/>
  <c r="AL362" i="2"/>
  <c r="AK362" i="2"/>
  <c r="AJ362" i="2"/>
  <c r="AH362" i="2"/>
  <c r="AI362" i="2" s="1"/>
  <c r="AG362" i="2"/>
  <c r="AF362" i="2"/>
  <c r="AE362" i="2"/>
  <c r="AD362" i="2"/>
  <c r="AN361" i="2"/>
  <c r="AM361" i="2"/>
  <c r="AL361" i="2"/>
  <c r="AK361" i="2"/>
  <c r="AJ361" i="2"/>
  <c r="AH361" i="2"/>
  <c r="AI361" i="2" s="1"/>
  <c r="AG361" i="2"/>
  <c r="AF361" i="2"/>
  <c r="AE361" i="2"/>
  <c r="AD361" i="2"/>
  <c r="AL360" i="2"/>
  <c r="AK360" i="2"/>
  <c r="AJ360" i="2"/>
  <c r="AH360" i="2"/>
  <c r="AI360" i="2" s="1"/>
  <c r="AG360" i="2"/>
  <c r="AF360" i="2"/>
  <c r="AE360" i="2"/>
  <c r="AD360" i="2"/>
  <c r="AL359" i="2"/>
  <c r="AK359" i="2"/>
  <c r="AJ359" i="2"/>
  <c r="AH359" i="2"/>
  <c r="AI359" i="2" s="1"/>
  <c r="AG359" i="2"/>
  <c r="AF359" i="2"/>
  <c r="AE359" i="2"/>
  <c r="AD359" i="2"/>
  <c r="AL358" i="2"/>
  <c r="AK358" i="2"/>
  <c r="AJ358" i="2"/>
  <c r="AH358" i="2"/>
  <c r="AI358" i="2" s="1"/>
  <c r="AG358" i="2"/>
  <c r="AF358" i="2"/>
  <c r="AE358" i="2"/>
  <c r="AD358" i="2"/>
  <c r="AL357" i="2"/>
  <c r="AK357" i="2"/>
  <c r="AM357" i="2" s="1"/>
  <c r="AJ357" i="2"/>
  <c r="AH357" i="2"/>
  <c r="AI357" i="2" s="1"/>
  <c r="AG357" i="2"/>
  <c r="AF357" i="2"/>
  <c r="AE357" i="2"/>
  <c r="AD357" i="2"/>
  <c r="AN356" i="2"/>
  <c r="AM356" i="2"/>
  <c r="AL356" i="2"/>
  <c r="AK356" i="2"/>
  <c r="AJ356" i="2"/>
  <c r="AH356" i="2"/>
  <c r="AI356" i="2" s="1"/>
  <c r="AG356" i="2"/>
  <c r="AF356" i="2"/>
  <c r="AE356" i="2"/>
  <c r="AD356" i="2"/>
  <c r="AL355" i="2"/>
  <c r="AK355" i="2"/>
  <c r="AJ355" i="2"/>
  <c r="AI355" i="2"/>
  <c r="AH355" i="2"/>
  <c r="AG355" i="2"/>
  <c r="AF355" i="2"/>
  <c r="AE355" i="2"/>
  <c r="AD355" i="2"/>
  <c r="AL354" i="2"/>
  <c r="AK354" i="2"/>
  <c r="AJ354" i="2"/>
  <c r="AI354" i="2"/>
  <c r="AH354" i="2"/>
  <c r="AG354" i="2"/>
  <c r="AF354" i="2"/>
  <c r="AE354" i="2"/>
  <c r="AD354" i="2"/>
  <c r="AL353" i="2"/>
  <c r="AM353" i="2" s="1"/>
  <c r="AK353" i="2"/>
  <c r="AJ353" i="2"/>
  <c r="AI353" i="2"/>
  <c r="AH353" i="2"/>
  <c r="AG353" i="2"/>
  <c r="AF353" i="2"/>
  <c r="AE353" i="2"/>
  <c r="AD353" i="2"/>
  <c r="AL352" i="2"/>
  <c r="AN352" i="2" s="1"/>
  <c r="AK352" i="2"/>
  <c r="AJ352" i="2"/>
  <c r="AH352" i="2"/>
  <c r="AI352" i="2" s="1"/>
  <c r="AG352" i="2"/>
  <c r="AF352" i="2"/>
  <c r="AE352" i="2"/>
  <c r="AD352" i="2"/>
  <c r="AL351" i="2"/>
  <c r="AK351" i="2"/>
  <c r="AJ351" i="2"/>
  <c r="AH351" i="2"/>
  <c r="AI351" i="2" s="1"/>
  <c r="AG351" i="2"/>
  <c r="AF351" i="2"/>
  <c r="AE351" i="2"/>
  <c r="AD351" i="2"/>
  <c r="AL350" i="2"/>
  <c r="AK350" i="2"/>
  <c r="AJ350" i="2"/>
  <c r="AI350" i="2"/>
  <c r="AH350" i="2"/>
  <c r="AG350" i="2"/>
  <c r="AF350" i="2"/>
  <c r="AE350" i="2"/>
  <c r="AD350" i="2"/>
  <c r="AL349" i="2"/>
  <c r="AK349" i="2"/>
  <c r="AJ349" i="2"/>
  <c r="AH349" i="2"/>
  <c r="AI349" i="2" s="1"/>
  <c r="AG349" i="2"/>
  <c r="AF349" i="2"/>
  <c r="AE349" i="2"/>
  <c r="AD349" i="2"/>
  <c r="AL348" i="2"/>
  <c r="AK348" i="2"/>
  <c r="AM348" i="2" s="1"/>
  <c r="AJ348" i="2"/>
  <c r="AH348" i="2"/>
  <c r="AI348" i="2" s="1"/>
  <c r="AG348" i="2"/>
  <c r="AF348" i="2"/>
  <c r="AE348" i="2"/>
  <c r="AD348" i="2"/>
  <c r="AL347" i="2"/>
  <c r="AK347" i="2"/>
  <c r="AJ347" i="2"/>
  <c r="AH347" i="2"/>
  <c r="AI347" i="2" s="1"/>
  <c r="AG347" i="2"/>
  <c r="AF347" i="2"/>
  <c r="AE347" i="2"/>
  <c r="AD347" i="2"/>
  <c r="AL346" i="2"/>
  <c r="AK346" i="2"/>
  <c r="AJ346" i="2"/>
  <c r="AH346" i="2"/>
  <c r="AI346" i="2" s="1"/>
  <c r="AG346" i="2"/>
  <c r="AF346" i="2"/>
  <c r="AE346" i="2"/>
  <c r="AD346" i="2"/>
  <c r="AL345" i="2"/>
  <c r="AK345" i="2"/>
  <c r="AJ345" i="2"/>
  <c r="AH345" i="2"/>
  <c r="AI345" i="2" s="1"/>
  <c r="AG345" i="2"/>
  <c r="AF345" i="2"/>
  <c r="AE345" i="2"/>
  <c r="AD345" i="2"/>
  <c r="AM344" i="2"/>
  <c r="AL344" i="2"/>
  <c r="AN344" i="2" s="1"/>
  <c r="AK344" i="2"/>
  <c r="AJ344" i="2"/>
  <c r="AH344" i="2"/>
  <c r="AI344" i="2" s="1"/>
  <c r="AG344" i="2"/>
  <c r="AF344" i="2"/>
  <c r="AE344" i="2"/>
  <c r="AD344" i="2"/>
  <c r="AL343" i="2"/>
  <c r="AK343" i="2"/>
  <c r="AN343" i="2" s="1"/>
  <c r="AJ343" i="2"/>
  <c r="AH343" i="2"/>
  <c r="AI343" i="2" s="1"/>
  <c r="AG343" i="2"/>
  <c r="AF343" i="2"/>
  <c r="AE343" i="2"/>
  <c r="AD343" i="2"/>
  <c r="AL342" i="2"/>
  <c r="AK342" i="2"/>
  <c r="AJ342" i="2"/>
  <c r="AH342" i="2"/>
  <c r="AI342" i="2" s="1"/>
  <c r="AG342" i="2"/>
  <c r="AF342" i="2"/>
  <c r="AE342" i="2"/>
  <c r="AD342" i="2"/>
  <c r="AN341" i="2"/>
  <c r="AL341" i="2"/>
  <c r="AK341" i="2"/>
  <c r="AM341" i="2" s="1"/>
  <c r="AJ341" i="2"/>
  <c r="AI341" i="2"/>
  <c r="AH341" i="2"/>
  <c r="AG341" i="2"/>
  <c r="AF341" i="2"/>
  <c r="AE341" i="2"/>
  <c r="AD341" i="2"/>
  <c r="AL340" i="2"/>
  <c r="AK340" i="2"/>
  <c r="AM340" i="2" s="1"/>
  <c r="AJ340" i="2"/>
  <c r="AH340" i="2"/>
  <c r="AI340" i="2" s="1"/>
  <c r="AG340" i="2"/>
  <c r="AF340" i="2"/>
  <c r="AE340" i="2"/>
  <c r="AD340" i="2"/>
  <c r="AL339" i="2"/>
  <c r="AK339" i="2"/>
  <c r="AJ339" i="2"/>
  <c r="AH339" i="2"/>
  <c r="AI339" i="2" s="1"/>
  <c r="AG339" i="2"/>
  <c r="AF339" i="2"/>
  <c r="AE339" i="2"/>
  <c r="AD339" i="2"/>
  <c r="AL338" i="2"/>
  <c r="AK338" i="2"/>
  <c r="AJ338" i="2"/>
  <c r="AI338" i="2"/>
  <c r="AH338" i="2"/>
  <c r="AG338" i="2"/>
  <c r="AF338" i="2"/>
  <c r="AE338" i="2"/>
  <c r="AD338" i="2"/>
  <c r="AL337" i="2"/>
  <c r="AN337" i="2" s="1"/>
  <c r="AK337" i="2"/>
  <c r="AJ337" i="2"/>
  <c r="AH337" i="2"/>
  <c r="AI337" i="2" s="1"/>
  <c r="AG337" i="2"/>
  <c r="AF337" i="2"/>
  <c r="AE337" i="2"/>
  <c r="AD337" i="2"/>
  <c r="AN336" i="2"/>
  <c r="AL336" i="2"/>
  <c r="AK336" i="2"/>
  <c r="AM336" i="2" s="1"/>
  <c r="AJ336" i="2"/>
  <c r="AH336" i="2"/>
  <c r="AI336" i="2" s="1"/>
  <c r="AG336" i="2"/>
  <c r="AF336" i="2"/>
  <c r="AE336" i="2"/>
  <c r="AD336" i="2"/>
  <c r="AL335" i="2"/>
  <c r="AK335" i="2"/>
  <c r="AJ335" i="2"/>
  <c r="AI335" i="2"/>
  <c r="AH335" i="2"/>
  <c r="AG335" i="2"/>
  <c r="AF335" i="2"/>
  <c r="AE335" i="2"/>
  <c r="AD335" i="2"/>
  <c r="AL334" i="2"/>
  <c r="AK334" i="2"/>
  <c r="AJ334" i="2"/>
  <c r="AH334" i="2"/>
  <c r="AI334" i="2" s="1"/>
  <c r="AG334" i="2"/>
  <c r="AF334" i="2"/>
  <c r="AE334" i="2"/>
  <c r="AD334" i="2"/>
  <c r="AL333" i="2"/>
  <c r="AM333" i="2" s="1"/>
  <c r="AK333" i="2"/>
  <c r="AN333" i="2" s="1"/>
  <c r="AJ333" i="2"/>
  <c r="AI333" i="2"/>
  <c r="AH333" i="2"/>
  <c r="AG333" i="2"/>
  <c r="AF333" i="2"/>
  <c r="AE333" i="2"/>
  <c r="AD333" i="2"/>
  <c r="AL332" i="2"/>
  <c r="AN332" i="2" s="1"/>
  <c r="AK332" i="2"/>
  <c r="AJ332" i="2"/>
  <c r="AH332" i="2"/>
  <c r="AI332" i="2" s="1"/>
  <c r="AG332" i="2"/>
  <c r="AF332" i="2"/>
  <c r="AE332" i="2"/>
  <c r="AD332" i="2"/>
  <c r="AL331" i="2"/>
  <c r="AM331" i="2" s="1"/>
  <c r="AK331" i="2"/>
  <c r="AJ331" i="2"/>
  <c r="AH331" i="2"/>
  <c r="AI331" i="2" s="1"/>
  <c r="AG331" i="2"/>
  <c r="AF331" i="2"/>
  <c r="AE331" i="2"/>
  <c r="AD331" i="2"/>
  <c r="AL330" i="2"/>
  <c r="AK330" i="2"/>
  <c r="AJ330" i="2"/>
  <c r="AH330" i="2"/>
  <c r="AI330" i="2" s="1"/>
  <c r="AG330" i="2"/>
  <c r="AF330" i="2"/>
  <c r="AE330" i="2"/>
  <c r="AD330" i="2"/>
  <c r="AN329" i="2"/>
  <c r="AL329" i="2"/>
  <c r="AK329" i="2"/>
  <c r="AM329" i="2" s="1"/>
  <c r="AJ329" i="2"/>
  <c r="AI329" i="2"/>
  <c r="AH329" i="2"/>
  <c r="AG329" i="2"/>
  <c r="AF329" i="2"/>
  <c r="AE329" i="2"/>
  <c r="AD329" i="2"/>
  <c r="AL328" i="2"/>
  <c r="AK328" i="2"/>
  <c r="AJ328" i="2"/>
  <c r="AH328" i="2"/>
  <c r="AI328" i="2" s="1"/>
  <c r="AG328" i="2"/>
  <c r="AF328" i="2"/>
  <c r="AE328" i="2"/>
  <c r="AD328" i="2"/>
  <c r="AL327" i="2"/>
  <c r="AK327" i="2"/>
  <c r="AJ327" i="2"/>
  <c r="AH327" i="2"/>
  <c r="AI327" i="2" s="1"/>
  <c r="AG327" i="2"/>
  <c r="AF327" i="2"/>
  <c r="AE327" i="2"/>
  <c r="AD327" i="2"/>
  <c r="AL326" i="2"/>
  <c r="AK326" i="2"/>
  <c r="AJ326" i="2"/>
  <c r="AI326" i="2"/>
  <c r="AH326" i="2"/>
  <c r="AG326" i="2"/>
  <c r="AF326" i="2"/>
  <c r="AE326" i="2"/>
  <c r="AD326" i="2"/>
  <c r="AL325" i="2"/>
  <c r="AN325" i="2" s="1"/>
  <c r="AK325" i="2"/>
  <c r="AJ325" i="2"/>
  <c r="AH325" i="2"/>
  <c r="AI325" i="2" s="1"/>
  <c r="AG325" i="2"/>
  <c r="AF325" i="2"/>
  <c r="AE325" i="2"/>
  <c r="AD325" i="2"/>
  <c r="AN324" i="2"/>
  <c r="AL324" i="2"/>
  <c r="AK324" i="2"/>
  <c r="AM324" i="2" s="1"/>
  <c r="AJ324" i="2"/>
  <c r="AH324" i="2"/>
  <c r="AI324" i="2" s="1"/>
  <c r="AG324" i="2"/>
  <c r="AF324" i="2"/>
  <c r="AE324" i="2"/>
  <c r="AD324" i="2"/>
  <c r="AL323" i="2"/>
  <c r="AK323" i="2"/>
  <c r="AJ323" i="2"/>
  <c r="AI323" i="2"/>
  <c r="AH323" i="2"/>
  <c r="AG323" i="2"/>
  <c r="AF323" i="2"/>
  <c r="AE323" i="2"/>
  <c r="AD323" i="2"/>
  <c r="AL322" i="2"/>
  <c r="AK322" i="2"/>
  <c r="AJ322" i="2"/>
  <c r="AH322" i="2"/>
  <c r="AI322" i="2" s="1"/>
  <c r="AG322" i="2"/>
  <c r="AF322" i="2"/>
  <c r="AE322" i="2"/>
  <c r="AD322" i="2"/>
  <c r="AN321" i="2"/>
  <c r="AM321" i="2"/>
  <c r="AL321" i="2"/>
  <c r="AK321" i="2"/>
  <c r="AJ321" i="2"/>
  <c r="AH321" i="2"/>
  <c r="AI321" i="2" s="1"/>
  <c r="AG321" i="2"/>
  <c r="AF321" i="2"/>
  <c r="AE321" i="2"/>
  <c r="AD321" i="2"/>
  <c r="AN320" i="2"/>
  <c r="AM320" i="2"/>
  <c r="AL320" i="2"/>
  <c r="AK320" i="2"/>
  <c r="AJ320" i="2"/>
  <c r="AH320" i="2"/>
  <c r="AI320" i="2" s="1"/>
  <c r="AG320" i="2"/>
  <c r="AF320" i="2"/>
  <c r="AE320" i="2"/>
  <c r="AD320" i="2"/>
  <c r="AL319" i="2"/>
  <c r="AK319" i="2"/>
  <c r="AN319" i="2" s="1"/>
  <c r="AJ319" i="2"/>
  <c r="AH319" i="2"/>
  <c r="AI319" i="2" s="1"/>
  <c r="AG319" i="2"/>
  <c r="AF319" i="2"/>
  <c r="AE319" i="2"/>
  <c r="AD319" i="2"/>
  <c r="AL318" i="2"/>
  <c r="AK318" i="2"/>
  <c r="AJ318" i="2"/>
  <c r="AH318" i="2"/>
  <c r="AI318" i="2" s="1"/>
  <c r="AG318" i="2"/>
  <c r="AF318" i="2"/>
  <c r="AE318" i="2"/>
  <c r="AD318" i="2"/>
  <c r="AL317" i="2"/>
  <c r="AK317" i="2"/>
  <c r="AJ317" i="2"/>
  <c r="AH317" i="2"/>
  <c r="AI317" i="2" s="1"/>
  <c r="AG317" i="2"/>
  <c r="AF317" i="2"/>
  <c r="AE317" i="2"/>
  <c r="AD317" i="2"/>
  <c r="AL316" i="2"/>
  <c r="AK316" i="2"/>
  <c r="AM316" i="2" s="1"/>
  <c r="AJ316" i="2"/>
  <c r="AH316" i="2"/>
  <c r="AI316" i="2" s="1"/>
  <c r="AG316" i="2"/>
  <c r="AF316" i="2"/>
  <c r="AE316" i="2"/>
  <c r="AD316" i="2"/>
  <c r="AL315" i="2"/>
  <c r="AM315" i="2" s="1"/>
  <c r="AK315" i="2"/>
  <c r="AJ315" i="2"/>
  <c r="AH315" i="2"/>
  <c r="AI315" i="2" s="1"/>
  <c r="AG315" i="2"/>
  <c r="AF315" i="2"/>
  <c r="AE315" i="2"/>
  <c r="AD315" i="2"/>
  <c r="AL314" i="2"/>
  <c r="AK314" i="2"/>
  <c r="AJ314" i="2"/>
  <c r="AH314" i="2"/>
  <c r="AI314" i="2" s="1"/>
  <c r="AG314" i="2"/>
  <c r="AF314" i="2"/>
  <c r="AE314" i="2"/>
  <c r="AD314" i="2"/>
  <c r="AL313" i="2"/>
  <c r="AK313" i="2"/>
  <c r="AJ313" i="2"/>
  <c r="AH313" i="2"/>
  <c r="AI313" i="2" s="1"/>
  <c r="AG313" i="2"/>
  <c r="AF313" i="2"/>
  <c r="AE313" i="2"/>
  <c r="AD313" i="2"/>
  <c r="AL312" i="2"/>
  <c r="AK312" i="2"/>
  <c r="AJ312" i="2"/>
  <c r="AH312" i="2"/>
  <c r="AI312" i="2" s="1"/>
  <c r="AG312" i="2"/>
  <c r="AF312" i="2"/>
  <c r="AE312" i="2"/>
  <c r="AD312" i="2"/>
  <c r="AL311" i="2"/>
  <c r="AK311" i="2"/>
  <c r="AJ311" i="2"/>
  <c r="AH311" i="2"/>
  <c r="AI311" i="2" s="1"/>
  <c r="AG311" i="2"/>
  <c r="AF311" i="2"/>
  <c r="AE311" i="2"/>
  <c r="AD311" i="2"/>
  <c r="AL310" i="2"/>
  <c r="AK310" i="2"/>
  <c r="AJ310" i="2"/>
  <c r="AH310" i="2"/>
  <c r="AI310" i="2" s="1"/>
  <c r="AG310" i="2"/>
  <c r="AF310" i="2"/>
  <c r="AE310" i="2"/>
  <c r="AD310" i="2"/>
  <c r="AL309" i="2"/>
  <c r="AK309" i="2"/>
  <c r="AM309" i="2" s="1"/>
  <c r="AJ309" i="2"/>
  <c r="AH309" i="2"/>
  <c r="AI309" i="2" s="1"/>
  <c r="AG309" i="2"/>
  <c r="AF309" i="2"/>
  <c r="AE309" i="2"/>
  <c r="AD309" i="2"/>
  <c r="AN308" i="2"/>
  <c r="AL308" i="2"/>
  <c r="AK308" i="2"/>
  <c r="AM308" i="2" s="1"/>
  <c r="AJ308" i="2"/>
  <c r="AH308" i="2"/>
  <c r="AI308" i="2" s="1"/>
  <c r="AG308" i="2"/>
  <c r="AF308" i="2"/>
  <c r="AE308" i="2"/>
  <c r="AD308" i="2"/>
  <c r="AL307" i="2"/>
  <c r="AK307" i="2"/>
  <c r="AJ307" i="2"/>
  <c r="AI307" i="2"/>
  <c r="AH307" i="2"/>
  <c r="AG307" i="2"/>
  <c r="AF307" i="2"/>
  <c r="AE307" i="2"/>
  <c r="AD307" i="2"/>
  <c r="AL306" i="2"/>
  <c r="AK306" i="2"/>
  <c r="AJ306" i="2"/>
  <c r="AH306" i="2"/>
  <c r="AI306" i="2" s="1"/>
  <c r="AG306" i="2"/>
  <c r="AF306" i="2"/>
  <c r="AE306" i="2"/>
  <c r="AD306" i="2"/>
  <c r="AL305" i="2"/>
  <c r="AM305" i="2" s="1"/>
  <c r="AK305" i="2"/>
  <c r="AN305" i="2" s="1"/>
  <c r="AJ305" i="2"/>
  <c r="AI305" i="2"/>
  <c r="AH305" i="2"/>
  <c r="AG305" i="2"/>
  <c r="AF305" i="2"/>
  <c r="AE305" i="2"/>
  <c r="AD305" i="2"/>
  <c r="AL304" i="2"/>
  <c r="AK304" i="2"/>
  <c r="AJ304" i="2"/>
  <c r="AH304" i="2"/>
  <c r="AI304" i="2" s="1"/>
  <c r="AG304" i="2"/>
  <c r="AF304" i="2"/>
  <c r="AE304" i="2"/>
  <c r="AD304" i="2"/>
  <c r="AM303" i="2"/>
  <c r="AL303" i="2"/>
  <c r="AK303" i="2"/>
  <c r="AJ303" i="2"/>
  <c r="AH303" i="2"/>
  <c r="AI303" i="2" s="1"/>
  <c r="AG303" i="2"/>
  <c r="AF303" i="2"/>
  <c r="AE303" i="2"/>
  <c r="AD303" i="2"/>
  <c r="AL302" i="2"/>
  <c r="AK302" i="2"/>
  <c r="AJ302" i="2"/>
  <c r="AH302" i="2"/>
  <c r="AI302" i="2" s="1"/>
  <c r="AG302" i="2"/>
  <c r="AF302" i="2"/>
  <c r="AE302" i="2"/>
  <c r="AD302" i="2"/>
  <c r="AL301" i="2"/>
  <c r="AK301" i="2"/>
  <c r="AJ301" i="2"/>
  <c r="AH301" i="2"/>
  <c r="AI301" i="2" s="1"/>
  <c r="AG301" i="2"/>
  <c r="AF301" i="2"/>
  <c r="AE301" i="2"/>
  <c r="AD301" i="2"/>
  <c r="AL300" i="2"/>
  <c r="AK300" i="2"/>
  <c r="AJ300" i="2"/>
  <c r="AH300" i="2"/>
  <c r="AI300" i="2" s="1"/>
  <c r="AG300" i="2"/>
  <c r="AF300" i="2"/>
  <c r="AE300" i="2"/>
  <c r="AD300" i="2"/>
  <c r="AM299" i="2"/>
  <c r="AL299" i="2"/>
  <c r="AK299" i="2"/>
  <c r="AJ299" i="2"/>
  <c r="AI299" i="2"/>
  <c r="AH299" i="2"/>
  <c r="AG299" i="2"/>
  <c r="AF299" i="2"/>
  <c r="AE299" i="2"/>
  <c r="AD299" i="2"/>
  <c r="AL298" i="2"/>
  <c r="AK298" i="2"/>
  <c r="AJ298" i="2"/>
  <c r="AH298" i="2"/>
  <c r="AI298" i="2" s="1"/>
  <c r="AG298" i="2"/>
  <c r="AF298" i="2"/>
  <c r="AE298" i="2"/>
  <c r="AD298" i="2"/>
  <c r="AN297" i="2"/>
  <c r="AM297" i="2"/>
  <c r="AL297" i="2"/>
  <c r="AK297" i="2"/>
  <c r="AJ297" i="2"/>
  <c r="AH297" i="2"/>
  <c r="AI297" i="2" s="1"/>
  <c r="AG297" i="2"/>
  <c r="AF297" i="2"/>
  <c r="AE297" i="2"/>
  <c r="AD297" i="2"/>
  <c r="AL296" i="2"/>
  <c r="AK296" i="2"/>
  <c r="AN296" i="2" s="1"/>
  <c r="AJ296" i="2"/>
  <c r="AH296" i="2"/>
  <c r="AI296" i="2" s="1"/>
  <c r="AG296" i="2"/>
  <c r="AF296" i="2"/>
  <c r="AE296" i="2"/>
  <c r="AD296" i="2"/>
  <c r="AL295" i="2"/>
  <c r="AK295" i="2"/>
  <c r="AJ295" i="2"/>
  <c r="AH295" i="2"/>
  <c r="AI295" i="2" s="1"/>
  <c r="AG295" i="2"/>
  <c r="AF295" i="2"/>
  <c r="AE295" i="2"/>
  <c r="AD295" i="2"/>
  <c r="AL294" i="2"/>
  <c r="AK294" i="2"/>
  <c r="AJ294" i="2"/>
  <c r="AH294" i="2"/>
  <c r="AI294" i="2" s="1"/>
  <c r="AG294" i="2"/>
  <c r="AF294" i="2"/>
  <c r="AE294" i="2"/>
  <c r="AD294" i="2"/>
  <c r="AL293" i="2"/>
  <c r="AK293" i="2"/>
  <c r="AJ293" i="2"/>
  <c r="AI293" i="2"/>
  <c r="AH293" i="2"/>
  <c r="AG293" i="2"/>
  <c r="AF293" i="2"/>
  <c r="AE293" i="2"/>
  <c r="AD293" i="2"/>
  <c r="AL292" i="2"/>
  <c r="AK292" i="2"/>
  <c r="AM292" i="2" s="1"/>
  <c r="AJ292" i="2"/>
  <c r="AH292" i="2"/>
  <c r="AI292" i="2" s="1"/>
  <c r="AG292" i="2"/>
  <c r="AF292" i="2"/>
  <c r="AE292" i="2"/>
  <c r="AD292" i="2"/>
  <c r="AL291" i="2"/>
  <c r="AK291" i="2"/>
  <c r="AJ291" i="2"/>
  <c r="AH291" i="2"/>
  <c r="AI291" i="2" s="1"/>
  <c r="AG291" i="2"/>
  <c r="AF291" i="2"/>
  <c r="AE291" i="2"/>
  <c r="AD291" i="2"/>
  <c r="AL290" i="2"/>
  <c r="AK290" i="2"/>
  <c r="AJ290" i="2"/>
  <c r="AH290" i="2"/>
  <c r="AI290" i="2" s="1"/>
  <c r="AG290" i="2"/>
  <c r="AF290" i="2"/>
  <c r="AE290" i="2"/>
  <c r="AD290" i="2"/>
  <c r="AN289" i="2"/>
  <c r="AL289" i="2"/>
  <c r="AK289" i="2"/>
  <c r="AM289" i="2" s="1"/>
  <c r="AJ289" i="2"/>
  <c r="AI289" i="2"/>
  <c r="AH289" i="2"/>
  <c r="AG289" i="2"/>
  <c r="AF289" i="2"/>
  <c r="AE289" i="2"/>
  <c r="AD289" i="2"/>
  <c r="AL288" i="2"/>
  <c r="AK288" i="2"/>
  <c r="AJ288" i="2"/>
  <c r="AH288" i="2"/>
  <c r="AI288" i="2" s="1"/>
  <c r="AG288" i="2"/>
  <c r="AF288" i="2"/>
  <c r="AE288" i="2"/>
  <c r="AD288" i="2"/>
  <c r="AL287" i="2"/>
  <c r="AK287" i="2"/>
  <c r="AN287" i="2" s="1"/>
  <c r="AJ287" i="2"/>
  <c r="AH287" i="2"/>
  <c r="AI287" i="2" s="1"/>
  <c r="AG287" i="2"/>
  <c r="AF287" i="2"/>
  <c r="AE287" i="2"/>
  <c r="AD287" i="2"/>
  <c r="AL286" i="2"/>
  <c r="AK286" i="2"/>
  <c r="AJ286" i="2"/>
  <c r="AH286" i="2"/>
  <c r="AI286" i="2" s="1"/>
  <c r="AG286" i="2"/>
  <c r="AF286" i="2"/>
  <c r="AE286" i="2"/>
  <c r="AD286" i="2"/>
  <c r="AL285" i="2"/>
  <c r="AK285" i="2"/>
  <c r="AM285" i="2" s="1"/>
  <c r="AJ285" i="2"/>
  <c r="AH285" i="2"/>
  <c r="AI285" i="2" s="1"/>
  <c r="AG285" i="2"/>
  <c r="AF285" i="2"/>
  <c r="AE285" i="2"/>
  <c r="AD285" i="2"/>
  <c r="AL284" i="2"/>
  <c r="AK284" i="2"/>
  <c r="AJ284" i="2"/>
  <c r="AH284" i="2"/>
  <c r="AI284" i="2" s="1"/>
  <c r="AG284" i="2"/>
  <c r="AF284" i="2"/>
  <c r="AE284" i="2"/>
  <c r="AD284" i="2"/>
  <c r="AL283" i="2"/>
  <c r="AM283" i="2" s="1"/>
  <c r="AK283" i="2"/>
  <c r="AJ283" i="2"/>
  <c r="AH283" i="2"/>
  <c r="AI283" i="2" s="1"/>
  <c r="AG283" i="2"/>
  <c r="AF283" i="2"/>
  <c r="AE283" i="2"/>
  <c r="AD283" i="2"/>
  <c r="AL282" i="2"/>
  <c r="AK282" i="2"/>
  <c r="AJ282" i="2"/>
  <c r="AH282" i="2"/>
  <c r="AI282" i="2" s="1"/>
  <c r="AG282" i="2"/>
  <c r="AF282" i="2"/>
  <c r="AE282" i="2"/>
  <c r="AD282" i="2"/>
  <c r="AL281" i="2"/>
  <c r="AK281" i="2"/>
  <c r="AJ281" i="2"/>
  <c r="AH281" i="2"/>
  <c r="AI281" i="2" s="1"/>
  <c r="AG281" i="2"/>
  <c r="AF281" i="2"/>
  <c r="AE281" i="2"/>
  <c r="AD281" i="2"/>
  <c r="AL280" i="2"/>
  <c r="AK280" i="2"/>
  <c r="AN280" i="2" s="1"/>
  <c r="AJ280" i="2"/>
  <c r="AH280" i="2"/>
  <c r="AI280" i="2" s="1"/>
  <c r="AG280" i="2"/>
  <c r="AF280" i="2"/>
  <c r="AE280" i="2"/>
  <c r="AD280" i="2"/>
  <c r="AL279" i="2"/>
  <c r="AK279" i="2"/>
  <c r="AN279" i="2" s="1"/>
  <c r="AJ279" i="2"/>
  <c r="AI279" i="2"/>
  <c r="AH279" i="2"/>
  <c r="AG279" i="2"/>
  <c r="AF279" i="2"/>
  <c r="AE279" i="2"/>
  <c r="AD279" i="2"/>
  <c r="AL278" i="2"/>
  <c r="AK278" i="2"/>
  <c r="AJ278" i="2"/>
  <c r="AH278" i="2"/>
  <c r="AI278" i="2" s="1"/>
  <c r="AG278" i="2"/>
  <c r="AF278" i="2"/>
  <c r="AE278" i="2"/>
  <c r="AD278" i="2"/>
  <c r="AL277" i="2"/>
  <c r="AK277" i="2"/>
  <c r="AM277" i="2" s="1"/>
  <c r="AJ277" i="2"/>
  <c r="AH277" i="2"/>
  <c r="AI277" i="2" s="1"/>
  <c r="AG277" i="2"/>
  <c r="AF277" i="2"/>
  <c r="AE277" i="2"/>
  <c r="AD277" i="2"/>
  <c r="AN276" i="2"/>
  <c r="AL276" i="2"/>
  <c r="AK276" i="2"/>
  <c r="AM276" i="2" s="1"/>
  <c r="AJ276" i="2"/>
  <c r="AH276" i="2"/>
  <c r="AI276" i="2" s="1"/>
  <c r="AG276" i="2"/>
  <c r="AF276" i="2"/>
  <c r="AE276" i="2"/>
  <c r="AD276" i="2"/>
  <c r="AL275" i="2"/>
  <c r="AK275" i="2"/>
  <c r="AJ275" i="2"/>
  <c r="AI275" i="2"/>
  <c r="AH275" i="2"/>
  <c r="AG275" i="2"/>
  <c r="AF275" i="2"/>
  <c r="AE275" i="2"/>
  <c r="AD275" i="2"/>
  <c r="AL274" i="2"/>
  <c r="AK274" i="2"/>
  <c r="AJ274" i="2"/>
  <c r="AH274" i="2"/>
  <c r="AI274" i="2" s="1"/>
  <c r="AG274" i="2"/>
  <c r="AF274" i="2"/>
  <c r="AE274" i="2"/>
  <c r="AD274" i="2"/>
  <c r="AL273" i="2"/>
  <c r="AM273" i="2" s="1"/>
  <c r="AK273" i="2"/>
  <c r="AN273" i="2" s="1"/>
  <c r="AJ273" i="2"/>
  <c r="AI273" i="2"/>
  <c r="AH273" i="2"/>
  <c r="AG273" i="2"/>
  <c r="AF273" i="2"/>
  <c r="AE273" i="2"/>
  <c r="AD273" i="2"/>
  <c r="AL272" i="2"/>
  <c r="AK272" i="2"/>
  <c r="AJ272" i="2"/>
  <c r="AH272" i="2"/>
  <c r="AI272" i="2" s="1"/>
  <c r="AG272" i="2"/>
  <c r="AF272" i="2"/>
  <c r="AE272" i="2"/>
  <c r="AD272" i="2"/>
  <c r="AL271" i="2"/>
  <c r="AK271" i="2"/>
  <c r="AN271" i="2" s="1"/>
  <c r="AJ271" i="2"/>
  <c r="AH271" i="2"/>
  <c r="AI271" i="2" s="1"/>
  <c r="AG271" i="2"/>
  <c r="AF271" i="2"/>
  <c r="AE271" i="2"/>
  <c r="AD271" i="2"/>
  <c r="AL270" i="2"/>
  <c r="AK270" i="2"/>
  <c r="AJ270" i="2"/>
  <c r="AH270" i="2"/>
  <c r="AI270" i="2" s="1"/>
  <c r="AG270" i="2"/>
  <c r="AF270" i="2"/>
  <c r="AE270" i="2"/>
  <c r="AD270" i="2"/>
  <c r="AN269" i="2"/>
  <c r="AL269" i="2"/>
  <c r="AK269" i="2"/>
  <c r="AM269" i="2" s="1"/>
  <c r="AJ269" i="2"/>
  <c r="AI269" i="2"/>
  <c r="AH269" i="2"/>
  <c r="AG269" i="2"/>
  <c r="AF269" i="2"/>
  <c r="AE269" i="2"/>
  <c r="AD269" i="2"/>
  <c r="AL268" i="2"/>
  <c r="AK268" i="2"/>
  <c r="AJ268" i="2"/>
  <c r="AH268" i="2"/>
  <c r="AI268" i="2" s="1"/>
  <c r="AG268" i="2"/>
  <c r="AF268" i="2"/>
  <c r="AE268" i="2"/>
  <c r="AD268" i="2"/>
  <c r="AL267" i="2"/>
  <c r="AK267" i="2"/>
  <c r="AM267" i="2" s="1"/>
  <c r="AJ267" i="2"/>
  <c r="AI267" i="2"/>
  <c r="AH267" i="2"/>
  <c r="AG267" i="2"/>
  <c r="AF267" i="2"/>
  <c r="AE267" i="2"/>
  <c r="AD267" i="2"/>
  <c r="AL266" i="2"/>
  <c r="AK266" i="2"/>
  <c r="AJ266" i="2"/>
  <c r="AI266" i="2"/>
  <c r="AH266" i="2"/>
  <c r="AG266" i="2"/>
  <c r="AF266" i="2"/>
  <c r="AE266" i="2"/>
  <c r="AD266" i="2"/>
  <c r="AL265" i="2"/>
  <c r="AN265" i="2" s="1"/>
  <c r="AK265" i="2"/>
  <c r="AJ265" i="2"/>
  <c r="AH265" i="2"/>
  <c r="AI265" i="2" s="1"/>
  <c r="AG265" i="2"/>
  <c r="AF265" i="2"/>
  <c r="AE265" i="2"/>
  <c r="AD265" i="2"/>
  <c r="AL264" i="2"/>
  <c r="AK264" i="2"/>
  <c r="AJ264" i="2"/>
  <c r="AH264" i="2"/>
  <c r="AI264" i="2" s="1"/>
  <c r="AG264" i="2"/>
  <c r="AF264" i="2"/>
  <c r="AE264" i="2"/>
  <c r="AD264" i="2"/>
  <c r="AL263" i="2"/>
  <c r="AK263" i="2"/>
  <c r="AJ263" i="2"/>
  <c r="AH263" i="2"/>
  <c r="AI263" i="2" s="1"/>
  <c r="AG263" i="2"/>
  <c r="AF263" i="2"/>
  <c r="AE263" i="2"/>
  <c r="AD263" i="2"/>
  <c r="AL262" i="2"/>
  <c r="AK262" i="2"/>
  <c r="AJ262" i="2"/>
  <c r="AH262" i="2"/>
  <c r="AI262" i="2" s="1"/>
  <c r="AG262" i="2"/>
  <c r="AF262" i="2"/>
  <c r="AE262" i="2"/>
  <c r="AD262" i="2"/>
  <c r="AL261" i="2"/>
  <c r="AK261" i="2"/>
  <c r="AJ261" i="2"/>
  <c r="AH261" i="2"/>
  <c r="AI261" i="2" s="1"/>
  <c r="AG261" i="2"/>
  <c r="AF261" i="2"/>
  <c r="AE261" i="2"/>
  <c r="AD261" i="2"/>
  <c r="AL260" i="2"/>
  <c r="AK260" i="2"/>
  <c r="AN260" i="2" s="1"/>
  <c r="AJ260" i="2"/>
  <c r="AH260" i="2"/>
  <c r="AI260" i="2" s="1"/>
  <c r="AG260" i="2"/>
  <c r="AF260" i="2"/>
  <c r="AE260" i="2"/>
  <c r="AD260" i="2"/>
  <c r="AL259" i="2"/>
  <c r="AM259" i="2" s="1"/>
  <c r="AK259" i="2"/>
  <c r="AJ259" i="2"/>
  <c r="AH259" i="2"/>
  <c r="AI259" i="2" s="1"/>
  <c r="AG259" i="2"/>
  <c r="AF259" i="2"/>
  <c r="AE259" i="2"/>
  <c r="AD259" i="2"/>
  <c r="AL258" i="2"/>
  <c r="AK258" i="2"/>
  <c r="AJ258" i="2"/>
  <c r="AH258" i="2"/>
  <c r="AI258" i="2" s="1"/>
  <c r="AG258" i="2"/>
  <c r="AF258" i="2"/>
  <c r="AE258" i="2"/>
  <c r="AD258" i="2"/>
  <c r="AL257" i="2"/>
  <c r="AK257" i="2"/>
  <c r="AJ257" i="2"/>
  <c r="AI257" i="2"/>
  <c r="AH257" i="2"/>
  <c r="AG257" i="2"/>
  <c r="AF257" i="2"/>
  <c r="AE257" i="2"/>
  <c r="AD257" i="2"/>
  <c r="AL256" i="2"/>
  <c r="AK256" i="2"/>
  <c r="AJ256" i="2"/>
  <c r="AH256" i="2"/>
  <c r="AI256" i="2" s="1"/>
  <c r="AG256" i="2"/>
  <c r="AF256" i="2"/>
  <c r="AE256" i="2"/>
  <c r="AD256" i="2"/>
  <c r="AL255" i="2"/>
  <c r="AK255" i="2"/>
  <c r="AM255" i="2" s="1"/>
  <c r="AJ255" i="2"/>
  <c r="AH255" i="2"/>
  <c r="AI255" i="2" s="1"/>
  <c r="AG255" i="2"/>
  <c r="AF255" i="2"/>
  <c r="AE255" i="2"/>
  <c r="AD255" i="2"/>
  <c r="AL254" i="2"/>
  <c r="AK254" i="2"/>
  <c r="AJ254" i="2"/>
  <c r="AH254" i="2"/>
  <c r="AI254" i="2" s="1"/>
  <c r="AG254" i="2"/>
  <c r="AF254" i="2"/>
  <c r="AE254" i="2"/>
  <c r="AD254" i="2"/>
  <c r="AN253" i="2"/>
  <c r="AL253" i="2"/>
  <c r="AK253" i="2"/>
  <c r="AM253" i="2" s="1"/>
  <c r="AJ253" i="2"/>
  <c r="AH253" i="2"/>
  <c r="AI253" i="2" s="1"/>
  <c r="AG253" i="2"/>
  <c r="AF253" i="2"/>
  <c r="AE253" i="2"/>
  <c r="AD253" i="2"/>
  <c r="AL252" i="2"/>
  <c r="AK252" i="2"/>
  <c r="AN252" i="2" s="1"/>
  <c r="AJ252" i="2"/>
  <c r="AH252" i="2"/>
  <c r="AI252" i="2" s="1"/>
  <c r="AG252" i="2"/>
  <c r="AF252" i="2"/>
  <c r="AE252" i="2"/>
  <c r="AD252" i="2"/>
  <c r="AL251" i="2"/>
  <c r="AK251" i="2"/>
  <c r="AM251" i="2" s="1"/>
  <c r="AJ251" i="2"/>
  <c r="AH251" i="2"/>
  <c r="AI251" i="2" s="1"/>
  <c r="AG251" i="2"/>
  <c r="AF251" i="2"/>
  <c r="AE251" i="2"/>
  <c r="AD251" i="2"/>
  <c r="AL250" i="2"/>
  <c r="AK250" i="2"/>
  <c r="AJ250" i="2"/>
  <c r="AH250" i="2"/>
  <c r="AI250" i="2" s="1"/>
  <c r="AG250" i="2"/>
  <c r="AF250" i="2"/>
  <c r="AE250" i="2"/>
  <c r="AD250" i="2"/>
  <c r="AL249" i="2"/>
  <c r="AK249" i="2"/>
  <c r="AM249" i="2" s="1"/>
  <c r="AJ249" i="2"/>
  <c r="AH249" i="2"/>
  <c r="AI249" i="2" s="1"/>
  <c r="AG249" i="2"/>
  <c r="AF249" i="2"/>
  <c r="AE249" i="2"/>
  <c r="AD249" i="2"/>
  <c r="AL248" i="2"/>
  <c r="AK248" i="2"/>
  <c r="AJ248" i="2"/>
  <c r="AH248" i="2"/>
  <c r="AI248" i="2" s="1"/>
  <c r="AG248" i="2"/>
  <c r="AF248" i="2"/>
  <c r="AE248" i="2"/>
  <c r="AD248" i="2"/>
  <c r="AL247" i="2"/>
  <c r="AK247" i="2"/>
  <c r="AJ247" i="2"/>
  <c r="AH247" i="2"/>
  <c r="AI247" i="2" s="1"/>
  <c r="AG247" i="2"/>
  <c r="AF247" i="2"/>
  <c r="AE247" i="2"/>
  <c r="AD247" i="2"/>
  <c r="AL246" i="2"/>
  <c r="AK246" i="2"/>
  <c r="AJ246" i="2"/>
  <c r="AH246" i="2"/>
  <c r="AI246" i="2" s="1"/>
  <c r="AG246" i="2"/>
  <c r="AF246" i="2"/>
  <c r="AE246" i="2"/>
  <c r="AD246" i="2"/>
  <c r="AN245" i="2"/>
  <c r="AL245" i="2"/>
  <c r="AK245" i="2"/>
  <c r="AM245" i="2" s="1"/>
  <c r="AJ245" i="2"/>
  <c r="AI245" i="2"/>
  <c r="AH245" i="2"/>
  <c r="AG245" i="2"/>
  <c r="AF245" i="2"/>
  <c r="AE245" i="2"/>
  <c r="AD245" i="2"/>
  <c r="AL244" i="2"/>
  <c r="AM244" i="2" s="1"/>
  <c r="AK244" i="2"/>
  <c r="AN244" i="2" s="1"/>
  <c r="AJ244" i="2"/>
  <c r="AH244" i="2"/>
  <c r="AI244" i="2" s="1"/>
  <c r="AG244" i="2"/>
  <c r="AF244" i="2"/>
  <c r="AE244" i="2"/>
  <c r="AD244" i="2"/>
  <c r="AL243" i="2"/>
  <c r="AM243" i="2" s="1"/>
  <c r="AK243" i="2"/>
  <c r="AJ243" i="2"/>
  <c r="AI243" i="2"/>
  <c r="AH243" i="2"/>
  <c r="AG243" i="2"/>
  <c r="AF243" i="2"/>
  <c r="AE243" i="2"/>
  <c r="AD243" i="2"/>
  <c r="AL242" i="2"/>
  <c r="AK242" i="2"/>
  <c r="AJ242" i="2"/>
  <c r="AH242" i="2"/>
  <c r="AI242" i="2" s="1"/>
  <c r="AG242" i="2"/>
  <c r="AF242" i="2"/>
  <c r="AE242" i="2"/>
  <c r="AD242" i="2"/>
  <c r="AM241" i="2"/>
  <c r="AL241" i="2"/>
  <c r="AN241" i="2" s="1"/>
  <c r="AK241" i="2"/>
  <c r="AJ241" i="2"/>
  <c r="AH241" i="2"/>
  <c r="AI241" i="2" s="1"/>
  <c r="AG241" i="2"/>
  <c r="AF241" i="2"/>
  <c r="AE241" i="2"/>
  <c r="AD241" i="2"/>
  <c r="AL240" i="2"/>
  <c r="AK240" i="2"/>
  <c r="AJ240" i="2"/>
  <c r="AH240" i="2"/>
  <c r="AI240" i="2" s="1"/>
  <c r="AG240" i="2"/>
  <c r="AF240" i="2"/>
  <c r="AE240" i="2"/>
  <c r="AD240" i="2"/>
  <c r="AL239" i="2"/>
  <c r="AK239" i="2"/>
  <c r="AJ239" i="2"/>
  <c r="AH239" i="2"/>
  <c r="AI239" i="2" s="1"/>
  <c r="AG239" i="2"/>
  <c r="AF239" i="2"/>
  <c r="AE239" i="2"/>
  <c r="AD239" i="2"/>
  <c r="AL238" i="2"/>
  <c r="AK238" i="2"/>
  <c r="AJ238" i="2"/>
  <c r="AH238" i="2"/>
  <c r="AI238" i="2" s="1"/>
  <c r="AG238" i="2"/>
  <c r="AF238" i="2"/>
  <c r="AE238" i="2"/>
  <c r="AD238" i="2"/>
  <c r="AL237" i="2"/>
  <c r="AK237" i="2"/>
  <c r="AJ237" i="2"/>
  <c r="AH237" i="2"/>
  <c r="AI237" i="2" s="1"/>
  <c r="AG237" i="2"/>
  <c r="AF237" i="2"/>
  <c r="AE237" i="2"/>
  <c r="AD237" i="2"/>
  <c r="AM236" i="2"/>
  <c r="AL236" i="2"/>
  <c r="AK236" i="2"/>
  <c r="AJ236" i="2"/>
  <c r="AH236" i="2"/>
  <c r="AI236" i="2" s="1"/>
  <c r="AG236" i="2"/>
  <c r="AF236" i="2"/>
  <c r="AE236" i="2"/>
  <c r="AD236" i="2"/>
  <c r="AL235" i="2"/>
  <c r="AK235" i="2"/>
  <c r="AN235" i="2" s="1"/>
  <c r="AJ235" i="2"/>
  <c r="AH235" i="2"/>
  <c r="AI235" i="2" s="1"/>
  <c r="AG235" i="2"/>
  <c r="AF235" i="2"/>
  <c r="AE235" i="2"/>
  <c r="AD235" i="2"/>
  <c r="AL234" i="2"/>
  <c r="AK234" i="2"/>
  <c r="AJ234" i="2"/>
  <c r="AH234" i="2"/>
  <c r="AI234" i="2" s="1"/>
  <c r="AG234" i="2"/>
  <c r="AF234" i="2"/>
  <c r="AE234" i="2"/>
  <c r="AD234" i="2"/>
  <c r="AN233" i="2"/>
  <c r="AL233" i="2"/>
  <c r="AK233" i="2"/>
  <c r="AM233" i="2" s="1"/>
  <c r="AJ233" i="2"/>
  <c r="AH233" i="2"/>
  <c r="AI233" i="2" s="1"/>
  <c r="AG233" i="2"/>
  <c r="AF233" i="2"/>
  <c r="AE233" i="2"/>
  <c r="AD233" i="2"/>
  <c r="AL232" i="2"/>
  <c r="AK232" i="2"/>
  <c r="AJ232" i="2"/>
  <c r="AH232" i="2"/>
  <c r="AI232" i="2" s="1"/>
  <c r="AG232" i="2"/>
  <c r="AF232" i="2"/>
  <c r="AE232" i="2"/>
  <c r="AD232" i="2"/>
  <c r="AL231" i="2"/>
  <c r="AK231" i="2"/>
  <c r="AJ231" i="2"/>
  <c r="AI231" i="2"/>
  <c r="AH231" i="2"/>
  <c r="AG231" i="2"/>
  <c r="AF231" i="2"/>
  <c r="AE231" i="2"/>
  <c r="AD231" i="2"/>
  <c r="AL230" i="2"/>
  <c r="AK230" i="2"/>
  <c r="AJ230" i="2"/>
  <c r="AH230" i="2"/>
  <c r="AI230" i="2" s="1"/>
  <c r="AG230" i="2"/>
  <c r="AF230" i="2"/>
  <c r="AE230" i="2"/>
  <c r="AD230" i="2"/>
  <c r="AL229" i="2"/>
  <c r="AK229" i="2"/>
  <c r="AM229" i="2" s="1"/>
  <c r="AJ229" i="2"/>
  <c r="AH229" i="2"/>
  <c r="AI229" i="2" s="1"/>
  <c r="AG229" i="2"/>
  <c r="AF229" i="2"/>
  <c r="AE229" i="2"/>
  <c r="AD229" i="2"/>
  <c r="AN228" i="2"/>
  <c r="AM228" i="2"/>
  <c r="AL228" i="2"/>
  <c r="AK228" i="2"/>
  <c r="AJ228" i="2"/>
  <c r="AH228" i="2"/>
  <c r="AI228" i="2" s="1"/>
  <c r="AG228" i="2"/>
  <c r="AF228" i="2"/>
  <c r="AE228" i="2"/>
  <c r="AD228" i="2"/>
  <c r="AL227" i="2"/>
  <c r="AK227" i="2"/>
  <c r="AN227" i="2" s="1"/>
  <c r="AJ227" i="2"/>
  <c r="AI227" i="2"/>
  <c r="AH227" i="2"/>
  <c r="AG227" i="2"/>
  <c r="AF227" i="2"/>
  <c r="AE227" i="2"/>
  <c r="AD227" i="2"/>
  <c r="AL226" i="2"/>
  <c r="AK226" i="2"/>
  <c r="AJ226" i="2"/>
  <c r="AH226" i="2"/>
  <c r="AI226" i="2" s="1"/>
  <c r="AG226" i="2"/>
  <c r="AF226" i="2"/>
  <c r="AE226" i="2"/>
  <c r="AD226" i="2"/>
  <c r="AN225" i="2"/>
  <c r="AL225" i="2"/>
  <c r="AK225" i="2"/>
  <c r="AM225" i="2" s="1"/>
  <c r="AJ225" i="2"/>
  <c r="AH225" i="2"/>
  <c r="AI225" i="2" s="1"/>
  <c r="AG225" i="2"/>
  <c r="AF225" i="2"/>
  <c r="AE225" i="2"/>
  <c r="AD225" i="2"/>
  <c r="AL224" i="2"/>
  <c r="AK224" i="2"/>
  <c r="AJ224" i="2"/>
  <c r="AH224" i="2"/>
  <c r="AI224" i="2" s="1"/>
  <c r="AG224" i="2"/>
  <c r="AF224" i="2"/>
  <c r="AE224" i="2"/>
  <c r="AD224" i="2"/>
  <c r="AL223" i="2"/>
  <c r="AM223" i="2" s="1"/>
  <c r="AK223" i="2"/>
  <c r="AJ223" i="2"/>
  <c r="AH223" i="2"/>
  <c r="AI223" i="2" s="1"/>
  <c r="AG223" i="2"/>
  <c r="AF223" i="2"/>
  <c r="AE223" i="2"/>
  <c r="AD223" i="2"/>
  <c r="AL222" i="2"/>
  <c r="AK222" i="2"/>
  <c r="AJ222" i="2"/>
  <c r="AI222" i="2"/>
  <c r="AH222" i="2"/>
  <c r="AG222" i="2"/>
  <c r="AF222" i="2"/>
  <c r="AE222" i="2"/>
  <c r="AD222" i="2"/>
  <c r="AL221" i="2"/>
  <c r="AK221" i="2"/>
  <c r="AJ221" i="2"/>
  <c r="AH221" i="2"/>
  <c r="AI221" i="2" s="1"/>
  <c r="AG221" i="2"/>
  <c r="AF221" i="2"/>
  <c r="AE221" i="2"/>
  <c r="AD221" i="2"/>
  <c r="AL220" i="2"/>
  <c r="AK220" i="2"/>
  <c r="AJ220" i="2"/>
  <c r="AH220" i="2"/>
  <c r="AI220" i="2" s="1"/>
  <c r="AG220" i="2"/>
  <c r="AF220" i="2"/>
  <c r="AE220" i="2"/>
  <c r="AD220" i="2"/>
  <c r="AL219" i="2"/>
  <c r="AK219" i="2"/>
  <c r="AN219" i="2" s="1"/>
  <c r="AJ219" i="2"/>
  <c r="AH219" i="2"/>
  <c r="AI219" i="2" s="1"/>
  <c r="AG219" i="2"/>
  <c r="AF219" i="2"/>
  <c r="AE219" i="2"/>
  <c r="AD219" i="2"/>
  <c r="AL218" i="2"/>
  <c r="AK218" i="2"/>
  <c r="AJ218" i="2"/>
  <c r="AH218" i="2"/>
  <c r="AI218" i="2" s="1"/>
  <c r="AG218" i="2"/>
  <c r="AF218" i="2"/>
  <c r="AE218" i="2"/>
  <c r="AD218" i="2"/>
  <c r="AN217" i="2"/>
  <c r="AL217" i="2"/>
  <c r="AK217" i="2"/>
  <c r="AM217" i="2" s="1"/>
  <c r="AJ217" i="2"/>
  <c r="AI217" i="2"/>
  <c r="AH217" i="2"/>
  <c r="AG217" i="2"/>
  <c r="AF217" i="2"/>
  <c r="AE217" i="2"/>
  <c r="AD217" i="2"/>
  <c r="AL216" i="2"/>
  <c r="AK216" i="2"/>
  <c r="AJ216" i="2"/>
  <c r="AH216" i="2"/>
  <c r="AI216" i="2" s="1"/>
  <c r="AG216" i="2"/>
  <c r="AF216" i="2"/>
  <c r="AE216" i="2"/>
  <c r="AD216" i="2"/>
  <c r="AL215" i="2"/>
  <c r="AK215" i="2"/>
  <c r="AJ215" i="2"/>
  <c r="AH215" i="2"/>
  <c r="AI215" i="2" s="1"/>
  <c r="AG215" i="2"/>
  <c r="AF215" i="2"/>
  <c r="AE215" i="2"/>
  <c r="AD215" i="2"/>
  <c r="AL214" i="2"/>
  <c r="AK214" i="2"/>
  <c r="AJ214" i="2"/>
  <c r="AH214" i="2"/>
  <c r="AI214" i="2" s="1"/>
  <c r="AG214" i="2"/>
  <c r="AF214" i="2"/>
  <c r="AE214" i="2"/>
  <c r="AD214" i="2"/>
  <c r="AL213" i="2"/>
  <c r="AK213" i="2"/>
  <c r="AM213" i="2" s="1"/>
  <c r="AJ213" i="2"/>
  <c r="AH213" i="2"/>
  <c r="AI213" i="2" s="1"/>
  <c r="AG213" i="2"/>
  <c r="AF213" i="2"/>
  <c r="AE213" i="2"/>
  <c r="AD213" i="2"/>
  <c r="AN212" i="2"/>
  <c r="AM212" i="2"/>
  <c r="AL212" i="2"/>
  <c r="AK212" i="2"/>
  <c r="AJ212" i="2"/>
  <c r="AH212" i="2"/>
  <c r="AI212" i="2" s="1"/>
  <c r="AG212" i="2"/>
  <c r="AF212" i="2"/>
  <c r="AE212" i="2"/>
  <c r="AD212" i="2"/>
  <c r="AL211" i="2"/>
  <c r="AK211" i="2"/>
  <c r="AJ211" i="2"/>
  <c r="AH211" i="2"/>
  <c r="AI211" i="2" s="1"/>
  <c r="AG211" i="2"/>
  <c r="AF211" i="2"/>
  <c r="AE211" i="2"/>
  <c r="AD211" i="2"/>
  <c r="AL210" i="2"/>
  <c r="AK210" i="2"/>
  <c r="AJ210" i="2"/>
  <c r="AH210" i="2"/>
  <c r="AI210" i="2" s="1"/>
  <c r="AG210" i="2"/>
  <c r="AF210" i="2"/>
  <c r="AE210" i="2"/>
  <c r="AD210" i="2"/>
  <c r="AL209" i="2"/>
  <c r="AK209" i="2"/>
  <c r="AJ209" i="2"/>
  <c r="AI209" i="2"/>
  <c r="AH209" i="2"/>
  <c r="AG209" i="2"/>
  <c r="AF209" i="2"/>
  <c r="AE209" i="2"/>
  <c r="AD209" i="2"/>
  <c r="AL208" i="2"/>
  <c r="AK208" i="2"/>
  <c r="AJ208" i="2"/>
  <c r="AI208" i="2"/>
  <c r="AH208" i="2"/>
  <c r="AG208" i="2"/>
  <c r="AF208" i="2"/>
  <c r="AE208" i="2"/>
  <c r="AD208" i="2"/>
  <c r="AL207" i="2"/>
  <c r="AK207" i="2"/>
  <c r="AM207" i="2" s="1"/>
  <c r="AJ207" i="2"/>
  <c r="AH207" i="2"/>
  <c r="AI207" i="2" s="1"/>
  <c r="AG207" i="2"/>
  <c r="AF207" i="2"/>
  <c r="AE207" i="2"/>
  <c r="AD207" i="2"/>
  <c r="AL206" i="2"/>
  <c r="AK206" i="2"/>
  <c r="AJ206" i="2"/>
  <c r="AH206" i="2"/>
  <c r="AI206" i="2" s="1"/>
  <c r="AG206" i="2"/>
  <c r="AF206" i="2"/>
  <c r="AE206" i="2"/>
  <c r="AD206" i="2"/>
  <c r="AL205" i="2"/>
  <c r="AK205" i="2"/>
  <c r="AJ205" i="2"/>
  <c r="AH205" i="2"/>
  <c r="AI205" i="2" s="1"/>
  <c r="AG205" i="2"/>
  <c r="AF205" i="2"/>
  <c r="AE205" i="2"/>
  <c r="AD205" i="2"/>
  <c r="AL204" i="2"/>
  <c r="AK204" i="2"/>
  <c r="AN204" i="2" s="1"/>
  <c r="AJ204" i="2"/>
  <c r="AH204" i="2"/>
  <c r="AI204" i="2" s="1"/>
  <c r="AG204" i="2"/>
  <c r="AF204" i="2"/>
  <c r="AE204" i="2"/>
  <c r="AD204" i="2"/>
  <c r="AL203" i="2"/>
  <c r="AK203" i="2"/>
  <c r="AJ203" i="2"/>
  <c r="AH203" i="2"/>
  <c r="AI203" i="2" s="1"/>
  <c r="AG203" i="2"/>
  <c r="AF203" i="2"/>
  <c r="AE203" i="2"/>
  <c r="AD203" i="2"/>
  <c r="AL202" i="2"/>
  <c r="AK202" i="2"/>
  <c r="AJ202" i="2"/>
  <c r="AH202" i="2"/>
  <c r="AI202" i="2" s="1"/>
  <c r="AG202" i="2"/>
  <c r="AF202" i="2"/>
  <c r="AE202" i="2"/>
  <c r="AD202" i="2"/>
  <c r="AN201" i="2"/>
  <c r="AM201" i="2"/>
  <c r="AL201" i="2"/>
  <c r="AK201" i="2"/>
  <c r="AJ201" i="2"/>
  <c r="AH201" i="2"/>
  <c r="AI201" i="2" s="1"/>
  <c r="AG201" i="2"/>
  <c r="AF201" i="2"/>
  <c r="AE201" i="2"/>
  <c r="AD201" i="2"/>
  <c r="AN200" i="2"/>
  <c r="AM200" i="2"/>
  <c r="AL200" i="2"/>
  <c r="AK200" i="2"/>
  <c r="AJ200" i="2"/>
  <c r="AH200" i="2"/>
  <c r="AI200" i="2" s="1"/>
  <c r="AG200" i="2"/>
  <c r="AF200" i="2"/>
  <c r="AE200" i="2"/>
  <c r="AD200" i="2"/>
  <c r="AL199" i="2"/>
  <c r="AK199" i="2"/>
  <c r="AJ199" i="2"/>
  <c r="AI199" i="2"/>
  <c r="AH199" i="2"/>
  <c r="AG199" i="2"/>
  <c r="AF199" i="2"/>
  <c r="AE199" i="2"/>
  <c r="AD199" i="2"/>
  <c r="AL198" i="2"/>
  <c r="AK198" i="2"/>
  <c r="AJ198" i="2"/>
  <c r="AH198" i="2"/>
  <c r="AI198" i="2" s="1"/>
  <c r="AG198" i="2"/>
  <c r="AF198" i="2"/>
  <c r="AE198" i="2"/>
  <c r="AD198" i="2"/>
  <c r="AL197" i="2"/>
  <c r="AK197" i="2"/>
  <c r="AJ197" i="2"/>
  <c r="AH197" i="2"/>
  <c r="AI197" i="2" s="1"/>
  <c r="AG197" i="2"/>
  <c r="AF197" i="2"/>
  <c r="AE197" i="2"/>
  <c r="AD197" i="2"/>
  <c r="AL196" i="2"/>
  <c r="AK196" i="2"/>
  <c r="AM196" i="2" s="1"/>
  <c r="AJ196" i="2"/>
  <c r="AH196" i="2"/>
  <c r="AI196" i="2" s="1"/>
  <c r="AG196" i="2"/>
  <c r="AF196" i="2"/>
  <c r="AE196" i="2"/>
  <c r="AD196" i="2"/>
  <c r="AL195" i="2"/>
  <c r="AK195" i="2"/>
  <c r="AJ195" i="2"/>
  <c r="AH195" i="2"/>
  <c r="AI195" i="2" s="1"/>
  <c r="AG195" i="2"/>
  <c r="AF195" i="2"/>
  <c r="AE195" i="2"/>
  <c r="AD195" i="2"/>
  <c r="AL194" i="2"/>
  <c r="AK194" i="2"/>
  <c r="AJ194" i="2"/>
  <c r="AH194" i="2"/>
  <c r="AI194" i="2" s="1"/>
  <c r="AG194" i="2"/>
  <c r="AF194" i="2"/>
  <c r="AE194" i="2"/>
  <c r="AD194" i="2"/>
  <c r="AL193" i="2"/>
  <c r="AK193" i="2"/>
  <c r="AJ193" i="2"/>
  <c r="AH193" i="2"/>
  <c r="AI193" i="2" s="1"/>
  <c r="AG193" i="2"/>
  <c r="AF193" i="2"/>
  <c r="AE193" i="2"/>
  <c r="AD193" i="2"/>
  <c r="AL192" i="2"/>
  <c r="AK192" i="2"/>
  <c r="AJ192" i="2"/>
  <c r="AH192" i="2"/>
  <c r="AI192" i="2" s="1"/>
  <c r="AG192" i="2"/>
  <c r="AF192" i="2"/>
  <c r="AE192" i="2"/>
  <c r="AD192" i="2"/>
  <c r="AL191" i="2"/>
  <c r="AK191" i="2"/>
  <c r="AJ191" i="2"/>
  <c r="AH191" i="2"/>
  <c r="AI191" i="2" s="1"/>
  <c r="AG191" i="2"/>
  <c r="AF191" i="2"/>
  <c r="AE191" i="2"/>
  <c r="AD191" i="2"/>
  <c r="AL190" i="2"/>
  <c r="AK190" i="2"/>
  <c r="AJ190" i="2"/>
  <c r="AI190" i="2"/>
  <c r="AH190" i="2"/>
  <c r="AG190" i="2"/>
  <c r="AF190" i="2"/>
  <c r="AE190" i="2"/>
  <c r="AD190" i="2"/>
  <c r="AM189" i="2"/>
  <c r="AL189" i="2"/>
  <c r="AN189" i="2" s="1"/>
  <c r="AK189" i="2"/>
  <c r="AJ189" i="2"/>
  <c r="AH189" i="2"/>
  <c r="AI189" i="2" s="1"/>
  <c r="AG189" i="2"/>
  <c r="AF189" i="2"/>
  <c r="AE189" i="2"/>
  <c r="AD189" i="2"/>
  <c r="AL188" i="2"/>
  <c r="AK188" i="2"/>
  <c r="AJ188" i="2"/>
  <c r="AH188" i="2"/>
  <c r="AI188" i="2" s="1"/>
  <c r="AG188" i="2"/>
  <c r="AF188" i="2"/>
  <c r="AE188" i="2"/>
  <c r="AD188" i="2"/>
  <c r="AL187" i="2"/>
  <c r="AK187" i="2"/>
  <c r="AJ187" i="2"/>
  <c r="AH187" i="2"/>
  <c r="AI187" i="2" s="1"/>
  <c r="AG187" i="2"/>
  <c r="AF187" i="2"/>
  <c r="AE187" i="2"/>
  <c r="AD187" i="2"/>
  <c r="AL186" i="2"/>
  <c r="AK186" i="2"/>
  <c r="AJ186" i="2"/>
  <c r="AH186" i="2"/>
  <c r="AI186" i="2" s="1"/>
  <c r="AG186" i="2"/>
  <c r="AF186" i="2"/>
  <c r="AE186" i="2"/>
  <c r="AD186" i="2"/>
  <c r="AL185" i="2"/>
  <c r="AK185" i="2"/>
  <c r="AJ185" i="2"/>
  <c r="AH185" i="2"/>
  <c r="AI185" i="2" s="1"/>
  <c r="AG185" i="2"/>
  <c r="AF185" i="2"/>
  <c r="AE185" i="2"/>
  <c r="AD185" i="2"/>
  <c r="AL184" i="2"/>
  <c r="AK184" i="2"/>
  <c r="AM184" i="2" s="1"/>
  <c r="AJ184" i="2"/>
  <c r="AH184" i="2"/>
  <c r="AI184" i="2" s="1"/>
  <c r="AG184" i="2"/>
  <c r="AF184" i="2"/>
  <c r="AE184" i="2"/>
  <c r="AD184" i="2"/>
  <c r="AL183" i="2"/>
  <c r="AK183" i="2"/>
  <c r="AJ183" i="2"/>
  <c r="AH183" i="2"/>
  <c r="AI183" i="2" s="1"/>
  <c r="AG183" i="2"/>
  <c r="AF183" i="2"/>
  <c r="AE183" i="2"/>
  <c r="AD183" i="2"/>
  <c r="AL182" i="2"/>
  <c r="AK182" i="2"/>
  <c r="AJ182" i="2"/>
  <c r="AH182" i="2"/>
  <c r="AI182" i="2" s="1"/>
  <c r="AG182" i="2"/>
  <c r="AF182" i="2"/>
  <c r="AE182" i="2"/>
  <c r="AD182" i="2"/>
  <c r="AL181" i="2"/>
  <c r="AK181" i="2"/>
  <c r="AJ181" i="2"/>
  <c r="AH181" i="2"/>
  <c r="AI181" i="2" s="1"/>
  <c r="AG181" i="2"/>
  <c r="AF181" i="2"/>
  <c r="AE181" i="2"/>
  <c r="AD181" i="2"/>
  <c r="AL180" i="2"/>
  <c r="AK180" i="2"/>
  <c r="AJ180" i="2"/>
  <c r="AH180" i="2"/>
  <c r="AI180" i="2" s="1"/>
  <c r="AG180" i="2"/>
  <c r="AF180" i="2"/>
  <c r="AE180" i="2"/>
  <c r="AD180" i="2"/>
  <c r="AL179" i="2"/>
  <c r="AK179" i="2"/>
  <c r="AM179" i="2" s="1"/>
  <c r="AJ179" i="2"/>
  <c r="AH179" i="2"/>
  <c r="AI179" i="2" s="1"/>
  <c r="AG179" i="2"/>
  <c r="AF179" i="2"/>
  <c r="AE179" i="2"/>
  <c r="AD179" i="2"/>
  <c r="AL178" i="2"/>
  <c r="AK178" i="2"/>
  <c r="AJ178" i="2"/>
  <c r="AI178" i="2"/>
  <c r="AH178" i="2"/>
  <c r="AG178" i="2"/>
  <c r="AF178" i="2"/>
  <c r="AE178" i="2"/>
  <c r="AD178" i="2"/>
  <c r="AL177" i="2"/>
  <c r="AN177" i="2" s="1"/>
  <c r="AK177" i="2"/>
  <c r="AJ177" i="2"/>
  <c r="AH177" i="2"/>
  <c r="AI177" i="2" s="1"/>
  <c r="AG177" i="2"/>
  <c r="AF177" i="2"/>
  <c r="AE177" i="2"/>
  <c r="AD177" i="2"/>
  <c r="AN176" i="2"/>
  <c r="AL176" i="2"/>
  <c r="AK176" i="2"/>
  <c r="AM176" i="2" s="1"/>
  <c r="AJ176" i="2"/>
  <c r="AI176" i="2"/>
  <c r="AH176" i="2"/>
  <c r="AG176" i="2"/>
  <c r="AF176" i="2"/>
  <c r="AE176" i="2"/>
  <c r="AD176" i="2"/>
  <c r="AL175" i="2"/>
  <c r="AK175" i="2"/>
  <c r="AJ175" i="2"/>
  <c r="AH175" i="2"/>
  <c r="AI175" i="2" s="1"/>
  <c r="AG175" i="2"/>
  <c r="AF175" i="2"/>
  <c r="AE175" i="2"/>
  <c r="AD175" i="2"/>
  <c r="AL174" i="2"/>
  <c r="AK174" i="2"/>
  <c r="AJ174" i="2"/>
  <c r="AH174" i="2"/>
  <c r="AI174" i="2" s="1"/>
  <c r="AG174" i="2"/>
  <c r="AF174" i="2"/>
  <c r="AE174" i="2"/>
  <c r="AD174" i="2"/>
  <c r="AL173" i="2"/>
  <c r="AK173" i="2"/>
  <c r="AN173" i="2" s="1"/>
  <c r="AJ173" i="2"/>
  <c r="AH173" i="2"/>
  <c r="AI173" i="2" s="1"/>
  <c r="AG173" i="2"/>
  <c r="AF173" i="2"/>
  <c r="AE173" i="2"/>
  <c r="AD173" i="2"/>
  <c r="AM172" i="2"/>
  <c r="AL172" i="2"/>
  <c r="AN172" i="2" s="1"/>
  <c r="AK172" i="2"/>
  <c r="AJ172" i="2"/>
  <c r="AH172" i="2"/>
  <c r="AI172" i="2" s="1"/>
  <c r="AG172" i="2"/>
  <c r="AF172" i="2"/>
  <c r="AE172" i="2"/>
  <c r="AD172" i="2"/>
  <c r="AL171" i="2"/>
  <c r="AK171" i="2"/>
  <c r="AN171" i="2" s="1"/>
  <c r="AJ171" i="2"/>
  <c r="AI171" i="2"/>
  <c r="AH171" i="2"/>
  <c r="AG171" i="2"/>
  <c r="AF171" i="2"/>
  <c r="AE171" i="2"/>
  <c r="AD171" i="2"/>
  <c r="AL170" i="2"/>
  <c r="AK170" i="2"/>
  <c r="AJ170" i="2"/>
  <c r="AH170" i="2"/>
  <c r="AI170" i="2" s="1"/>
  <c r="AG170" i="2"/>
  <c r="AF170" i="2"/>
  <c r="AE170" i="2"/>
  <c r="AD170" i="2"/>
  <c r="AL169" i="2"/>
  <c r="AK169" i="2"/>
  <c r="AN169" i="2" s="1"/>
  <c r="AJ169" i="2"/>
  <c r="AH169" i="2"/>
  <c r="AI169" i="2" s="1"/>
  <c r="AG169" i="2"/>
  <c r="AF169" i="2"/>
  <c r="AE169" i="2"/>
  <c r="AD169" i="2"/>
  <c r="AL168" i="2"/>
  <c r="AN168" i="2" s="1"/>
  <c r="AK168" i="2"/>
  <c r="AJ168" i="2"/>
  <c r="AH168" i="2"/>
  <c r="AI168" i="2" s="1"/>
  <c r="AG168" i="2"/>
  <c r="AF168" i="2"/>
  <c r="AE168" i="2"/>
  <c r="AD168" i="2"/>
  <c r="AM167" i="2"/>
  <c r="AL167" i="2"/>
  <c r="AK167" i="2"/>
  <c r="AN167" i="2" s="1"/>
  <c r="AJ167" i="2"/>
  <c r="AH167" i="2"/>
  <c r="AI167" i="2" s="1"/>
  <c r="AG167" i="2"/>
  <c r="AF167" i="2"/>
  <c r="AE167" i="2"/>
  <c r="AD167" i="2"/>
  <c r="AL166" i="2"/>
  <c r="AK166" i="2"/>
  <c r="AJ166" i="2"/>
  <c r="AI166" i="2"/>
  <c r="AH166" i="2"/>
  <c r="AG166" i="2"/>
  <c r="AF166" i="2"/>
  <c r="AE166" i="2"/>
  <c r="AD166" i="2"/>
  <c r="AL165" i="2"/>
  <c r="AM165" i="2" s="1"/>
  <c r="AK165" i="2"/>
  <c r="AN165" i="2" s="1"/>
  <c r="AJ165" i="2"/>
  <c r="AH165" i="2"/>
  <c r="AI165" i="2" s="1"/>
  <c r="AG165" i="2"/>
  <c r="AF165" i="2"/>
  <c r="AE165" i="2"/>
  <c r="AD165" i="2"/>
  <c r="AL164" i="2"/>
  <c r="AK164" i="2"/>
  <c r="AJ164" i="2"/>
  <c r="AH164" i="2"/>
  <c r="AI164" i="2" s="1"/>
  <c r="AG164" i="2"/>
  <c r="AF164" i="2"/>
  <c r="AE164" i="2"/>
  <c r="AD164" i="2"/>
  <c r="AL163" i="2"/>
  <c r="AM163" i="2" s="1"/>
  <c r="AK163" i="2"/>
  <c r="AJ163" i="2"/>
  <c r="AI163" i="2"/>
  <c r="AH163" i="2"/>
  <c r="AG163" i="2"/>
  <c r="AF163" i="2"/>
  <c r="AE163" i="2"/>
  <c r="AD163" i="2"/>
  <c r="AL162" i="2"/>
  <c r="AK162" i="2"/>
  <c r="AJ162" i="2"/>
  <c r="AH162" i="2"/>
  <c r="AI162" i="2" s="1"/>
  <c r="AG162" i="2"/>
  <c r="AF162" i="2"/>
  <c r="AE162" i="2"/>
  <c r="AD162" i="2"/>
  <c r="AL161" i="2"/>
  <c r="AN161" i="2" s="1"/>
  <c r="AK161" i="2"/>
  <c r="AJ161" i="2"/>
  <c r="AH161" i="2"/>
  <c r="AI161" i="2" s="1"/>
  <c r="AG161" i="2"/>
  <c r="AF161" i="2"/>
  <c r="AE161" i="2"/>
  <c r="AD161" i="2"/>
  <c r="AL160" i="2"/>
  <c r="AK160" i="2"/>
  <c r="AJ160" i="2"/>
  <c r="AH160" i="2"/>
  <c r="AI160" i="2" s="1"/>
  <c r="AG160" i="2"/>
  <c r="AF160" i="2"/>
  <c r="AE160" i="2"/>
  <c r="AD160" i="2"/>
  <c r="AL159" i="2"/>
  <c r="AK159" i="2"/>
  <c r="AN159" i="2" s="1"/>
  <c r="AJ159" i="2"/>
  <c r="AI159" i="2"/>
  <c r="AH159" i="2"/>
  <c r="AG159" i="2"/>
  <c r="AF159" i="2"/>
  <c r="AE159" i="2"/>
  <c r="AD159" i="2"/>
  <c r="AL158" i="2"/>
  <c r="AK158" i="2"/>
  <c r="AJ158" i="2"/>
  <c r="AH158" i="2"/>
  <c r="AI158" i="2" s="1"/>
  <c r="AG158" i="2"/>
  <c r="AF158" i="2"/>
  <c r="AE158" i="2"/>
  <c r="AD158" i="2"/>
  <c r="AN157" i="2"/>
  <c r="AM157" i="2"/>
  <c r="AL157" i="2"/>
  <c r="AK157" i="2"/>
  <c r="AJ157" i="2"/>
  <c r="AH157" i="2"/>
  <c r="AI157" i="2" s="1"/>
  <c r="AG157" i="2"/>
  <c r="AF157" i="2"/>
  <c r="AE157" i="2"/>
  <c r="AD157" i="2"/>
  <c r="AL156" i="2"/>
  <c r="AK156" i="2"/>
  <c r="AN156" i="2" s="1"/>
  <c r="AJ156" i="2"/>
  <c r="AH156" i="2"/>
  <c r="AI156" i="2" s="1"/>
  <c r="AG156" i="2"/>
  <c r="AF156" i="2"/>
  <c r="AE156" i="2"/>
  <c r="AD156" i="2"/>
  <c r="AL155" i="2"/>
  <c r="AK155" i="2"/>
  <c r="AN155" i="2" s="1"/>
  <c r="AJ155" i="2"/>
  <c r="AH155" i="2"/>
  <c r="AI155" i="2" s="1"/>
  <c r="AG155" i="2"/>
  <c r="AF155" i="2"/>
  <c r="AE155" i="2"/>
  <c r="AD155" i="2"/>
  <c r="AL154" i="2"/>
  <c r="AK154" i="2"/>
  <c r="AJ154" i="2"/>
  <c r="AH154" i="2"/>
  <c r="AI154" i="2" s="1"/>
  <c r="AG154" i="2"/>
  <c r="AF154" i="2"/>
  <c r="AE154" i="2"/>
  <c r="AD154" i="2"/>
  <c r="AN153" i="2"/>
  <c r="AM153" i="2"/>
  <c r="AL153" i="2"/>
  <c r="AK153" i="2"/>
  <c r="AJ153" i="2"/>
  <c r="AH153" i="2"/>
  <c r="AI153" i="2" s="1"/>
  <c r="AG153" i="2"/>
  <c r="AF153" i="2"/>
  <c r="AE153" i="2"/>
  <c r="AD153" i="2"/>
  <c r="AL152" i="2"/>
  <c r="AK152" i="2"/>
  <c r="AN152" i="2" s="1"/>
  <c r="AJ152" i="2"/>
  <c r="AH152" i="2"/>
  <c r="AI152" i="2" s="1"/>
  <c r="AG152" i="2"/>
  <c r="AF152" i="2"/>
  <c r="AE152" i="2"/>
  <c r="AD152" i="2"/>
  <c r="AL151" i="2"/>
  <c r="AK151" i="2"/>
  <c r="AJ151" i="2"/>
  <c r="AI151" i="2"/>
  <c r="AH151" i="2"/>
  <c r="AG151" i="2"/>
  <c r="AF151" i="2"/>
  <c r="AE151" i="2"/>
  <c r="AD151" i="2"/>
  <c r="AL150" i="2"/>
  <c r="AK150" i="2"/>
  <c r="AJ150" i="2"/>
  <c r="AH150" i="2"/>
  <c r="AI150" i="2" s="1"/>
  <c r="AG150" i="2"/>
  <c r="AF150" i="2"/>
  <c r="AE150" i="2"/>
  <c r="AD150" i="2"/>
  <c r="AL149" i="2"/>
  <c r="AM149" i="2" s="1"/>
  <c r="AK149" i="2"/>
  <c r="AN149" i="2" s="1"/>
  <c r="AJ149" i="2"/>
  <c r="AH149" i="2"/>
  <c r="AI149" i="2" s="1"/>
  <c r="AG149" i="2"/>
  <c r="AF149" i="2"/>
  <c r="AE149" i="2"/>
  <c r="AD149" i="2"/>
  <c r="AL148" i="2"/>
  <c r="AK148" i="2"/>
  <c r="AM148" i="2" s="1"/>
  <c r="AJ148" i="2"/>
  <c r="AH148" i="2"/>
  <c r="AI148" i="2" s="1"/>
  <c r="AG148" i="2"/>
  <c r="AF148" i="2"/>
  <c r="AE148" i="2"/>
  <c r="AD148" i="2"/>
  <c r="AL147" i="2"/>
  <c r="AK147" i="2"/>
  <c r="AJ147" i="2"/>
  <c r="AH147" i="2"/>
  <c r="AI147" i="2" s="1"/>
  <c r="AG147" i="2"/>
  <c r="AF147" i="2"/>
  <c r="AE147" i="2"/>
  <c r="AD147" i="2"/>
  <c r="AL146" i="2"/>
  <c r="AK146" i="2"/>
  <c r="AJ146" i="2"/>
  <c r="AH146" i="2"/>
  <c r="AI146" i="2" s="1"/>
  <c r="AG146" i="2"/>
  <c r="AF146" i="2"/>
  <c r="AE146" i="2"/>
  <c r="AD146" i="2"/>
  <c r="AN145" i="2"/>
  <c r="AL145" i="2"/>
  <c r="AK145" i="2"/>
  <c r="AM145" i="2" s="1"/>
  <c r="AJ145" i="2"/>
  <c r="AI145" i="2"/>
  <c r="AH145" i="2"/>
  <c r="AG145" i="2"/>
  <c r="AF145" i="2"/>
  <c r="AE145" i="2"/>
  <c r="AD145" i="2"/>
  <c r="AM144" i="2"/>
  <c r="AL144" i="2"/>
  <c r="AK144" i="2"/>
  <c r="AN144" i="2" s="1"/>
  <c r="AJ144" i="2"/>
  <c r="AH144" i="2"/>
  <c r="AI144" i="2" s="1"/>
  <c r="AG144" i="2"/>
  <c r="AF144" i="2"/>
  <c r="AE144" i="2"/>
  <c r="AD144" i="2"/>
  <c r="AL143" i="2"/>
  <c r="AK143" i="2"/>
  <c r="AJ143" i="2"/>
  <c r="AI143" i="2"/>
  <c r="AH143" i="2"/>
  <c r="AG143" i="2"/>
  <c r="AF143" i="2"/>
  <c r="AE143" i="2"/>
  <c r="AD143" i="2"/>
  <c r="AL142" i="2"/>
  <c r="AK142" i="2"/>
  <c r="AJ142" i="2"/>
  <c r="AH142" i="2"/>
  <c r="AI142" i="2" s="1"/>
  <c r="AG142" i="2"/>
  <c r="AF142" i="2"/>
  <c r="AE142" i="2"/>
  <c r="AD142" i="2"/>
  <c r="AL141" i="2"/>
  <c r="AN141" i="2" s="1"/>
  <c r="AK141" i="2"/>
  <c r="AJ141" i="2"/>
  <c r="AH141" i="2"/>
  <c r="AI141" i="2" s="1"/>
  <c r="AG141" i="2"/>
  <c r="AF141" i="2"/>
  <c r="AE141" i="2"/>
  <c r="AD141" i="2"/>
  <c r="AL140" i="2"/>
  <c r="AK140" i="2"/>
  <c r="AM140" i="2" s="1"/>
  <c r="AJ140" i="2"/>
  <c r="AH140" i="2"/>
  <c r="AI140" i="2" s="1"/>
  <c r="AG140" i="2"/>
  <c r="AF140" i="2"/>
  <c r="AE140" i="2"/>
  <c r="AD140" i="2"/>
  <c r="AL139" i="2"/>
  <c r="AK139" i="2"/>
  <c r="AN139" i="2" s="1"/>
  <c r="AJ139" i="2"/>
  <c r="AI139" i="2"/>
  <c r="AH139" i="2"/>
  <c r="AG139" i="2"/>
  <c r="AF139" i="2"/>
  <c r="AE139" i="2"/>
  <c r="AD139" i="2"/>
  <c r="AL138" i="2"/>
  <c r="AK138" i="2"/>
  <c r="AJ138" i="2"/>
  <c r="AH138" i="2"/>
  <c r="AI138" i="2" s="1"/>
  <c r="AG138" i="2"/>
  <c r="AF138" i="2"/>
  <c r="AE138" i="2"/>
  <c r="AD138" i="2"/>
  <c r="AL137" i="2"/>
  <c r="AM137" i="2" s="1"/>
  <c r="AK137" i="2"/>
  <c r="AN137" i="2" s="1"/>
  <c r="AJ137" i="2"/>
  <c r="AH137" i="2"/>
  <c r="AI137" i="2" s="1"/>
  <c r="AG137" i="2"/>
  <c r="AF137" i="2"/>
  <c r="AE137" i="2"/>
  <c r="AD137" i="2"/>
  <c r="AL136" i="2"/>
  <c r="AK136" i="2"/>
  <c r="AJ136" i="2"/>
  <c r="AH136" i="2"/>
  <c r="AI136" i="2" s="1"/>
  <c r="AG136" i="2"/>
  <c r="AF136" i="2"/>
  <c r="AE136" i="2"/>
  <c r="AD136" i="2"/>
  <c r="AL135" i="2"/>
  <c r="AK135" i="2"/>
  <c r="AM135" i="2" s="1"/>
  <c r="AJ135" i="2"/>
  <c r="AH135" i="2"/>
  <c r="AI135" i="2" s="1"/>
  <c r="AG135" i="2"/>
  <c r="AF135" i="2"/>
  <c r="AE135" i="2"/>
  <c r="AD135" i="2"/>
  <c r="AL134" i="2"/>
  <c r="AK134" i="2"/>
  <c r="AJ134" i="2"/>
  <c r="AH134" i="2"/>
  <c r="AI134" i="2" s="1"/>
  <c r="AG134" i="2"/>
  <c r="AF134" i="2"/>
  <c r="AE134" i="2"/>
  <c r="AD134" i="2"/>
  <c r="AN133" i="2"/>
  <c r="AL133" i="2"/>
  <c r="AK133" i="2"/>
  <c r="AM133" i="2" s="1"/>
  <c r="AJ133" i="2"/>
  <c r="AH133" i="2"/>
  <c r="AI133" i="2" s="1"/>
  <c r="AG133" i="2"/>
  <c r="AF133" i="2"/>
  <c r="AE133" i="2"/>
  <c r="AD133" i="2"/>
  <c r="AL132" i="2"/>
  <c r="AK132" i="2"/>
  <c r="AJ132" i="2"/>
  <c r="AH132" i="2"/>
  <c r="AI132" i="2" s="1"/>
  <c r="AG132" i="2"/>
  <c r="AF132" i="2"/>
  <c r="AE132" i="2"/>
  <c r="AD132" i="2"/>
  <c r="AL131" i="2"/>
  <c r="AK131" i="2"/>
  <c r="AM131" i="2" s="1"/>
  <c r="AJ131" i="2"/>
  <c r="AH131" i="2"/>
  <c r="AI131" i="2" s="1"/>
  <c r="AG131" i="2"/>
  <c r="AF131" i="2"/>
  <c r="AE131" i="2"/>
  <c r="AD131" i="2"/>
  <c r="AL130" i="2"/>
  <c r="AK130" i="2"/>
  <c r="AJ130" i="2"/>
  <c r="AH130" i="2"/>
  <c r="AI130" i="2" s="1"/>
  <c r="AG130" i="2"/>
  <c r="AF130" i="2"/>
  <c r="AE130" i="2"/>
  <c r="AD130" i="2"/>
  <c r="AN129" i="2"/>
  <c r="AL129" i="2"/>
  <c r="AK129" i="2"/>
  <c r="AM129" i="2" s="1"/>
  <c r="AJ129" i="2"/>
  <c r="AH129" i="2"/>
  <c r="AI129" i="2" s="1"/>
  <c r="AG129" i="2"/>
  <c r="AF129" i="2"/>
  <c r="AE129" i="2"/>
  <c r="AD129" i="2"/>
  <c r="AN128" i="2"/>
  <c r="AL128" i="2"/>
  <c r="AK128" i="2"/>
  <c r="AM128" i="2" s="1"/>
  <c r="AJ128" i="2"/>
  <c r="AH128" i="2"/>
  <c r="AI128" i="2" s="1"/>
  <c r="AG128" i="2"/>
  <c r="AF128" i="2"/>
  <c r="AE128" i="2"/>
  <c r="AD128" i="2"/>
  <c r="AL127" i="2"/>
  <c r="AK127" i="2"/>
  <c r="AN127" i="2" s="1"/>
  <c r="AJ127" i="2"/>
  <c r="AI127" i="2"/>
  <c r="AH127" i="2"/>
  <c r="AG127" i="2"/>
  <c r="AF127" i="2"/>
  <c r="AE127" i="2"/>
  <c r="AD127" i="2"/>
  <c r="AL126" i="2"/>
  <c r="AK126" i="2"/>
  <c r="AJ126" i="2"/>
  <c r="AH126" i="2"/>
  <c r="AI126" i="2" s="1"/>
  <c r="AG126" i="2"/>
  <c r="AF126" i="2"/>
  <c r="AE126" i="2"/>
  <c r="AD126" i="2"/>
  <c r="AL125" i="2"/>
  <c r="AM125" i="2" s="1"/>
  <c r="AK125" i="2"/>
  <c r="AN125" i="2" s="1"/>
  <c r="AJ125" i="2"/>
  <c r="AI125" i="2"/>
  <c r="AH125" i="2"/>
  <c r="AG125" i="2"/>
  <c r="AF125" i="2"/>
  <c r="AE125" i="2"/>
  <c r="AD125" i="2"/>
  <c r="AL124" i="2"/>
  <c r="AN124" i="2" s="1"/>
  <c r="AK124" i="2"/>
  <c r="AJ124" i="2"/>
  <c r="AH124" i="2"/>
  <c r="AI124" i="2" s="1"/>
  <c r="AG124" i="2"/>
  <c r="AF124" i="2"/>
  <c r="AE124" i="2"/>
  <c r="AD124" i="2"/>
  <c r="AL123" i="2"/>
  <c r="AK123" i="2"/>
  <c r="AJ123" i="2"/>
  <c r="AH123" i="2"/>
  <c r="AI123" i="2" s="1"/>
  <c r="AG123" i="2"/>
  <c r="AF123" i="2"/>
  <c r="AE123" i="2"/>
  <c r="AD123" i="2"/>
  <c r="AL122" i="2"/>
  <c r="AK122" i="2"/>
  <c r="AJ122" i="2"/>
  <c r="AH122" i="2"/>
  <c r="AI122" i="2" s="1"/>
  <c r="AG122" i="2"/>
  <c r="AF122" i="2"/>
  <c r="AE122" i="2"/>
  <c r="AD122" i="2"/>
  <c r="AL121" i="2"/>
  <c r="AK121" i="2"/>
  <c r="AJ121" i="2"/>
  <c r="AH121" i="2"/>
  <c r="AI121" i="2" s="1"/>
  <c r="AG121" i="2"/>
  <c r="AF121" i="2"/>
  <c r="AE121" i="2"/>
  <c r="AD121" i="2"/>
  <c r="AN120" i="2"/>
  <c r="AM120" i="2"/>
  <c r="AL120" i="2"/>
  <c r="AK120" i="2"/>
  <c r="AJ120" i="2"/>
  <c r="AH120" i="2"/>
  <c r="AI120" i="2" s="1"/>
  <c r="AG120" i="2"/>
  <c r="AF120" i="2"/>
  <c r="AE120" i="2"/>
  <c r="AD120" i="2"/>
  <c r="AL119" i="2"/>
  <c r="AK119" i="2"/>
  <c r="AN119" i="2" s="1"/>
  <c r="AJ119" i="2"/>
  <c r="AH119" i="2"/>
  <c r="AI119" i="2" s="1"/>
  <c r="AG119" i="2"/>
  <c r="AF119" i="2"/>
  <c r="AE119" i="2"/>
  <c r="AD119" i="2"/>
  <c r="AL118" i="2"/>
  <c r="AK118" i="2"/>
  <c r="AJ118" i="2"/>
  <c r="AH118" i="2"/>
  <c r="AI118" i="2" s="1"/>
  <c r="AG118" i="2"/>
  <c r="AF118" i="2"/>
  <c r="AE118" i="2"/>
  <c r="AD118" i="2"/>
  <c r="AN117" i="2"/>
  <c r="AM117" i="2"/>
  <c r="AL117" i="2"/>
  <c r="AK117" i="2"/>
  <c r="AJ117" i="2"/>
  <c r="AH117" i="2"/>
  <c r="AI117" i="2" s="1"/>
  <c r="AG117" i="2"/>
  <c r="AF117" i="2"/>
  <c r="AE117" i="2"/>
  <c r="AD117" i="2"/>
  <c r="AL116" i="2"/>
  <c r="AK116" i="2"/>
  <c r="AJ116" i="2"/>
  <c r="AH116" i="2"/>
  <c r="AI116" i="2" s="1"/>
  <c r="AG116" i="2"/>
  <c r="AF116" i="2"/>
  <c r="AE116" i="2"/>
  <c r="AD116" i="2"/>
  <c r="AL115" i="2"/>
  <c r="AK115" i="2"/>
  <c r="AN115" i="2" s="1"/>
  <c r="AJ115" i="2"/>
  <c r="AH115" i="2"/>
  <c r="AI115" i="2" s="1"/>
  <c r="AG115" i="2"/>
  <c r="AF115" i="2"/>
  <c r="AE115" i="2"/>
  <c r="AD115" i="2"/>
  <c r="AL114" i="2"/>
  <c r="AK114" i="2"/>
  <c r="AJ114" i="2"/>
  <c r="AH114" i="2"/>
  <c r="AI114" i="2" s="1"/>
  <c r="AG114" i="2"/>
  <c r="AF114" i="2"/>
  <c r="AE114" i="2"/>
  <c r="AD114" i="2"/>
  <c r="AL113" i="2"/>
  <c r="AK113" i="2"/>
  <c r="AM113" i="2" s="1"/>
  <c r="AJ113" i="2"/>
  <c r="AH113" i="2"/>
  <c r="AI113" i="2" s="1"/>
  <c r="AG113" i="2"/>
  <c r="AF113" i="2"/>
  <c r="AE113" i="2"/>
  <c r="AD113" i="2"/>
  <c r="AN112" i="2"/>
  <c r="AL112" i="2"/>
  <c r="AK112" i="2"/>
  <c r="AM112" i="2" s="1"/>
  <c r="AJ112" i="2"/>
  <c r="AH112" i="2"/>
  <c r="AI112" i="2" s="1"/>
  <c r="AG112" i="2"/>
  <c r="AF112" i="2"/>
  <c r="AE112" i="2"/>
  <c r="AD112" i="2"/>
  <c r="AL111" i="2"/>
  <c r="AK111" i="2"/>
  <c r="AN111" i="2" s="1"/>
  <c r="AJ111" i="2"/>
  <c r="AI111" i="2"/>
  <c r="AH111" i="2"/>
  <c r="AG111" i="2"/>
  <c r="AF111" i="2"/>
  <c r="AE111" i="2"/>
  <c r="AD111" i="2"/>
  <c r="AL110" i="2"/>
  <c r="AK110" i="2"/>
  <c r="AJ110" i="2"/>
  <c r="AH110" i="2"/>
  <c r="AI110" i="2" s="1"/>
  <c r="AG110" i="2"/>
  <c r="AF110" i="2"/>
  <c r="AE110" i="2"/>
  <c r="AD110" i="2"/>
  <c r="AL109" i="2"/>
  <c r="AM109" i="2" s="1"/>
  <c r="AK109" i="2"/>
  <c r="AJ109" i="2"/>
  <c r="AI109" i="2"/>
  <c r="AH109" i="2"/>
  <c r="AG109" i="2"/>
  <c r="AF109" i="2"/>
  <c r="AE109" i="2"/>
  <c r="AD109" i="2"/>
  <c r="AL108" i="2"/>
  <c r="AN108" i="2" s="1"/>
  <c r="AK108" i="2"/>
  <c r="AJ108" i="2"/>
  <c r="AH108" i="2"/>
  <c r="AI108" i="2" s="1"/>
  <c r="AG108" i="2"/>
  <c r="AF108" i="2"/>
  <c r="AE108" i="2"/>
  <c r="AD108" i="2"/>
  <c r="AL107" i="2"/>
  <c r="AK107" i="2"/>
  <c r="AJ107" i="2"/>
  <c r="AH107" i="2"/>
  <c r="AI107" i="2" s="1"/>
  <c r="AG107" i="2"/>
  <c r="AF107" i="2"/>
  <c r="AE107" i="2"/>
  <c r="AD107" i="2"/>
  <c r="AL106" i="2"/>
  <c r="AK106" i="2"/>
  <c r="AJ106" i="2"/>
  <c r="AH106" i="2"/>
  <c r="AI106" i="2" s="1"/>
  <c r="AG106" i="2"/>
  <c r="AF106" i="2"/>
  <c r="AE106" i="2"/>
  <c r="AD106" i="2"/>
  <c r="AL105" i="2"/>
  <c r="AK105" i="2"/>
  <c r="AJ105" i="2"/>
  <c r="AH105" i="2"/>
  <c r="AI105" i="2" s="1"/>
  <c r="AG105" i="2"/>
  <c r="AF105" i="2"/>
  <c r="AE105" i="2"/>
  <c r="AD105" i="2"/>
  <c r="AL104" i="2"/>
  <c r="AK104" i="2"/>
  <c r="AN104" i="2" s="1"/>
  <c r="AJ104" i="2"/>
  <c r="AH104" i="2"/>
  <c r="AI104" i="2" s="1"/>
  <c r="AG104" i="2"/>
  <c r="AF104" i="2"/>
  <c r="AE104" i="2"/>
  <c r="AD104" i="2"/>
  <c r="AL103" i="2"/>
  <c r="AK103" i="2"/>
  <c r="AN103" i="2" s="1"/>
  <c r="AJ103" i="2"/>
  <c r="AH103" i="2"/>
  <c r="AI103" i="2" s="1"/>
  <c r="AG103" i="2"/>
  <c r="AF103" i="2"/>
  <c r="AE103" i="2"/>
  <c r="AD103" i="2"/>
  <c r="AL102" i="2"/>
  <c r="AK102" i="2"/>
  <c r="AJ102" i="2"/>
  <c r="AH102" i="2"/>
  <c r="AI102" i="2" s="1"/>
  <c r="AG102" i="2"/>
  <c r="AF102" i="2"/>
  <c r="AE102" i="2"/>
  <c r="AD102" i="2"/>
  <c r="AN101" i="2"/>
  <c r="AM101" i="2"/>
  <c r="AL101" i="2"/>
  <c r="AK101" i="2"/>
  <c r="AJ101" i="2"/>
  <c r="AH101" i="2"/>
  <c r="AI101" i="2" s="1"/>
  <c r="AG101" i="2"/>
  <c r="AF101" i="2"/>
  <c r="AE101" i="2"/>
  <c r="AD101" i="2"/>
  <c r="AL100" i="2"/>
  <c r="AK100" i="2"/>
  <c r="AJ100" i="2"/>
  <c r="AH100" i="2"/>
  <c r="AI100" i="2" s="1"/>
  <c r="AG100" i="2"/>
  <c r="AF100" i="2"/>
  <c r="AE100" i="2"/>
  <c r="AD100" i="2"/>
  <c r="AL99" i="2"/>
  <c r="AK99" i="2"/>
  <c r="AJ99" i="2"/>
  <c r="AH99" i="2"/>
  <c r="AI99" i="2" s="1"/>
  <c r="AG99" i="2"/>
  <c r="AF99" i="2"/>
  <c r="AE99" i="2"/>
  <c r="AD99" i="2"/>
  <c r="AL98" i="2"/>
  <c r="AK98" i="2"/>
  <c r="AJ98" i="2"/>
  <c r="AH98" i="2"/>
  <c r="AI98" i="2" s="1"/>
  <c r="AG98" i="2"/>
  <c r="AF98" i="2"/>
  <c r="AE98" i="2"/>
  <c r="AD98" i="2"/>
  <c r="AL97" i="2"/>
  <c r="AK97" i="2"/>
  <c r="AN97" i="2" s="1"/>
  <c r="AJ97" i="2"/>
  <c r="AH97" i="2"/>
  <c r="AI97" i="2" s="1"/>
  <c r="AG97" i="2"/>
  <c r="AF97" i="2"/>
  <c r="AE97" i="2"/>
  <c r="AD97" i="2"/>
  <c r="AN96" i="2"/>
  <c r="AL96" i="2"/>
  <c r="AK96" i="2"/>
  <c r="AM96" i="2" s="1"/>
  <c r="AJ96" i="2"/>
  <c r="AH96" i="2"/>
  <c r="AI96" i="2" s="1"/>
  <c r="AG96" i="2"/>
  <c r="AF96" i="2"/>
  <c r="AE96" i="2"/>
  <c r="AD96" i="2"/>
  <c r="AL95" i="2"/>
  <c r="AK95" i="2"/>
  <c r="AN95" i="2" s="1"/>
  <c r="AJ95" i="2"/>
  <c r="AH95" i="2"/>
  <c r="AI95" i="2" s="1"/>
  <c r="AG95" i="2"/>
  <c r="AF95" i="2"/>
  <c r="AE95" i="2"/>
  <c r="AD95" i="2"/>
  <c r="AL94" i="2"/>
  <c r="AK94" i="2"/>
  <c r="AJ94" i="2"/>
  <c r="AH94" i="2"/>
  <c r="AI94" i="2" s="1"/>
  <c r="AG94" i="2"/>
  <c r="AF94" i="2"/>
  <c r="AE94" i="2"/>
  <c r="AD94" i="2"/>
  <c r="AL93" i="2"/>
  <c r="AK93" i="2"/>
  <c r="AN93" i="2" s="1"/>
  <c r="AJ93" i="2"/>
  <c r="AI93" i="2"/>
  <c r="AH93" i="2"/>
  <c r="AG93" i="2"/>
  <c r="AF93" i="2"/>
  <c r="AE93" i="2"/>
  <c r="AD93" i="2"/>
  <c r="AN92" i="2"/>
  <c r="AM92" i="2"/>
  <c r="AL92" i="2"/>
  <c r="AK92" i="2"/>
  <c r="AJ92" i="2"/>
  <c r="AH92" i="2"/>
  <c r="AI92" i="2" s="1"/>
  <c r="AG92" i="2"/>
  <c r="AF92" i="2"/>
  <c r="AE92" i="2"/>
  <c r="AD92" i="2"/>
  <c r="AL91" i="2"/>
  <c r="AK91" i="2"/>
  <c r="AJ91" i="2"/>
  <c r="AH91" i="2"/>
  <c r="AI91" i="2" s="1"/>
  <c r="AG91" i="2"/>
  <c r="AF91" i="2"/>
  <c r="AE91" i="2"/>
  <c r="AD91" i="2"/>
  <c r="AL90" i="2"/>
  <c r="AK90" i="2"/>
  <c r="AJ90" i="2"/>
  <c r="AH90" i="2"/>
  <c r="AI90" i="2" s="1"/>
  <c r="AG90" i="2"/>
  <c r="AF90" i="2"/>
  <c r="AE90" i="2"/>
  <c r="AD90" i="2"/>
  <c r="AL89" i="2"/>
  <c r="AK89" i="2"/>
  <c r="AJ89" i="2"/>
  <c r="AH89" i="2"/>
  <c r="AI89" i="2" s="1"/>
  <c r="AG89" i="2"/>
  <c r="AF89" i="2"/>
  <c r="AE89" i="2"/>
  <c r="AD89" i="2"/>
  <c r="AL88" i="2"/>
  <c r="AK88" i="2"/>
  <c r="AN88" i="2" s="1"/>
  <c r="AJ88" i="2"/>
  <c r="AH88" i="2"/>
  <c r="AI88" i="2" s="1"/>
  <c r="AG88" i="2"/>
  <c r="AF88" i="2"/>
  <c r="AE88" i="2"/>
  <c r="AD88" i="2"/>
  <c r="AL87" i="2"/>
  <c r="AK87" i="2"/>
  <c r="AN87" i="2" s="1"/>
  <c r="AJ87" i="2"/>
  <c r="AH87" i="2"/>
  <c r="AI87" i="2" s="1"/>
  <c r="AG87" i="2"/>
  <c r="AF87" i="2"/>
  <c r="AE87" i="2"/>
  <c r="AD87" i="2"/>
  <c r="AL86" i="2"/>
  <c r="AK86" i="2"/>
  <c r="AJ86" i="2"/>
  <c r="AH86" i="2"/>
  <c r="AI86" i="2" s="1"/>
  <c r="AG86" i="2"/>
  <c r="AF86" i="2"/>
  <c r="AE86" i="2"/>
  <c r="AD86" i="2"/>
  <c r="AN85" i="2"/>
  <c r="AM85" i="2"/>
  <c r="AL85" i="2"/>
  <c r="AK85" i="2"/>
  <c r="AJ85" i="2"/>
  <c r="AH85" i="2"/>
  <c r="AI85" i="2" s="1"/>
  <c r="AG85" i="2"/>
  <c r="AF85" i="2"/>
  <c r="AE85" i="2"/>
  <c r="AD85" i="2"/>
  <c r="AL84" i="2"/>
  <c r="AK84" i="2"/>
  <c r="AJ84" i="2"/>
  <c r="AH84" i="2"/>
  <c r="AI84" i="2" s="1"/>
  <c r="AG84" i="2"/>
  <c r="AF84" i="2"/>
  <c r="AE84" i="2"/>
  <c r="AD84" i="2"/>
  <c r="AL83" i="2"/>
  <c r="AK83" i="2"/>
  <c r="AN83" i="2" s="1"/>
  <c r="AJ83" i="2"/>
  <c r="AH83" i="2"/>
  <c r="AI83" i="2" s="1"/>
  <c r="AG83" i="2"/>
  <c r="AF83" i="2"/>
  <c r="AE83" i="2"/>
  <c r="AD83" i="2"/>
  <c r="AL82" i="2"/>
  <c r="AK82" i="2"/>
  <c r="AJ82" i="2"/>
  <c r="AH82" i="2"/>
  <c r="AI82" i="2" s="1"/>
  <c r="AG82" i="2"/>
  <c r="AF82" i="2"/>
  <c r="AE82" i="2"/>
  <c r="AD82" i="2"/>
  <c r="AN81" i="2"/>
  <c r="AL81" i="2"/>
  <c r="AK81" i="2"/>
  <c r="AM81" i="2" s="1"/>
  <c r="AJ81" i="2"/>
  <c r="AH81" i="2"/>
  <c r="AI81" i="2" s="1"/>
  <c r="AG81" i="2"/>
  <c r="AF81" i="2"/>
  <c r="AE81" i="2"/>
  <c r="AD81" i="2"/>
  <c r="AL80" i="2"/>
  <c r="AK80" i="2"/>
  <c r="AM80" i="2" s="1"/>
  <c r="AJ80" i="2"/>
  <c r="AH80" i="2"/>
  <c r="AI80" i="2" s="1"/>
  <c r="AG80" i="2"/>
  <c r="AF80" i="2"/>
  <c r="AE80" i="2"/>
  <c r="AD80" i="2"/>
  <c r="AL79" i="2"/>
  <c r="AK79" i="2"/>
  <c r="AN79" i="2" s="1"/>
  <c r="AJ79" i="2"/>
  <c r="AH79" i="2"/>
  <c r="AI79" i="2" s="1"/>
  <c r="AG79" i="2"/>
  <c r="AF79" i="2"/>
  <c r="AE79" i="2"/>
  <c r="AD79" i="2"/>
  <c r="AL78" i="2"/>
  <c r="AK78" i="2"/>
  <c r="AJ78" i="2"/>
  <c r="AH78" i="2"/>
  <c r="AI78" i="2" s="1"/>
  <c r="AG78" i="2"/>
  <c r="AF78" i="2"/>
  <c r="AE78" i="2"/>
  <c r="AD78" i="2"/>
  <c r="AL77" i="2"/>
  <c r="AK77" i="2"/>
  <c r="AM77" i="2" s="1"/>
  <c r="AJ77" i="2"/>
  <c r="AI77" i="2"/>
  <c r="AH77" i="2"/>
  <c r="AG77" i="2"/>
  <c r="AF77" i="2"/>
  <c r="AE77" i="2"/>
  <c r="AD77" i="2"/>
  <c r="AN76" i="2"/>
  <c r="AM76" i="2"/>
  <c r="AL76" i="2"/>
  <c r="AK76" i="2"/>
  <c r="AJ76" i="2"/>
  <c r="AH76" i="2"/>
  <c r="AI76" i="2" s="1"/>
  <c r="AG76" i="2"/>
  <c r="AF76" i="2"/>
  <c r="AE76" i="2"/>
  <c r="AD76" i="2"/>
  <c r="AL75" i="2"/>
  <c r="AK75" i="2"/>
  <c r="AJ75" i="2"/>
  <c r="AH75" i="2"/>
  <c r="AI75" i="2" s="1"/>
  <c r="AG75" i="2"/>
  <c r="AF75" i="2"/>
  <c r="AE75" i="2"/>
  <c r="AD75" i="2"/>
  <c r="AL74" i="2"/>
  <c r="AK74" i="2"/>
  <c r="AJ74" i="2"/>
  <c r="AH74" i="2"/>
  <c r="AI74" i="2" s="1"/>
  <c r="AG74" i="2"/>
  <c r="AF74" i="2"/>
  <c r="AE74" i="2"/>
  <c r="AD74" i="2"/>
  <c r="AL73" i="2"/>
  <c r="AK73" i="2"/>
  <c r="AJ73" i="2"/>
  <c r="AH73" i="2"/>
  <c r="AI73" i="2" s="1"/>
  <c r="AG73" i="2"/>
  <c r="AF73" i="2"/>
  <c r="AE73" i="2"/>
  <c r="AD73" i="2"/>
  <c r="AL72" i="2"/>
  <c r="AK72" i="2"/>
  <c r="AN72" i="2" s="1"/>
  <c r="AJ72" i="2"/>
  <c r="AH72" i="2"/>
  <c r="AI72" i="2" s="1"/>
  <c r="AG72" i="2"/>
  <c r="AF72" i="2"/>
  <c r="AE72" i="2"/>
  <c r="AD72" i="2"/>
  <c r="AL71" i="2"/>
  <c r="AK71" i="2"/>
  <c r="AN71" i="2" s="1"/>
  <c r="AJ71" i="2"/>
  <c r="AH71" i="2"/>
  <c r="AI71" i="2" s="1"/>
  <c r="AG71" i="2"/>
  <c r="AF71" i="2"/>
  <c r="AE71" i="2"/>
  <c r="AD71" i="2"/>
  <c r="AL70" i="2"/>
  <c r="AK70" i="2"/>
  <c r="AJ70" i="2"/>
  <c r="AH70" i="2"/>
  <c r="AI70" i="2" s="1"/>
  <c r="AG70" i="2"/>
  <c r="AF70" i="2"/>
  <c r="AE70" i="2"/>
  <c r="AD70" i="2"/>
  <c r="AN69" i="2"/>
  <c r="AM69" i="2"/>
  <c r="AL69" i="2"/>
  <c r="AK69" i="2"/>
  <c r="AJ69" i="2"/>
  <c r="AH69" i="2"/>
  <c r="AI69" i="2" s="1"/>
  <c r="AG69" i="2"/>
  <c r="AF69" i="2"/>
  <c r="AE69" i="2"/>
  <c r="AD69" i="2"/>
  <c r="AM68" i="2"/>
  <c r="AL68" i="2"/>
  <c r="AK68" i="2"/>
  <c r="AN68" i="2" s="1"/>
  <c r="AJ68" i="2"/>
  <c r="AH68" i="2"/>
  <c r="AI68" i="2" s="1"/>
  <c r="AG68" i="2"/>
  <c r="AF68" i="2"/>
  <c r="AE68" i="2"/>
  <c r="AD68" i="2"/>
  <c r="AL67" i="2"/>
  <c r="AK67" i="2"/>
  <c r="AJ67" i="2"/>
  <c r="AI67" i="2"/>
  <c r="AH67" i="2"/>
  <c r="AG67" i="2"/>
  <c r="AF67" i="2"/>
  <c r="AE67" i="2"/>
  <c r="AD67" i="2"/>
  <c r="AL66" i="2"/>
  <c r="AK66" i="2"/>
  <c r="AJ66" i="2"/>
  <c r="AH66" i="2"/>
  <c r="AI66" i="2" s="1"/>
  <c r="AG66" i="2"/>
  <c r="AF66" i="2"/>
  <c r="AE66" i="2"/>
  <c r="AD66" i="2"/>
  <c r="AL65" i="2"/>
  <c r="AN65" i="2" s="1"/>
  <c r="AK65" i="2"/>
  <c r="AJ65" i="2"/>
  <c r="AH65" i="2"/>
  <c r="AI65" i="2" s="1"/>
  <c r="AG65" i="2"/>
  <c r="AF65" i="2"/>
  <c r="AE65" i="2"/>
  <c r="AD65" i="2"/>
  <c r="AN64" i="2"/>
  <c r="AL64" i="2"/>
  <c r="AK64" i="2"/>
  <c r="AJ64" i="2"/>
  <c r="AH64" i="2"/>
  <c r="AI64" i="2" s="1"/>
  <c r="AG64" i="2"/>
  <c r="AF64" i="2"/>
  <c r="AE64" i="2"/>
  <c r="AD64" i="2"/>
  <c r="AL63" i="2"/>
  <c r="AK63" i="2"/>
  <c r="AJ63" i="2"/>
  <c r="AH63" i="2"/>
  <c r="AI63" i="2" s="1"/>
  <c r="AG63" i="2"/>
  <c r="AF63" i="2"/>
  <c r="AE63" i="2"/>
  <c r="AD63" i="2"/>
  <c r="AL62" i="2"/>
  <c r="AK62" i="2"/>
  <c r="AJ62" i="2"/>
  <c r="AH62" i="2"/>
  <c r="AI62" i="2" s="1"/>
  <c r="AG62" i="2"/>
  <c r="AF62" i="2"/>
  <c r="AE62" i="2"/>
  <c r="AD62" i="2"/>
  <c r="AL61" i="2"/>
  <c r="AM61" i="2" s="1"/>
  <c r="AK61" i="2"/>
  <c r="AJ61" i="2"/>
  <c r="AH61" i="2"/>
  <c r="AI61" i="2" s="1"/>
  <c r="AG61" i="2"/>
  <c r="AF61" i="2"/>
  <c r="AE61" i="2"/>
  <c r="AD61" i="2"/>
  <c r="AN60" i="2"/>
  <c r="AL60" i="2"/>
  <c r="AK60" i="2"/>
  <c r="AJ60" i="2"/>
  <c r="AH60" i="2"/>
  <c r="AI60" i="2" s="1"/>
  <c r="AG60" i="2"/>
  <c r="AF60" i="2"/>
  <c r="AE60" i="2"/>
  <c r="AD60" i="2"/>
  <c r="AL59" i="2"/>
  <c r="AK59" i="2"/>
  <c r="AJ59" i="2"/>
  <c r="AI59" i="2"/>
  <c r="AH59" i="2"/>
  <c r="AG59" i="2"/>
  <c r="AF59" i="2"/>
  <c r="AE59" i="2"/>
  <c r="AD59" i="2"/>
  <c r="AL58" i="2"/>
  <c r="AK58" i="2"/>
  <c r="AJ58" i="2"/>
  <c r="AH58" i="2"/>
  <c r="AI58" i="2" s="1"/>
  <c r="AG58" i="2"/>
  <c r="AF58" i="2"/>
  <c r="AE58" i="2"/>
  <c r="AD58" i="2"/>
  <c r="AL57" i="2"/>
  <c r="AM57" i="2" s="1"/>
  <c r="AK57" i="2"/>
  <c r="AJ57" i="2"/>
  <c r="AH57" i="2"/>
  <c r="AI57" i="2" s="1"/>
  <c r="AG57" i="2"/>
  <c r="AF57" i="2"/>
  <c r="AE57" i="2"/>
  <c r="AD57" i="2"/>
  <c r="AN56" i="2"/>
  <c r="AL56" i="2"/>
  <c r="AK56" i="2"/>
  <c r="AJ56" i="2"/>
  <c r="AI56" i="2"/>
  <c r="AH56" i="2"/>
  <c r="AG56" i="2"/>
  <c r="AF56" i="2"/>
  <c r="AE56" i="2"/>
  <c r="AD56" i="2"/>
  <c r="AL55" i="2"/>
  <c r="AK55" i="2"/>
  <c r="AM55" i="2" s="1"/>
  <c r="AJ55" i="2"/>
  <c r="AH55" i="2"/>
  <c r="AI55" i="2" s="1"/>
  <c r="AG55" i="2"/>
  <c r="AF55" i="2"/>
  <c r="AE55" i="2"/>
  <c r="AD55" i="2"/>
  <c r="AL54" i="2"/>
  <c r="AK54" i="2"/>
  <c r="AJ54" i="2"/>
  <c r="AH54" i="2"/>
  <c r="AI54" i="2" s="1"/>
  <c r="AG54" i="2"/>
  <c r="AF54" i="2"/>
  <c r="AE54" i="2"/>
  <c r="AD54" i="2"/>
  <c r="AN53" i="2"/>
  <c r="AL53" i="2"/>
  <c r="AK53" i="2"/>
  <c r="AM53" i="2" s="1"/>
  <c r="AJ53" i="2"/>
  <c r="AH53" i="2"/>
  <c r="AI53" i="2" s="1"/>
  <c r="AG53" i="2"/>
  <c r="AF53" i="2"/>
  <c r="AE53" i="2"/>
  <c r="AD53" i="2"/>
  <c r="AL52" i="2"/>
  <c r="AK52" i="2"/>
  <c r="AJ52" i="2"/>
  <c r="AH52" i="2"/>
  <c r="AI52" i="2" s="1"/>
  <c r="AG52" i="2"/>
  <c r="AF52" i="2"/>
  <c r="AE52" i="2"/>
  <c r="AD52" i="2"/>
  <c r="AL51" i="2"/>
  <c r="AM51" i="2" s="1"/>
  <c r="AK51" i="2"/>
  <c r="AJ51" i="2"/>
  <c r="AH51" i="2"/>
  <c r="AI51" i="2" s="1"/>
  <c r="AG51" i="2"/>
  <c r="AF51" i="2"/>
  <c r="AE51" i="2"/>
  <c r="AD51" i="2"/>
  <c r="AL50" i="2"/>
  <c r="AK50" i="2"/>
  <c r="AJ50" i="2"/>
  <c r="AH50" i="2"/>
  <c r="AI50" i="2" s="1"/>
  <c r="AG50" i="2"/>
  <c r="AF50" i="2"/>
  <c r="AE50" i="2"/>
  <c r="AD50" i="2"/>
  <c r="AL49" i="2"/>
  <c r="AK49" i="2"/>
  <c r="AN49" i="2" s="1"/>
  <c r="AJ49" i="2"/>
  <c r="AH49" i="2"/>
  <c r="AI49" i="2" s="1"/>
  <c r="AG49" i="2"/>
  <c r="AF49" i="2"/>
  <c r="AE49" i="2"/>
  <c r="AD49" i="2"/>
  <c r="AL48" i="2"/>
  <c r="AK48" i="2"/>
  <c r="AJ48" i="2"/>
  <c r="AH48" i="2"/>
  <c r="AI48" i="2" s="1"/>
  <c r="AG48" i="2"/>
  <c r="AF48" i="2"/>
  <c r="AE48" i="2"/>
  <c r="AD48" i="2"/>
  <c r="AL47" i="2"/>
  <c r="AM47" i="2" s="1"/>
  <c r="AK47" i="2"/>
  <c r="AJ47" i="2"/>
  <c r="AH47" i="2"/>
  <c r="AI47" i="2" s="1"/>
  <c r="AG47" i="2"/>
  <c r="AF47" i="2"/>
  <c r="AE47" i="2"/>
  <c r="AD47" i="2"/>
  <c r="AL46" i="2"/>
  <c r="AK46" i="2"/>
  <c r="AJ46" i="2"/>
  <c r="AH46" i="2"/>
  <c r="AI46" i="2" s="1"/>
  <c r="AG46" i="2"/>
  <c r="AF46" i="2"/>
  <c r="AE46" i="2"/>
  <c r="AD46" i="2"/>
  <c r="AN45" i="2"/>
  <c r="AL45" i="2"/>
  <c r="AK45" i="2"/>
  <c r="AM45" i="2" s="1"/>
  <c r="AJ45" i="2"/>
  <c r="AH45" i="2"/>
  <c r="AI45" i="2" s="1"/>
  <c r="AG45" i="2"/>
  <c r="AF45" i="2"/>
  <c r="AE45" i="2"/>
  <c r="AD45" i="2"/>
  <c r="AL44" i="2"/>
  <c r="AK44" i="2"/>
  <c r="AJ44" i="2"/>
  <c r="AH44" i="2"/>
  <c r="AI44" i="2" s="1"/>
  <c r="AG44" i="2"/>
  <c r="AF44" i="2"/>
  <c r="AE44" i="2"/>
  <c r="AD44" i="2"/>
  <c r="AL43" i="2"/>
  <c r="AK43" i="2"/>
  <c r="AM43" i="2" s="1"/>
  <c r="AJ43" i="2"/>
  <c r="AH43" i="2"/>
  <c r="AI43" i="2" s="1"/>
  <c r="AG43" i="2"/>
  <c r="AF43" i="2"/>
  <c r="AE43" i="2"/>
  <c r="AD43" i="2"/>
  <c r="AL42" i="2"/>
  <c r="AK42" i="2"/>
  <c r="AJ42" i="2"/>
  <c r="AH42" i="2"/>
  <c r="AI42" i="2" s="1"/>
  <c r="AG42" i="2"/>
  <c r="AF42" i="2"/>
  <c r="AE42" i="2"/>
  <c r="AD42" i="2"/>
  <c r="AL41" i="2"/>
  <c r="AK41" i="2"/>
  <c r="AN41" i="2" s="1"/>
  <c r="AJ41" i="2"/>
  <c r="AH41" i="2"/>
  <c r="AI41" i="2" s="1"/>
  <c r="AG41" i="2"/>
  <c r="AF41" i="2"/>
  <c r="AE41" i="2"/>
  <c r="AD41" i="2"/>
  <c r="AL40" i="2"/>
  <c r="AK40" i="2"/>
  <c r="AJ40" i="2"/>
  <c r="AH40" i="2"/>
  <c r="AI40" i="2" s="1"/>
  <c r="AG40" i="2"/>
  <c r="AF40" i="2"/>
  <c r="AE40" i="2"/>
  <c r="AD40" i="2"/>
  <c r="AL39" i="2"/>
  <c r="AM39" i="2" s="1"/>
  <c r="AK39" i="2"/>
  <c r="AJ39" i="2"/>
  <c r="AH39" i="2"/>
  <c r="AI39" i="2" s="1"/>
  <c r="AG39" i="2"/>
  <c r="AF39" i="2"/>
  <c r="AE39" i="2"/>
  <c r="AD39" i="2"/>
  <c r="AL38" i="2"/>
  <c r="AK38" i="2"/>
  <c r="AJ38" i="2"/>
  <c r="AH38" i="2"/>
  <c r="AI38" i="2" s="1"/>
  <c r="AG38" i="2"/>
  <c r="AF38" i="2"/>
  <c r="AE38" i="2"/>
  <c r="AD38" i="2"/>
  <c r="AM37" i="2"/>
  <c r="AL37" i="2"/>
  <c r="AK37" i="2"/>
  <c r="AN37" i="2" s="1"/>
  <c r="AJ37" i="2"/>
  <c r="AH37" i="2"/>
  <c r="AI37" i="2" s="1"/>
  <c r="AG37" i="2"/>
  <c r="AF37" i="2"/>
  <c r="AE37" i="2"/>
  <c r="AD37" i="2"/>
  <c r="AL36" i="2"/>
  <c r="AK36" i="2"/>
  <c r="AJ36" i="2"/>
  <c r="AH36" i="2"/>
  <c r="AI36" i="2" s="1"/>
  <c r="AG36" i="2"/>
  <c r="AF36" i="2"/>
  <c r="AE36" i="2"/>
  <c r="AD36" i="2"/>
  <c r="AL35" i="2"/>
  <c r="AK35" i="2"/>
  <c r="AN35" i="2" s="1"/>
  <c r="AJ35" i="2"/>
  <c r="AH35" i="2"/>
  <c r="AI35" i="2" s="1"/>
  <c r="AG35" i="2"/>
  <c r="AF35" i="2"/>
  <c r="AE35" i="2"/>
  <c r="AD35" i="2"/>
  <c r="AL34" i="2"/>
  <c r="AK34" i="2"/>
  <c r="AJ34" i="2"/>
  <c r="AH34" i="2"/>
  <c r="AI34" i="2" s="1"/>
  <c r="AG34" i="2"/>
  <c r="AF34" i="2"/>
  <c r="AE34" i="2"/>
  <c r="AD34" i="2"/>
  <c r="AL33" i="2"/>
  <c r="AK33" i="2"/>
  <c r="AM33" i="2" s="1"/>
  <c r="AJ33" i="2"/>
  <c r="AH33" i="2"/>
  <c r="AI33" i="2" s="1"/>
  <c r="AG33" i="2"/>
  <c r="AF33" i="2"/>
  <c r="AE33" i="2"/>
  <c r="AD33" i="2"/>
  <c r="AL32" i="2"/>
  <c r="AK32" i="2"/>
  <c r="AJ32" i="2"/>
  <c r="AH32" i="2"/>
  <c r="AI32" i="2" s="1"/>
  <c r="AG32" i="2"/>
  <c r="AF32" i="2"/>
  <c r="AE32" i="2"/>
  <c r="AD32" i="2"/>
  <c r="AL31" i="2"/>
  <c r="AK31" i="2"/>
  <c r="AJ31" i="2"/>
  <c r="AH31" i="2"/>
  <c r="AI31" i="2" s="1"/>
  <c r="AG31" i="2"/>
  <c r="AF31" i="2"/>
  <c r="AE31" i="2"/>
  <c r="AD31" i="2"/>
  <c r="AL30" i="2"/>
  <c r="AK30" i="2"/>
  <c r="AJ30" i="2"/>
  <c r="AI30" i="2"/>
  <c r="AH30" i="2"/>
  <c r="AG30" i="2"/>
  <c r="AF30" i="2"/>
  <c r="AE30" i="2"/>
  <c r="AD30" i="2"/>
  <c r="AL29" i="2"/>
  <c r="AM29" i="2" s="1"/>
  <c r="AK29" i="2"/>
  <c r="AJ29" i="2"/>
  <c r="AH29" i="2"/>
  <c r="AI29" i="2" s="1"/>
  <c r="AG29" i="2"/>
  <c r="AF29" i="2"/>
  <c r="AE29" i="2"/>
  <c r="AD29" i="2"/>
  <c r="AL28" i="2"/>
  <c r="AN28" i="2" s="1"/>
  <c r="AK28" i="2"/>
  <c r="AJ28" i="2"/>
  <c r="AH28" i="2"/>
  <c r="AI28" i="2" s="1"/>
  <c r="AG28" i="2"/>
  <c r="AF28" i="2"/>
  <c r="AE28" i="2"/>
  <c r="AD28" i="2"/>
  <c r="AM27" i="2"/>
  <c r="AL27" i="2"/>
  <c r="AK27" i="2"/>
  <c r="AJ27" i="2"/>
  <c r="AH27" i="2"/>
  <c r="AI27" i="2" s="1"/>
  <c r="AG27" i="2"/>
  <c r="AF27" i="2"/>
  <c r="AE27" i="2"/>
  <c r="AD27" i="2"/>
  <c r="AL26" i="2"/>
  <c r="AK26" i="2"/>
  <c r="AJ26" i="2"/>
  <c r="AH26" i="2"/>
  <c r="AI26" i="2" s="1"/>
  <c r="AG26" i="2"/>
  <c r="AF26" i="2"/>
  <c r="AE26" i="2"/>
  <c r="AD26" i="2"/>
  <c r="AL25" i="2"/>
  <c r="AK25" i="2"/>
  <c r="AN25" i="2" s="1"/>
  <c r="AJ25" i="2"/>
  <c r="AH25" i="2"/>
  <c r="AI25" i="2" s="1"/>
  <c r="AG25" i="2"/>
  <c r="AF25" i="2"/>
  <c r="AE25" i="2"/>
  <c r="AD25" i="2"/>
  <c r="AL24" i="2"/>
  <c r="AK24" i="2"/>
  <c r="AJ24" i="2"/>
  <c r="AH24" i="2"/>
  <c r="AI24" i="2" s="1"/>
  <c r="AG24" i="2"/>
  <c r="AF24" i="2"/>
  <c r="AE24" i="2"/>
  <c r="AD24" i="2"/>
  <c r="AL23" i="2"/>
  <c r="AK23" i="2"/>
  <c r="AN23" i="2" s="1"/>
  <c r="AJ23" i="2"/>
  <c r="AI23" i="2"/>
  <c r="AH23" i="2"/>
  <c r="AG23" i="2"/>
  <c r="AF23" i="2"/>
  <c r="AE23" i="2"/>
  <c r="AD23" i="2"/>
  <c r="AL22" i="2"/>
  <c r="AK22" i="2"/>
  <c r="AJ22" i="2"/>
  <c r="AH22" i="2"/>
  <c r="AI22" i="2" s="1"/>
  <c r="AG22" i="2"/>
  <c r="AF22" i="2"/>
  <c r="AE22" i="2"/>
  <c r="AD22" i="2"/>
  <c r="AN21" i="2"/>
  <c r="AM21" i="2"/>
  <c r="AL21" i="2"/>
  <c r="AK21" i="2"/>
  <c r="AJ21" i="2"/>
  <c r="AH21" i="2"/>
  <c r="AI21" i="2" s="1"/>
  <c r="AG21" i="2"/>
  <c r="AF21" i="2"/>
  <c r="AE21" i="2"/>
  <c r="AD21" i="2"/>
  <c r="AL20" i="2"/>
  <c r="AK20" i="2"/>
  <c r="AJ20" i="2"/>
  <c r="AH20" i="2"/>
  <c r="AI20" i="2" s="1"/>
  <c r="AG20" i="2"/>
  <c r="AF20" i="2"/>
  <c r="AE20" i="2"/>
  <c r="AD20" i="2"/>
  <c r="AL19" i="2"/>
  <c r="AK19" i="2"/>
  <c r="AN19" i="2" s="1"/>
  <c r="AJ19" i="2"/>
  <c r="AH19" i="2"/>
  <c r="AI19" i="2" s="1"/>
  <c r="AG19" i="2"/>
  <c r="AF19" i="2"/>
  <c r="AE19" i="2"/>
  <c r="AD19" i="2"/>
  <c r="AL18" i="2"/>
  <c r="AK18" i="2"/>
  <c r="AJ18" i="2"/>
  <c r="AH18" i="2"/>
  <c r="AI18" i="2" s="1"/>
  <c r="AG18" i="2"/>
  <c r="AF18" i="2"/>
  <c r="AE18" i="2"/>
  <c r="AD18" i="2"/>
  <c r="AL17" i="2"/>
  <c r="AK17" i="2"/>
  <c r="AN17" i="2" s="1"/>
  <c r="AJ17" i="2"/>
  <c r="AH17" i="2"/>
  <c r="AI17" i="2" s="1"/>
  <c r="AG17" i="2"/>
  <c r="AF17" i="2"/>
  <c r="AE17" i="2"/>
  <c r="AD17" i="2"/>
  <c r="AL16" i="2"/>
  <c r="AK16" i="2"/>
  <c r="AJ16" i="2"/>
  <c r="AH16" i="2"/>
  <c r="AI16" i="2" s="1"/>
  <c r="AG16" i="2"/>
  <c r="AF16" i="2"/>
  <c r="AE16" i="2"/>
  <c r="AD16" i="2"/>
  <c r="AL15" i="2"/>
  <c r="AK15" i="2"/>
  <c r="AN15" i="2" s="1"/>
  <c r="AJ15" i="2"/>
  <c r="AI15" i="2"/>
  <c r="AH15" i="2"/>
  <c r="AG15" i="2"/>
  <c r="AF15" i="2"/>
  <c r="AE15" i="2"/>
  <c r="AD15" i="2"/>
  <c r="AL14" i="2"/>
  <c r="AK14" i="2"/>
  <c r="AJ14" i="2"/>
  <c r="AH14" i="2"/>
  <c r="AI14" i="2" s="1"/>
  <c r="AG14" i="2"/>
  <c r="AF14" i="2"/>
  <c r="AE14" i="2"/>
  <c r="AD14" i="2"/>
  <c r="AL13" i="2"/>
  <c r="AN13" i="2" s="1"/>
  <c r="AK13" i="2"/>
  <c r="AJ13" i="2"/>
  <c r="AH13" i="2"/>
  <c r="AI13" i="2" s="1"/>
  <c r="AG13" i="2"/>
  <c r="AF13" i="2"/>
  <c r="AE13" i="2"/>
  <c r="AD13" i="2"/>
  <c r="AL12" i="2"/>
  <c r="AN12" i="2" s="1"/>
  <c r="AK12" i="2"/>
  <c r="AJ12" i="2"/>
  <c r="AH12" i="2"/>
  <c r="AI12" i="2" s="1"/>
  <c r="AG12" i="2"/>
  <c r="AF12" i="2"/>
  <c r="AE12" i="2"/>
  <c r="AD12" i="2"/>
  <c r="AL11" i="2"/>
  <c r="AK11" i="2"/>
  <c r="AN11" i="2" s="1"/>
  <c r="AJ11" i="2"/>
  <c r="AH11" i="2"/>
  <c r="AI11" i="2" s="1"/>
  <c r="AG11" i="2"/>
  <c r="AF11" i="2"/>
  <c r="AE11" i="2"/>
  <c r="AD11" i="2"/>
  <c r="AL10" i="2"/>
  <c r="AK10" i="2"/>
  <c r="AJ10" i="2"/>
  <c r="AH10" i="2"/>
  <c r="AI10" i="2" s="1"/>
  <c r="AG10" i="2"/>
  <c r="AF10" i="2"/>
  <c r="AE10" i="2"/>
  <c r="AD10" i="2"/>
  <c r="AL9" i="2"/>
  <c r="AK9" i="2"/>
  <c r="AN9" i="2" s="1"/>
  <c r="AJ9" i="2"/>
  <c r="AH9" i="2"/>
  <c r="AI9" i="2" s="1"/>
  <c r="AG9" i="2"/>
  <c r="AF9" i="2"/>
  <c r="AE9" i="2"/>
  <c r="AD9" i="2"/>
  <c r="AL8" i="2"/>
  <c r="AK8" i="2"/>
  <c r="AM8" i="2" s="1"/>
  <c r="AJ8" i="2"/>
  <c r="AH8" i="2"/>
  <c r="AI8" i="2" s="1"/>
  <c r="AG8" i="2"/>
  <c r="AF8" i="2"/>
  <c r="AE8" i="2"/>
  <c r="AD8" i="2"/>
  <c r="AL7" i="2"/>
  <c r="AK7" i="2"/>
  <c r="AJ7" i="2"/>
  <c r="AI7" i="2"/>
  <c r="AH7" i="2"/>
  <c r="AG7" i="2"/>
  <c r="AF7" i="2"/>
  <c r="AE7" i="2"/>
  <c r="AD7" i="2"/>
  <c r="AL6" i="2"/>
  <c r="AK6" i="2"/>
  <c r="AJ6" i="2"/>
  <c r="AH6" i="2"/>
  <c r="AI6" i="2" s="1"/>
  <c r="AG6" i="2"/>
  <c r="AF6" i="2"/>
  <c r="AE6" i="2"/>
  <c r="AD6" i="2"/>
  <c r="AL5" i="2"/>
  <c r="AK5" i="2"/>
  <c r="AJ5" i="2"/>
  <c r="AH5" i="2"/>
  <c r="AI5" i="2" s="1"/>
  <c r="AG5" i="2"/>
  <c r="AF5" i="2"/>
  <c r="AE5" i="2"/>
  <c r="AD5" i="2"/>
  <c r="AN4" i="2"/>
  <c r="AM4" i="2"/>
  <c r="AL4" i="2"/>
  <c r="AK4" i="2"/>
  <c r="AJ4" i="2"/>
  <c r="AH4" i="2"/>
  <c r="AI4" i="2" s="1"/>
  <c r="AG4" i="2"/>
  <c r="AF4" i="2"/>
  <c r="AE4" i="2"/>
  <c r="AD4" i="2"/>
  <c r="AL3" i="2"/>
  <c r="AK3" i="2"/>
  <c r="AN3" i="2" s="1"/>
  <c r="AJ3" i="2"/>
  <c r="AH3" i="2"/>
  <c r="AI3" i="2" s="1"/>
  <c r="AG3" i="2"/>
  <c r="AF3" i="2"/>
  <c r="AE3" i="2"/>
  <c r="AD3" i="2"/>
  <c r="AL2" i="2"/>
  <c r="AK2" i="2"/>
  <c r="AJ2" i="2"/>
  <c r="AH2" i="2"/>
  <c r="AI2" i="2" s="1"/>
  <c r="AG2" i="2"/>
  <c r="AF2" i="2"/>
  <c r="AE2" i="2"/>
  <c r="AD2" i="2"/>
  <c r="AM84" i="2" l="1"/>
  <c r="AN84" i="2"/>
  <c r="AN205" i="2"/>
  <c r="AM205" i="2"/>
  <c r="AN373" i="2"/>
  <c r="AM373" i="2"/>
  <c r="AN5" i="2"/>
  <c r="AM5" i="2"/>
  <c r="AN121" i="2"/>
  <c r="AM121" i="2"/>
  <c r="AM191" i="2"/>
  <c r="AN193" i="2"/>
  <c r="AM193" i="2"/>
  <c r="AN195" i="2"/>
  <c r="AM195" i="2"/>
  <c r="AM265" i="2"/>
  <c r="AM304" i="2"/>
  <c r="AN304" i="2"/>
  <c r="AM372" i="2"/>
  <c r="AM409" i="2"/>
  <c r="AM459" i="2"/>
  <c r="AN460" i="2"/>
  <c r="AM484" i="2"/>
  <c r="AM169" i="2"/>
  <c r="AN209" i="2"/>
  <c r="AM209" i="2"/>
  <c r="AN257" i="2"/>
  <c r="AM257" i="2"/>
  <c r="AN277" i="2"/>
  <c r="AN281" i="2"/>
  <c r="AM281" i="2"/>
  <c r="AN292" i="2"/>
  <c r="AN293" i="2"/>
  <c r="AM293" i="2"/>
  <c r="AM343" i="2"/>
  <c r="AN345" i="2"/>
  <c r="AM345" i="2"/>
  <c r="AM347" i="2"/>
  <c r="AN365" i="2"/>
  <c r="AM377" i="2"/>
  <c r="AM411" i="2"/>
  <c r="AN425" i="2"/>
  <c r="AM425" i="2"/>
  <c r="AM433" i="2"/>
  <c r="AN472" i="2"/>
  <c r="AN495" i="2"/>
  <c r="AM495" i="2"/>
  <c r="AN504" i="2"/>
  <c r="AM504" i="2"/>
  <c r="AN516" i="2"/>
  <c r="AN544" i="2"/>
  <c r="AN555" i="2"/>
  <c r="AM555" i="2"/>
  <c r="AN578" i="2"/>
  <c r="AM40" i="2"/>
  <c r="AN437" i="2"/>
  <c r="AM437" i="2"/>
  <c r="AN449" i="2"/>
  <c r="AM449" i="2"/>
  <c r="AM93" i="2"/>
  <c r="AM124" i="2"/>
  <c r="AN181" i="2"/>
  <c r="AM181" i="2"/>
  <c r="AN197" i="2"/>
  <c r="AM197" i="2"/>
  <c r="AM16" i="2"/>
  <c r="AM23" i="2"/>
  <c r="AM41" i="2"/>
  <c r="AM65" i="2"/>
  <c r="AM72" i="2"/>
  <c r="AN77" i="2"/>
  <c r="AM104" i="2"/>
  <c r="AN113" i="2"/>
  <c r="AN116" i="2"/>
  <c r="AM116" i="2"/>
  <c r="AN229" i="2"/>
  <c r="AN232" i="2"/>
  <c r="AM232" i="2"/>
  <c r="AM272" i="2"/>
  <c r="AN272" i="2"/>
  <c r="AM325" i="2"/>
  <c r="AN349" i="2"/>
  <c r="AM349" i="2"/>
  <c r="AN377" i="2"/>
  <c r="AN381" i="2"/>
  <c r="AM381" i="2"/>
  <c r="AM177" i="2"/>
  <c r="AM161" i="2"/>
  <c r="AN196" i="2"/>
  <c r="AN221" i="2"/>
  <c r="AM221" i="2"/>
  <c r="AN8" i="2"/>
  <c r="AM25" i="2"/>
  <c r="AN73" i="2"/>
  <c r="AM73" i="2"/>
  <c r="AM88" i="2"/>
  <c r="AN105" i="2"/>
  <c r="AM105" i="2"/>
  <c r="AN184" i="2"/>
  <c r="AN185" i="2"/>
  <c r="AM185" i="2"/>
  <c r="AN327" i="2"/>
  <c r="AM327" i="2"/>
  <c r="AM337" i="2"/>
  <c r="AM379" i="2"/>
  <c r="AN380" i="2"/>
  <c r="AN428" i="2"/>
  <c r="AM506" i="2"/>
  <c r="AM13" i="2"/>
  <c r="AN29" i="2"/>
  <c r="AN48" i="2"/>
  <c r="AN31" i="2"/>
  <c r="AM31" i="2"/>
  <c r="AN148" i="2"/>
  <c r="AN317" i="2"/>
  <c r="AM317" i="2"/>
  <c r="AM17" i="2"/>
  <c r="AM35" i="2"/>
  <c r="AN52" i="2"/>
  <c r="AN57" i="2"/>
  <c r="AM67" i="2"/>
  <c r="AN80" i="2"/>
  <c r="AN89" i="2"/>
  <c r="AM89" i="2"/>
  <c r="AM97" i="2"/>
  <c r="AM141" i="2"/>
  <c r="AM173" i="2"/>
  <c r="AM248" i="2"/>
  <c r="AM260" i="2"/>
  <c r="AN261" i="2"/>
  <c r="AM261" i="2"/>
  <c r="AN285" i="2"/>
  <c r="AM288" i="2"/>
  <c r="AN288" i="2"/>
  <c r="AN357" i="2"/>
  <c r="AN359" i="2"/>
  <c r="AM359" i="2"/>
  <c r="AM384" i="2"/>
  <c r="AN416" i="2"/>
  <c r="AM429" i="2"/>
  <c r="AN440" i="2"/>
  <c r="AM453" i="2"/>
  <c r="AM465" i="2"/>
  <c r="AN488" i="2"/>
  <c r="AN490" i="2"/>
  <c r="AM490" i="2"/>
  <c r="AM49" i="2"/>
  <c r="AM219" i="2"/>
  <c r="AN24" i="2"/>
  <c r="AN33" i="2"/>
  <c r="AM9" i="2"/>
  <c r="AM36" i="2"/>
  <c r="AM59" i="2"/>
  <c r="AM60" i="2"/>
  <c r="AN61" i="2"/>
  <c r="AN99" i="2"/>
  <c r="AN100" i="2"/>
  <c r="AM100" i="2"/>
  <c r="AM108" i="2"/>
  <c r="AN109" i="2"/>
  <c r="AN213" i="2"/>
  <c r="AM235" i="2"/>
  <c r="AN237" i="2"/>
  <c r="AM237" i="2"/>
  <c r="AN249" i="2"/>
  <c r="AN301" i="2"/>
  <c r="AM301" i="2"/>
  <c r="AN309" i="2"/>
  <c r="AN312" i="2"/>
  <c r="AN313" i="2"/>
  <c r="AM313" i="2"/>
  <c r="AM332" i="2"/>
  <c r="AN340" i="2"/>
  <c r="AM352" i="2"/>
  <c r="AN353" i="2"/>
  <c r="AM369" i="2"/>
  <c r="AN397" i="2"/>
  <c r="AN400" i="2"/>
  <c r="AM400" i="2"/>
  <c r="AM455" i="2"/>
  <c r="AN469" i="2"/>
  <c r="AM469" i="2"/>
  <c r="AM479" i="2"/>
  <c r="AN481" i="2"/>
  <c r="AM481" i="2"/>
  <c r="AN500" i="2"/>
  <c r="AM500" i="2"/>
  <c r="AN551" i="2"/>
  <c r="AM551" i="2"/>
  <c r="AN574" i="2"/>
  <c r="AN530" i="2"/>
  <c r="AN543" i="2"/>
  <c r="AN636" i="2"/>
  <c r="AN686" i="2"/>
  <c r="AM686" i="2"/>
  <c r="AN762" i="2"/>
  <c r="AM762" i="2"/>
  <c r="AN772" i="2"/>
  <c r="AM772" i="2"/>
  <c r="AN795" i="2"/>
  <c r="AN796" i="2"/>
  <c r="AN842" i="2"/>
  <c r="AM842" i="2"/>
  <c r="AN859" i="2"/>
  <c r="AN896" i="2"/>
  <c r="AM896" i="2"/>
  <c r="AN904" i="2"/>
  <c r="AM904" i="2"/>
  <c r="AM920" i="2"/>
  <c r="AM1059" i="2"/>
  <c r="AN1059" i="2"/>
  <c r="AN727" i="2"/>
  <c r="AM727" i="2"/>
  <c r="AN744" i="2"/>
  <c r="AM744" i="2"/>
  <c r="AN803" i="2"/>
  <c r="AM803" i="2"/>
  <c r="AN812" i="2"/>
  <c r="AM812" i="2"/>
  <c r="AN851" i="2"/>
  <c r="AM851" i="2"/>
  <c r="AN860" i="2"/>
  <c r="AM860" i="2"/>
  <c r="AN942" i="2"/>
  <c r="AM942" i="2"/>
  <c r="AM952" i="2"/>
  <c r="AN952" i="2"/>
  <c r="AN143" i="2"/>
  <c r="AN220" i="2"/>
  <c r="AN316" i="2"/>
  <c r="AN348" i="2"/>
  <c r="AM363" i="2"/>
  <c r="AN364" i="2"/>
  <c r="AN371" i="2"/>
  <c r="AN404" i="2"/>
  <c r="AN435" i="2"/>
  <c r="AN467" i="2"/>
  <c r="AM508" i="2"/>
  <c r="AM530" i="2"/>
  <c r="AN538" i="2"/>
  <c r="AM544" i="2"/>
  <c r="AM570" i="2"/>
  <c r="AM574" i="2"/>
  <c r="AM578" i="2"/>
  <c r="AM583" i="2"/>
  <c r="AM588" i="2"/>
  <c r="AM598" i="2"/>
  <c r="AM603" i="2"/>
  <c r="AM622" i="2"/>
  <c r="AM636" i="2"/>
  <c r="AM654" i="2"/>
  <c r="AM659" i="2"/>
  <c r="AM668" i="2"/>
  <c r="AM679" i="2"/>
  <c r="AM704" i="2"/>
  <c r="AN716" i="2"/>
  <c r="AN734" i="2"/>
  <c r="AM734" i="2"/>
  <c r="AM775" i="2"/>
  <c r="AN776" i="2"/>
  <c r="AN787" i="2"/>
  <c r="AM787" i="2"/>
  <c r="AM796" i="2"/>
  <c r="AM824" i="2"/>
  <c r="AM836" i="2"/>
  <c r="AM859" i="2"/>
  <c r="AN882" i="2"/>
  <c r="AM882" i="2"/>
  <c r="AM898" i="2"/>
  <c r="AN899" i="2"/>
  <c r="AM906" i="2"/>
  <c r="AN907" i="2"/>
  <c r="AM915" i="2"/>
  <c r="AN920" i="2"/>
  <c r="AM944" i="2"/>
  <c r="AN1018" i="2"/>
  <c r="AM1018" i="2"/>
  <c r="AM1023" i="2"/>
  <c r="AN1023" i="2"/>
  <c r="AN515" i="2"/>
  <c r="AM595" i="2"/>
  <c r="AM619" i="2"/>
  <c r="AM632" i="2"/>
  <c r="AM663" i="2"/>
  <c r="AM694" i="2"/>
  <c r="AN706" i="2"/>
  <c r="AN708" i="2"/>
  <c r="AM708" i="2"/>
  <c r="AN722" i="2"/>
  <c r="AM722" i="2"/>
  <c r="AM752" i="2"/>
  <c r="AM780" i="2"/>
  <c r="AM844" i="2"/>
  <c r="AM872" i="2"/>
  <c r="AM876" i="2"/>
  <c r="AN890" i="2"/>
  <c r="AM890" i="2"/>
  <c r="AN916" i="2"/>
  <c r="AN923" i="2"/>
  <c r="AM923" i="2"/>
  <c r="AM931" i="2"/>
  <c r="AM932" i="2"/>
  <c r="AN932" i="2"/>
  <c r="AN936" i="2"/>
  <c r="AM967" i="2"/>
  <c r="AN967" i="2"/>
  <c r="AN672" i="2"/>
  <c r="AM672" i="2"/>
  <c r="AN826" i="2"/>
  <c r="AM826" i="2"/>
  <c r="AN839" i="2"/>
  <c r="AM839" i="2"/>
  <c r="AN973" i="2"/>
  <c r="AM973" i="2"/>
  <c r="AN1030" i="2"/>
  <c r="AM1030" i="2"/>
  <c r="AM1067" i="2"/>
  <c r="AN1067" i="2"/>
  <c r="AN216" i="2"/>
  <c r="AN328" i="2"/>
  <c r="AN388" i="2"/>
  <c r="AN412" i="2"/>
  <c r="AM443" i="2"/>
  <c r="AN444" i="2"/>
  <c r="AN456" i="2"/>
  <c r="AM475" i="2"/>
  <c r="AN476" i="2"/>
  <c r="AM516" i="2"/>
  <c r="AM520" i="2"/>
  <c r="AM541" i="2"/>
  <c r="AM546" i="2"/>
  <c r="AM572" i="2"/>
  <c r="AM575" i="2"/>
  <c r="AN576" i="2"/>
  <c r="AM580" i="2"/>
  <c r="AM600" i="2"/>
  <c r="AM615" i="2"/>
  <c r="AM624" i="2"/>
  <c r="AM640" i="2"/>
  <c r="AM651" i="2"/>
  <c r="AN652" i="2"/>
  <c r="AM656" i="2"/>
  <c r="AM660" i="2"/>
  <c r="AN680" i="2"/>
  <c r="AM699" i="2"/>
  <c r="AN700" i="2"/>
  <c r="AM710" i="2"/>
  <c r="AN730" i="2"/>
  <c r="AM730" i="2"/>
  <c r="AN766" i="2"/>
  <c r="AM766" i="2"/>
  <c r="AN791" i="2"/>
  <c r="AM820" i="2"/>
  <c r="AM832" i="2"/>
  <c r="AN846" i="2"/>
  <c r="AM846" i="2"/>
  <c r="AN855" i="2"/>
  <c r="AM884" i="2"/>
  <c r="AM916" i="2"/>
  <c r="AN927" i="2"/>
  <c r="AN947" i="2"/>
  <c r="AM947" i="2"/>
  <c r="AM957" i="2"/>
  <c r="AM979" i="2"/>
  <c r="AN979" i="2"/>
  <c r="AM152" i="2"/>
  <c r="AN420" i="2"/>
  <c r="AM560" i="2"/>
  <c r="AM568" i="2"/>
  <c r="AN591" i="2"/>
  <c r="AM596" i="2"/>
  <c r="AM620" i="2"/>
  <c r="AM684" i="2"/>
  <c r="AN691" i="2"/>
  <c r="AM691" i="2"/>
  <c r="AN739" i="2"/>
  <c r="AM739" i="2"/>
  <c r="AM747" i="2"/>
  <c r="AM760" i="2"/>
  <c r="AN792" i="2"/>
  <c r="AM792" i="2"/>
  <c r="AM807" i="2"/>
  <c r="AM816" i="2"/>
  <c r="AN856" i="2"/>
  <c r="AM856" i="2"/>
  <c r="AM864" i="2"/>
  <c r="AM868" i="2"/>
  <c r="AN926" i="2"/>
  <c r="AM928" i="2"/>
  <c r="AN928" i="2"/>
  <c r="AN1042" i="2"/>
  <c r="AM1042" i="2"/>
  <c r="AN1078" i="2"/>
  <c r="AM1078" i="2"/>
  <c r="AN32" i="2"/>
  <c r="AM44" i="2"/>
  <c r="AN7" i="2"/>
  <c r="AM20" i="2"/>
  <c r="AN27" i="2"/>
  <c r="AM56" i="2"/>
  <c r="AM63" i="2"/>
  <c r="AM64" i="2"/>
  <c r="AN75" i="2"/>
  <c r="AN91" i="2"/>
  <c r="AN107" i="2"/>
  <c r="AN123" i="2"/>
  <c r="AN140" i="2"/>
  <c r="AM159" i="2"/>
  <c r="AM168" i="2"/>
  <c r="AM171" i="2"/>
  <c r="AN183" i="2"/>
  <c r="AN188" i="2"/>
  <c r="AM211" i="2"/>
  <c r="AM227" i="2"/>
  <c r="AM239" i="2"/>
  <c r="AN259" i="2"/>
  <c r="AN263" i="2"/>
  <c r="AN264" i="2"/>
  <c r="AN303" i="2"/>
  <c r="AN351" i="2"/>
  <c r="AN375" i="2"/>
  <c r="AN483" i="2"/>
  <c r="AM517" i="2"/>
  <c r="AN523" i="2"/>
  <c r="AM524" i="2"/>
  <c r="AM556" i="2"/>
  <c r="AN572" i="2"/>
  <c r="AM576" i="2"/>
  <c r="AM642" i="2"/>
  <c r="AN644" i="2"/>
  <c r="AM652" i="2"/>
  <c r="AN674" i="2"/>
  <c r="AM690" i="2"/>
  <c r="AM700" i="2"/>
  <c r="AN712" i="2"/>
  <c r="AM712" i="2"/>
  <c r="AN748" i="2"/>
  <c r="AM748" i="2"/>
  <c r="AN771" i="2"/>
  <c r="AN779" i="2"/>
  <c r="AM791" i="2"/>
  <c r="AN834" i="2"/>
  <c r="AM834" i="2"/>
  <c r="AM855" i="2"/>
  <c r="AN887" i="2"/>
  <c r="AM887" i="2"/>
  <c r="AN894" i="2"/>
  <c r="AN912" i="2"/>
  <c r="AM912" i="2"/>
  <c r="AM927" i="2"/>
  <c r="AN990" i="2"/>
  <c r="AM990" i="2"/>
  <c r="AN1050" i="2"/>
  <c r="AM1050" i="2"/>
  <c r="AM1077" i="2"/>
  <c r="AN1077" i="2"/>
  <c r="AM1143" i="2"/>
  <c r="AN1143" i="2"/>
  <c r="AN1157" i="2"/>
  <c r="AM1157" i="2"/>
  <c r="AM1177" i="2"/>
  <c r="AN1177" i="2"/>
  <c r="AN1178" i="2"/>
  <c r="AM1178" i="2"/>
  <c r="AN1189" i="2"/>
  <c r="AM1189" i="2"/>
  <c r="AM1239" i="2"/>
  <c r="AN1239" i="2"/>
  <c r="AN978" i="2"/>
  <c r="AN980" i="2"/>
  <c r="AM1007" i="2"/>
  <c r="AN1013" i="2"/>
  <c r="AM1019" i="2"/>
  <c r="AM1031" i="2"/>
  <c r="AM1043" i="2"/>
  <c r="AM1051" i="2"/>
  <c r="AN1093" i="2"/>
  <c r="AM1099" i="2"/>
  <c r="AN1113" i="2"/>
  <c r="AM1113" i="2"/>
  <c r="AM1123" i="2"/>
  <c r="AN1123" i="2"/>
  <c r="AN1134" i="2"/>
  <c r="AM1134" i="2"/>
  <c r="AN1145" i="2"/>
  <c r="AM1170" i="2"/>
  <c r="AM1191" i="2"/>
  <c r="AN1191" i="2"/>
  <c r="AN1263" i="2"/>
  <c r="AM1263" i="2"/>
  <c r="AM1292" i="2"/>
  <c r="AN1292" i="2"/>
  <c r="AN1085" i="2"/>
  <c r="AM1085" i="2"/>
  <c r="AN1101" i="2"/>
  <c r="AM1101" i="2"/>
  <c r="AN1146" i="2"/>
  <c r="AM1146" i="2"/>
  <c r="AM1159" i="2"/>
  <c r="AN1159" i="2"/>
  <c r="AM1231" i="2"/>
  <c r="AN1231" i="2"/>
  <c r="AM1243" i="2"/>
  <c r="AN1243" i="2"/>
  <c r="AM1255" i="2"/>
  <c r="AN1255" i="2"/>
  <c r="AM1275" i="2"/>
  <c r="AN1291" i="2"/>
  <c r="AN958" i="2"/>
  <c r="AN992" i="2"/>
  <c r="AM993" i="2"/>
  <c r="AM1003" i="2"/>
  <c r="AN1007" i="2"/>
  <c r="AN1009" i="2"/>
  <c r="AN1019" i="2"/>
  <c r="AN1025" i="2"/>
  <c r="AN1031" i="2"/>
  <c r="AN1043" i="2"/>
  <c r="AN1045" i="2"/>
  <c r="AN1046" i="2"/>
  <c r="AN1051" i="2"/>
  <c r="AM1063" i="2"/>
  <c r="AN1070" i="2"/>
  <c r="AM1070" i="2"/>
  <c r="AM1079" i="2"/>
  <c r="AN1079" i="2"/>
  <c r="AN1099" i="2"/>
  <c r="AM1115" i="2"/>
  <c r="AN1115" i="2"/>
  <c r="AN1137" i="2"/>
  <c r="AM1138" i="2"/>
  <c r="AN1170" i="2"/>
  <c r="AN1173" i="2"/>
  <c r="AM1173" i="2"/>
  <c r="AM1183" i="2"/>
  <c r="AN1183" i="2"/>
  <c r="AN1193" i="2"/>
  <c r="AM1193" i="2"/>
  <c r="AN1194" i="2"/>
  <c r="AM1194" i="2"/>
  <c r="AN1214" i="2"/>
  <c r="AM1214" i="2"/>
  <c r="AM1223" i="2"/>
  <c r="AN1223" i="2"/>
  <c r="AM1332" i="2"/>
  <c r="AN1332" i="2"/>
  <c r="AM1047" i="2"/>
  <c r="AN1047" i="2"/>
  <c r="AM1095" i="2"/>
  <c r="AN1095" i="2"/>
  <c r="AN1161" i="2"/>
  <c r="AM1161" i="2"/>
  <c r="AN1234" i="2"/>
  <c r="AM1234" i="2"/>
  <c r="AN1246" i="2"/>
  <c r="AM1246" i="2"/>
  <c r="AM1266" i="2"/>
  <c r="AM1320" i="2"/>
  <c r="AN1320" i="2"/>
  <c r="AN966" i="2"/>
  <c r="AN993" i="2"/>
  <c r="AN1003" i="2"/>
  <c r="AM1009" i="2"/>
  <c r="AM1021" i="2"/>
  <c r="AM1026" i="2"/>
  <c r="AM1033" i="2"/>
  <c r="AM1046" i="2"/>
  <c r="AN1063" i="2"/>
  <c r="AN1118" i="2"/>
  <c r="AM1118" i="2"/>
  <c r="AM1126" i="2"/>
  <c r="AN1138" i="2"/>
  <c r="AM1139" i="2"/>
  <c r="AN1139" i="2"/>
  <c r="AM1149" i="2"/>
  <c r="AM1163" i="2"/>
  <c r="AN1163" i="2"/>
  <c r="AM1207" i="2"/>
  <c r="AN1207" i="2"/>
  <c r="AN1233" i="2"/>
  <c r="AN1298" i="2"/>
  <c r="AN1299" i="2"/>
  <c r="AM1299" i="2"/>
  <c r="AN1323" i="2"/>
  <c r="AM626" i="2"/>
  <c r="AN666" i="2"/>
  <c r="AM938" i="2"/>
  <c r="AN994" i="2"/>
  <c r="AM1005" i="2"/>
  <c r="AM1010" i="2"/>
  <c r="AN1015" i="2"/>
  <c r="AN1065" i="2"/>
  <c r="AM1065" i="2"/>
  <c r="AN1073" i="2"/>
  <c r="AM1075" i="2"/>
  <c r="AN1075" i="2"/>
  <c r="AN1087" i="2"/>
  <c r="AN1103" i="2"/>
  <c r="AN1106" i="2"/>
  <c r="AM1106" i="2"/>
  <c r="AN1117" i="2"/>
  <c r="AN1127" i="2"/>
  <c r="AN1129" i="2"/>
  <c r="AM1129" i="2"/>
  <c r="AN1237" i="2"/>
  <c r="AM1237" i="2"/>
  <c r="AN1249" i="2"/>
  <c r="AN1271" i="2"/>
  <c r="AN1282" i="2"/>
  <c r="AM1283" i="2"/>
  <c r="AN1343" i="2"/>
  <c r="AM1343" i="2"/>
  <c r="AM618" i="2"/>
  <c r="AN639" i="2"/>
  <c r="AM647" i="2"/>
  <c r="AN914" i="2"/>
  <c r="AN954" i="2"/>
  <c r="AN956" i="2"/>
  <c r="AN970" i="2"/>
  <c r="AN977" i="2"/>
  <c r="AN985" i="2"/>
  <c r="AM987" i="2"/>
  <c r="AN995" i="2"/>
  <c r="AM1011" i="2"/>
  <c r="AN1027" i="2"/>
  <c r="AN1029" i="2"/>
  <c r="AM1035" i="2"/>
  <c r="AN1039" i="2"/>
  <c r="AN1041" i="2"/>
  <c r="AN1055" i="2"/>
  <c r="AN1057" i="2"/>
  <c r="AN1058" i="2"/>
  <c r="AM1074" i="2"/>
  <c r="AM1083" i="2"/>
  <c r="AN1089" i="2"/>
  <c r="AM1089" i="2"/>
  <c r="AN1090" i="2"/>
  <c r="AM1090" i="2"/>
  <c r="AN1109" i="2"/>
  <c r="AM1110" i="2"/>
  <c r="AM1131" i="2"/>
  <c r="AN1131" i="2"/>
  <c r="AM1186" i="2"/>
  <c r="AN1197" i="2"/>
  <c r="AM1199" i="2"/>
  <c r="AN1199" i="2"/>
  <c r="AN1209" i="2"/>
  <c r="AM1209" i="2"/>
  <c r="AM1219" i="2"/>
  <c r="AN1219" i="2"/>
  <c r="AN1226" i="2"/>
  <c r="AN1250" i="2"/>
  <c r="AM1251" i="2"/>
  <c r="AN1251" i="2"/>
  <c r="AN1351" i="2"/>
  <c r="AN1326" i="2"/>
  <c r="AM1340" i="2"/>
  <c r="AN1350" i="2"/>
  <c r="AN1394" i="2"/>
  <c r="AN1464" i="2"/>
  <c r="AN1465" i="2"/>
  <c r="AM1465" i="2"/>
  <c r="AN1479" i="2"/>
  <c r="AN1569" i="2"/>
  <c r="AM1598" i="2"/>
  <c r="AN1629" i="2"/>
  <c r="AM1403" i="2"/>
  <c r="AN1403" i="2"/>
  <c r="AN1488" i="2"/>
  <c r="AM1488" i="2"/>
  <c r="AN1588" i="2"/>
  <c r="AM1588" i="2"/>
  <c r="AM1111" i="2"/>
  <c r="AN1133" i="2"/>
  <c r="AM1155" i="2"/>
  <c r="AN1165" i="2"/>
  <c r="AM1171" i="2"/>
  <c r="AM1203" i="2"/>
  <c r="AM1213" i="2"/>
  <c r="AM1227" i="2"/>
  <c r="AM1256" i="2"/>
  <c r="AM1268" i="2"/>
  <c r="AN1269" i="2"/>
  <c r="AM1276" i="2"/>
  <c r="AM1284" i="2"/>
  <c r="AM1326" i="2"/>
  <c r="AN1340" i="2"/>
  <c r="AM1352" i="2"/>
  <c r="AM1380" i="2"/>
  <c r="AM1387" i="2"/>
  <c r="AM1394" i="2"/>
  <c r="AN1402" i="2"/>
  <c r="AN1412" i="2"/>
  <c r="AM1424" i="2"/>
  <c r="AM1431" i="2"/>
  <c r="AN1432" i="2"/>
  <c r="AM1432" i="2"/>
  <c r="AN1439" i="2"/>
  <c r="AN1456" i="2"/>
  <c r="AM1456" i="2"/>
  <c r="AM1479" i="2"/>
  <c r="AN1481" i="2"/>
  <c r="AM1500" i="2"/>
  <c r="AN1501" i="2"/>
  <c r="AM1501" i="2"/>
  <c r="AM1569" i="2"/>
  <c r="AM1629" i="2"/>
  <c r="AN1641" i="2"/>
  <c r="AM1642" i="2"/>
  <c r="AM1300" i="2"/>
  <c r="AM1308" i="2"/>
  <c r="AN1334" i="2"/>
  <c r="AM1344" i="2"/>
  <c r="AM1358" i="2"/>
  <c r="AM1360" i="2"/>
  <c r="AM1368" i="2"/>
  <c r="AM1374" i="2"/>
  <c r="AN1382" i="2"/>
  <c r="AM1388" i="2"/>
  <c r="AN1388" i="2"/>
  <c r="AM1395" i="2"/>
  <c r="AM1406" i="2"/>
  <c r="AN1416" i="2"/>
  <c r="AM1440" i="2"/>
  <c r="AM1447" i="2"/>
  <c r="AN1448" i="2"/>
  <c r="AM1449" i="2"/>
  <c r="AN1449" i="2"/>
  <c r="AM1472" i="2"/>
  <c r="AM1492" i="2"/>
  <c r="AM1516" i="2"/>
  <c r="AN1517" i="2"/>
  <c r="AM1517" i="2"/>
  <c r="AM1537" i="2"/>
  <c r="AM1581" i="2"/>
  <c r="AN1613" i="2"/>
  <c r="AM1616" i="2"/>
  <c r="AN1616" i="2"/>
  <c r="AM1529" i="2"/>
  <c r="AN1593" i="2"/>
  <c r="AM1593" i="2"/>
  <c r="AM1295" i="2"/>
  <c r="AN1300" i="2"/>
  <c r="AN1308" i="2"/>
  <c r="AM1335" i="2"/>
  <c r="AN1344" i="2"/>
  <c r="AM1355" i="2"/>
  <c r="AN1360" i="2"/>
  <c r="AN1368" i="2"/>
  <c r="AM1382" i="2"/>
  <c r="AM1390" i="2"/>
  <c r="AN1406" i="2"/>
  <c r="AN1418" i="2"/>
  <c r="AM1418" i="2"/>
  <c r="AM1434" i="2"/>
  <c r="AN1442" i="2"/>
  <c r="AM1442" i="2"/>
  <c r="AM1468" i="2"/>
  <c r="AM1551" i="2"/>
  <c r="AM1552" i="2"/>
  <c r="AN1552" i="2"/>
  <c r="AM1561" i="2"/>
  <c r="AM1592" i="2"/>
  <c r="AM1604" i="2"/>
  <c r="AM1620" i="2"/>
  <c r="AN1621" i="2"/>
  <c r="AM1621" i="2"/>
  <c r="AM1053" i="2"/>
  <c r="AM1125" i="2"/>
  <c r="AM1185" i="2"/>
  <c r="AN1302" i="2"/>
  <c r="AN1328" i="2"/>
  <c r="AN1338" i="2"/>
  <c r="AM1347" i="2"/>
  <c r="AM1348" i="2"/>
  <c r="AM1356" i="2"/>
  <c r="AM1370" i="2"/>
  <c r="AM1371" i="2"/>
  <c r="AN1383" i="2"/>
  <c r="AM1384" i="2"/>
  <c r="AM1391" i="2"/>
  <c r="AM1399" i="2"/>
  <c r="AM1408" i="2"/>
  <c r="AN1409" i="2"/>
  <c r="AN1426" i="2"/>
  <c r="AM1459" i="2"/>
  <c r="AM1494" i="2"/>
  <c r="AM1511" i="2"/>
  <c r="AM1522" i="2"/>
  <c r="AN1556" i="2"/>
  <c r="AM1573" i="2"/>
  <c r="AM1574" i="2"/>
  <c r="AN1653" i="2"/>
  <c r="AM1653" i="2"/>
  <c r="AN1061" i="2"/>
  <c r="AM1091" i="2"/>
  <c r="AN1141" i="2"/>
  <c r="AM1147" i="2"/>
  <c r="AN1151" i="2"/>
  <c r="AN1167" i="2"/>
  <c r="AM1169" i="2"/>
  <c r="AM1179" i="2"/>
  <c r="AM1211" i="2"/>
  <c r="AN1225" i="2"/>
  <c r="AN1229" i="2"/>
  <c r="AM1253" i="2"/>
  <c r="AN1259" i="2"/>
  <c r="AN1280" i="2"/>
  <c r="AN1288" i="2"/>
  <c r="AM1290" i="2"/>
  <c r="AM1304" i="2"/>
  <c r="AM1312" i="2"/>
  <c r="AN1316" i="2"/>
  <c r="AN1324" i="2"/>
  <c r="AN1336" i="2"/>
  <c r="AM1364" i="2"/>
  <c r="AN1376" i="2"/>
  <c r="AN1386" i="2"/>
  <c r="AM1392" i="2"/>
  <c r="AN1400" i="2"/>
  <c r="AN1445" i="2"/>
  <c r="AN1452" i="2"/>
  <c r="AM1461" i="2"/>
  <c r="AM1469" i="2"/>
  <c r="AM1505" i="2"/>
  <c r="AN1505" i="2"/>
  <c r="AM1546" i="2"/>
  <c r="AN1546" i="2"/>
  <c r="AN1557" i="2"/>
  <c r="AM1568" i="2"/>
  <c r="AM1586" i="2"/>
  <c r="AM1605" i="2"/>
  <c r="AN1637" i="2"/>
  <c r="AM1637" i="2"/>
  <c r="AN1672" i="2"/>
  <c r="AM1672" i="2"/>
  <c r="AN1693" i="2"/>
  <c r="AM1693" i="2"/>
  <c r="AM1708" i="2"/>
  <c r="AN1708" i="2"/>
  <c r="AN1832" i="2"/>
  <c r="AM1832" i="2"/>
  <c r="AN1843" i="2"/>
  <c r="AM1843" i="2"/>
  <c r="AM1658" i="2"/>
  <c r="AM1666" i="2"/>
  <c r="AN1666" i="2"/>
  <c r="AM1686" i="2"/>
  <c r="AM1738" i="2"/>
  <c r="AM1793" i="2"/>
  <c r="AN1794" i="2"/>
  <c r="AN1910" i="2"/>
  <c r="AM1674" i="2"/>
  <c r="AM1682" i="2"/>
  <c r="AN1711" i="2"/>
  <c r="AN1723" i="2"/>
  <c r="AN1724" i="2"/>
  <c r="AM1724" i="2"/>
  <c r="AN1734" i="2"/>
  <c r="AN1756" i="2"/>
  <c r="AM1756" i="2"/>
  <c r="AN1769" i="2"/>
  <c r="AN1778" i="2"/>
  <c r="AN1786" i="2"/>
  <c r="AM1786" i="2"/>
  <c r="AN1826" i="2"/>
  <c r="AM1826" i="2"/>
  <c r="AM1863" i="2"/>
  <c r="AM1899" i="2"/>
  <c r="AN1901" i="2"/>
  <c r="AM1712" i="2"/>
  <c r="AN1712" i="2"/>
  <c r="AN1713" i="2"/>
  <c r="AM1713" i="2"/>
  <c r="AM1916" i="2"/>
  <c r="AN1916" i="2"/>
  <c r="AM1576" i="2"/>
  <c r="AM1600" i="2"/>
  <c r="AN1600" i="2"/>
  <c r="AN1674" i="2"/>
  <c r="AN1682" i="2"/>
  <c r="AM1689" i="2"/>
  <c r="AN1689" i="2"/>
  <c r="AM1698" i="2"/>
  <c r="AN1698" i="2"/>
  <c r="AM1734" i="2"/>
  <c r="AM1750" i="2"/>
  <c r="AM1769" i="2"/>
  <c r="AM1778" i="2"/>
  <c r="AN1805" i="2"/>
  <c r="AN1839" i="2"/>
  <c r="AM1839" i="2"/>
  <c r="AN1866" i="2"/>
  <c r="AM1883" i="2"/>
  <c r="AM1901" i="2"/>
  <c r="AN1915" i="2"/>
  <c r="AN1962" i="2"/>
  <c r="AM1475" i="2"/>
  <c r="AM1513" i="2"/>
  <c r="AM1564" i="2"/>
  <c r="AM1632" i="2"/>
  <c r="AN1632" i="2"/>
  <c r="AM1669" i="2"/>
  <c r="AM1789" i="2"/>
  <c r="AN1790" i="2"/>
  <c r="AM1790" i="2"/>
  <c r="AM1798" i="2"/>
  <c r="AM1859" i="2"/>
  <c r="AN1876" i="2"/>
  <c r="AM1877" i="2"/>
  <c r="AM1936" i="2"/>
  <c r="AN1936" i="2"/>
  <c r="AM1372" i="2"/>
  <c r="AN1378" i="2"/>
  <c r="AM1396" i="2"/>
  <c r="AM1457" i="2"/>
  <c r="AM1489" i="2"/>
  <c r="AM1507" i="2"/>
  <c r="AM1508" i="2"/>
  <c r="AM1514" i="2"/>
  <c r="AN1525" i="2"/>
  <c r="AN1527" i="2"/>
  <c r="AM1548" i="2"/>
  <c r="AM1565" i="2"/>
  <c r="AM1566" i="2"/>
  <c r="AM1577" i="2"/>
  <c r="AM1584" i="2"/>
  <c r="AM1601" i="2"/>
  <c r="AM1602" i="2"/>
  <c r="AM1609" i="2"/>
  <c r="AM1617" i="2"/>
  <c r="AM1618" i="2"/>
  <c r="AN1624" i="2"/>
  <c r="AN1625" i="2"/>
  <c r="AN1645" i="2"/>
  <c r="AM1660" i="2"/>
  <c r="AN1730" i="2"/>
  <c r="AM1730" i="2"/>
  <c r="AN1752" i="2"/>
  <c r="AM1752" i="2"/>
  <c r="AN1762" i="2"/>
  <c r="AM1762" i="2"/>
  <c r="AN1774" i="2"/>
  <c r="AM1774" i="2"/>
  <c r="AN1801" i="2"/>
  <c r="AM1801" i="2"/>
  <c r="AM1809" i="2"/>
  <c r="AN1821" i="2"/>
  <c r="AM1871" i="2"/>
  <c r="AM1891" i="2"/>
  <c r="AN1909" i="2"/>
  <c r="AN1934" i="2"/>
  <c r="AM1935" i="2"/>
  <c r="AN1939" i="2"/>
  <c r="AM1940" i="2"/>
  <c r="AN1940" i="2"/>
  <c r="AN1398" i="2"/>
  <c r="AM1444" i="2"/>
  <c r="AN1458" i="2"/>
  <c r="AN1471" i="2"/>
  <c r="AN1490" i="2"/>
  <c r="AM1495" i="2"/>
  <c r="AN1503" i="2"/>
  <c r="AM1520" i="2"/>
  <c r="AM1534" i="2"/>
  <c r="AN1543" i="2"/>
  <c r="AN1554" i="2"/>
  <c r="AN1555" i="2"/>
  <c r="AM1578" i="2"/>
  <c r="AM1590" i="2"/>
  <c r="AM1610" i="2"/>
  <c r="AM1634" i="2"/>
  <c r="AN1646" i="2"/>
  <c r="AN1661" i="2"/>
  <c r="AN1670" i="2"/>
  <c r="AM1677" i="2"/>
  <c r="AM1692" i="2"/>
  <c r="AN1706" i="2"/>
  <c r="AN1707" i="2"/>
  <c r="AM1717" i="2"/>
  <c r="AN1729" i="2"/>
  <c r="AM1746" i="2"/>
  <c r="AN1761" i="2"/>
  <c r="AM1773" i="2"/>
  <c r="AN1810" i="2"/>
  <c r="AM1810" i="2"/>
  <c r="AM1820" i="2"/>
  <c r="AN1822" i="2"/>
  <c r="AM1822" i="2"/>
  <c r="AN1852" i="2"/>
  <c r="AM1872" i="2"/>
  <c r="AN1872" i="2"/>
  <c r="AN1894" i="2"/>
  <c r="AM1690" i="2"/>
  <c r="AN1709" i="2"/>
  <c r="AM1710" i="2"/>
  <c r="AN1742" i="2"/>
  <c r="AM1745" i="2"/>
  <c r="AN1753" i="2"/>
  <c r="AN1770" i="2"/>
  <c r="AN1797" i="2"/>
  <c r="AN1806" i="2"/>
  <c r="AN1808" i="2"/>
  <c r="AN1818" i="2"/>
  <c r="AN1845" i="2"/>
  <c r="AN1881" i="2"/>
  <c r="AM1908" i="2"/>
  <c r="AN1945" i="2"/>
  <c r="AN1970" i="2"/>
  <c r="AN1990" i="2"/>
  <c r="AM1993" i="2"/>
  <c r="AM1994" i="2"/>
  <c r="AM1927" i="2"/>
  <c r="AM1928" i="2"/>
  <c r="AN1929" i="2"/>
  <c r="AM1937" i="2"/>
  <c r="AM1946" i="2"/>
  <c r="AN1741" i="2"/>
  <c r="AN1817" i="2"/>
  <c r="AM1855" i="2"/>
  <c r="AM1867" i="2"/>
  <c r="AM1878" i="2"/>
  <c r="AM1902" i="2"/>
  <c r="AM1911" i="2"/>
  <c r="AN1913" i="2"/>
  <c r="AM1918" i="2"/>
  <c r="AM1930" i="2"/>
  <c r="AM1958" i="2"/>
  <c r="AM1966" i="2"/>
  <c r="AM1974" i="2"/>
  <c r="AM1982" i="2"/>
  <c r="AM1997" i="2"/>
  <c r="AN1781" i="2"/>
  <c r="AM1796" i="2"/>
  <c r="AM1903" i="2"/>
  <c r="AM1998" i="2"/>
  <c r="AM1614" i="2"/>
  <c r="AM1626" i="2"/>
  <c r="AM1650" i="2"/>
  <c r="AM1662" i="2"/>
  <c r="AN1668" i="2"/>
  <c r="AN1700" i="2"/>
  <c r="AN1704" i="2"/>
  <c r="AM1714" i="2"/>
  <c r="AN1718" i="2"/>
  <c r="AM1732" i="2"/>
  <c r="AN1749" i="2"/>
  <c r="AM1764" i="2"/>
  <c r="AN1776" i="2"/>
  <c r="AN1792" i="2"/>
  <c r="AN1813" i="2"/>
  <c r="AM1828" i="2"/>
  <c r="AM1879" i="2"/>
  <c r="AM1880" i="2"/>
  <c r="AM1887" i="2"/>
  <c r="AM1897" i="2"/>
  <c r="AN1904" i="2"/>
  <c r="AM1905" i="2"/>
  <c r="AM1913" i="2"/>
  <c r="AM1922" i="2"/>
  <c r="AM1924" i="2"/>
  <c r="AM1931" i="2"/>
  <c r="AN1933" i="2"/>
  <c r="AM1942" i="2"/>
  <c r="AM1950" i="2"/>
  <c r="AM1986" i="2"/>
  <c r="AM1988" i="2"/>
  <c r="AN1989" i="2"/>
  <c r="AN16" i="2"/>
  <c r="AM28" i="2"/>
  <c r="AM32" i="2"/>
  <c r="AM143" i="2"/>
  <c r="AN151" i="2"/>
  <c r="AM151" i="2"/>
  <c r="AN158" i="2"/>
  <c r="AM158" i="2"/>
  <c r="AN20" i="2"/>
  <c r="AN58" i="2"/>
  <c r="AM58" i="2"/>
  <c r="AN66" i="2"/>
  <c r="AM66" i="2"/>
  <c r="AM91" i="2"/>
  <c r="AM95" i="2"/>
  <c r="AM111" i="2"/>
  <c r="AM123" i="2"/>
  <c r="AM156" i="2"/>
  <c r="AN208" i="2"/>
  <c r="AM208" i="2"/>
  <c r="AN250" i="2"/>
  <c r="AM250" i="2"/>
  <c r="AN14" i="2"/>
  <c r="AM14" i="2"/>
  <c r="AN18" i="2"/>
  <c r="AM18" i="2"/>
  <c r="AN59" i="2"/>
  <c r="AN63" i="2"/>
  <c r="AN67" i="2"/>
  <c r="AN178" i="2"/>
  <c r="AM178" i="2"/>
  <c r="AN211" i="2"/>
  <c r="AN215" i="2"/>
  <c r="AM215" i="2"/>
  <c r="AN243" i="2"/>
  <c r="AN268" i="2"/>
  <c r="AM268" i="2"/>
  <c r="AN326" i="2"/>
  <c r="AM326" i="2"/>
  <c r="AN160" i="2"/>
  <c r="AM160" i="2"/>
  <c r="AN224" i="2"/>
  <c r="AM224" i="2"/>
  <c r="AN234" i="2"/>
  <c r="AM234" i="2"/>
  <c r="AN256" i="2"/>
  <c r="AM256" i="2"/>
  <c r="AN275" i="2"/>
  <c r="AM275" i="2"/>
  <c r="AN284" i="2"/>
  <c r="AM284" i="2"/>
  <c r="AN291" i="2"/>
  <c r="AM291" i="2"/>
  <c r="AN355" i="2"/>
  <c r="AM355" i="2"/>
  <c r="AN136" i="2"/>
  <c r="AM136" i="2"/>
  <c r="AN192" i="2"/>
  <c r="AM192" i="2"/>
  <c r="AN199" i="2"/>
  <c r="AM199" i="2"/>
  <c r="AN266" i="2"/>
  <c r="AM266" i="2"/>
  <c r="AN300" i="2"/>
  <c r="AM300" i="2"/>
  <c r="AN307" i="2"/>
  <c r="AM307" i="2"/>
  <c r="AN335" i="2"/>
  <c r="AN339" i="2"/>
  <c r="AM339" i="2"/>
  <c r="AN452" i="2"/>
  <c r="AM452" i="2"/>
  <c r="AN46" i="2"/>
  <c r="AM46" i="2"/>
  <c r="AM71" i="2"/>
  <c r="AM75" i="2"/>
  <c r="AN323" i="2"/>
  <c r="AM323" i="2"/>
  <c r="AM351" i="2"/>
  <c r="AN360" i="2"/>
  <c r="AM360" i="2"/>
  <c r="AN367" i="2"/>
  <c r="AM367" i="2"/>
  <c r="AM376" i="2"/>
  <c r="AN376" i="2"/>
  <c r="AN383" i="2"/>
  <c r="AM383" i="2"/>
  <c r="AN415" i="2"/>
  <c r="AM415" i="2"/>
  <c r="AN422" i="2"/>
  <c r="AM422" i="2"/>
  <c r="AN22" i="2"/>
  <c r="AM22" i="2"/>
  <c r="AN26" i="2"/>
  <c r="AM26" i="2"/>
  <c r="AN30" i="2"/>
  <c r="AM30" i="2"/>
  <c r="AN34" i="2"/>
  <c r="AM34" i="2"/>
  <c r="AM12" i="2"/>
  <c r="AN42" i="2"/>
  <c r="AM42" i="2"/>
  <c r="AM24" i="2"/>
  <c r="AN175" i="2"/>
  <c r="AM175" i="2"/>
  <c r="AM183" i="2"/>
  <c r="AN222" i="2"/>
  <c r="AM222" i="2"/>
  <c r="AN282" i="2"/>
  <c r="AM282" i="2"/>
  <c r="AM7" i="2"/>
  <c r="AM103" i="2"/>
  <c r="AM115" i="2"/>
  <c r="AM220" i="2"/>
  <c r="AN231" i="2"/>
  <c r="AM231" i="2"/>
  <c r="AN262" i="2"/>
  <c r="AM262" i="2"/>
  <c r="AM280" i="2"/>
  <c r="AM335" i="2"/>
  <c r="AN2" i="2"/>
  <c r="AM2" i="2"/>
  <c r="AN36" i="2"/>
  <c r="AN40" i="2"/>
  <c r="AN44" i="2"/>
  <c r="AM48" i="2"/>
  <c r="AM52" i="2"/>
  <c r="AN70" i="2"/>
  <c r="AM70" i="2"/>
  <c r="AN74" i="2"/>
  <c r="AM74" i="2"/>
  <c r="AM127" i="2"/>
  <c r="AN132" i="2"/>
  <c r="AM132" i="2"/>
  <c r="AM139" i="2"/>
  <c r="AN154" i="2"/>
  <c r="AM154" i="2"/>
  <c r="AN164" i="2"/>
  <c r="AM164" i="2"/>
  <c r="AM188" i="2"/>
  <c r="AN206" i="2"/>
  <c r="AM206" i="2"/>
  <c r="AM216" i="2"/>
  <c r="AN218" i="2"/>
  <c r="AM218" i="2"/>
  <c r="AN248" i="2"/>
  <c r="AM252" i="2"/>
  <c r="AN278" i="2"/>
  <c r="AM278" i="2"/>
  <c r="AN294" i="2"/>
  <c r="AM294" i="2"/>
  <c r="AM296" i="2"/>
  <c r="AN314" i="2"/>
  <c r="AM314" i="2"/>
  <c r="AM319" i="2"/>
  <c r="AN346" i="2"/>
  <c r="AM346" i="2"/>
  <c r="AN358" i="2"/>
  <c r="AM358" i="2"/>
  <c r="AN374" i="2"/>
  <c r="AM374" i="2"/>
  <c r="AN390" i="2"/>
  <c r="AM390" i="2"/>
  <c r="AM420" i="2"/>
  <c r="AN436" i="2"/>
  <c r="AM436" i="2"/>
  <c r="AN38" i="2"/>
  <c r="AM38" i="2"/>
  <c r="AN50" i="2"/>
  <c r="AM50" i="2"/>
  <c r="AN54" i="2"/>
  <c r="AM54" i="2"/>
  <c r="AM264" i="2"/>
  <c r="AN62" i="2"/>
  <c r="AM62" i="2"/>
  <c r="AM79" i="2"/>
  <c r="AM87" i="2"/>
  <c r="AM99" i="2"/>
  <c r="AM107" i="2"/>
  <c r="AN190" i="2"/>
  <c r="AM190" i="2"/>
  <c r="AN240" i="2"/>
  <c r="AM240" i="2"/>
  <c r="AN298" i="2"/>
  <c r="AM298" i="2"/>
  <c r="AM11" i="2"/>
  <c r="AN6" i="2"/>
  <c r="AM6" i="2"/>
  <c r="AM15" i="2"/>
  <c r="AM19" i="2"/>
  <c r="AN39" i="2"/>
  <c r="AN43" i="2"/>
  <c r="AN47" i="2"/>
  <c r="AN78" i="2"/>
  <c r="AM78" i="2"/>
  <c r="AN82" i="2"/>
  <c r="AM82" i="2"/>
  <c r="AN86" i="2"/>
  <c r="AM86" i="2"/>
  <c r="AN90" i="2"/>
  <c r="AM90" i="2"/>
  <c r="AN94" i="2"/>
  <c r="AM94" i="2"/>
  <c r="AN98" i="2"/>
  <c r="AM98" i="2"/>
  <c r="AN102" i="2"/>
  <c r="AM102" i="2"/>
  <c r="AN106" i="2"/>
  <c r="AM106" i="2"/>
  <c r="AN110" i="2"/>
  <c r="AM110" i="2"/>
  <c r="AN114" i="2"/>
  <c r="AM114" i="2"/>
  <c r="AN118" i="2"/>
  <c r="AM118" i="2"/>
  <c r="AN122" i="2"/>
  <c r="AM122" i="2"/>
  <c r="AN180" i="2"/>
  <c r="AM180" i="2"/>
  <c r="AN202" i="2"/>
  <c r="AM202" i="2"/>
  <c r="AM204" i="2"/>
  <c r="AN236" i="2"/>
  <c r="AN238" i="2"/>
  <c r="AM238" i="2"/>
  <c r="AM271" i="2"/>
  <c r="AM287" i="2"/>
  <c r="AN310" i="2"/>
  <c r="AM310" i="2"/>
  <c r="AM312" i="2"/>
  <c r="AN330" i="2"/>
  <c r="AM330" i="2"/>
  <c r="AM3" i="2"/>
  <c r="AN134" i="2"/>
  <c r="AM134" i="2"/>
  <c r="AN254" i="2"/>
  <c r="AM254" i="2"/>
  <c r="AM83" i="2"/>
  <c r="AM119" i="2"/>
  <c r="AN399" i="2"/>
  <c r="AM399" i="2"/>
  <c r="AN406" i="2"/>
  <c r="AM406" i="2"/>
  <c r="AN10" i="2"/>
  <c r="AM10" i="2"/>
  <c r="AN51" i="2"/>
  <c r="AN55" i="2"/>
  <c r="AN126" i="2"/>
  <c r="AM126" i="2"/>
  <c r="AN130" i="2"/>
  <c r="AM130" i="2"/>
  <c r="AN147" i="2"/>
  <c r="AM147" i="2"/>
  <c r="AN162" i="2"/>
  <c r="AM162" i="2"/>
  <c r="AN187" i="2"/>
  <c r="AM187" i="2"/>
  <c r="AN247" i="2"/>
  <c r="AM247" i="2"/>
  <c r="AM328" i="2"/>
  <c r="AN342" i="2"/>
  <c r="AM342" i="2"/>
  <c r="AN468" i="2"/>
  <c r="AM468" i="2"/>
  <c r="AN135" i="2"/>
  <c r="AN150" i="2"/>
  <c r="AM150" i="2"/>
  <c r="AN163" i="2"/>
  <c r="AN174" i="2"/>
  <c r="AM174" i="2"/>
  <c r="AN186" i="2"/>
  <c r="AM186" i="2"/>
  <c r="AN214" i="2"/>
  <c r="AM214" i="2"/>
  <c r="AN223" i="2"/>
  <c r="AN230" i="2"/>
  <c r="AM230" i="2"/>
  <c r="AN239" i="2"/>
  <c r="AN246" i="2"/>
  <c r="AM246" i="2"/>
  <c r="AN255" i="2"/>
  <c r="AN322" i="2"/>
  <c r="AM322" i="2"/>
  <c r="AN331" i="2"/>
  <c r="AN338" i="2"/>
  <c r="AM338" i="2"/>
  <c r="AN347" i="2"/>
  <c r="AN354" i="2"/>
  <c r="AM354" i="2"/>
  <c r="AN363" i="2"/>
  <c r="AN370" i="2"/>
  <c r="AM370" i="2"/>
  <c r="AN379" i="2"/>
  <c r="AN386" i="2"/>
  <c r="AM386" i="2"/>
  <c r="AN395" i="2"/>
  <c r="AN402" i="2"/>
  <c r="AM402" i="2"/>
  <c r="AN411" i="2"/>
  <c r="AN418" i="2"/>
  <c r="AM418" i="2"/>
  <c r="AN427" i="2"/>
  <c r="AN434" i="2"/>
  <c r="AM434" i="2"/>
  <c r="AN443" i="2"/>
  <c r="AN450" i="2"/>
  <c r="AM450" i="2"/>
  <c r="AN459" i="2"/>
  <c r="AN466" i="2"/>
  <c r="AM466" i="2"/>
  <c r="AN475" i="2"/>
  <c r="AN482" i="2"/>
  <c r="AM482" i="2"/>
  <c r="AN514" i="2"/>
  <c r="AM514" i="2"/>
  <c r="AN522" i="2"/>
  <c r="AM522" i="2"/>
  <c r="AN532" i="2"/>
  <c r="AM532" i="2"/>
  <c r="AN558" i="2"/>
  <c r="AM558" i="2"/>
  <c r="AN609" i="2"/>
  <c r="AM609" i="2"/>
  <c r="AN665" i="2"/>
  <c r="AM665" i="2"/>
  <c r="AN507" i="2"/>
  <c r="AM507" i="2"/>
  <c r="AM540" i="2"/>
  <c r="AN540" i="2"/>
  <c r="AN569" i="2"/>
  <c r="AM569" i="2"/>
  <c r="AN627" i="2"/>
  <c r="AM627" i="2"/>
  <c r="AN438" i="2"/>
  <c r="AM438" i="2"/>
  <c r="AN454" i="2"/>
  <c r="AM454" i="2"/>
  <c r="AN470" i="2"/>
  <c r="AM470" i="2"/>
  <c r="AN486" i="2"/>
  <c r="AM486" i="2"/>
  <c r="AN505" i="2"/>
  <c r="AM505" i="2"/>
  <c r="AN512" i="2"/>
  <c r="AM512" i="2"/>
  <c r="AM538" i="2"/>
  <c r="AN545" i="2"/>
  <c r="AM545" i="2"/>
  <c r="AM623" i="2"/>
  <c r="AN623" i="2"/>
  <c r="AN633" i="2"/>
  <c r="AM633" i="2"/>
  <c r="AN698" i="2"/>
  <c r="AM698" i="2"/>
  <c r="AM510" i="2"/>
  <c r="AM528" i="2"/>
  <c r="AN553" i="2"/>
  <c r="AM553" i="2"/>
  <c r="AN561" i="2"/>
  <c r="AM567" i="2"/>
  <c r="AN594" i="2"/>
  <c r="AN607" i="2"/>
  <c r="AM607" i="2"/>
  <c r="AM646" i="2"/>
  <c r="AN651" i="2"/>
  <c r="AN378" i="2"/>
  <c r="AM378" i="2"/>
  <c r="AN563" i="2"/>
  <c r="AM563" i="2"/>
  <c r="AN614" i="2"/>
  <c r="AM614" i="2"/>
  <c r="AN631" i="2"/>
  <c r="AM631" i="2"/>
  <c r="AM392" i="2"/>
  <c r="AN394" i="2"/>
  <c r="AM394" i="2"/>
  <c r="AM408" i="2"/>
  <c r="AN442" i="2"/>
  <c r="AM442" i="2"/>
  <c r="AM447" i="2"/>
  <c r="AM463" i="2"/>
  <c r="AN494" i="2"/>
  <c r="AM494" i="2"/>
  <c r="AN138" i="2"/>
  <c r="AM138" i="2"/>
  <c r="AN166" i="2"/>
  <c r="AM166" i="2"/>
  <c r="AN182" i="2"/>
  <c r="AM182" i="2"/>
  <c r="AN194" i="2"/>
  <c r="AM194" i="2"/>
  <c r="AN203" i="2"/>
  <c r="AN270" i="2"/>
  <c r="AM270" i="2"/>
  <c r="AN286" i="2"/>
  <c r="AM286" i="2"/>
  <c r="AN295" i="2"/>
  <c r="AN302" i="2"/>
  <c r="AM302" i="2"/>
  <c r="AN311" i="2"/>
  <c r="AN492" i="2"/>
  <c r="AN509" i="2"/>
  <c r="AM509" i="2"/>
  <c r="AN535" i="2"/>
  <c r="AM535" i="2"/>
  <c r="AM561" i="2"/>
  <c r="AM594" i="2"/>
  <c r="AN611" i="2"/>
  <c r="AM611" i="2"/>
  <c r="AN646" i="2"/>
  <c r="AM431" i="2"/>
  <c r="AN474" i="2"/>
  <c r="AM474" i="2"/>
  <c r="AN142" i="2"/>
  <c r="AM142" i="2"/>
  <c r="AN170" i="2"/>
  <c r="AM170" i="2"/>
  <c r="AN210" i="2"/>
  <c r="AM210" i="2"/>
  <c r="AN226" i="2"/>
  <c r="AM226" i="2"/>
  <c r="AN242" i="2"/>
  <c r="AM242" i="2"/>
  <c r="AN251" i="2"/>
  <c r="AN258" i="2"/>
  <c r="AM258" i="2"/>
  <c r="AN318" i="2"/>
  <c r="AM318" i="2"/>
  <c r="AN334" i="2"/>
  <c r="AM334" i="2"/>
  <c r="AN350" i="2"/>
  <c r="AM350" i="2"/>
  <c r="AM364" i="2"/>
  <c r="AN366" i="2"/>
  <c r="AM366" i="2"/>
  <c r="AM371" i="2"/>
  <c r="AM380" i="2"/>
  <c r="AN382" i="2"/>
  <c r="AM382" i="2"/>
  <c r="AM387" i="2"/>
  <c r="AN391" i="2"/>
  <c r="AM396" i="2"/>
  <c r="AN398" i="2"/>
  <c r="AM398" i="2"/>
  <c r="AM403" i="2"/>
  <c r="AN407" i="2"/>
  <c r="AM412" i="2"/>
  <c r="AN414" i="2"/>
  <c r="AM414" i="2"/>
  <c r="AM419" i="2"/>
  <c r="AN423" i="2"/>
  <c r="AM428" i="2"/>
  <c r="AN430" i="2"/>
  <c r="AM430" i="2"/>
  <c r="AM435" i="2"/>
  <c r="AN439" i="2"/>
  <c r="AM444" i="2"/>
  <c r="AN446" i="2"/>
  <c r="AM446" i="2"/>
  <c r="AM451" i="2"/>
  <c r="AN455" i="2"/>
  <c r="AM460" i="2"/>
  <c r="AN462" i="2"/>
  <c r="AM462" i="2"/>
  <c r="AM467" i="2"/>
  <c r="AN471" i="2"/>
  <c r="AM476" i="2"/>
  <c r="AN478" i="2"/>
  <c r="AM478" i="2"/>
  <c r="AM483" i="2"/>
  <c r="AM502" i="2"/>
  <c r="AM515" i="2"/>
  <c r="AM523" i="2"/>
  <c r="AN527" i="2"/>
  <c r="AM527" i="2"/>
  <c r="AM543" i="2"/>
  <c r="AN550" i="2"/>
  <c r="AM550" i="2"/>
  <c r="AN564" i="2"/>
  <c r="AM564" i="2"/>
  <c r="AM586" i="2"/>
  <c r="AN586" i="2"/>
  <c r="AM590" i="2"/>
  <c r="AN641" i="2"/>
  <c r="AM641" i="2"/>
  <c r="AN678" i="2"/>
  <c r="AN362" i="2"/>
  <c r="AM362" i="2"/>
  <c r="AN410" i="2"/>
  <c r="AM410" i="2"/>
  <c r="AN426" i="2"/>
  <c r="AM426" i="2"/>
  <c r="AN458" i="2"/>
  <c r="AM458" i="2"/>
  <c r="AN131" i="2"/>
  <c r="AN146" i="2"/>
  <c r="AM146" i="2"/>
  <c r="AM155" i="2"/>
  <c r="AN179" i="2"/>
  <c r="AN191" i="2"/>
  <c r="AN198" i="2"/>
  <c r="AM198" i="2"/>
  <c r="AM203" i="2"/>
  <c r="AN207" i="2"/>
  <c r="AM263" i="2"/>
  <c r="AN267" i="2"/>
  <c r="AN274" i="2"/>
  <c r="AM274" i="2"/>
  <c r="AM279" i="2"/>
  <c r="AN283" i="2"/>
  <c r="AN290" i="2"/>
  <c r="AM290" i="2"/>
  <c r="AM295" i="2"/>
  <c r="AN299" i="2"/>
  <c r="AN306" i="2"/>
  <c r="AM306" i="2"/>
  <c r="AM311" i="2"/>
  <c r="AN315" i="2"/>
  <c r="AN489" i="2"/>
  <c r="AM489" i="2"/>
  <c r="AN497" i="2"/>
  <c r="AN499" i="2"/>
  <c r="AM499" i="2"/>
  <c r="AM525" i="2"/>
  <c r="AN573" i="2"/>
  <c r="AN579" i="2"/>
  <c r="AM579" i="2"/>
  <c r="AN583" i="2"/>
  <c r="AN653" i="2"/>
  <c r="AM653" i="2"/>
  <c r="AN513" i="2"/>
  <c r="AN518" i="2"/>
  <c r="AN531" i="2"/>
  <c r="AN541" i="2"/>
  <c r="AN606" i="2"/>
  <c r="AM606" i="2"/>
  <c r="AN626" i="2"/>
  <c r="AN675" i="2"/>
  <c r="AM675" i="2"/>
  <c r="AN682" i="2"/>
  <c r="AM682" i="2"/>
  <c r="AN695" i="2"/>
  <c r="AN749" i="2"/>
  <c r="AM749" i="2"/>
  <c r="AN758" i="2"/>
  <c r="AM758" i="2"/>
  <c r="AN783" i="2"/>
  <c r="AM783" i="2"/>
  <c r="AN877" i="2"/>
  <c r="AM877" i="2"/>
  <c r="AN902" i="2"/>
  <c r="AM902" i="2"/>
  <c r="AN729" i="2"/>
  <c r="AM729" i="2"/>
  <c r="AN765" i="2"/>
  <c r="AM765" i="2"/>
  <c r="AN774" i="2"/>
  <c r="AM774" i="2"/>
  <c r="AN799" i="2"/>
  <c r="AM799" i="2"/>
  <c r="AN841" i="2"/>
  <c r="AM841" i="2"/>
  <c r="AN854" i="2"/>
  <c r="AM854" i="2"/>
  <c r="AN873" i="2"/>
  <c r="AM873" i="2"/>
  <c r="AN911" i="2"/>
  <c r="AM911" i="2"/>
  <c r="AN937" i="2"/>
  <c r="AM937" i="2"/>
  <c r="AN950" i="2"/>
  <c r="AN687" i="2"/>
  <c r="AM687" i="2"/>
  <c r="AN693" i="2"/>
  <c r="AM693" i="2"/>
  <c r="AN702" i="2"/>
  <c r="AM702" i="2"/>
  <c r="AN745" i="2"/>
  <c r="AM745" i="2"/>
  <c r="AN781" i="2"/>
  <c r="AM781" i="2"/>
  <c r="AN790" i="2"/>
  <c r="AM790" i="2"/>
  <c r="AN815" i="2"/>
  <c r="AM815" i="2"/>
  <c r="AN863" i="2"/>
  <c r="AM863" i="2"/>
  <c r="AN909" i="2"/>
  <c r="AM909" i="2"/>
  <c r="AN922" i="2"/>
  <c r="AM922" i="2"/>
  <c r="AN933" i="2"/>
  <c r="AM933" i="2"/>
  <c r="AN946" i="2"/>
  <c r="AN673" i="2"/>
  <c r="AM673" i="2"/>
  <c r="AN685" i="2"/>
  <c r="AM685" i="2"/>
  <c r="AN707" i="2"/>
  <c r="AM707" i="2"/>
  <c r="AN714" i="2"/>
  <c r="AM714" i="2"/>
  <c r="AN761" i="2"/>
  <c r="AM761" i="2"/>
  <c r="AN797" i="2"/>
  <c r="AM797" i="2"/>
  <c r="AN806" i="2"/>
  <c r="AM806" i="2"/>
  <c r="AN831" i="2"/>
  <c r="AM831" i="2"/>
  <c r="AN861" i="2"/>
  <c r="AM861" i="2"/>
  <c r="AN886" i="2"/>
  <c r="AM886" i="2"/>
  <c r="AN905" i="2"/>
  <c r="AM905" i="2"/>
  <c r="AN929" i="2"/>
  <c r="AM929" i="2"/>
  <c r="AN719" i="2"/>
  <c r="AM719" i="2"/>
  <c r="AN777" i="2"/>
  <c r="AM777" i="2"/>
  <c r="AN813" i="2"/>
  <c r="AM813" i="2"/>
  <c r="AN822" i="2"/>
  <c r="AM822" i="2"/>
  <c r="AN857" i="2"/>
  <c r="AM857" i="2"/>
  <c r="AN895" i="2"/>
  <c r="AM895" i="2"/>
  <c r="AN537" i="2"/>
  <c r="AM537" i="2"/>
  <c r="AN566" i="2"/>
  <c r="AM566" i="2"/>
  <c r="AN601" i="2"/>
  <c r="AM601" i="2"/>
  <c r="AN605" i="2"/>
  <c r="AM605" i="2"/>
  <c r="AN621" i="2"/>
  <c r="AM621" i="2"/>
  <c r="AN629" i="2"/>
  <c r="AM629" i="2"/>
  <c r="AN638" i="2"/>
  <c r="AM638" i="2"/>
  <c r="AM678" i="2"/>
  <c r="AM683" i="2"/>
  <c r="AN735" i="2"/>
  <c r="AM735" i="2"/>
  <c r="AM786" i="2"/>
  <c r="AN793" i="2"/>
  <c r="AM793" i="2"/>
  <c r="AM795" i="2"/>
  <c r="AN829" i="2"/>
  <c r="AM829" i="2"/>
  <c r="AN847" i="2"/>
  <c r="AM847" i="2"/>
  <c r="AN893" i="2"/>
  <c r="AM893" i="2"/>
  <c r="AN918" i="2"/>
  <c r="AM918" i="2"/>
  <c r="AN925" i="2"/>
  <c r="AM925" i="2"/>
  <c r="AN485" i="2"/>
  <c r="AN493" i="2"/>
  <c r="AN529" i="2"/>
  <c r="AN534" i="2"/>
  <c r="AN547" i="2"/>
  <c r="AN557" i="2"/>
  <c r="AN599" i="2"/>
  <c r="AN643" i="2"/>
  <c r="AM643" i="2"/>
  <c r="AN650" i="2"/>
  <c r="AM650" i="2"/>
  <c r="AN705" i="2"/>
  <c r="AM705" i="2"/>
  <c r="AN717" i="2"/>
  <c r="AM717" i="2"/>
  <c r="AN726" i="2"/>
  <c r="AM726" i="2"/>
  <c r="AN751" i="2"/>
  <c r="AM751" i="2"/>
  <c r="AM802" i="2"/>
  <c r="AN809" i="2"/>
  <c r="AM809" i="2"/>
  <c r="AM811" i="2"/>
  <c r="AN838" i="2"/>
  <c r="AM838" i="2"/>
  <c r="AN870" i="2"/>
  <c r="AM870" i="2"/>
  <c r="AN889" i="2"/>
  <c r="AM889" i="2"/>
  <c r="AM891" i="2"/>
  <c r="AM914" i="2"/>
  <c r="AN521" i="2"/>
  <c r="AM521" i="2"/>
  <c r="AN589" i="2"/>
  <c r="AM589" i="2"/>
  <c r="AN597" i="2"/>
  <c r="AM597" i="2"/>
  <c r="AN655" i="2"/>
  <c r="AM655" i="2"/>
  <c r="AN661" i="2"/>
  <c r="AM661" i="2"/>
  <c r="AN670" i="2"/>
  <c r="AM670" i="2"/>
  <c r="AN697" i="2"/>
  <c r="AM697" i="2"/>
  <c r="AN733" i="2"/>
  <c r="AM733" i="2"/>
  <c r="AN742" i="2"/>
  <c r="AM742" i="2"/>
  <c r="AN767" i="2"/>
  <c r="AM767" i="2"/>
  <c r="AN825" i="2"/>
  <c r="AM825" i="2"/>
  <c r="AN845" i="2"/>
  <c r="AM845" i="2"/>
  <c r="AN879" i="2"/>
  <c r="AM879" i="2"/>
  <c r="AN577" i="2"/>
  <c r="AN585" i="2"/>
  <c r="AM585" i="2"/>
  <c r="AN617" i="2"/>
  <c r="AM617" i="2"/>
  <c r="AN649" i="2"/>
  <c r="AM649" i="2"/>
  <c r="AN681" i="2"/>
  <c r="AM681" i="2"/>
  <c r="AN713" i="2"/>
  <c r="AM713" i="2"/>
  <c r="AN921" i="2"/>
  <c r="AM921" i="2"/>
  <c r="AN953" i="2"/>
  <c r="AM953" i="2"/>
  <c r="AN969" i="2"/>
  <c r="AM969" i="2"/>
  <c r="AN972" i="2"/>
  <c r="AM972" i="2"/>
  <c r="AN981" i="2"/>
  <c r="AM981" i="2"/>
  <c r="AN961" i="2"/>
  <c r="AM961" i="2"/>
  <c r="AN984" i="2"/>
  <c r="AM984" i="2"/>
  <c r="AN581" i="2"/>
  <c r="AM581" i="2"/>
  <c r="AN613" i="2"/>
  <c r="AM613" i="2"/>
  <c r="AN645" i="2"/>
  <c r="AM645" i="2"/>
  <c r="AN677" i="2"/>
  <c r="AM677" i="2"/>
  <c r="AN709" i="2"/>
  <c r="AM709" i="2"/>
  <c r="AN721" i="2"/>
  <c r="AM721" i="2"/>
  <c r="AN737" i="2"/>
  <c r="AM737" i="2"/>
  <c r="AN753" i="2"/>
  <c r="AM753" i="2"/>
  <c r="AN769" i="2"/>
  <c r="AM769" i="2"/>
  <c r="AN785" i="2"/>
  <c r="AM785" i="2"/>
  <c r="AN801" i="2"/>
  <c r="AM801" i="2"/>
  <c r="AN817" i="2"/>
  <c r="AM817" i="2"/>
  <c r="AN833" i="2"/>
  <c r="AM833" i="2"/>
  <c r="AN849" i="2"/>
  <c r="AM849" i="2"/>
  <c r="AN865" i="2"/>
  <c r="AM865" i="2"/>
  <c r="AN881" i="2"/>
  <c r="AM881" i="2"/>
  <c r="AN897" i="2"/>
  <c r="AM897" i="2"/>
  <c r="AN913" i="2"/>
  <c r="AM913" i="2"/>
  <c r="AN941" i="2"/>
  <c r="AM941" i="2"/>
  <c r="AM950" i="2"/>
  <c r="AM970" i="2"/>
  <c r="AN501" i="2"/>
  <c r="AN517" i="2"/>
  <c r="AN533" i="2"/>
  <c r="AN549" i="2"/>
  <c r="AN565" i="2"/>
  <c r="AN593" i="2"/>
  <c r="AM593" i="2"/>
  <c r="AN625" i="2"/>
  <c r="AM625" i="2"/>
  <c r="AN657" i="2"/>
  <c r="AM657" i="2"/>
  <c r="AN689" i="2"/>
  <c r="AM689" i="2"/>
  <c r="AN945" i="2"/>
  <c r="AM945" i="2"/>
  <c r="AM954" i="2"/>
  <c r="AM956" i="2"/>
  <c r="AN637" i="2"/>
  <c r="AM637" i="2"/>
  <c r="AN669" i="2"/>
  <c r="AM669" i="2"/>
  <c r="AN701" i="2"/>
  <c r="AM701" i="2"/>
  <c r="AN725" i="2"/>
  <c r="AM725" i="2"/>
  <c r="AN741" i="2"/>
  <c r="AM741" i="2"/>
  <c r="AN757" i="2"/>
  <c r="AM757" i="2"/>
  <c r="AN773" i="2"/>
  <c r="AM773" i="2"/>
  <c r="AN789" i="2"/>
  <c r="AM789" i="2"/>
  <c r="AN805" i="2"/>
  <c r="AM805" i="2"/>
  <c r="AN821" i="2"/>
  <c r="AM821" i="2"/>
  <c r="AN837" i="2"/>
  <c r="AM837" i="2"/>
  <c r="AN853" i="2"/>
  <c r="AM853" i="2"/>
  <c r="AN869" i="2"/>
  <c r="AM869" i="2"/>
  <c r="AN885" i="2"/>
  <c r="AM885" i="2"/>
  <c r="AN901" i="2"/>
  <c r="AM901" i="2"/>
  <c r="AN917" i="2"/>
  <c r="AM917" i="2"/>
  <c r="AN949" i="2"/>
  <c r="AM949" i="2"/>
  <c r="AN964" i="2"/>
  <c r="AM975" i="2"/>
  <c r="AN975" i="2"/>
  <c r="AN1012" i="2"/>
  <c r="AM1012" i="2"/>
  <c r="AN1092" i="2"/>
  <c r="AM1092" i="2"/>
  <c r="AN1136" i="2"/>
  <c r="AM1136" i="2"/>
  <c r="AN1152" i="2"/>
  <c r="AM1152" i="2"/>
  <c r="AN1164" i="2"/>
  <c r="AM1164" i="2"/>
  <c r="AN1180" i="2"/>
  <c r="AM1180" i="2"/>
  <c r="AN1216" i="2"/>
  <c r="AM1216" i="2"/>
  <c r="AN1258" i="2"/>
  <c r="AM1258" i="2"/>
  <c r="AN1270" i="2"/>
  <c r="AN1000" i="2"/>
  <c r="AM1000" i="2"/>
  <c r="AN1028" i="2"/>
  <c r="AM1028" i="2"/>
  <c r="AN1044" i="2"/>
  <c r="AM1044" i="2"/>
  <c r="AN1060" i="2"/>
  <c r="AM1060" i="2"/>
  <c r="AN1072" i="2"/>
  <c r="AM1072" i="2"/>
  <c r="AN1108" i="2"/>
  <c r="AM1108" i="2"/>
  <c r="AN1196" i="2"/>
  <c r="AM1196" i="2"/>
  <c r="AN1228" i="2"/>
  <c r="AM1228" i="2"/>
  <c r="AN1240" i="2"/>
  <c r="AM1240" i="2"/>
  <c r="AM1264" i="2"/>
  <c r="AN1264" i="2"/>
  <c r="AN1279" i="2"/>
  <c r="AM1279" i="2"/>
  <c r="AN1016" i="2"/>
  <c r="AM1016" i="2"/>
  <c r="AN1084" i="2"/>
  <c r="AM1084" i="2"/>
  <c r="AN1096" i="2"/>
  <c r="AM1096" i="2"/>
  <c r="AN1124" i="2"/>
  <c r="AM1124" i="2"/>
  <c r="AN1140" i="2"/>
  <c r="AM1140" i="2"/>
  <c r="AN1168" i="2"/>
  <c r="AM1168" i="2"/>
  <c r="AN1184" i="2"/>
  <c r="AM1184" i="2"/>
  <c r="AM1201" i="2"/>
  <c r="AN1208" i="2"/>
  <c r="AM1208" i="2"/>
  <c r="AM1233" i="2"/>
  <c r="AM1249" i="2"/>
  <c r="AN1268" i="2"/>
  <c r="AM1270" i="2"/>
  <c r="AM989" i="2"/>
  <c r="AM992" i="2"/>
  <c r="AM997" i="2"/>
  <c r="AN1032" i="2"/>
  <c r="AM1032" i="2"/>
  <c r="AN1048" i="2"/>
  <c r="AM1048" i="2"/>
  <c r="AN1064" i="2"/>
  <c r="AM1064" i="2"/>
  <c r="AN1112" i="2"/>
  <c r="AM1112" i="2"/>
  <c r="AN1156" i="2"/>
  <c r="AM1156" i="2"/>
  <c r="AN1220" i="2"/>
  <c r="AM1220" i="2"/>
  <c r="AN1244" i="2"/>
  <c r="AM1244" i="2"/>
  <c r="AN1261" i="2"/>
  <c r="AM1261" i="2"/>
  <c r="AM978" i="2"/>
  <c r="AM1002" i="2"/>
  <c r="AN1004" i="2"/>
  <c r="AM1004" i="2"/>
  <c r="AN1020" i="2"/>
  <c r="AM1020" i="2"/>
  <c r="AM1025" i="2"/>
  <c r="AM1041" i="2"/>
  <c r="AM1057" i="2"/>
  <c r="AM1069" i="2"/>
  <c r="AN1076" i="2"/>
  <c r="AM1076" i="2"/>
  <c r="AN1100" i="2"/>
  <c r="AM1100" i="2"/>
  <c r="AM1105" i="2"/>
  <c r="AN1128" i="2"/>
  <c r="AM1128" i="2"/>
  <c r="AN1144" i="2"/>
  <c r="AM1144" i="2"/>
  <c r="AN1172" i="2"/>
  <c r="AM1172" i="2"/>
  <c r="AN1188" i="2"/>
  <c r="AM1188" i="2"/>
  <c r="AN1200" i="2"/>
  <c r="AM1200" i="2"/>
  <c r="AN1232" i="2"/>
  <c r="AM1232" i="2"/>
  <c r="AN1287" i="2"/>
  <c r="AM1287" i="2"/>
  <c r="AM966" i="2"/>
  <c r="AM986" i="2"/>
  <c r="AM994" i="2"/>
  <c r="AM1013" i="2"/>
  <c r="AN1036" i="2"/>
  <c r="AM1036" i="2"/>
  <c r="AN1052" i="2"/>
  <c r="AM1052" i="2"/>
  <c r="AM1081" i="2"/>
  <c r="AN1088" i="2"/>
  <c r="AM1088" i="2"/>
  <c r="AM1093" i="2"/>
  <c r="AN1116" i="2"/>
  <c r="AM1116" i="2"/>
  <c r="AM1121" i="2"/>
  <c r="AM1137" i="2"/>
  <c r="AN1160" i="2"/>
  <c r="AM1160" i="2"/>
  <c r="AM1165" i="2"/>
  <c r="AM1181" i="2"/>
  <c r="AM1205" i="2"/>
  <c r="AN1212" i="2"/>
  <c r="AM1212" i="2"/>
  <c r="AN1248" i="2"/>
  <c r="AM1248" i="2"/>
  <c r="AM958" i="2"/>
  <c r="AN963" i="2"/>
  <c r="AM977" i="2"/>
  <c r="AM980" i="2"/>
  <c r="AN983" i="2"/>
  <c r="AN991" i="2"/>
  <c r="AN999" i="2"/>
  <c r="AN1008" i="2"/>
  <c r="AM1008" i="2"/>
  <c r="AN1024" i="2"/>
  <c r="AM1024" i="2"/>
  <c r="AM1029" i="2"/>
  <c r="AM1045" i="2"/>
  <c r="AM1061" i="2"/>
  <c r="AN1068" i="2"/>
  <c r="AM1068" i="2"/>
  <c r="AN1104" i="2"/>
  <c r="AM1104" i="2"/>
  <c r="AM1109" i="2"/>
  <c r="AN1132" i="2"/>
  <c r="AM1132" i="2"/>
  <c r="AN1148" i="2"/>
  <c r="AM1148" i="2"/>
  <c r="AM1153" i="2"/>
  <c r="AN1176" i="2"/>
  <c r="AM1176" i="2"/>
  <c r="AN1192" i="2"/>
  <c r="AM1192" i="2"/>
  <c r="AM1217" i="2"/>
  <c r="AN1224" i="2"/>
  <c r="AM1224" i="2"/>
  <c r="AM1241" i="2"/>
  <c r="AM1259" i="2"/>
  <c r="AM1265" i="2"/>
  <c r="AM1271" i="2"/>
  <c r="AN1276" i="2"/>
  <c r="AN955" i="2"/>
  <c r="AM960" i="2"/>
  <c r="AM968" i="2"/>
  <c r="AN971" i="2"/>
  <c r="AN976" i="2"/>
  <c r="AM988" i="2"/>
  <c r="AM996" i="2"/>
  <c r="AN1040" i="2"/>
  <c r="AM1040" i="2"/>
  <c r="AN1056" i="2"/>
  <c r="AM1056" i="2"/>
  <c r="AN1080" i="2"/>
  <c r="AM1080" i="2"/>
  <c r="AN1120" i="2"/>
  <c r="AM1120" i="2"/>
  <c r="AN1204" i="2"/>
  <c r="AM1204" i="2"/>
  <c r="AN1236" i="2"/>
  <c r="AM1236" i="2"/>
  <c r="AN1252" i="2"/>
  <c r="AM1252" i="2"/>
  <c r="AM1273" i="2"/>
  <c r="AN1310" i="2"/>
  <c r="AN1333" i="2"/>
  <c r="AM1333" i="2"/>
  <c r="AN1366" i="2"/>
  <c r="AN1414" i="2"/>
  <c r="AN1451" i="2"/>
  <c r="AM1451" i="2"/>
  <c r="AN1453" i="2"/>
  <c r="AM1453" i="2"/>
  <c r="AM1460" i="2"/>
  <c r="AN1460" i="2"/>
  <c r="AN1497" i="2"/>
  <c r="AN1314" i="2"/>
  <c r="AN1318" i="2"/>
  <c r="AN1322" i="2"/>
  <c r="AN1337" i="2"/>
  <c r="AM1337" i="2"/>
  <c r="AN1341" i="2"/>
  <c r="AM1341" i="2"/>
  <c r="AN1345" i="2"/>
  <c r="AM1345" i="2"/>
  <c r="AN1349" i="2"/>
  <c r="AM1349" i="2"/>
  <c r="AN1370" i="2"/>
  <c r="AN1410" i="2"/>
  <c r="AM1410" i="2"/>
  <c r="AN1443" i="2"/>
  <c r="AM1443" i="2"/>
  <c r="AN1467" i="2"/>
  <c r="AM1467" i="2"/>
  <c r="AN1536" i="2"/>
  <c r="AN1289" i="2"/>
  <c r="AM1289" i="2"/>
  <c r="AN1301" i="2"/>
  <c r="AM1301" i="2"/>
  <c r="AN1353" i="2"/>
  <c r="AM1353" i="2"/>
  <c r="AN1357" i="2"/>
  <c r="AM1357" i="2"/>
  <c r="AN1435" i="2"/>
  <c r="AM1435" i="2"/>
  <c r="AN1441" i="2"/>
  <c r="AM1441" i="2"/>
  <c r="AN1493" i="2"/>
  <c r="AM1493" i="2"/>
  <c r="AN1305" i="2"/>
  <c r="AM1305" i="2"/>
  <c r="AN1330" i="2"/>
  <c r="AN1361" i="2"/>
  <c r="AM1361" i="2"/>
  <c r="AM1423" i="2"/>
  <c r="AN1427" i="2"/>
  <c r="AM1427" i="2"/>
  <c r="AN1433" i="2"/>
  <c r="AM1433" i="2"/>
  <c r="AM1473" i="2"/>
  <c r="AN1473" i="2"/>
  <c r="AN1480" i="2"/>
  <c r="AM1480" i="2"/>
  <c r="AN1532" i="2"/>
  <c r="AM1532" i="2"/>
  <c r="AN1281" i="2"/>
  <c r="AM1281" i="2"/>
  <c r="AM1291" i="2"/>
  <c r="AN1293" i="2"/>
  <c r="AM1293" i="2"/>
  <c r="AM1303" i="2"/>
  <c r="AN1309" i="2"/>
  <c r="AM1309" i="2"/>
  <c r="AN1365" i="2"/>
  <c r="AM1365" i="2"/>
  <c r="AM1398" i="2"/>
  <c r="AN1404" i="2"/>
  <c r="AM1404" i="2"/>
  <c r="AN1419" i="2"/>
  <c r="AM1419" i="2"/>
  <c r="AN1425" i="2"/>
  <c r="AM1425" i="2"/>
  <c r="AN1438" i="2"/>
  <c r="AM1438" i="2"/>
  <c r="AN1455" i="2"/>
  <c r="AM1455" i="2"/>
  <c r="AM1530" i="2"/>
  <c r="AN1530" i="2"/>
  <c r="AM1286" i="2"/>
  <c r="AM1298" i="2"/>
  <c r="AM1307" i="2"/>
  <c r="AN1313" i="2"/>
  <c r="AM1313" i="2"/>
  <c r="AM1330" i="2"/>
  <c r="AM1363" i="2"/>
  <c r="AN1369" i="2"/>
  <c r="AM1369" i="2"/>
  <c r="AM1402" i="2"/>
  <c r="AN1417" i="2"/>
  <c r="AM1417" i="2"/>
  <c r="AN1430" i="2"/>
  <c r="AM1430" i="2"/>
  <c r="AM1267" i="2"/>
  <c r="AM1278" i="2"/>
  <c r="AM1311" i="2"/>
  <c r="AN1317" i="2"/>
  <c r="AM1317" i="2"/>
  <c r="AN1321" i="2"/>
  <c r="AM1321" i="2"/>
  <c r="AN1325" i="2"/>
  <c r="AM1325" i="2"/>
  <c r="AM1334" i="2"/>
  <c r="AM1338" i="2"/>
  <c r="AM1342" i="2"/>
  <c r="AM1346" i="2"/>
  <c r="AM1367" i="2"/>
  <c r="AN1373" i="2"/>
  <c r="AM1373" i="2"/>
  <c r="AM1411" i="2"/>
  <c r="AM1415" i="2"/>
  <c r="AN1422" i="2"/>
  <c r="AM1422" i="2"/>
  <c r="AM1448" i="2"/>
  <c r="AN1462" i="2"/>
  <c r="AM1462" i="2"/>
  <c r="AN1474" i="2"/>
  <c r="AM1474" i="2"/>
  <c r="AM1542" i="2"/>
  <c r="AN1542" i="2"/>
  <c r="AN1257" i="2"/>
  <c r="AN1272" i="2"/>
  <c r="AN1277" i="2"/>
  <c r="AN1285" i="2"/>
  <c r="AM1285" i="2"/>
  <c r="AN1297" i="2"/>
  <c r="AM1297" i="2"/>
  <c r="AN1306" i="2"/>
  <c r="AN1329" i="2"/>
  <c r="AM1329" i="2"/>
  <c r="AM1350" i="2"/>
  <c r="AM1354" i="2"/>
  <c r="AN1362" i="2"/>
  <c r="AN1377" i="2"/>
  <c r="AM1377" i="2"/>
  <c r="AN1381" i="2"/>
  <c r="AM1381" i="2"/>
  <c r="AN1385" i="2"/>
  <c r="AM1385" i="2"/>
  <c r="AN1389" i="2"/>
  <c r="AM1389" i="2"/>
  <c r="AN1393" i="2"/>
  <c r="AM1393" i="2"/>
  <c r="AN1397" i="2"/>
  <c r="AM1397" i="2"/>
  <c r="AN1401" i="2"/>
  <c r="AM1401" i="2"/>
  <c r="AN1405" i="2"/>
  <c r="AN1407" i="2"/>
  <c r="AM1407" i="2"/>
  <c r="AN1470" i="2"/>
  <c r="AM1470" i="2"/>
  <c r="AN1483" i="2"/>
  <c r="AM1483" i="2"/>
  <c r="AM1550" i="2"/>
  <c r="AN1550" i="2"/>
  <c r="AN1564" i="2"/>
  <c r="AN1615" i="2"/>
  <c r="AM1615" i="2"/>
  <c r="AN1631" i="2"/>
  <c r="AM1631" i="2"/>
  <c r="AN1688" i="2"/>
  <c r="AM1688" i="2"/>
  <c r="AN1509" i="2"/>
  <c r="AM1509" i="2"/>
  <c r="AM1518" i="2"/>
  <c r="AN1518" i="2"/>
  <c r="AN1547" i="2"/>
  <c r="AM1547" i="2"/>
  <c r="AM1562" i="2"/>
  <c r="AN1562" i="2"/>
  <c r="AN1676" i="2"/>
  <c r="AM1676" i="2"/>
  <c r="AN1737" i="2"/>
  <c r="AN1487" i="2"/>
  <c r="AN1502" i="2"/>
  <c r="AM1502" i="2"/>
  <c r="AN1515" i="2"/>
  <c r="AM1515" i="2"/>
  <c r="AN1580" i="2"/>
  <c r="AM1580" i="2"/>
  <c r="AN1640" i="2"/>
  <c r="AM1640" i="2"/>
  <c r="AN1652" i="2"/>
  <c r="AM1652" i="2"/>
  <c r="AM1664" i="2"/>
  <c r="AM1696" i="2"/>
  <c r="AN1596" i="2"/>
  <c r="AM1596" i="2"/>
  <c r="AM1716" i="2"/>
  <c r="AN1716" i="2"/>
  <c r="AM1720" i="2"/>
  <c r="AN1720" i="2"/>
  <c r="AM1487" i="2"/>
  <c r="AM1497" i="2"/>
  <c r="AN1499" i="2"/>
  <c r="AM1499" i="2"/>
  <c r="AM1536" i="2"/>
  <c r="AM1538" i="2"/>
  <c r="AN1538" i="2"/>
  <c r="AN1544" i="2"/>
  <c r="AM1544" i="2"/>
  <c r="AN1571" i="2"/>
  <c r="AM1571" i="2"/>
  <c r="AM1608" i="2"/>
  <c r="AN1612" i="2"/>
  <c r="AM1612" i="2"/>
  <c r="AN1512" i="2"/>
  <c r="AM1512" i="2"/>
  <c r="AM1525" i="2"/>
  <c r="AN1553" i="2"/>
  <c r="AM1553" i="2"/>
  <c r="AM1559" i="2"/>
  <c r="AN1567" i="2"/>
  <c r="AM1567" i="2"/>
  <c r="AN1587" i="2"/>
  <c r="AM1587" i="2"/>
  <c r="AM1624" i="2"/>
  <c r="AN1628" i="2"/>
  <c r="AM1636" i="2"/>
  <c r="AN1659" i="2"/>
  <c r="AM1659" i="2"/>
  <c r="AN1671" i="2"/>
  <c r="AM1671" i="2"/>
  <c r="AN1691" i="2"/>
  <c r="AM1691" i="2"/>
  <c r="AN1703" i="2"/>
  <c r="AM1703" i="2"/>
  <c r="AM1400" i="2"/>
  <c r="AM1413" i="2"/>
  <c r="AM1416" i="2"/>
  <c r="AN1421" i="2"/>
  <c r="AM1421" i="2"/>
  <c r="AN1429" i="2"/>
  <c r="AM1429" i="2"/>
  <c r="AN1437" i="2"/>
  <c r="AM1437" i="2"/>
  <c r="AM1445" i="2"/>
  <c r="AM1452" i="2"/>
  <c r="AM1464" i="2"/>
  <c r="AM1484" i="2"/>
  <c r="AN1486" i="2"/>
  <c r="AM1486" i="2"/>
  <c r="AM1506" i="2"/>
  <c r="AN1521" i="2"/>
  <c r="AM1521" i="2"/>
  <c r="AM1527" i="2"/>
  <c r="AN1535" i="2"/>
  <c r="AM1535" i="2"/>
  <c r="AN1583" i="2"/>
  <c r="AM1583" i="2"/>
  <c r="AN1603" i="2"/>
  <c r="AM1603" i="2"/>
  <c r="AN1454" i="2"/>
  <c r="AM1454" i="2"/>
  <c r="AN1457" i="2"/>
  <c r="AN1461" i="2"/>
  <c r="AN1477" i="2"/>
  <c r="AM1477" i="2"/>
  <c r="AN1496" i="2"/>
  <c r="AM1496" i="2"/>
  <c r="AN1524" i="2"/>
  <c r="AN1539" i="2"/>
  <c r="AN1599" i="2"/>
  <c r="AM1599" i="2"/>
  <c r="AN1619" i="2"/>
  <c r="AM1619" i="2"/>
  <c r="AN1635" i="2"/>
  <c r="AM1635" i="2"/>
  <c r="AN1475" i="2"/>
  <c r="AN1476" i="2"/>
  <c r="AN1489" i="2"/>
  <c r="AN1491" i="2"/>
  <c r="AN1492" i="2"/>
  <c r="AN1507" i="2"/>
  <c r="AN1519" i="2"/>
  <c r="AN1551" i="2"/>
  <c r="AN1643" i="2"/>
  <c r="AM1643" i="2"/>
  <c r="AN1679" i="2"/>
  <c r="AM1679" i="2"/>
  <c r="AN1647" i="2"/>
  <c r="AM1647" i="2"/>
  <c r="AN1683" i="2"/>
  <c r="AM1683" i="2"/>
  <c r="AN1728" i="2"/>
  <c r="AM1728" i="2"/>
  <c r="AN1663" i="2"/>
  <c r="AM1663" i="2"/>
  <c r="AN1695" i="2"/>
  <c r="AM1695" i="2"/>
  <c r="AM1558" i="2"/>
  <c r="AN1558" i="2"/>
  <c r="AN1575" i="2"/>
  <c r="AM1575" i="2"/>
  <c r="AN1591" i="2"/>
  <c r="AM1591" i="2"/>
  <c r="AN1607" i="2"/>
  <c r="AM1607" i="2"/>
  <c r="AN1623" i="2"/>
  <c r="AM1623" i="2"/>
  <c r="AM1628" i="2"/>
  <c r="AN1651" i="2"/>
  <c r="AM1651" i="2"/>
  <c r="AM1656" i="2"/>
  <c r="AM1668" i="2"/>
  <c r="AN1675" i="2"/>
  <c r="AM1675" i="2"/>
  <c r="AM1700" i="2"/>
  <c r="AM1541" i="2"/>
  <c r="AN1639" i="2"/>
  <c r="AM1639" i="2"/>
  <c r="AM1644" i="2"/>
  <c r="AM1680" i="2"/>
  <c r="AN1687" i="2"/>
  <c r="AM1687" i="2"/>
  <c r="AM1523" i="2"/>
  <c r="AN1526" i="2"/>
  <c r="AN1531" i="2"/>
  <c r="AM1555" i="2"/>
  <c r="AM1563" i="2"/>
  <c r="AN1579" i="2"/>
  <c r="AM1579" i="2"/>
  <c r="AN1595" i="2"/>
  <c r="AM1595" i="2"/>
  <c r="AN1611" i="2"/>
  <c r="AM1611" i="2"/>
  <c r="AN1627" i="2"/>
  <c r="AM1627" i="2"/>
  <c r="AN1655" i="2"/>
  <c r="AM1655" i="2"/>
  <c r="AN1667" i="2"/>
  <c r="AM1667" i="2"/>
  <c r="AN1699" i="2"/>
  <c r="AM1699" i="2"/>
  <c r="AN1719" i="2"/>
  <c r="AN1725" i="2"/>
  <c r="AM1725" i="2"/>
  <c r="AN1566" i="2"/>
  <c r="AN1570" i="2"/>
  <c r="AN1574" i="2"/>
  <c r="AN1578" i="2"/>
  <c r="AN1582" i="2"/>
  <c r="AN1586" i="2"/>
  <c r="AN1590" i="2"/>
  <c r="AN1594" i="2"/>
  <c r="AN1598" i="2"/>
  <c r="AN1602" i="2"/>
  <c r="AN1606" i="2"/>
  <c r="AN1610" i="2"/>
  <c r="AN1614" i="2"/>
  <c r="AN1618" i="2"/>
  <c r="AN1622" i="2"/>
  <c r="AN1626" i="2"/>
  <c r="AN1630" i="2"/>
  <c r="AN1638" i="2"/>
  <c r="AN1642" i="2"/>
  <c r="AN1650" i="2"/>
  <c r="AN1654" i="2"/>
  <c r="AN1662" i="2"/>
  <c r="AN1727" i="2"/>
  <c r="AM1727" i="2"/>
  <c r="AN1759" i="2"/>
  <c r="AM1759" i="2"/>
  <c r="AN1764" i="2"/>
  <c r="AN1779" i="2"/>
  <c r="AM1779" i="2"/>
  <c r="AN1796" i="2"/>
  <c r="AN1811" i="2"/>
  <c r="AM1811" i="2"/>
  <c r="AN1828" i="2"/>
  <c r="AN1844" i="2"/>
  <c r="AM1844" i="2"/>
  <c r="AM1906" i="2"/>
  <c r="AN1906" i="2"/>
  <c r="AM1944" i="2"/>
  <c r="AN1944" i="2"/>
  <c r="AN1747" i="2"/>
  <c r="AM1747" i="2"/>
  <c r="AN1791" i="2"/>
  <c r="AM1791" i="2"/>
  <c r="AN1823" i="2"/>
  <c r="AM1823" i="2"/>
  <c r="AN1841" i="2"/>
  <c r="AM1841" i="2"/>
  <c r="AM1919" i="2"/>
  <c r="AN1919" i="2"/>
  <c r="AM1723" i="2"/>
  <c r="AN1735" i="2"/>
  <c r="AM1735" i="2"/>
  <c r="AM1741" i="2"/>
  <c r="AM1744" i="2"/>
  <c r="AN1771" i="2"/>
  <c r="AM1771" i="2"/>
  <c r="AM1781" i="2"/>
  <c r="AN1788" i="2"/>
  <c r="AN1803" i="2"/>
  <c r="AM1803" i="2"/>
  <c r="AM1813" i="2"/>
  <c r="AN1850" i="2"/>
  <c r="AM1850" i="2"/>
  <c r="AM1854" i="2"/>
  <c r="AN1755" i="2"/>
  <c r="AM1755" i="2"/>
  <c r="AN1768" i="2"/>
  <c r="AM1776" i="2"/>
  <c r="AN1783" i="2"/>
  <c r="AM1783" i="2"/>
  <c r="AN1800" i="2"/>
  <c r="AM1808" i="2"/>
  <c r="AN1815" i="2"/>
  <c r="AM1815" i="2"/>
  <c r="AN1834" i="2"/>
  <c r="AM1834" i="2"/>
  <c r="AN1838" i="2"/>
  <c r="AM1848" i="2"/>
  <c r="AM1868" i="2"/>
  <c r="AN1868" i="2"/>
  <c r="AN1887" i="2"/>
  <c r="AM1892" i="2"/>
  <c r="AN1892" i="2"/>
  <c r="AM1951" i="2"/>
  <c r="AN1951" i="2"/>
  <c r="AN1743" i="2"/>
  <c r="AM1743" i="2"/>
  <c r="AN1763" i="2"/>
  <c r="AM1763" i="2"/>
  <c r="AN1795" i="2"/>
  <c r="AM1795" i="2"/>
  <c r="AN1827" i="2"/>
  <c r="AM1827" i="2"/>
  <c r="AN1853" i="2"/>
  <c r="AM1853" i="2"/>
  <c r="AN1858" i="2"/>
  <c r="AM1858" i="2"/>
  <c r="AM1888" i="2"/>
  <c r="AN1888" i="2"/>
  <c r="AM1938" i="2"/>
  <c r="AN1938" i="2"/>
  <c r="AM1707" i="2"/>
  <c r="AM1711" i="2"/>
  <c r="AM1715" i="2"/>
  <c r="AM1719" i="2"/>
  <c r="AN1731" i="2"/>
  <c r="AM1731" i="2"/>
  <c r="AM1737" i="2"/>
  <c r="AM1740" i="2"/>
  <c r="AM1768" i="2"/>
  <c r="AN1775" i="2"/>
  <c r="AM1775" i="2"/>
  <c r="AM1785" i="2"/>
  <c r="AM1800" i="2"/>
  <c r="AN1807" i="2"/>
  <c r="AM1807" i="2"/>
  <c r="AM1817" i="2"/>
  <c r="AN1824" i="2"/>
  <c r="AM1838" i="2"/>
  <c r="AM1912" i="2"/>
  <c r="AN1912" i="2"/>
  <c r="AM1722" i="2"/>
  <c r="AN1751" i="2"/>
  <c r="AM1751" i="2"/>
  <c r="AM1757" i="2"/>
  <c r="AM1760" i="2"/>
  <c r="AM1765" i="2"/>
  <c r="AN1772" i="2"/>
  <c r="AM1780" i="2"/>
  <c r="AN1787" i="2"/>
  <c r="AM1787" i="2"/>
  <c r="AN1804" i="2"/>
  <c r="AM1812" i="2"/>
  <c r="AN1819" i="2"/>
  <c r="AM1819" i="2"/>
  <c r="AM1845" i="2"/>
  <c r="AN1847" i="2"/>
  <c r="AM1847" i="2"/>
  <c r="AN1851" i="2"/>
  <c r="AN1861" i="2"/>
  <c r="AN1865" i="2"/>
  <c r="AM1865" i="2"/>
  <c r="AN1739" i="2"/>
  <c r="AM1739" i="2"/>
  <c r="AN1767" i="2"/>
  <c r="AM1767" i="2"/>
  <c r="AN1784" i="2"/>
  <c r="AN1799" i="2"/>
  <c r="AM1799" i="2"/>
  <c r="AN1816" i="2"/>
  <c r="AN1831" i="2"/>
  <c r="AM1831" i="2"/>
  <c r="AN1835" i="2"/>
  <c r="AN1873" i="2"/>
  <c r="AN1884" i="2"/>
  <c r="AM1886" i="2"/>
  <c r="AN1886" i="2"/>
  <c r="AN1893" i="2"/>
  <c r="AN1925" i="2"/>
  <c r="AN1991" i="2"/>
  <c r="AM1991" i="2"/>
  <c r="AN1987" i="2"/>
  <c r="AM1987" i="2"/>
  <c r="AN1955" i="2"/>
  <c r="AM1955" i="2"/>
  <c r="AN1959" i="2"/>
  <c r="AM1959" i="2"/>
  <c r="AN1963" i="2"/>
  <c r="AM1963" i="2"/>
  <c r="AN1967" i="2"/>
  <c r="AM1967" i="2"/>
  <c r="AN1971" i="2"/>
  <c r="AM1971" i="2"/>
  <c r="AN1975" i="2"/>
  <c r="AM1975" i="2"/>
  <c r="AN1979" i="2"/>
  <c r="AM1979" i="2"/>
  <c r="AN1983" i="2"/>
  <c r="AM1983" i="2"/>
  <c r="AN1905" i="2"/>
  <c r="AN1923" i="2"/>
  <c r="AN1992" i="2"/>
  <c r="AN1996" i="2"/>
  <c r="AN1948" i="2"/>
  <c r="AN1988" i="2"/>
  <c r="AN1899" i="2"/>
  <c r="AN1918" i="2"/>
  <c r="AN1920" i="2"/>
  <c r="AN1931" i="2"/>
  <c r="AN1950" i="2"/>
  <c r="AN1952" i="2"/>
  <c r="AN1956" i="2"/>
  <c r="AN1960" i="2"/>
  <c r="AN1964" i="2"/>
  <c r="AN1968" i="2"/>
  <c r="AN1972" i="2"/>
  <c r="AN1976" i="2"/>
  <c r="AN1980" i="2"/>
  <c r="AN1984" i="2"/>
  <c r="AN1993" i="2"/>
  <c r="AN1997" i="2"/>
  <c r="AN1857" i="2"/>
  <c r="AN1863" i="2"/>
  <c r="AM1870" i="2"/>
  <c r="AN1885" i="2"/>
  <c r="AN1890" i="2"/>
  <c r="AN1903" i="2"/>
  <c r="AN1917" i="2"/>
  <c r="AN1922" i="2"/>
  <c r="AN1924" i="2"/>
  <c r="AN1935" i="2"/>
  <c r="AN1949" i="2"/>
  <c r="AN1833" i="2"/>
  <c r="AM1837" i="2"/>
  <c r="AN1849" i="2"/>
  <c r="AN1860" i="2"/>
  <c r="AN1869" i="2"/>
  <c r="AN1889" i="2"/>
  <c r="AN1896" i="2"/>
  <c r="AN1921" i="2"/>
  <c r="AN1928" i="2"/>
  <c r="AN1953" i="2"/>
  <c r="AN1957" i="2"/>
  <c r="AN1961" i="2"/>
  <c r="AN1965" i="2"/>
  <c r="AN1969" i="2"/>
  <c r="AN1973" i="2"/>
  <c r="AN1977" i="2"/>
  <c r="AN1981" i="2"/>
  <c r="AN1985" i="2"/>
  <c r="AN1995" i="2"/>
  <c r="AM1995" i="2"/>
  <c r="AM1999" i="2"/>
  <c r="AM2000" i="2"/>
</calcChain>
</file>

<file path=xl/sharedStrings.xml><?xml version="1.0" encoding="utf-8"?>
<sst xmlns="http://schemas.openxmlformats.org/spreadsheetml/2006/main" count="23193" uniqueCount="3011">
  <si>
    <t>Rider Number</t>
  </si>
  <si>
    <t>Arrived Pickup At</t>
  </si>
  <si>
    <t>LM Distance</t>
  </si>
  <si>
    <t>Resting Point Name</t>
  </si>
  <si>
    <t>Total ETA</t>
  </si>
  <si>
    <t>Completed At</t>
  </si>
  <si>
    <t>Resting Point ID</t>
  </si>
  <si>
    <t>Store Name</t>
  </si>
  <si>
    <t>Pickup At</t>
  </si>
  <si>
    <t>Order ETA Status</t>
  </si>
  <si>
    <t>Staged At</t>
  </si>
  <si>
    <t>Pickup ETA</t>
  </si>
  <si>
    <t>Arrive at Pickup ETA</t>
  </si>
  <si>
    <t>Status Text</t>
  </si>
  <si>
    <t>Created At</t>
  </si>
  <si>
    <t>Status</t>
  </si>
  <si>
    <t>Rider Name</t>
  </si>
  <si>
    <t>Order ID</t>
  </si>
  <si>
    <t>Store ID</t>
  </si>
  <si>
    <t>Total Time</t>
  </si>
  <si>
    <t>Arrive at Delivery ETA</t>
  </si>
  <si>
    <t>Arrived Delivery At</t>
  </si>
  <si>
    <t>Tracking URL</t>
  </si>
  <si>
    <t>Customer ID</t>
  </si>
  <si>
    <t>RTO At</t>
  </si>
  <si>
    <t>FM Distance</t>
  </si>
  <si>
    <t>Assigned At</t>
  </si>
  <si>
    <t>Delivery ETA</t>
  </si>
  <si>
    <t>Batch ID</t>
  </si>
  <si>
    <t>Order Type</t>
  </si>
  <si>
    <t>Store Code</t>
  </si>
  <si>
    <t>Slot</t>
  </si>
  <si>
    <t>Date</t>
  </si>
  <si>
    <t>Time</t>
  </si>
  <si>
    <t>S2P</t>
  </si>
  <si>
    <t>Distance</t>
  </si>
  <si>
    <t>Actual Arrival Time</t>
  </si>
  <si>
    <t>Arrival Time ETA</t>
  </si>
  <si>
    <t>OTP Performance</t>
  </si>
  <si>
    <t>OTP+3 Performance</t>
  </si>
  <si>
    <t>XXXXXX5447</t>
  </si>
  <si>
    <t>null</t>
  </si>
  <si>
    <t>TMK7 | 11:57 PM | 1.0 KM</t>
  </si>
  <si>
    <t>COMPLETED</t>
  </si>
  <si>
    <t>Savidhan kisan Wahule</t>
  </si>
  <si>
    <t>QC_405-2853124-8797901</t>
  </si>
  <si>
    <t>https://track.loadshare.net/order/wkj3qww</t>
  </si>
  <si>
    <t>XXXXXX1472</t>
  </si>
  <si>
    <t>TMK7 | 11:56 PM | 1.0 KM</t>
  </si>
  <si>
    <t>Ganesh shekokar</t>
  </si>
  <si>
    <t>QC_402-0807645-9121917</t>
  </si>
  <si>
    <t>https://track.loadshare.net/order/xadDwZJ</t>
  </si>
  <si>
    <t>XXXXXX7650</t>
  </si>
  <si>
    <t>TMK7 | 11:55 PM | 1.4 KM</t>
  </si>
  <si>
    <t>HEMANT DHOTRE</t>
  </si>
  <si>
    <t>QC_406-8019371-1885933</t>
  </si>
  <si>
    <t>https://track.loadshare.net/order/qblqdG7</t>
  </si>
  <si>
    <t>XXXXXX0159</t>
  </si>
  <si>
    <t>TMK7 | 11:47 PM | 1.5 KM</t>
  </si>
  <si>
    <t>MANGLA PRASAD BHARTI</t>
  </si>
  <si>
    <t>QC_408-5071718-0395534</t>
  </si>
  <si>
    <t>https://track.loadshare.net/order/1Yeg0G3</t>
  </si>
  <si>
    <t>XXXXXX9390</t>
  </si>
  <si>
    <t>TMK7 | 11:46 PM | 1.3 KM</t>
  </si>
  <si>
    <t>PRINCE VARMA</t>
  </si>
  <si>
    <t>QC_408-6029362-1239514</t>
  </si>
  <si>
    <t>https://track.loadshare.net/order/kndJ4pw</t>
  </si>
  <si>
    <t>XXXXXX1108</t>
  </si>
  <si>
    <t>TMK7 | 11:44 PM | 1.9 KM</t>
  </si>
  <si>
    <t>SHIDHARTH DAKE</t>
  </si>
  <si>
    <t>QC_171-8545412-8674762</t>
  </si>
  <si>
    <t>https://track.loadshare.net/order/JMR5Kmx</t>
  </si>
  <si>
    <t>XXXXXX0350</t>
  </si>
  <si>
    <t>TMK7 | 11:42 PM | 1.5 KM</t>
  </si>
  <si>
    <t>UTTAM KADAM</t>
  </si>
  <si>
    <t>QC_403-5247796-5800333</t>
  </si>
  <si>
    <t>https://track.loadshare.net/order/DDMaXDx</t>
  </si>
  <si>
    <t>XXXXXX5793</t>
  </si>
  <si>
    <t>TMK7 | 11:40 PM | 1.0 KM</t>
  </si>
  <si>
    <t>Anuj Mahendra Belapurkar</t>
  </si>
  <si>
    <t>QC_402-7902069-8856341</t>
  </si>
  <si>
    <t>https://track.loadshare.net/order/d0d14aE</t>
  </si>
  <si>
    <t>XXXXXX1866</t>
  </si>
  <si>
    <t>TMK7 | 11:40 PM | 1.4 KM</t>
  </si>
  <si>
    <t>Satish Baburao Sutar</t>
  </si>
  <si>
    <t>QC_408-2951075-4661102</t>
  </si>
  <si>
    <t>https://track.loadshare.net/order/A93N4gY</t>
  </si>
  <si>
    <t>TMK7 | 11:39 PM | 2.7 KM</t>
  </si>
  <si>
    <t>QC_407-4595333-9554755</t>
  </si>
  <si>
    <t>https://track.loadshare.net/order/qblqely</t>
  </si>
  <si>
    <t>TMK7 | 11:36 PM | 1.2 KM</t>
  </si>
  <si>
    <t>QC_406-2517651-5906717</t>
  </si>
  <si>
    <t>https://track.loadshare.net/order/JMR57XQ</t>
  </si>
  <si>
    <t>XXXXXX1919</t>
  </si>
  <si>
    <t>TMK7 | 11:35 PM | 1.0 KM</t>
  </si>
  <si>
    <t>PRATHAM BIPEPTKAR</t>
  </si>
  <si>
    <t>QC_408-1373987-5981144</t>
  </si>
  <si>
    <t>https://track.loadshare.net/order/mWdJR2m</t>
  </si>
  <si>
    <t>XXXXXX7824</t>
  </si>
  <si>
    <t>TMK7 | 11:27 PM | 0.3 KM</t>
  </si>
  <si>
    <t>ZAHID HUSSAIN</t>
  </si>
  <si>
    <t>QC_408-8242446-1474732</t>
  </si>
  <si>
    <t>https://track.loadshare.net/order/B5DQyJj</t>
  </si>
  <si>
    <t>TMK7 | 11:25 PM | 2.0 KM</t>
  </si>
  <si>
    <t>QC_408-9685770-9829121</t>
  </si>
  <si>
    <t>https://track.loadshare.net/order/VY0XNMo</t>
  </si>
  <si>
    <t>XXXXXX6346</t>
  </si>
  <si>
    <t>TMK7 | 11:25 PM | 1.3 KM</t>
  </si>
  <si>
    <t>GORAKH MALI</t>
  </si>
  <si>
    <t>QC_171-9894980-0917150</t>
  </si>
  <si>
    <t>https://track.loadshare.net/order/A93NYXX</t>
  </si>
  <si>
    <t>TMK7 | 11:23 PM | 0.3 KM</t>
  </si>
  <si>
    <t>QC_403-3824210-3622765</t>
  </si>
  <si>
    <t>https://track.loadshare.net/order/WW0No3v</t>
  </si>
  <si>
    <t>TMK7 | 11:17 PM | 0.8 KM</t>
  </si>
  <si>
    <t>QC_403-9454402-8402720</t>
  </si>
  <si>
    <t>https://track.loadshare.net/order/qblqRQl</t>
  </si>
  <si>
    <t>XXXXXX0761</t>
  </si>
  <si>
    <t>TMK7 | 11:17 PM | 1.5 KM</t>
  </si>
  <si>
    <t>VIRAT PARDESHI</t>
  </si>
  <si>
    <t>QC_405-8471603-5145904</t>
  </si>
  <si>
    <t>https://track.loadshare.net/order/pJ0aBB4</t>
  </si>
  <si>
    <t>TMK7 | 11:15 PM | 1.4 KM</t>
  </si>
  <si>
    <t>QC_405-7812505-2320353</t>
  </si>
  <si>
    <t>https://track.loadshare.net/order/v0k59KV</t>
  </si>
  <si>
    <t>XXXXXX6488</t>
  </si>
  <si>
    <t>TMK7 | 11:09 PM | 2.1 KM</t>
  </si>
  <si>
    <t>Shubham ramesh kaithal</t>
  </si>
  <si>
    <t>QC_402-9803612-0709131</t>
  </si>
  <si>
    <t>https://track.loadshare.net/order/4eA5QLa</t>
  </si>
  <si>
    <t>TMK7 | 11:08 PM | 0.9 KM</t>
  </si>
  <si>
    <t>QC_171-5823424-6613953</t>
  </si>
  <si>
    <t>https://track.loadshare.net/order/4eA5ogp</t>
  </si>
  <si>
    <t>TMK7 | 11:08 PM | 2.1 KM</t>
  </si>
  <si>
    <t>QC_406-0203852-6543570</t>
  </si>
  <si>
    <t>https://track.loadshare.net/order/WW0NdgJ</t>
  </si>
  <si>
    <t>TMK7 | 11:04 PM | 2.7 KM</t>
  </si>
  <si>
    <t>QC_402-4735170-9249953</t>
  </si>
  <si>
    <t>https://track.loadshare.net/order/mWdJnEk</t>
  </si>
  <si>
    <t>TMK7 | 11:04 PM | 2.5 KM</t>
  </si>
  <si>
    <t>QC_407-4228199-2626733</t>
  </si>
  <si>
    <t>https://track.loadshare.net/order/5bK3BL4</t>
  </si>
  <si>
    <t>TMK7 | 11:03 PM | 2.3 KM</t>
  </si>
  <si>
    <t>QC_402-0765672-3914762</t>
  </si>
  <si>
    <t>https://track.loadshare.net/order/Xn0QdZR</t>
  </si>
  <si>
    <t>TMK7 | 11:01 PM | 3.7 KM</t>
  </si>
  <si>
    <t>QC_406-4127708-2641963</t>
  </si>
  <si>
    <t>https://track.loadshare.net/order/eldJ5oJ</t>
  </si>
  <si>
    <t>TMK7 | 10:59 PM | 1.3 KM</t>
  </si>
  <si>
    <t>QC_408-7860670-0709113</t>
  </si>
  <si>
    <t>https://track.loadshare.net/order/2vKpVl7</t>
  </si>
  <si>
    <t>TMK7 | 10:58 PM | 0.5 KM</t>
  </si>
  <si>
    <t>QC_406-0638600-9589947</t>
  </si>
  <si>
    <t>https://track.loadshare.net/order/d0d1Z2M</t>
  </si>
  <si>
    <t>TMK7 | 10:54 PM | 2.1 KM</t>
  </si>
  <si>
    <t>QC_408-9618188-5965956</t>
  </si>
  <si>
    <t>https://track.loadshare.net/order/jxdJYbp</t>
  </si>
  <si>
    <t>XXXXXX0900</t>
  </si>
  <si>
    <t>TMK7 | 10:53 PM | 1.2 KM</t>
  </si>
  <si>
    <t>SAGAR PANDIT</t>
  </si>
  <si>
    <t>QC_406-1146018-3379511</t>
  </si>
  <si>
    <t>https://track.loadshare.net/order/yqamJ5j</t>
  </si>
  <si>
    <t>TMK7 | 10:43 PM | 0.5 KM</t>
  </si>
  <si>
    <t>QC_402-4883083-1359509</t>
  </si>
  <si>
    <t>https://track.loadshare.net/order/kndJk0k</t>
  </si>
  <si>
    <t>TMK7 | 10:42 PM | 1.4 KM</t>
  </si>
  <si>
    <t>QC_406-2203540-0401145</t>
  </si>
  <si>
    <t>https://track.loadshare.net/order/pJ0ag8l</t>
  </si>
  <si>
    <t>TMK7 | 10:42 PM | 2.8 KM</t>
  </si>
  <si>
    <t>QC_171-2919816-5148326</t>
  </si>
  <si>
    <t>https://track.loadshare.net/order/729mX1m</t>
  </si>
  <si>
    <t>TMK7 | 10:40 PM | 0.4 KM</t>
  </si>
  <si>
    <t>QC_171-8718000-3673943</t>
  </si>
  <si>
    <t>https://track.loadshare.net/order/JMR5lgw</t>
  </si>
  <si>
    <t>TMK7 | 10:38 PM | 1.4 KM</t>
  </si>
  <si>
    <t>QC_404-2311846-7810718</t>
  </si>
  <si>
    <t>https://track.loadshare.net/order/0vKw4qq</t>
  </si>
  <si>
    <t>XXXXXX5861</t>
  </si>
  <si>
    <t>TMK7 | 10:38 PM | 2.1 KM</t>
  </si>
  <si>
    <t>ABHINANDAN RATHOD</t>
  </si>
  <si>
    <t>QC_408-1901603-8012317</t>
  </si>
  <si>
    <t>https://track.loadshare.net/order/pJ0aOq1</t>
  </si>
  <si>
    <t>TMK7 | 10:38 PM | 3.0 KM</t>
  </si>
  <si>
    <t>QC_407-2404431-5345961</t>
  </si>
  <si>
    <t>https://track.loadshare.net/order/qblqWEN</t>
  </si>
  <si>
    <t>XXXXXX8570</t>
  </si>
  <si>
    <t>TMK7 | 10:37 PM | 1.2 KM</t>
  </si>
  <si>
    <t>SAMARTH SANJAY GHODAKE</t>
  </si>
  <si>
    <t>QC_408-3019842-9157147</t>
  </si>
  <si>
    <t>https://track.loadshare.net/order/wkj33am</t>
  </si>
  <si>
    <t>XXXXXX6199</t>
  </si>
  <si>
    <t>TMK7 | 10:35 PM | 2.3 KM</t>
  </si>
  <si>
    <t>ANIKET CHAVAN</t>
  </si>
  <si>
    <t>QC_404-0923508-3527552</t>
  </si>
  <si>
    <t>https://track.loadshare.net/order/mWdJJd5</t>
  </si>
  <si>
    <t>TMK7 | 10:35 PM | 2.7 KM</t>
  </si>
  <si>
    <t>QC_404-6895875-4296316</t>
  </si>
  <si>
    <t>https://track.loadshare.net/order/pJ0aaol</t>
  </si>
  <si>
    <t>XXXXXX8846</t>
  </si>
  <si>
    <t>TMK7 | 10:35 PM | 1.5 KM</t>
  </si>
  <si>
    <t>Shubham suresh giri</t>
  </si>
  <si>
    <t>QC_402-8241889-0517121</t>
  </si>
  <si>
    <t>https://track.loadshare.net/order/ZW0JJ3p</t>
  </si>
  <si>
    <t>TMK7 | 10:33 PM | 2.0 KM</t>
  </si>
  <si>
    <t>QC_404-0465987-4593108</t>
  </si>
  <si>
    <t>https://track.loadshare.net/order/4eA5AMK</t>
  </si>
  <si>
    <t>TMK7 | 10:28 PM | 3.1 KM</t>
  </si>
  <si>
    <t>QC_404-7732313-5905941</t>
  </si>
  <si>
    <t>https://track.loadshare.net/order/B5DQEAJ</t>
  </si>
  <si>
    <t>XXXXXX1819</t>
  </si>
  <si>
    <t>TMK7 | 10:27 PM | 2.3 KM</t>
  </si>
  <si>
    <t>PRANAV POKALE</t>
  </si>
  <si>
    <t>QC_405-5637870-6724309</t>
  </si>
  <si>
    <t>https://track.loadshare.net/order/MqNm4E5</t>
  </si>
  <si>
    <t>TMK7 | 10:23 PM | 1.5 KM</t>
  </si>
  <si>
    <t>QC_171-7483532-4334715</t>
  </si>
  <si>
    <t>https://track.loadshare.net/order/qblq31l</t>
  </si>
  <si>
    <t>TMK7 | 10:20 PM | 1.9 KM</t>
  </si>
  <si>
    <t>QC_405-1026314-5342755</t>
  </si>
  <si>
    <t>https://track.loadshare.net/order/pJ0anG2</t>
  </si>
  <si>
    <t>TMK7 | 10:18 PM | 1.2 KM</t>
  </si>
  <si>
    <t>QC_404-0541785-2403523</t>
  </si>
  <si>
    <t>https://track.loadshare.net/order/aW0J9v1</t>
  </si>
  <si>
    <t>TMK7 | 10:17 PM | 1.4 KM</t>
  </si>
  <si>
    <t>QC_403-1921300-6085969</t>
  </si>
  <si>
    <t>https://track.loadshare.net/order/xadDnYb</t>
  </si>
  <si>
    <t>TMK7 | 10:16 PM | 1.4 KM</t>
  </si>
  <si>
    <t>QC_402-6123496-1193948</t>
  </si>
  <si>
    <t>https://track.loadshare.net/order/729mxx2</t>
  </si>
  <si>
    <t>TMK7 | 10:15 PM | 3.7 KM</t>
  </si>
  <si>
    <t>QC_404-6959453-8451513</t>
  </si>
  <si>
    <t>https://track.loadshare.net/order/LaXDA7y</t>
  </si>
  <si>
    <t>TMK7 | 10:13 PM | 0.3 KM</t>
  </si>
  <si>
    <t>QC_407-2220533-6763543</t>
  </si>
  <si>
    <t>https://track.loadshare.net/order/JMR5pLx</t>
  </si>
  <si>
    <t>XXXXXX1484</t>
  </si>
  <si>
    <t>TMK7 | 10:11 PM | 2.0 KM</t>
  </si>
  <si>
    <t>Ganesh shankar pawar</t>
  </si>
  <si>
    <t>QC_408-3954425-0457925</t>
  </si>
  <si>
    <t>https://track.loadshare.net/order/ZW0Jjnk</t>
  </si>
  <si>
    <t>TMK7 | 10:07 PM | 1.4 KM</t>
  </si>
  <si>
    <t>QC_404-6473508-0682751</t>
  </si>
  <si>
    <t>https://track.loadshare.net/order/MqNmQBo</t>
  </si>
  <si>
    <t>TMK7 | 10:05 PM | 1.9 KM</t>
  </si>
  <si>
    <t>QC_402-2743191-9980352</t>
  </si>
  <si>
    <t>https://track.loadshare.net/order/mWdJjqn</t>
  </si>
  <si>
    <t>TMK7 | 10:03 PM | 2.3 KM</t>
  </si>
  <si>
    <t>QC_408-1375075-9754769</t>
  </si>
  <si>
    <t>https://track.loadshare.net/order/v0k5KOB</t>
  </si>
  <si>
    <t>TMK7 | 10:00 PM | 1.2 KM</t>
  </si>
  <si>
    <t>QC_408-8765718-3938714</t>
  </si>
  <si>
    <t>https://track.loadshare.net/order/d0d1KaX</t>
  </si>
  <si>
    <t>TMK7 | 9:59 PM | 0.9 KM</t>
  </si>
  <si>
    <t>QC_408-0506384-5257926</t>
  </si>
  <si>
    <t>https://track.loadshare.net/order/obdJ1aN</t>
  </si>
  <si>
    <t>TMK7 | 9:58 PM | 2.1 KM</t>
  </si>
  <si>
    <t>QC_406-9403592-3864344</t>
  </si>
  <si>
    <t>https://track.loadshare.net/order/aW0J5nA</t>
  </si>
  <si>
    <t>TMK7 | 9:57 PM | 0.9 KM</t>
  </si>
  <si>
    <t>QC_171-8488059-3969961</t>
  </si>
  <si>
    <t>https://track.loadshare.net/order/qblq1nL</t>
  </si>
  <si>
    <t>TMK7 | 9:57 PM | 2.8 KM</t>
  </si>
  <si>
    <t>QC_408-4943790-1489911</t>
  </si>
  <si>
    <t>https://track.loadshare.net/order/jxdJv9p</t>
  </si>
  <si>
    <t>TMK7 | 9:56 PM | 1.6 KM</t>
  </si>
  <si>
    <t>QC_405-2153715-3348324</t>
  </si>
  <si>
    <t>https://track.loadshare.net/order/obdJxZq</t>
  </si>
  <si>
    <t>TMK7 | 9:54 PM | 4.0 KM</t>
  </si>
  <si>
    <t>QC_408-4308301-7444317</t>
  </si>
  <si>
    <t>https://track.loadshare.net/order/lAdJlJ3</t>
  </si>
  <si>
    <t>TMK7 | 9:54 PM | 1.0 KM</t>
  </si>
  <si>
    <t>QC_407-3904239-9465123</t>
  </si>
  <si>
    <t>https://track.loadshare.net/order/YW04EAy</t>
  </si>
  <si>
    <t>TMK7 | 9:53 PM | 0.2 KM</t>
  </si>
  <si>
    <t>QC_171-0939355-6082722</t>
  </si>
  <si>
    <t>https://track.loadshare.net/order/0vKwZBp</t>
  </si>
  <si>
    <t>TMK7 | 9:53 PM | 1.9 KM</t>
  </si>
  <si>
    <t>QC_402-7672971-1583503</t>
  </si>
  <si>
    <t>https://track.loadshare.net/order/2vKp2Ne</t>
  </si>
  <si>
    <t>TMK7 | 9:52 PM | 0.3 KM</t>
  </si>
  <si>
    <t>QC_402-4270621-9859544</t>
  </si>
  <si>
    <t>https://track.loadshare.net/order/DDManNg</t>
  </si>
  <si>
    <t>TMK7 | 9:48 PM | 0.2 KM</t>
  </si>
  <si>
    <t>QC_406-3767102-9292300</t>
  </si>
  <si>
    <t>https://track.loadshare.net/order/A93NAm3</t>
  </si>
  <si>
    <t>TMK7 | 9:47 PM | 2.2 KM</t>
  </si>
  <si>
    <t>QC_171-6364296-2758760</t>
  </si>
  <si>
    <t>https://track.loadshare.net/order/3bKG7Y9</t>
  </si>
  <si>
    <t>TMK7 | 9:46 PM | 1.8 KM</t>
  </si>
  <si>
    <t>QC_406-7423823-4785133</t>
  </si>
  <si>
    <t>https://track.loadshare.net/order/nedJwMQ</t>
  </si>
  <si>
    <t>TMK7 | 9:45 PM | 1.3 KM</t>
  </si>
  <si>
    <t>QC_402-5951545-4780316</t>
  </si>
  <si>
    <t>https://track.loadshare.net/order/yqambDj</t>
  </si>
  <si>
    <t>TMK7 | 9:44 PM | 1.2 KM</t>
  </si>
  <si>
    <t>QC_404-1492354-6557135</t>
  </si>
  <si>
    <t>https://track.loadshare.net/order/A93NlXR</t>
  </si>
  <si>
    <t>TMK7 | 9:44 PM | 0.3 KM</t>
  </si>
  <si>
    <t>QC_404-8921327-1821151</t>
  </si>
  <si>
    <t>https://track.loadshare.net/order/0vKw15p</t>
  </si>
  <si>
    <t>TMK7 | 9:43 PM | 1.9 KM</t>
  </si>
  <si>
    <t>QC_408-9064310-8777925</t>
  </si>
  <si>
    <t>https://track.loadshare.net/order/WW0N2dD</t>
  </si>
  <si>
    <t>XXXXXX0906</t>
  </si>
  <si>
    <t>TMK7 | 9:39 PM | 2.1 KM</t>
  </si>
  <si>
    <t>AYUSH KUMBHAR</t>
  </si>
  <si>
    <t>QC_404-1518373-4174745</t>
  </si>
  <si>
    <t>https://track.loadshare.net/order/LaXDZZ3</t>
  </si>
  <si>
    <t>TMK7 | 9:37 PM | 1.9 KM</t>
  </si>
  <si>
    <t>QC_408-1564781-1487569</t>
  </si>
  <si>
    <t>https://track.loadshare.net/order/obdJjNY</t>
  </si>
  <si>
    <t>TMK7 | 9:37 PM | 0.4 KM</t>
  </si>
  <si>
    <t>QC_405-1762100-4722728</t>
  </si>
  <si>
    <t>https://track.loadshare.net/order/QZ0nGaV</t>
  </si>
  <si>
    <t>TMK7 | 9:36 PM | 2.1 KM</t>
  </si>
  <si>
    <t>RTO_DELIVERED</t>
  </si>
  <si>
    <t>QC_171-7459106-1135516</t>
  </si>
  <si>
    <t>https://track.loadshare.net/order/VY0XEJA</t>
  </si>
  <si>
    <t>TMK7 | 9:36 PM | 1.0 KM</t>
  </si>
  <si>
    <t>QC_407-3485343-4970718</t>
  </si>
  <si>
    <t>https://track.loadshare.net/order/aW0J1ek</t>
  </si>
  <si>
    <t>TMK7 | 9:35 PM | 1.1 KM</t>
  </si>
  <si>
    <t>QC_405-2767211-6233915</t>
  </si>
  <si>
    <t>https://track.loadshare.net/order/VY0Xo3w</t>
  </si>
  <si>
    <t>TMK7 | 9:35 PM | 0.1 KM</t>
  </si>
  <si>
    <t>QC_405-4749715-7585157</t>
  </si>
  <si>
    <t>https://track.loadshare.net/order/aW0JxYk</t>
  </si>
  <si>
    <t>TMK7 | 9:33 PM | 0.9 KM</t>
  </si>
  <si>
    <t>QC_403-0498895-0025111</t>
  </si>
  <si>
    <t>https://track.loadshare.net/order/YW04xNx</t>
  </si>
  <si>
    <t>TMK7 | 9:31 PM | 2.0 KM</t>
  </si>
  <si>
    <t>QC_402-3830561-8577912</t>
  </si>
  <si>
    <t>https://track.loadshare.net/order/827M27X</t>
  </si>
  <si>
    <t>TMK7 | 9:29 PM | 2.1 KM</t>
  </si>
  <si>
    <t>QC_171-1533214-0913924</t>
  </si>
  <si>
    <t>https://track.loadshare.net/order/aW0JyXQ</t>
  </si>
  <si>
    <t>TMK7 | 9:29 PM | 3.7 KM</t>
  </si>
  <si>
    <t>QC_407-5284680-9961947</t>
  </si>
  <si>
    <t>https://track.loadshare.net/order/QZ0nvnG</t>
  </si>
  <si>
    <t>XXXXXX9456</t>
  </si>
  <si>
    <t>TMK7 | 9:28 PM | 0.8 KM</t>
  </si>
  <si>
    <t>NILESH SHIRKE</t>
  </si>
  <si>
    <t>QC_405-0477342-2568369</t>
  </si>
  <si>
    <t>https://track.loadshare.net/order/LaXD85w</t>
  </si>
  <si>
    <t>TMK7 | 9:28 PM | 1.3 KM</t>
  </si>
  <si>
    <t>QC_403-9005419-7229135</t>
  </si>
  <si>
    <t>https://track.loadshare.net/order/aW0Jy4Q</t>
  </si>
  <si>
    <t>XXXXXX3861</t>
  </si>
  <si>
    <t>TMK7 | 9:27 PM | 2.7 KM</t>
  </si>
  <si>
    <t>Niraj sanjay gavade</t>
  </si>
  <si>
    <t>QC_403-6859081-4665123</t>
  </si>
  <si>
    <t>https://track.loadshare.net/order/LaXDqkk</t>
  </si>
  <si>
    <t>TMK7 | 9:26 PM | 2.4 KM</t>
  </si>
  <si>
    <t>QC_403-7338309-7665169</t>
  </si>
  <si>
    <t>https://track.loadshare.net/order/jxdJjVQ</t>
  </si>
  <si>
    <t>TMK7 | 9:24 PM | 1.5 KM</t>
  </si>
  <si>
    <t>QC_402-0332221-1493115</t>
  </si>
  <si>
    <t>https://track.loadshare.net/order/MqNNAk7</t>
  </si>
  <si>
    <t>TMK7 | 9:23 PM | 1.5 KM</t>
  </si>
  <si>
    <t>QC_403-2969597-1889932</t>
  </si>
  <si>
    <t>https://track.loadshare.net/order/neddGDM</t>
  </si>
  <si>
    <t>TMK7 | 9:21 PM | 2.4 KM</t>
  </si>
  <si>
    <t>QC_406-7440050-6599554</t>
  </si>
  <si>
    <t>https://track.loadshare.net/order/neddmJk</t>
  </si>
  <si>
    <t>TMK7 | 9:20 PM | 1.6 KM</t>
  </si>
  <si>
    <t>QC_404-1980820-2743532</t>
  </si>
  <si>
    <t>https://track.loadshare.net/order/5bKKjAV</t>
  </si>
  <si>
    <t>TMK7 | 9:20 PM | 0.5 KM</t>
  </si>
  <si>
    <t>QC_407-6516638-5657919</t>
  </si>
  <si>
    <t>https://track.loadshare.net/order/eldda1K</t>
  </si>
  <si>
    <t>TMK7 | 9:19 PM | 1.4 KM</t>
  </si>
  <si>
    <t>QC_405-2191987-6600366</t>
  </si>
  <si>
    <t>https://track.loadshare.net/order/pJ00b7M</t>
  </si>
  <si>
    <t>TMK7 | 9:19 PM | 0.2 KM</t>
  </si>
  <si>
    <t>QC_403-2020862-7630748</t>
  </si>
  <si>
    <t>https://track.loadshare.net/order/A933R7v</t>
  </si>
  <si>
    <t>TMK7 | 9:17 PM | 0.8 KM</t>
  </si>
  <si>
    <t>QC_406-4722835-1505113</t>
  </si>
  <si>
    <t>https://track.loadshare.net/order/g0ddnEj</t>
  </si>
  <si>
    <t>XXXXXX4862</t>
  </si>
  <si>
    <t>TMK7 | 9:16 PM | 3.7 KM</t>
  </si>
  <si>
    <t>SADHANA MAURYA</t>
  </si>
  <si>
    <t>QC_408-8362240-6833909</t>
  </si>
  <si>
    <t>https://track.loadshare.net/order/Gx99EmA</t>
  </si>
  <si>
    <t>TMK7 | 9:16 PM | 1.3 KM</t>
  </si>
  <si>
    <t>QC_408-2434596-4397107</t>
  </si>
  <si>
    <t>https://track.loadshare.net/order/g0ddXOO</t>
  </si>
  <si>
    <t>TMK7 | 9:15 PM | 0.3 KM</t>
  </si>
  <si>
    <t>QC_407-8253030-9210737</t>
  </si>
  <si>
    <t>https://track.loadshare.net/order/VY00qVy</t>
  </si>
  <si>
    <t>TMK7 | 9:14 PM | 1.0 KM</t>
  </si>
  <si>
    <t>QC_408-7310495-3141905</t>
  </si>
  <si>
    <t>https://track.loadshare.net/order/Xn009pD</t>
  </si>
  <si>
    <t>TMK7 | 9:10 PM | 2.8 KM</t>
  </si>
  <si>
    <t>QC_407-9749330-5218758</t>
  </si>
  <si>
    <t>https://track.loadshare.net/order/Rn99wVA</t>
  </si>
  <si>
    <t>TMK7 | 9:09 PM | 1.6 KM</t>
  </si>
  <si>
    <t>QC_171-8522469-3386727</t>
  </si>
  <si>
    <t>https://track.loadshare.net/order/lAddEXm</t>
  </si>
  <si>
    <t>TMK7 | 9:07 PM | 3.8 KM</t>
  </si>
  <si>
    <t>QC_402-8946733-8131501</t>
  </si>
  <si>
    <t>https://track.loadshare.net/order/2vKKWyk</t>
  </si>
  <si>
    <t>TMK7 | 9:07 PM | 2.4 KM</t>
  </si>
  <si>
    <t>QC_405-4832247-4065917</t>
  </si>
  <si>
    <t>https://track.loadshare.net/order/LaXXWKL</t>
  </si>
  <si>
    <t>QC_404-0256532-7543503</t>
  </si>
  <si>
    <t>https://track.loadshare.net/order/Op00W3W</t>
  </si>
  <si>
    <t>TMK7 | 9:06 PM | 1.8 KM</t>
  </si>
  <si>
    <t>QC_407-3841356-5973953</t>
  </si>
  <si>
    <t>https://track.loadshare.net/order/mWddLoN</t>
  </si>
  <si>
    <t>TMK7 | 9:04 PM | 2.1 KM</t>
  </si>
  <si>
    <t>QC_171-5825164-6253135</t>
  </si>
  <si>
    <t>https://track.loadshare.net/order/pJ00E8M</t>
  </si>
  <si>
    <t>TMK7 | 9:04 PM | 1.8 KM</t>
  </si>
  <si>
    <t>QC_408-4536117-6357113</t>
  </si>
  <si>
    <t>https://track.loadshare.net/order/5bKKgbV</t>
  </si>
  <si>
    <t>TMK7 | 9:03 PM | 1.6 KM</t>
  </si>
  <si>
    <t>QC_171-3777861-3700304</t>
  </si>
  <si>
    <t>https://track.loadshare.net/order/bx00NGX</t>
  </si>
  <si>
    <t>TMK7 | 9:03 PM | 2.2 KM</t>
  </si>
  <si>
    <t>QC_171-5858716-7320340</t>
  </si>
  <si>
    <t>https://track.loadshare.net/order/1YeeG9y</t>
  </si>
  <si>
    <t>TMK7 | 9:03 PM | 3.0 KM</t>
  </si>
  <si>
    <t>QC_407-9587394-3578741</t>
  </si>
  <si>
    <t>https://track.loadshare.net/order/neddYOj</t>
  </si>
  <si>
    <t>TMK7 | 9:02 PM | 3.1 KM</t>
  </si>
  <si>
    <t>QC_402-1066473-0240334</t>
  </si>
  <si>
    <t>https://track.loadshare.net/order/jxdd2Wj</t>
  </si>
  <si>
    <t>TMK7 | 9:01 PM | 1.9 KM</t>
  </si>
  <si>
    <t>QC_171-5197958-1653905</t>
  </si>
  <si>
    <t>https://track.loadshare.net/order/obddX3q</t>
  </si>
  <si>
    <t>TMK7 | 9:01 PM | 2.0 KM</t>
  </si>
  <si>
    <t>QC_407-0480552-1329905</t>
  </si>
  <si>
    <t>https://track.loadshare.net/order/knddo4Q</t>
  </si>
  <si>
    <t>TMK7 | 9:00 PM | 2.3 KM</t>
  </si>
  <si>
    <t>QC_404-3170006-8553937</t>
  </si>
  <si>
    <t>https://track.loadshare.net/order/DDMM1eL</t>
  </si>
  <si>
    <t>TMK7 | 8:59 PM | 2.4 KM</t>
  </si>
  <si>
    <t>QC_403-2396774-9263552</t>
  </si>
  <si>
    <t>https://track.loadshare.net/order/jxddnjV</t>
  </si>
  <si>
    <t>TMK7 | 8:59 PM | 1.0 KM</t>
  </si>
  <si>
    <t>QC_407-1579152-0793909</t>
  </si>
  <si>
    <t>https://track.loadshare.net/order/0vKKoWp</t>
  </si>
  <si>
    <t>TMK7 | 8:56 PM | 1.9 KM</t>
  </si>
  <si>
    <t>QC_402-4433997-3769136</t>
  </si>
  <si>
    <t>https://track.loadshare.net/order/0vKK3gJ</t>
  </si>
  <si>
    <t>TMK7 | 8:56 PM | 1.2 KM</t>
  </si>
  <si>
    <t>QC_406-5644986-4067519</t>
  </si>
  <si>
    <t>https://track.loadshare.net/order/7299ool</t>
  </si>
  <si>
    <t>TMK7 | 8:55 PM | 2.0 KM</t>
  </si>
  <si>
    <t>QC_405-3431737-4806717</t>
  </si>
  <si>
    <t>https://track.loadshare.net/order/A933KjY</t>
  </si>
  <si>
    <t>TMK7 | 8:55 PM | 1.8 KM</t>
  </si>
  <si>
    <t>QC_408-1318361-0693112</t>
  </si>
  <si>
    <t>https://track.loadshare.net/order/A933K33</t>
  </si>
  <si>
    <t>TMK7 | 8:55 PM | 2.1 KM</t>
  </si>
  <si>
    <t>QC_403-7934376-9294728</t>
  </si>
  <si>
    <t>https://track.loadshare.net/order/Xn00B2O</t>
  </si>
  <si>
    <t>TMK7 | 8:54 PM | 0.6 KM</t>
  </si>
  <si>
    <t>QC_403-6816471-7965963</t>
  </si>
  <si>
    <t>https://track.loadshare.net/order/Gx99G29</t>
  </si>
  <si>
    <t>TMK7 | 8:53 PM | 2.2 KM</t>
  </si>
  <si>
    <t>QC_404-0740444-7857905</t>
  </si>
  <si>
    <t>https://track.loadshare.net/order/JMRRDq3</t>
  </si>
  <si>
    <t>TMK7 | 8:53 PM | 2.1 KM</t>
  </si>
  <si>
    <t>QC_171-7214114-6364314</t>
  </si>
  <si>
    <t>https://track.loadshare.net/order/wkjjbKm</t>
  </si>
  <si>
    <t>TMK7 | 8:51 PM | 1.7 KM</t>
  </si>
  <si>
    <t>QC_404-1827926-0274758</t>
  </si>
  <si>
    <t>https://track.loadshare.net/order/yqaaO8M</t>
  </si>
  <si>
    <t>TMK7 | 8:47 PM | 1.9 KM</t>
  </si>
  <si>
    <t>QC_404-1633360-5815565</t>
  </si>
  <si>
    <t>https://track.loadshare.net/order/d0ddpmd</t>
  </si>
  <si>
    <t>QC_405-7313185-9617902</t>
  </si>
  <si>
    <t>https://track.loadshare.net/order/qbllvyN</t>
  </si>
  <si>
    <t>TMK7 | 8:47 PM | 2.1 KM</t>
  </si>
  <si>
    <t>QC_403-5363939-8536306</t>
  </si>
  <si>
    <t>https://track.loadshare.net/order/Op00d3q</t>
  </si>
  <si>
    <t>TMK7 | 8:46 PM | 0.3 KM</t>
  </si>
  <si>
    <t>QC_402-1052309-0297143</t>
  </si>
  <si>
    <t>https://track.loadshare.net/order/1YeeMGA</t>
  </si>
  <si>
    <t>TMK7 | 8:45 PM | 0.3 KM</t>
  </si>
  <si>
    <t>QC_404-8201621-2496340</t>
  </si>
  <si>
    <t>https://track.loadshare.net/order/Xn00ekv</t>
  </si>
  <si>
    <t>TMK7 | 8:44 PM | 4.0 KM</t>
  </si>
  <si>
    <t>QC_171-6695769-1737143</t>
  </si>
  <si>
    <t>https://track.loadshare.net/order/pJ00KV4</t>
  </si>
  <si>
    <t>TMK7 | 8:44 PM | 1.3 KM</t>
  </si>
  <si>
    <t>QC_405-7755344-0685121</t>
  </si>
  <si>
    <t>https://track.loadshare.net/order/QZ00QjG</t>
  </si>
  <si>
    <t>TMK7 | 8:43 PM | 1.3 KM</t>
  </si>
  <si>
    <t>QC_407-3891906-2745956</t>
  </si>
  <si>
    <t>https://track.loadshare.net/order/YW00qYq</t>
  </si>
  <si>
    <t>TMK7 | 8:42 PM | 1.7 KM</t>
  </si>
  <si>
    <t>QC_408-2993087-9368349</t>
  </si>
  <si>
    <t>https://track.loadshare.net/order/ZW00wBO</t>
  </si>
  <si>
    <t>TMK7 | 8:42 PM | 2.5 KM</t>
  </si>
  <si>
    <t>QC_406-3238608-1586714</t>
  </si>
  <si>
    <t>https://track.loadshare.net/order/pJ00KJA</t>
  </si>
  <si>
    <t>TMK7 | 8:40 PM | 1.6 KM</t>
  </si>
  <si>
    <t>QC_406-5046273-3547553</t>
  </si>
  <si>
    <t>https://track.loadshare.net/order/d0ddYAd</t>
  </si>
  <si>
    <t>TMK7 | 8:40 PM | 2.4 KM</t>
  </si>
  <si>
    <t>QC_403-8789202-3128338</t>
  </si>
  <si>
    <t>https://track.loadshare.net/order/MqNN5ao</t>
  </si>
  <si>
    <t>TMK7 | 8:40 PM | 1.0 KM</t>
  </si>
  <si>
    <t>QC_406-2930755-5750719</t>
  </si>
  <si>
    <t>https://track.loadshare.net/order/yqaaJnE</t>
  </si>
  <si>
    <t>TMK7 | 8:38 PM | 0.4 KM</t>
  </si>
  <si>
    <t>QC_171-6984342-8377123</t>
  </si>
  <si>
    <t>https://track.loadshare.net/order/Xn00MM1</t>
  </si>
  <si>
    <t>TMK7 | 8:38 PM | 3.3 KM</t>
  </si>
  <si>
    <t>QC_405-7841622-7218703</t>
  </si>
  <si>
    <t>https://track.loadshare.net/order/1Yee4Eg</t>
  </si>
  <si>
    <t>TMK7 | 8:38 PM | 1.9 KM</t>
  </si>
  <si>
    <t>QC_171-5107105-6936346</t>
  </si>
  <si>
    <t>https://track.loadshare.net/order/knddpWb</t>
  </si>
  <si>
    <t>TMK7 | 8:37 PM | 2.2 KM</t>
  </si>
  <si>
    <t>QC_171-4744182-4091541</t>
  </si>
  <si>
    <t>https://track.loadshare.net/order/A933O52</t>
  </si>
  <si>
    <t>TMK7 | 8:37 PM | 2.3 KM</t>
  </si>
  <si>
    <t>QC_404-4361987-1632332</t>
  </si>
  <si>
    <t>https://track.loadshare.net/order/knddk5X</t>
  </si>
  <si>
    <t>TMK7 | 8:37 PM | 3.6 KM</t>
  </si>
  <si>
    <t>QC_402-9655097-9353921</t>
  </si>
  <si>
    <t>https://track.loadshare.net/order/5bKKRpw</t>
  </si>
  <si>
    <t>TMK7 | 8:36 PM | 0.4 KM</t>
  </si>
  <si>
    <t>QC_402-1181597-7918764</t>
  </si>
  <si>
    <t>https://track.loadshare.net/order/MqNNj5o</t>
  </si>
  <si>
    <t>TMK7 | 8:34 PM | 1.1 KM</t>
  </si>
  <si>
    <t>QC_405-8696605-4700349</t>
  </si>
  <si>
    <t>https://track.loadshare.net/order/5bKK1Nj</t>
  </si>
  <si>
    <t>TMK7 | 8:34 PM | 0.8 KM</t>
  </si>
  <si>
    <t>QC_405-1901510-6712308</t>
  </si>
  <si>
    <t>https://track.loadshare.net/order/obdd8oY</t>
  </si>
  <si>
    <t>TMK7 | 8:34 PM | 0.2 KM</t>
  </si>
  <si>
    <t>QC_403-8960705-6191505</t>
  </si>
  <si>
    <t>https://track.loadshare.net/order/DDMMj9v</t>
  </si>
  <si>
    <t>QC_403-9594825-6397141</t>
  </si>
  <si>
    <t>https://track.loadshare.net/order/1Yeeb4v</t>
  </si>
  <si>
    <t>TMK7 | 8:32 PM | 2.5 KM</t>
  </si>
  <si>
    <t>QC_406-0671149-0087554</t>
  </si>
  <si>
    <t>https://track.loadshare.net/order/Kgvv3w7</t>
  </si>
  <si>
    <t>TMK7 | 8:31 PM | 2.2 KM</t>
  </si>
  <si>
    <t>QC_171-8669542-6544339</t>
  </si>
  <si>
    <t>https://track.loadshare.net/order/Gx99gjB</t>
  </si>
  <si>
    <t>TMK7 | 8:31 PM | 1.3 KM</t>
  </si>
  <si>
    <t>QC_406-7211189-6847544</t>
  </si>
  <si>
    <t>https://track.loadshare.net/order/Kgvv3G0</t>
  </si>
  <si>
    <t>TMK7 | 8:29 PM | 1.1 KM</t>
  </si>
  <si>
    <t>QC_408-0051830-6835531</t>
  </si>
  <si>
    <t>https://track.loadshare.net/order/N5QQQ3e</t>
  </si>
  <si>
    <t>QC_171-8894206-4353136</t>
  </si>
  <si>
    <t>https://track.loadshare.net/order/nedddOg</t>
  </si>
  <si>
    <t>TMK7 | 8:29 PM | 2.1 KM</t>
  </si>
  <si>
    <t>QC_408-1539140-7464360</t>
  </si>
  <si>
    <t>https://track.loadshare.net/order/Rn9999M</t>
  </si>
  <si>
    <t>TMK7 | 8:24 PM | 1.2 KM</t>
  </si>
  <si>
    <t>QC_403-1468952-8527542</t>
  </si>
  <si>
    <t>https://track.loadshare.net/order/lAddw9J</t>
  </si>
  <si>
    <t>TMK7 | 8:23 PM | 2.1 KM</t>
  </si>
  <si>
    <t>QC_405-5734854-2164365</t>
  </si>
  <si>
    <t>https://track.loadshare.net/order/pJ005JA</t>
  </si>
  <si>
    <t>TMK7 | 8:21 PM | 3.9 KM</t>
  </si>
  <si>
    <t>QC_404-1215004-5562739</t>
  </si>
  <si>
    <t>https://track.loadshare.net/order/mWddMb2</t>
  </si>
  <si>
    <t>TMK7 | 8:21 PM | 1.2 KM</t>
  </si>
  <si>
    <t>QC_408-8859666-7729142</t>
  </si>
  <si>
    <t>https://track.loadshare.net/order/KgvvL4A</t>
  </si>
  <si>
    <t>TMK7 | 8:19 PM | 3.0 KM</t>
  </si>
  <si>
    <t>QC_402-3191943-0200340</t>
  </si>
  <si>
    <t>https://track.loadshare.net/order/Rn99eb8</t>
  </si>
  <si>
    <t>TMK7 | 8:15 PM | 0.3 KM</t>
  </si>
  <si>
    <t>QC_404-0566086-2677149</t>
  </si>
  <si>
    <t>https://track.loadshare.net/order/elddZpl</t>
  </si>
  <si>
    <t>TMK7 | 8:15 PM | 2.0 KM</t>
  </si>
  <si>
    <t>QC_407-6444090-1773107</t>
  </si>
  <si>
    <t>https://track.loadshare.net/order/lAddpZx</t>
  </si>
  <si>
    <t>TMK7 | 8:15 PM | 1.6 KM</t>
  </si>
  <si>
    <t>QC_402-7430571-6734754</t>
  </si>
  <si>
    <t>https://track.loadshare.net/order/YW00aOL</t>
  </si>
  <si>
    <t>TMK7 | 8:14 PM | 3.8 KM</t>
  </si>
  <si>
    <t>QC_407-1422607-6446706</t>
  </si>
  <si>
    <t>https://track.loadshare.net/order/ZW00ql7</t>
  </si>
  <si>
    <t>TMK7 | 8:13 PM | 1.8 KM</t>
  </si>
  <si>
    <t>QC_408-8713191-7243558</t>
  </si>
  <si>
    <t>https://track.loadshare.net/order/LaXXNYM</t>
  </si>
  <si>
    <t>TMK7 | 8:13 PM | 1.3 KM</t>
  </si>
  <si>
    <t>QC_171-8916630-2374759</t>
  </si>
  <si>
    <t>https://track.loadshare.net/order/DDMMJ2g</t>
  </si>
  <si>
    <t>TMK7 | 8:10 PM | 0.5 KM</t>
  </si>
  <si>
    <t>QC_405-3538785-1099536</t>
  </si>
  <si>
    <t>https://track.loadshare.net/order/WW00pnE</t>
  </si>
  <si>
    <t>TMK7 | 8:07 PM | 2.8 KM</t>
  </si>
  <si>
    <t>QC_171-1234701-5252360</t>
  </si>
  <si>
    <t>https://track.loadshare.net/order/aW0088Q</t>
  </si>
  <si>
    <t>TMK7 | 8:07 PM | 3.1 KM</t>
  </si>
  <si>
    <t>QC_403-9189907-4685147</t>
  </si>
  <si>
    <t>https://track.loadshare.net/order/2vKKy45</t>
  </si>
  <si>
    <t>TMK7 | 8:07 PM | 1.9 KM</t>
  </si>
  <si>
    <t>QC_405-2845558-5756337</t>
  </si>
  <si>
    <t>https://track.loadshare.net/order/g0ddWe5</t>
  </si>
  <si>
    <t>TMK7 | 8:07 PM | 1.1 KM</t>
  </si>
  <si>
    <t>QC_402-8900555-7309154</t>
  </si>
  <si>
    <t>https://track.loadshare.net/order/2vKKgog</t>
  </si>
  <si>
    <t>QC_405-2213220-1270755</t>
  </si>
  <si>
    <t>https://track.loadshare.net/order/Gx99wZ9</t>
  </si>
  <si>
    <t>TMK7 | 8:06 PM | 2.1 KM</t>
  </si>
  <si>
    <t>QC_403-3374859-7945915</t>
  </si>
  <si>
    <t>https://track.loadshare.net/order/d0ddmYE</t>
  </si>
  <si>
    <t>TMK7 | 8:04 PM | 2.4 KM</t>
  </si>
  <si>
    <t>QC_404-3965934-5574731</t>
  </si>
  <si>
    <t>https://track.loadshare.net/order/jxddZkj</t>
  </si>
  <si>
    <t>TMK7 | 8:04 PM | 2.1 KM</t>
  </si>
  <si>
    <t>QC_407-1098743-4711539</t>
  </si>
  <si>
    <t>https://track.loadshare.net/order/8277G5p</t>
  </si>
  <si>
    <t>TMK7 | 8:03 PM | 2.2 KM</t>
  </si>
  <si>
    <t>QC_408-0165934-1365974</t>
  </si>
  <si>
    <t>https://track.loadshare.net/order/2vKK2K0</t>
  </si>
  <si>
    <t>TMK7 | 8:03 PM | 2.3 KM</t>
  </si>
  <si>
    <t>QC_407-7764592-8606737</t>
  </si>
  <si>
    <t>https://track.loadshare.net/order/QZ00Xej</t>
  </si>
  <si>
    <t>TMK7 | 8:02 PM | 1.4 KM</t>
  </si>
  <si>
    <t>QC_407-6600983-8453160</t>
  </si>
  <si>
    <t>https://track.loadshare.net/order/0vKKGJq</t>
  </si>
  <si>
    <t>TMK7 | 8:02 PM | 2.8 KM</t>
  </si>
  <si>
    <t>QC_402-8078778-3660358</t>
  </si>
  <si>
    <t>https://track.loadshare.net/order/d0ddE3p</t>
  </si>
  <si>
    <t>TMK7 | 8:01 PM | 1.2 KM</t>
  </si>
  <si>
    <t>QC_408-7021064-9605964</t>
  </si>
  <si>
    <t>https://track.loadshare.net/order/Xn002GD</t>
  </si>
  <si>
    <t>TMK7 | 8:00 PM | 1.9 KM</t>
  </si>
  <si>
    <t>QC_404-2488266-4121947</t>
  </si>
  <si>
    <t>https://track.loadshare.net/order/neddyE3</t>
  </si>
  <si>
    <t>TMK7 | 8:00 PM | 3.7 KM</t>
  </si>
  <si>
    <t>QC_403-4204602-5175506</t>
  </si>
  <si>
    <t>https://track.loadshare.net/order/qbllEdK</t>
  </si>
  <si>
    <t>TMK7 | 7:59 PM | 2.5 KM</t>
  </si>
  <si>
    <t>QC_408-1702349-3959568</t>
  </si>
  <si>
    <t>https://track.loadshare.net/order/B5DDoab</t>
  </si>
  <si>
    <t>TMK7 | 7:59 PM | 1.9 KM</t>
  </si>
  <si>
    <t>QC_402-1920713-7094714</t>
  </si>
  <si>
    <t>https://track.loadshare.net/order/LaXXlDk</t>
  </si>
  <si>
    <t>TMK7 | 7:58 PM | 2.1 KM</t>
  </si>
  <si>
    <t>QC_407-4007540-7582705</t>
  </si>
  <si>
    <t>https://track.loadshare.net/order/pJ00leE</t>
  </si>
  <si>
    <t>TMK7 | 7:57 PM | 0.6 KM</t>
  </si>
  <si>
    <t>QC_171-8789913-9621111</t>
  </si>
  <si>
    <t>https://track.loadshare.net/order/mWddqYn</t>
  </si>
  <si>
    <t>TMK7 | 7:57 PM | 1.3 KM</t>
  </si>
  <si>
    <t>QC_171-1574261-9029929</t>
  </si>
  <si>
    <t>https://track.loadshare.net/order/B5DDYOj</t>
  </si>
  <si>
    <t>TMK7 | 7:56 PM | 2.2 KM</t>
  </si>
  <si>
    <t>QC_403-2210529-5274720</t>
  </si>
  <si>
    <t>https://track.loadshare.net/order/A933lyX</t>
  </si>
  <si>
    <t>XXXXXX5858</t>
  </si>
  <si>
    <t>TMK7 | 7:54 PM | 1.3 KM</t>
  </si>
  <si>
    <t>Karan Arjun Gavhande</t>
  </si>
  <si>
    <t>QC_402-2982824-0013948</t>
  </si>
  <si>
    <t>https://track.loadshare.net/order/N5QQXyl</t>
  </si>
  <si>
    <t>TMK7 | 7:54 PM | 1.4 KM</t>
  </si>
  <si>
    <t>QC_404-9119310-5958717</t>
  </si>
  <si>
    <t>https://track.loadshare.net/order/obddkkk</t>
  </si>
  <si>
    <t>TMK7 | 7:52 PM | 2.3 KM</t>
  </si>
  <si>
    <t>QC_405-1169167-9305956</t>
  </si>
  <si>
    <t>https://track.loadshare.net/order/N5QQ4Bb</t>
  </si>
  <si>
    <t>TMK7 | 7:52 PM | 2.6 KM</t>
  </si>
  <si>
    <t>QC_404-7671504-9341946</t>
  </si>
  <si>
    <t>https://track.loadshare.net/order/B5DDXMV</t>
  </si>
  <si>
    <t>TMK7 | 7:51 PM | 2.3 KM</t>
  </si>
  <si>
    <t>QC_171-8694820-1121961</t>
  </si>
  <si>
    <t>https://track.loadshare.net/order/5bKKy2x</t>
  </si>
  <si>
    <t>TMK7 | 7:51 PM | 0.6 KM</t>
  </si>
  <si>
    <t>QC_404-7643820-0114755</t>
  </si>
  <si>
    <t>https://track.loadshare.net/order/g0ddAQR</t>
  </si>
  <si>
    <t>TMK7 | 7:51 PM | 2.4 KM</t>
  </si>
  <si>
    <t>QC_403-4241374-9989165</t>
  </si>
  <si>
    <t>https://track.loadshare.net/order/xaddb2b</t>
  </si>
  <si>
    <t>TMK7 | 7:49 PM | 1.7 KM</t>
  </si>
  <si>
    <t>QC_408-3463989-7110729</t>
  </si>
  <si>
    <t>https://track.loadshare.net/order/jxddl0D</t>
  </si>
  <si>
    <t>TMK7 | 7:48 PM | 2.2 KM</t>
  </si>
  <si>
    <t>QC_171-3399103-9947568</t>
  </si>
  <si>
    <t>https://track.loadshare.net/order/MqNNZOX</t>
  </si>
  <si>
    <t>TMK7 | 7:48 PM | 3.9 KM</t>
  </si>
  <si>
    <t>QC_407-2366293-0854762</t>
  </si>
  <si>
    <t>https://track.loadshare.net/order/qbll03v</t>
  </si>
  <si>
    <t>TMK7 | 7:47 PM | 0.7 KM</t>
  </si>
  <si>
    <t>QC_404-6478238-7427566</t>
  </si>
  <si>
    <t>https://track.loadshare.net/order/5bKKGE3</t>
  </si>
  <si>
    <t>TMK7 | 7:47 PM | 1.3 KM</t>
  </si>
  <si>
    <t>QC_403-2909729-2727502</t>
  </si>
  <si>
    <t>https://track.loadshare.net/order/2vKKeL1</t>
  </si>
  <si>
    <t>TMK7 | 7:43 PM | 0.8 KM</t>
  </si>
  <si>
    <t>QC_403-7800741-7986759</t>
  </si>
  <si>
    <t>https://track.loadshare.net/order/DDMMpvX</t>
  </si>
  <si>
    <t>TMK7 | 7:42 PM | 1.3 KM</t>
  </si>
  <si>
    <t>QC_405-2192005-4652317</t>
  </si>
  <si>
    <t>https://track.loadshare.net/order/Kgvv0Y0</t>
  </si>
  <si>
    <t>TMK7 | 7:41 PM | 1.1 KM</t>
  </si>
  <si>
    <t>QC_402-4189049-9358715</t>
  </si>
  <si>
    <t>https://track.loadshare.net/order/N5QQgJY</t>
  </si>
  <si>
    <t>TMK7 | 7:40 PM | 1.3 KM</t>
  </si>
  <si>
    <t>QC_403-8327908-2413163</t>
  </si>
  <si>
    <t>https://track.loadshare.net/order/8277qpy</t>
  </si>
  <si>
    <t>TMK7 | 7:40 PM | 2.8 KM</t>
  </si>
  <si>
    <t>QC_407-4727571-2512339</t>
  </si>
  <si>
    <t>https://track.loadshare.net/order/qblljbv</t>
  </si>
  <si>
    <t>TMK7 | 7:39 PM | 1.9 KM</t>
  </si>
  <si>
    <t>QC_406-0126608-7717933</t>
  </si>
  <si>
    <t>https://track.loadshare.net/order/VY0eaAQ</t>
  </si>
  <si>
    <t>XXXXXX0180</t>
  </si>
  <si>
    <t>TMK7 | 7:38 PM | 2.2 KM</t>
  </si>
  <si>
    <t>GANESH PADWAL</t>
  </si>
  <si>
    <t>QC_405-7912006-3559562</t>
  </si>
  <si>
    <t>https://track.loadshare.net/order/xadlNAV</t>
  </si>
  <si>
    <t>TMK7 | 7:37 PM | 1.4 KM</t>
  </si>
  <si>
    <t>QC_406-4367041-3372305</t>
  </si>
  <si>
    <t>https://track.loadshare.net/order/DDM4mjO</t>
  </si>
  <si>
    <t>TMK7 | 7:35 PM | 2.2 KM</t>
  </si>
  <si>
    <t>QC_408-5500369-0473927</t>
  </si>
  <si>
    <t>https://track.loadshare.net/order/jxdDGj9</t>
  </si>
  <si>
    <t>TMK7 | 7:35 PM | 1.5 KM</t>
  </si>
  <si>
    <t>QC_408-6512055-4425122</t>
  </si>
  <si>
    <t>https://track.loadshare.net/order/qblBL4y</t>
  </si>
  <si>
    <t>TMK7 | 7:34 PM | 3.1 KM</t>
  </si>
  <si>
    <t>QC_404-9449475-2765108</t>
  </si>
  <si>
    <t>https://track.loadshare.net/order/wkjlOMm</t>
  </si>
  <si>
    <t>TMK7 | 7:34 PM | 2.8 KM</t>
  </si>
  <si>
    <t>QC_405-8455844-8570717</t>
  </si>
  <si>
    <t>https://track.loadshare.net/order/Op0A7bL</t>
  </si>
  <si>
    <t>TMK7 | 7:29 PM | 0.3 KM</t>
  </si>
  <si>
    <t>QC_408-2378166-8695566</t>
  </si>
  <si>
    <t>https://track.loadshare.net/order/obdn21Y</t>
  </si>
  <si>
    <t>XXXXXX8136</t>
  </si>
  <si>
    <t>TMK7 | 7:28 PM | 1.7 KM</t>
  </si>
  <si>
    <t>Shrikrushana bhure</t>
  </si>
  <si>
    <t>QC_404-3410361-9869112</t>
  </si>
  <si>
    <t>https://track.loadshare.net/order/WW073Og</t>
  </si>
  <si>
    <t>TMK7 | 7:28 PM | 1.9 KM</t>
  </si>
  <si>
    <t>QC_404-4102405-9284305</t>
  </si>
  <si>
    <t>https://track.loadshare.net/order/827Oojy</t>
  </si>
  <si>
    <t>TMK7 | 7:28 PM | 2.2 KM</t>
  </si>
  <si>
    <t>QC_403-3538806-4181941</t>
  </si>
  <si>
    <t>https://track.loadshare.net/order/3bKOmx3</t>
  </si>
  <si>
    <t>TMK7 | 7:27 PM | 1.9 KM</t>
  </si>
  <si>
    <t>QC_404-3353056-6231511</t>
  </si>
  <si>
    <t>https://track.loadshare.net/order/N5QAjqy</t>
  </si>
  <si>
    <t>TMK7 | 7:27 PM | 2.2 KM</t>
  </si>
  <si>
    <t>QC_405-2704909-9137930</t>
  </si>
  <si>
    <t>https://track.loadshare.net/order/MqN4Wxo</t>
  </si>
  <si>
    <t>TMK7 | 7:26 PM | 2.0 KM</t>
  </si>
  <si>
    <t>QC_407-1320612-5921943</t>
  </si>
  <si>
    <t>https://track.loadshare.net/order/DDM4W1y</t>
  </si>
  <si>
    <t>XXXXXX3387</t>
  </si>
  <si>
    <t>TMK7 | 7:26 PM | 3.1 KM</t>
  </si>
  <si>
    <t>Rajankumar Ramesh Sah</t>
  </si>
  <si>
    <t>QC_407-0779986-3988355</t>
  </si>
  <si>
    <t>https://track.loadshare.net/order/92KOWNn</t>
  </si>
  <si>
    <t>TMK7 | 7:24 PM | 2.7 KM</t>
  </si>
  <si>
    <t>QC_404-3094638-1993119</t>
  </si>
  <si>
    <t>https://track.loadshare.net/order/4eAOwdW</t>
  </si>
  <si>
    <t>TMK7 | 7:23 PM | 2.2 KM</t>
  </si>
  <si>
    <t>QC_404-2279340-6057149</t>
  </si>
  <si>
    <t>https://track.loadshare.net/order/YW0AgD5</t>
  </si>
  <si>
    <t>TMK7 | 7:22 PM | 2.2 KM</t>
  </si>
  <si>
    <t>QC_403-6020525-7838721</t>
  </si>
  <si>
    <t>https://track.loadshare.net/order/YW0AgWx</t>
  </si>
  <si>
    <t>TMK7 | 7:22 PM | 2.1 KM</t>
  </si>
  <si>
    <t>QC_402-9551703-4749125</t>
  </si>
  <si>
    <t>https://track.loadshare.net/order/Gx9L2M3</t>
  </si>
  <si>
    <t>TMK7 | 7:21 PM | 2.1 KM</t>
  </si>
  <si>
    <t>QC_402-4105065-6999502</t>
  </si>
  <si>
    <t>https://track.loadshare.net/order/mWdV7l2</t>
  </si>
  <si>
    <t>TMK7 | 7:21 PM | 1.7 KM</t>
  </si>
  <si>
    <t>QC_407-8513108-2656330</t>
  </si>
  <si>
    <t>https://track.loadshare.net/order/E9V4Ab3</t>
  </si>
  <si>
    <t>TMK7 | 7:21 PM | 1.5 KM</t>
  </si>
  <si>
    <t>QC_405-3409350-8055500</t>
  </si>
  <si>
    <t>https://track.loadshare.net/order/2vKO5M7</t>
  </si>
  <si>
    <t>QC_404-7801019-0675562</t>
  </si>
  <si>
    <t>https://track.loadshare.net/order/729OVAl</t>
  </si>
  <si>
    <t>TMK7 | 7:20 PM | 2.7 KM</t>
  </si>
  <si>
    <t>QC_408-4368763-5309908</t>
  </si>
  <si>
    <t>https://track.loadshare.net/order/ZW0A15O</t>
  </si>
  <si>
    <t>TMK7 | 7:20 PM | 2.2 KM</t>
  </si>
  <si>
    <t>QC_405-0592488-2008349</t>
  </si>
  <si>
    <t>https://track.loadshare.net/order/WW071Qa</t>
  </si>
  <si>
    <t>TMK7 | 7:19 PM | 1.7 KM</t>
  </si>
  <si>
    <t>QC_404-6403692-1473965</t>
  </si>
  <si>
    <t>https://track.loadshare.net/order/DDM41BO</t>
  </si>
  <si>
    <t>TMK7 | 7:19 PM | 1.0 KM</t>
  </si>
  <si>
    <t>QC_407-6395002-7158731</t>
  </si>
  <si>
    <t>https://track.loadshare.net/order/JMRJ19w</t>
  </si>
  <si>
    <t>TMK7 | 7:19 PM | 1.2 KM</t>
  </si>
  <si>
    <t>QC_403-7084288-7593111</t>
  </si>
  <si>
    <t>https://track.loadshare.net/order/E9V41vo</t>
  </si>
  <si>
    <t>TMK7 | 7:18 PM | 2.3 KM</t>
  </si>
  <si>
    <t>QC_404-3377912-5153137</t>
  </si>
  <si>
    <t>https://track.loadshare.net/order/5bKOxbV</t>
  </si>
  <si>
    <t>TMK7 | 7:18 PM | 1.7 KM</t>
  </si>
  <si>
    <t>QC_406-8624290-8119512</t>
  </si>
  <si>
    <t>https://track.loadshare.net/order/QZ0Aobj</t>
  </si>
  <si>
    <t>TMK7 | 7:17 PM | 1.7 KM</t>
  </si>
  <si>
    <t>QC_404-8025330-5439553</t>
  </si>
  <si>
    <t>https://track.loadshare.net/order/wkjlNv2</t>
  </si>
  <si>
    <t>TMK7 | 7:16 PM | 1.0 KM</t>
  </si>
  <si>
    <t>QC_408-3564193-0540334</t>
  </si>
  <si>
    <t>https://track.loadshare.net/order/bx0aYEX</t>
  </si>
  <si>
    <t>TMK7 | 7:16 PM | 1.4 KM</t>
  </si>
  <si>
    <t>QC_403-0712973-2291564</t>
  </si>
  <si>
    <t>https://track.loadshare.net/order/2vKOmA5</t>
  </si>
  <si>
    <t>TMK7 | 7:15 PM | 1.3 KM</t>
  </si>
  <si>
    <t>QC_402-8758528-1379508</t>
  </si>
  <si>
    <t>https://track.loadshare.net/order/4eAOV9x</t>
  </si>
  <si>
    <t>TMK7 | 7:15 PM | 0.4 KM</t>
  </si>
  <si>
    <t>QC_406-6657686-0655524</t>
  </si>
  <si>
    <t>https://track.loadshare.net/order/B5DEAjY</t>
  </si>
  <si>
    <t>TMK7 | 7:13 PM | 1.3 KM</t>
  </si>
  <si>
    <t>QC_402-6649364-7109967</t>
  </si>
  <si>
    <t>https://track.loadshare.net/order/wkjlbjw</t>
  </si>
  <si>
    <t>TMK7 | 7:09 PM | 0.0 KM</t>
  </si>
  <si>
    <t>QC_405-8361059-4171520</t>
  </si>
  <si>
    <t>https://track.loadshare.net/order/aW0AqVw</t>
  </si>
  <si>
    <t>TMK7 | 7:08 PM | 1.9 KM</t>
  </si>
  <si>
    <t>QC_406-9236523-8051560</t>
  </si>
  <si>
    <t>https://track.loadshare.net/order/827OXMg</t>
  </si>
  <si>
    <t>TMK7 | 7:08 PM | 2.0 KM</t>
  </si>
  <si>
    <t>QC_404-1615069-9012367</t>
  </si>
  <si>
    <t>https://track.loadshare.net/order/5bKOB9b</t>
  </si>
  <si>
    <t>TMK7 | 7:08 PM | 1.2 KM</t>
  </si>
  <si>
    <t>QC_405-3681472-8077127</t>
  </si>
  <si>
    <t>https://track.loadshare.net/order/pJ0oRWv</t>
  </si>
  <si>
    <t>TMK7 | 7:07 PM | 1.3 KM</t>
  </si>
  <si>
    <t>QC_407-0922555-4067530</t>
  </si>
  <si>
    <t>https://track.loadshare.net/order/wkjlKLk</t>
  </si>
  <si>
    <t>TMK7 | 7:07 PM | 2.3 KM</t>
  </si>
  <si>
    <t>QC_407-8269225-9907518</t>
  </si>
  <si>
    <t>https://track.loadshare.net/order/yqalE50</t>
  </si>
  <si>
    <t>TMK7 | 7:06 PM | 1.8 KM</t>
  </si>
  <si>
    <t>QC_405-1240650-9565147</t>
  </si>
  <si>
    <t>https://track.loadshare.net/order/d0dwGd7</t>
  </si>
  <si>
    <t>TMK7 | 7:04 PM | 0.3 KM</t>
  </si>
  <si>
    <t>QC_407-6187216-9623556</t>
  </si>
  <si>
    <t>https://track.loadshare.net/order/qblBAq5</t>
  </si>
  <si>
    <t>TMK7 | 7:03 PM | 1.8 KM</t>
  </si>
  <si>
    <t>QC_402-5651231-0845130</t>
  </si>
  <si>
    <t>https://track.loadshare.net/order/1YeOdl8</t>
  </si>
  <si>
    <t>TMK7 | 7:03 PM | 1.3 KM</t>
  </si>
  <si>
    <t>QC_408-2830121-4035502</t>
  </si>
  <si>
    <t>https://track.loadshare.net/order/DDM48kx</t>
  </si>
  <si>
    <t>TMK7 | 7:01 PM | 1.9 KM</t>
  </si>
  <si>
    <t>QC_406-7738519-7475510</t>
  </si>
  <si>
    <t>https://track.loadshare.net/order/YW0AXBy</t>
  </si>
  <si>
    <t>TMK7 | 7:01 PM | 3.0 KM</t>
  </si>
  <si>
    <t>QC_171-9961986-4079566</t>
  </si>
  <si>
    <t>https://track.loadshare.net/order/3bKO8DJ</t>
  </si>
  <si>
    <t>TMK7 | 6:58 PM | 2.1 KM</t>
  </si>
  <si>
    <t>QC_404-1161894-9491532</t>
  </si>
  <si>
    <t>https://track.loadshare.net/order/4eAOB9p</t>
  </si>
  <si>
    <t>TMK7 | 6:57 PM | 2.1 KM</t>
  </si>
  <si>
    <t>QC_406-2148954-0826705</t>
  </si>
  <si>
    <t>https://track.loadshare.net/order/bx0akb4</t>
  </si>
  <si>
    <t>TMK7 | 6:56 PM | 2.6 KM</t>
  </si>
  <si>
    <t>QC_407-2499585-3243524</t>
  </si>
  <si>
    <t>https://track.loadshare.net/order/v0klOxx</t>
  </si>
  <si>
    <t>TMK7 | 6:52 PM | 2.3 KM</t>
  </si>
  <si>
    <t>QC_171-1324613-1430727</t>
  </si>
  <si>
    <t>https://track.loadshare.net/order/DDM4MNA</t>
  </si>
  <si>
    <t>TMK7 | 6:52 PM | 2.4 KM</t>
  </si>
  <si>
    <t>QC_405-5228688-0210700</t>
  </si>
  <si>
    <t>https://track.loadshare.net/order/0vKOK5N</t>
  </si>
  <si>
    <t>TMK7 | 6:52 PM | 2.0 KM</t>
  </si>
  <si>
    <t>QC_407-0286236-8549956</t>
  </si>
  <si>
    <t>https://track.loadshare.net/order/aW0A0Bj</t>
  </si>
  <si>
    <t>TMK7 | 6:51 PM | 1.3 KM</t>
  </si>
  <si>
    <t>QC_171-5701444-3280331</t>
  </si>
  <si>
    <t>https://track.loadshare.net/order/v0klkgb</t>
  </si>
  <si>
    <t>TMK7 | 6:50 PM | 2.7 KM</t>
  </si>
  <si>
    <t>QC_171-1070557-8906732</t>
  </si>
  <si>
    <t>https://track.loadshare.net/order/mWdVd8m</t>
  </si>
  <si>
    <t>TMK7 | 6:49 PM | 2.2 KM</t>
  </si>
  <si>
    <t>QC_402-8819134-8887556</t>
  </si>
  <si>
    <t>https://track.loadshare.net/order/Rn9AA1x</t>
  </si>
  <si>
    <t>TMK7 | 6:49 PM | 2.3 KM</t>
  </si>
  <si>
    <t>QC_171-8840706-3936327</t>
  </si>
  <si>
    <t>https://track.loadshare.net/order/4eAOOA9</t>
  </si>
  <si>
    <t>TMK7 | 6:48 PM | 2.9 KM</t>
  </si>
  <si>
    <t>QC_405-6490280-9029126</t>
  </si>
  <si>
    <t>https://track.loadshare.net/order/jxdDDZq</t>
  </si>
  <si>
    <t>TMK7 | 6:47 PM | 3.1 KM</t>
  </si>
  <si>
    <t>QC_403-0631885-4781925</t>
  </si>
  <si>
    <t>https://track.loadshare.net/order/A930Jj2</t>
  </si>
  <si>
    <t>TMK7 | 6:46 PM | 2.8 KM</t>
  </si>
  <si>
    <t>QC_407-8149083-1154714</t>
  </si>
  <si>
    <t>https://track.loadshare.net/order/DDM4bag</t>
  </si>
  <si>
    <t>TMK7 | 6:46 PM | 1.0 KM</t>
  </si>
  <si>
    <t>QC_408-9381215-8468336</t>
  </si>
  <si>
    <t>https://track.loadshare.net/order/A930J0m</t>
  </si>
  <si>
    <t>TMK7 | 6:45 PM | 2.4 KM</t>
  </si>
  <si>
    <t>QC_403-0502518-3065116</t>
  </si>
  <si>
    <t>https://track.loadshare.net/order/lAdMmRY</t>
  </si>
  <si>
    <t>TMK7 | 6:43 PM | 2.3 KM</t>
  </si>
  <si>
    <t>QC_407-8004756-0109106</t>
  </si>
  <si>
    <t>https://track.loadshare.net/order/Op0ALeK</t>
  </si>
  <si>
    <t>TMK7 | 6:43 PM | 1.5 KM</t>
  </si>
  <si>
    <t>QC_406-2779266-2549144</t>
  </si>
  <si>
    <t>https://track.loadshare.net/order/g0dGb49</t>
  </si>
  <si>
    <t>TMK7 | 6:43 PM | 2.6 KM</t>
  </si>
  <si>
    <t>QC_405-2086960-0041945</t>
  </si>
  <si>
    <t>https://track.loadshare.net/order/lAdM9b3</t>
  </si>
  <si>
    <t>TMK7 | 6:41 PM | 0.2 KM</t>
  </si>
  <si>
    <t>QC_403-3836039-1924359</t>
  </si>
  <si>
    <t>https://track.loadshare.net/order/WW07LWg</t>
  </si>
  <si>
    <t>TMK7 | 6:40 PM | 1.3 KM</t>
  </si>
  <si>
    <t>QC_402-0932126-2569967</t>
  </si>
  <si>
    <t>https://track.loadshare.net/order/Rn9AZW2</t>
  </si>
  <si>
    <t>TMK7 | 6:40 PM | 2.3 KM</t>
  </si>
  <si>
    <t>QC_404-2170492-8411563</t>
  </si>
  <si>
    <t>https://track.loadshare.net/order/MqN439o</t>
  </si>
  <si>
    <t>TMK7 | 6:37 PM | 0.4 KM</t>
  </si>
  <si>
    <t>QC_404-2188820-2487515</t>
  </si>
  <si>
    <t>https://track.loadshare.net/order/0vKODYJ</t>
  </si>
  <si>
    <t>TMK7 | 6:36 PM | 3.9 KM</t>
  </si>
  <si>
    <t>QC_402-2961261-5113141</t>
  </si>
  <si>
    <t>https://track.loadshare.net/order/eldgA4A</t>
  </si>
  <si>
    <t>TMK7 | 6:36 PM | 2.1 KM</t>
  </si>
  <si>
    <t>QC_404-8130808-1052345</t>
  </si>
  <si>
    <t>https://track.loadshare.net/order/A930bgv</t>
  </si>
  <si>
    <t>TMK7 | 6:34 PM | 1.5 KM</t>
  </si>
  <si>
    <t>QC_171-5894295-6778760</t>
  </si>
  <si>
    <t>https://track.loadshare.net/order/mWdVkYN</t>
  </si>
  <si>
    <t>TMK7 | 6:32 PM | 1.1 KM</t>
  </si>
  <si>
    <t>QC_405-2381590-0054725</t>
  </si>
  <si>
    <t>https://track.loadshare.net/order/lAdMoAx</t>
  </si>
  <si>
    <t>TMK7 | 6:32 PM | 1.2 KM</t>
  </si>
  <si>
    <t>QC_403-7287783-9899536</t>
  </si>
  <si>
    <t>https://track.loadshare.net/order/jxdD1k1</t>
  </si>
  <si>
    <t>TMK7 | 6:32 PM | 2.3 KM</t>
  </si>
  <si>
    <t>QC_171-6524981-3142732</t>
  </si>
  <si>
    <t>https://track.loadshare.net/order/lAdM1bJ</t>
  </si>
  <si>
    <t>TMK7 | 6:32 PM | 1.7 KM</t>
  </si>
  <si>
    <t>QC_408-7151139-5438742</t>
  </si>
  <si>
    <t>https://track.loadshare.net/order/QZ0ApB2</t>
  </si>
  <si>
    <t>TMK7 | 6:32 PM | 2.0 KM</t>
  </si>
  <si>
    <t>QC_402-0083026-7573109</t>
  </si>
  <si>
    <t>https://track.loadshare.net/order/VY0emKZ</t>
  </si>
  <si>
    <t>TMK7 | 6:31 PM | 1.3 KM</t>
  </si>
  <si>
    <t>QC_408-1596426-8531505</t>
  </si>
  <si>
    <t>https://track.loadshare.net/order/MqN4abX</t>
  </si>
  <si>
    <t>TMK7 | 6:31 PM | 3.8 KM</t>
  </si>
  <si>
    <t>QC_406-0709710-0821920</t>
  </si>
  <si>
    <t>https://track.loadshare.net/order/729OA0n</t>
  </si>
  <si>
    <t>TMK7 | 6:30 PM | 0.9 KM</t>
  </si>
  <si>
    <t>QC_403-5527677-6960308</t>
  </si>
  <si>
    <t>https://track.loadshare.net/order/v0klG1X</t>
  </si>
  <si>
    <t>TMK7 | 6:30 PM | 2.3 KM</t>
  </si>
  <si>
    <t>QC_402-6504427-5695549</t>
  </si>
  <si>
    <t>https://track.loadshare.net/order/v0klNvb</t>
  </si>
  <si>
    <t>TMK7 | 6:29 PM | 1.9 KM</t>
  </si>
  <si>
    <t>QC_406-3657302-5283565</t>
  </si>
  <si>
    <t>https://track.loadshare.net/order/729ODX7</t>
  </si>
  <si>
    <t>TMK7 | 6:29 PM | 2.0 KM</t>
  </si>
  <si>
    <t>QC_407-8946062-9122735</t>
  </si>
  <si>
    <t>https://track.loadshare.net/order/Xn0AlQX</t>
  </si>
  <si>
    <t>TMK7 | 6:28 PM | 2.1 KM</t>
  </si>
  <si>
    <t>QC_403-7347353-2685932</t>
  </si>
  <si>
    <t>https://track.loadshare.net/order/d0dwyBW</t>
  </si>
  <si>
    <t>TMK7 | 6:25 PM | 1.6 KM</t>
  </si>
  <si>
    <t>QC_407-9933620-7099533</t>
  </si>
  <si>
    <t>https://track.loadshare.net/order/Gx9LQ2b</t>
  </si>
  <si>
    <t>TMK7 | 6:24 PM | 1.4 KM</t>
  </si>
  <si>
    <t>QC_405-4829635-5465142</t>
  </si>
  <si>
    <t>https://track.loadshare.net/order/v0kl2Kk</t>
  </si>
  <si>
    <t>TMK7 | 6:21 PM | 1.4 KM</t>
  </si>
  <si>
    <t>QC_405-0542516-5832311</t>
  </si>
  <si>
    <t>https://track.loadshare.net/order/A930AnX</t>
  </si>
  <si>
    <t>TMK7 | 6:16 PM | 1.3 KM</t>
  </si>
  <si>
    <t>QC_171-7173867-9745960</t>
  </si>
  <si>
    <t>https://track.loadshare.net/order/2vKOLvj</t>
  </si>
  <si>
    <t>TMK7 | 6:15 PM | 1.5 KM</t>
  </si>
  <si>
    <t>QC_171-4846405-6996309</t>
  </si>
  <si>
    <t>https://track.loadshare.net/order/92KO9Ed</t>
  </si>
  <si>
    <t>QC_403-7060242-5331509</t>
  </si>
  <si>
    <t>https://track.loadshare.net/order/Gx9LARQ</t>
  </si>
  <si>
    <t>TMK7 | 6:15 PM | 2.3 KM</t>
  </si>
  <si>
    <t>QC_171-8401252-9186757</t>
  </si>
  <si>
    <t>https://track.loadshare.net/order/aW0Aeo1</t>
  </si>
  <si>
    <t>TMK7 | 6:15 PM | 3.9 KM</t>
  </si>
  <si>
    <t>QC_405-8911382-2379546</t>
  </si>
  <si>
    <t>https://track.loadshare.net/order/B5DEXNk</t>
  </si>
  <si>
    <t>TMK7 | 6:11 PM | 1.6 KM</t>
  </si>
  <si>
    <t>QC_408-7442260-1961933</t>
  </si>
  <si>
    <t>https://track.loadshare.net/order/QZ0A5wO</t>
  </si>
  <si>
    <t>TMK7 | 6:10 PM | 2.2 KM</t>
  </si>
  <si>
    <t>QC_403-6519862-6109158</t>
  </si>
  <si>
    <t>https://track.loadshare.net/order/VY0eoX3</t>
  </si>
  <si>
    <t>TMK7 | 6:09 PM | 2.1 KM</t>
  </si>
  <si>
    <t>QC_404-8347454-0611540</t>
  </si>
  <si>
    <t>https://track.loadshare.net/order/3bKObe9</t>
  </si>
  <si>
    <t>TMK7 | 6:07 PM | 1.2 KM</t>
  </si>
  <si>
    <t>QC_406-5386796-2869102</t>
  </si>
  <si>
    <t>https://track.loadshare.net/order/kndmnyG</t>
  </si>
  <si>
    <t>TMK7 | 6:07 PM | 0.6 KM</t>
  </si>
  <si>
    <t>QC_407-7023992-9565922</t>
  </si>
  <si>
    <t>https://track.loadshare.net/order/E9V4JQM</t>
  </si>
  <si>
    <t>TMK7 | 6:06 PM | 1.3 KM</t>
  </si>
  <si>
    <t>QC_402-8025837-1684330</t>
  </si>
  <si>
    <t>https://track.loadshare.net/order/2vKO9mk</t>
  </si>
  <si>
    <t>TMK7 | 6:05 PM | 1.0 KM</t>
  </si>
  <si>
    <t>QC_407-9625294-4077902</t>
  </si>
  <si>
    <t>https://track.loadshare.net/order/wkjl45q</t>
  </si>
  <si>
    <t>TMK7 | 6:04 PM | 2.2 KM</t>
  </si>
  <si>
    <t>QC_406-2750800-2346716</t>
  </si>
  <si>
    <t>https://track.loadshare.net/order/92KOw30</t>
  </si>
  <si>
    <t>TMK7 | 6:03 PM | 1.6 KM</t>
  </si>
  <si>
    <t>QC_402-0570975-6678754</t>
  </si>
  <si>
    <t>https://track.loadshare.net/order/xadlXne</t>
  </si>
  <si>
    <t>TMK7 | 6:03 PM | 2.4 KM</t>
  </si>
  <si>
    <t>QC_406-3445949-7425929</t>
  </si>
  <si>
    <t>https://track.loadshare.net/order/aW0AQLZ</t>
  </si>
  <si>
    <t>TMK7 | 6:00 PM | 2.4 KM</t>
  </si>
  <si>
    <t>QC_405-1682942-1339514</t>
  </si>
  <si>
    <t>https://track.loadshare.net/order/MqNbAqQ</t>
  </si>
  <si>
    <t>TMK7 | 5:58 PM | 1.3 KM</t>
  </si>
  <si>
    <t>QC_407-4915214-7830726</t>
  </si>
  <si>
    <t>https://track.loadshare.net/order/Xn0qO0Q</t>
  </si>
  <si>
    <t>TMK7 | 5:56 PM | 1.0 KM</t>
  </si>
  <si>
    <t>QC_404-0893681-3472348</t>
  </si>
  <si>
    <t>https://track.loadshare.net/order/1YeJab3</t>
  </si>
  <si>
    <t>TMK7 | 5:56 PM | 2.2 KM</t>
  </si>
  <si>
    <t>QC_171-4497446-1605940</t>
  </si>
  <si>
    <t>https://track.loadshare.net/order/v0kZxD2</t>
  </si>
  <si>
    <t>TMK7 | 5:54 PM | 1.5 KM</t>
  </si>
  <si>
    <t>QC_407-1871387-0929954</t>
  </si>
  <si>
    <t>https://track.loadshare.net/order/3bKJ53p</t>
  </si>
  <si>
    <t>TMK7 | 5:54 PM | 0.2 KM</t>
  </si>
  <si>
    <t>QC_406-4955296-4865145</t>
  </si>
  <si>
    <t>https://track.loadshare.net/order/Rn9b8OO</t>
  </si>
  <si>
    <t>TMK7 | 5:53 PM | 1.4 KM</t>
  </si>
  <si>
    <t>QC_406-1936094-2725140</t>
  </si>
  <si>
    <t>https://track.loadshare.net/order/Gx9JEvb</t>
  </si>
  <si>
    <t>TMK7 | 5:50 PM | 1.6 KM</t>
  </si>
  <si>
    <t>QC_405-0476178-7673921</t>
  </si>
  <si>
    <t>https://track.loadshare.net/order/LaXbkl7</t>
  </si>
  <si>
    <t>TMK7 | 5:49 PM | 1.4 KM</t>
  </si>
  <si>
    <t>QC_407-2729482-2827500</t>
  </si>
  <si>
    <t>https://track.loadshare.net/order/A93JLKY</t>
  </si>
  <si>
    <t>TMK7 | 5:49 PM | 1.8 KM</t>
  </si>
  <si>
    <t>QC_404-1250119-6358701</t>
  </si>
  <si>
    <t>https://track.loadshare.net/order/Op0b8dq</t>
  </si>
  <si>
    <t>TMK7 | 5:49 PM | 1.6 KM</t>
  </si>
  <si>
    <t>QC_403-1370141-5659506</t>
  </si>
  <si>
    <t>https://track.loadshare.net/order/eldo45w</t>
  </si>
  <si>
    <t>TMK7 | 5:49 PM | 1.2 KM</t>
  </si>
  <si>
    <t>QC_405-7037198-8410716</t>
  </si>
  <si>
    <t>https://track.loadshare.net/order/YW0wmqa</t>
  </si>
  <si>
    <t>TMK7 | 5:49 PM | 2.2 KM</t>
  </si>
  <si>
    <t>QC_171-1377549-9199520</t>
  </si>
  <si>
    <t>https://track.loadshare.net/order/v0kZagM</t>
  </si>
  <si>
    <t>QC_403-6853830-6821101</t>
  </si>
  <si>
    <t>https://track.loadshare.net/order/729Jnw2</t>
  </si>
  <si>
    <t>TMK7 | 5:49 PM | 1.3 KM</t>
  </si>
  <si>
    <t>QC_405-9734844-7021909</t>
  </si>
  <si>
    <t>https://track.loadshare.net/order/obdGY8Z</t>
  </si>
  <si>
    <t>TMK7 | 5:48 PM | 3.8 KM</t>
  </si>
  <si>
    <t>QC_406-4757532-2069915</t>
  </si>
  <si>
    <t>https://track.loadshare.net/order/827Jopy</t>
  </si>
  <si>
    <t>TMK7 | 5:45 PM | 1.6 KM</t>
  </si>
  <si>
    <t>QC_408-5144565-8032362</t>
  </si>
  <si>
    <t>https://track.loadshare.net/order/d0dnXld</t>
  </si>
  <si>
    <t>TMK7 | 5:45 PM | 1.2 KM</t>
  </si>
  <si>
    <t>QC_405-4031969-0053148</t>
  </si>
  <si>
    <t>https://track.loadshare.net/order/3bKJq3p</t>
  </si>
  <si>
    <t>TMK7 | 5:43 PM | 2.1 KM</t>
  </si>
  <si>
    <t>QC_402-6012237-9246757</t>
  </si>
  <si>
    <t>https://track.loadshare.net/order/A93JBy2</t>
  </si>
  <si>
    <t>XXXXXX6965</t>
  </si>
  <si>
    <t>TMK7 | 5:43 PM | 2.0 KM</t>
  </si>
  <si>
    <t>Chate Ashok Bharat</t>
  </si>
  <si>
    <t>QC_408-4484748-6801145</t>
  </si>
  <si>
    <t>https://track.loadshare.net/order/ZW0gp27</t>
  </si>
  <si>
    <t>TMK7 | 5:43 PM | 2.6 KM</t>
  </si>
  <si>
    <t>QC_405-1175154-0531542</t>
  </si>
  <si>
    <t>https://track.loadshare.net/order/v0kZywx</t>
  </si>
  <si>
    <t>TMK7 | 5:41 PM | 2.5 KM</t>
  </si>
  <si>
    <t>QC_402-2794260-5410761</t>
  </si>
  <si>
    <t>https://track.loadshare.net/order/B5DJbNg</t>
  </si>
  <si>
    <t>TMK7 | 5:41 PM | 2.2 KM</t>
  </si>
  <si>
    <t>QC_407-7157223-1513911</t>
  </si>
  <si>
    <t>https://track.loadshare.net/order/DDMbKnX</t>
  </si>
  <si>
    <t>TMK7 | 5:40 PM | 1.5 KM</t>
  </si>
  <si>
    <t>QC_171-6489117-2713922</t>
  </si>
  <si>
    <t>https://track.loadshare.net/order/Op0b19l</t>
  </si>
  <si>
    <t>TMK7 | 5:36 PM | 1.6 KM</t>
  </si>
  <si>
    <t>QC_403-5148347-7865953</t>
  </si>
  <si>
    <t>https://track.loadshare.net/order/wkjnNyE</t>
  </si>
  <si>
    <t>TMK7 | 5:35 PM | 1.2 KM</t>
  </si>
  <si>
    <t>QC_402-7405954-6663500</t>
  </si>
  <si>
    <t>https://track.loadshare.net/order/aW0M7eA</t>
  </si>
  <si>
    <t>TMK7 | 5:35 PM | 1.5 KM</t>
  </si>
  <si>
    <t>QC_406-1925222-4611547</t>
  </si>
  <si>
    <t>https://track.loadshare.net/order/pJ053m4</t>
  </si>
  <si>
    <t>TMK7 | 5:33 PM | 2.1 KM</t>
  </si>
  <si>
    <t>QC_405-0274439-2449951</t>
  </si>
  <si>
    <t>https://track.loadshare.net/order/DDMb2pL</t>
  </si>
  <si>
    <t>TMK7 | 5:32 PM | 1.3 KM</t>
  </si>
  <si>
    <t>QC_408-4642862-6907542</t>
  </si>
  <si>
    <t>https://track.loadshare.net/order/VY0bQpV</t>
  </si>
  <si>
    <t>TMK7 | 5:32 PM | 2.8 KM</t>
  </si>
  <si>
    <t>QC_408-4851922-8251547</t>
  </si>
  <si>
    <t>https://track.loadshare.net/order/B5DJabg</t>
  </si>
  <si>
    <t>TMK7 | 5:31 PM | 3.7 KM</t>
  </si>
  <si>
    <t>QC_405-8709757-5805914</t>
  </si>
  <si>
    <t>https://track.loadshare.net/order/nedpnO3</t>
  </si>
  <si>
    <t>TMK7 | 5:31 PM | 1.3 KM</t>
  </si>
  <si>
    <t>QC_407-6017164-7126700</t>
  </si>
  <si>
    <t>https://track.loadshare.net/order/2vKJBM5</t>
  </si>
  <si>
    <t>TMK7 | 5:29 PM | 1.8 KM</t>
  </si>
  <si>
    <t>QC_406-8069836-2191500</t>
  </si>
  <si>
    <t>https://track.loadshare.net/order/MqNbBM7</t>
  </si>
  <si>
    <t>TMK7 | 5:29 PM | 1.6 KM</t>
  </si>
  <si>
    <t>QC_403-9093978-4272319</t>
  </si>
  <si>
    <t>https://track.loadshare.net/order/xadoxBV</t>
  </si>
  <si>
    <t>TMK7 | 5:29 PM | 0.7 KM</t>
  </si>
  <si>
    <t>QC_408-7739622-7476313</t>
  </si>
  <si>
    <t>https://track.loadshare.net/order/1YeJvo3</t>
  </si>
  <si>
    <t>TMK7 | 5:28 PM | 1.3 KM</t>
  </si>
  <si>
    <t>QC_171-7744431-3579531</t>
  </si>
  <si>
    <t>https://track.loadshare.net/order/DDMb5Dy</t>
  </si>
  <si>
    <t>TMK7 | 5:26 PM | 2.1 KM</t>
  </si>
  <si>
    <t>QC_405-8641566-4895502</t>
  </si>
  <si>
    <t>https://track.loadshare.net/order/mWd9nkm</t>
  </si>
  <si>
    <t>TMK7 | 5:23 PM | 1.5 KM</t>
  </si>
  <si>
    <t>QC_407-2630525-1549105</t>
  </si>
  <si>
    <t>https://track.loadshare.net/order/xado9Zl</t>
  </si>
  <si>
    <t>XXXXXX1047</t>
  </si>
  <si>
    <t>TMK7 | 5:22 PM | 3.7 KM</t>
  </si>
  <si>
    <t>DHEERAJ BIRAMANE</t>
  </si>
  <si>
    <t>QC_407-4931195-3038710</t>
  </si>
  <si>
    <t>https://track.loadshare.net/order/v0kZLWV</t>
  </si>
  <si>
    <t>TMK7 | 5:22 PM | 1.3 KM</t>
  </si>
  <si>
    <t>QC_408-6150111-7865147</t>
  </si>
  <si>
    <t>https://track.loadshare.net/order/nedpBll</t>
  </si>
  <si>
    <t>TMK7 | 5:21 PM | 0.2 KM</t>
  </si>
  <si>
    <t>QC_406-7548039-4273143</t>
  </si>
  <si>
    <t>https://track.loadshare.net/order/MqNbRKm</t>
  </si>
  <si>
    <t>TMK7 | 5:21 PM | 2.0 KM</t>
  </si>
  <si>
    <t>QC_407-1790427-6509945</t>
  </si>
  <si>
    <t>https://track.loadshare.net/order/Op0bXyd</t>
  </si>
  <si>
    <t>TMK7 | 5:20 PM | 1.9 KM</t>
  </si>
  <si>
    <t>QC_406-4120078-0953932</t>
  </si>
  <si>
    <t>https://track.loadshare.net/order/xadoGX0</t>
  </si>
  <si>
    <t>TMK7 | 5:20 PM | 4.0 KM</t>
  </si>
  <si>
    <t>QC_403-7330649-1787566</t>
  </si>
  <si>
    <t>https://track.loadshare.net/order/v0kZY4b</t>
  </si>
  <si>
    <t>TMK7 | 5:17 PM | 1.9 KM</t>
  </si>
  <si>
    <t>QC_405-3590608-4481109</t>
  </si>
  <si>
    <t>https://track.loadshare.net/order/g0dRY0R</t>
  </si>
  <si>
    <t>TMK7 | 5:16 PM | 3.7 KM</t>
  </si>
  <si>
    <t>QC_403-1151818-9643532</t>
  </si>
  <si>
    <t>https://track.loadshare.net/order/5bKJaax</t>
  </si>
  <si>
    <t>TMK7 | 5:14 PM | 0.6 KM</t>
  </si>
  <si>
    <t>QC_403-0944033-1743553</t>
  </si>
  <si>
    <t>https://track.loadshare.net/order/827JNk3</t>
  </si>
  <si>
    <t>TMK7 | 5:13 PM | 1.5 KM</t>
  </si>
  <si>
    <t>QC_407-1866490-8620306</t>
  </si>
  <si>
    <t>https://track.loadshare.net/order/d0dnkje</t>
  </si>
  <si>
    <t>TMK7 | 5:12 PM | 1.1 KM</t>
  </si>
  <si>
    <t>QC_402-5598268-9634704</t>
  </si>
  <si>
    <t>https://track.loadshare.net/order/3bKJo2d</t>
  </si>
  <si>
    <t>XXXXXX2579</t>
  </si>
  <si>
    <t>TMK7 | 5:10 PM | 2.1 KM</t>
  </si>
  <si>
    <t>SANA MANSURI</t>
  </si>
  <si>
    <t>QC_171-3600012-9660314</t>
  </si>
  <si>
    <t>https://track.loadshare.net/order/d0dnOlb</t>
  </si>
  <si>
    <t>TMK7 | 5:07 PM | 1.6 KM</t>
  </si>
  <si>
    <t>QC_405-2415330-0176342</t>
  </si>
  <si>
    <t>https://track.loadshare.net/order/d0dn1ee</t>
  </si>
  <si>
    <t>TMK7 | 5:07 PM | 3.0 KM</t>
  </si>
  <si>
    <t>QC_408-3514955-6422735</t>
  </si>
  <si>
    <t>https://track.loadshare.net/order/yqaBm7Z</t>
  </si>
  <si>
    <t>TMK7 | 5:06 PM | 0.8 KM</t>
  </si>
  <si>
    <t>QC_171-4068712-8070742</t>
  </si>
  <si>
    <t>https://track.loadshare.net/order/g0dRdLo</t>
  </si>
  <si>
    <t>TMK7 | 5:04 PM | 0.6 KM</t>
  </si>
  <si>
    <t>QC_407-6584438-2988321</t>
  </si>
  <si>
    <t>https://track.loadshare.net/order/4eAJO3K</t>
  </si>
  <si>
    <t>TMK7 | 5:01 PM | 2.4 KM</t>
  </si>
  <si>
    <t>QC_171-7490942-5948308</t>
  </si>
  <si>
    <t>https://track.loadshare.net/order/lAdwM4A</t>
  </si>
  <si>
    <t>TMK7 | 5:01 PM | 1.9 KM</t>
  </si>
  <si>
    <t>QC_402-4200295-4860335</t>
  </si>
  <si>
    <t>https://track.loadshare.net/order/WW0aa44</t>
  </si>
  <si>
    <t>TMK7 | 5:00 PM | 4.0 KM</t>
  </si>
  <si>
    <t>QC_406-9250594-0971540</t>
  </si>
  <si>
    <t>https://track.loadshare.net/order/d0dnn1d</t>
  </si>
  <si>
    <t>TMK7 | 5:00 PM | 0.7 KM</t>
  </si>
  <si>
    <t>QC_408-8061938-6031519</t>
  </si>
  <si>
    <t>https://track.loadshare.net/order/827JJ0b</t>
  </si>
  <si>
    <t>TMK7 | 4:59 PM | 1.1 KM</t>
  </si>
  <si>
    <t>QC_171-3024554-0378749</t>
  </si>
  <si>
    <t>https://track.loadshare.net/order/obdGGKM</t>
  </si>
  <si>
    <t>TMK7 | 4:59 PM | 2.0 KM</t>
  </si>
  <si>
    <t>QC_403-3516594-0023505</t>
  </si>
  <si>
    <t>https://track.loadshare.net/order/Op0bb34</t>
  </si>
  <si>
    <t>TMK7 | 4:55 PM | 2.2 KM</t>
  </si>
  <si>
    <t>QC_402-5505052-8154712</t>
  </si>
  <si>
    <t>https://track.loadshare.net/order/YW0wY3L</t>
  </si>
  <si>
    <t>TMK7 | 4:53 PM | 0.9 KM</t>
  </si>
  <si>
    <t>QC_408-9890015-0980343</t>
  </si>
  <si>
    <t>https://track.loadshare.net/order/wkjnZ1w</t>
  </si>
  <si>
    <t>TMK7 | 4:52 PM | 1.9 KM</t>
  </si>
  <si>
    <t>QC_171-3763259-0049912</t>
  </si>
  <si>
    <t>https://track.loadshare.net/order/aW0Mj7Q</t>
  </si>
  <si>
    <t>TMK7 | 4:51 PM | 2.0 KM</t>
  </si>
  <si>
    <t>QC_403-0768259-4400319</t>
  </si>
  <si>
    <t>https://track.loadshare.net/order/Op0bmK0</t>
  </si>
  <si>
    <t>TMK7 | 4:48 PM | 2.2 KM</t>
  </si>
  <si>
    <t>QC_406-3160713-7389169</t>
  </si>
  <si>
    <t>https://track.loadshare.net/order/A93JeV3</t>
  </si>
  <si>
    <t>TMK7 | 4:45 PM | 1.5 KM</t>
  </si>
  <si>
    <t>QC_403-3452205-0381106</t>
  </si>
  <si>
    <t>https://track.loadshare.net/order/pJ05wpo</t>
  </si>
  <si>
    <t>TMK7 | 4:45 PM | 1.9 KM</t>
  </si>
  <si>
    <t>QC_402-4961381-1332357</t>
  </si>
  <si>
    <t>https://track.loadshare.net/order/g0dRl8N</t>
  </si>
  <si>
    <t>TMK7 | 4:43 PM | 1.0 KM</t>
  </si>
  <si>
    <t>QC_405-7609753-8964355</t>
  </si>
  <si>
    <t>https://track.loadshare.net/order/LaXbRnp</t>
  </si>
  <si>
    <t>TMK7 | 4:43 PM | 1.4 KM</t>
  </si>
  <si>
    <t>QC_404-2901416-8793133</t>
  </si>
  <si>
    <t>https://track.loadshare.net/order/Rn9bYYZ</t>
  </si>
  <si>
    <t>TMK7 | 4:38 PM | 2.1 KM</t>
  </si>
  <si>
    <t>QC_405-4468805-4221164</t>
  </si>
  <si>
    <t>https://track.loadshare.net/order/aW0M5ak</t>
  </si>
  <si>
    <t>TMK7 | 4:35 PM | 2.2 KM</t>
  </si>
  <si>
    <t>QC_402-7139221-7268342</t>
  </si>
  <si>
    <t>https://track.loadshare.net/order/yqaBd5Z</t>
  </si>
  <si>
    <t>XXXXXX5636</t>
  </si>
  <si>
    <t>TMK7 | 4:35 PM | 2.8 KM</t>
  </si>
  <si>
    <t>Kunal dinesh rajawal</t>
  </si>
  <si>
    <t>QC_402-4227088-0024334</t>
  </si>
  <si>
    <t>https://track.loadshare.net/order/E9VbEq2</t>
  </si>
  <si>
    <t>TMK7 | 4:34 PM | 2.3 KM</t>
  </si>
  <si>
    <t>QC_406-6615310-5363500</t>
  </si>
  <si>
    <t>https://track.loadshare.net/order/729Jpb2</t>
  </si>
  <si>
    <t>TMK7 | 4:33 PM | 2.6 KM</t>
  </si>
  <si>
    <t>QC_406-1615582-3135537</t>
  </si>
  <si>
    <t>https://track.loadshare.net/order/WW0aYDn</t>
  </si>
  <si>
    <t>TMK7 | 4:32 PM | 1.5 KM</t>
  </si>
  <si>
    <t>QC_171-7383055-0244328</t>
  </si>
  <si>
    <t>https://track.loadshare.net/order/g0dREJN</t>
  </si>
  <si>
    <t>TMK7 | 4:30 PM | 2.1 KM</t>
  </si>
  <si>
    <t>QC_171-6650878-3968366</t>
  </si>
  <si>
    <t>https://track.loadshare.net/order/5bKJ2mE</t>
  </si>
  <si>
    <t>TMK7 | 4:29 PM | 1.6 KM</t>
  </si>
  <si>
    <t>QC_404-4599448-4393925</t>
  </si>
  <si>
    <t>https://track.loadshare.net/order/xadoJB4</t>
  </si>
  <si>
    <t>TMK7 | 4:28 PM | 2.1 KM</t>
  </si>
  <si>
    <t>QC_404-1871888-1651555</t>
  </si>
  <si>
    <t>https://track.loadshare.net/order/DDMbvZx</t>
  </si>
  <si>
    <t>TMK7 | 4:28 PM | 1.5 KM</t>
  </si>
  <si>
    <t>QC_404-2046141-5510712</t>
  </si>
  <si>
    <t>https://track.loadshare.net/order/YW0wZE5</t>
  </si>
  <si>
    <t>TMK7 | 4:27 PM | 0.9 KM</t>
  </si>
  <si>
    <t>QC_408-3911285-0007569</t>
  </si>
  <si>
    <t>https://track.loadshare.net/order/B5DJYka</t>
  </si>
  <si>
    <t>TMK7 | 4:26 PM | 1.0 KM</t>
  </si>
  <si>
    <t>QC_407-8174544-5505100</t>
  </si>
  <si>
    <t>https://track.loadshare.net/order/wkjnyoY</t>
  </si>
  <si>
    <t>TMK7 | 4:26 PM | 2.2 KM</t>
  </si>
  <si>
    <t>QC_408-6236082-0269124</t>
  </si>
  <si>
    <t>https://track.loadshare.net/order/LaXb70L</t>
  </si>
  <si>
    <t>TMK7 | 4:26 PM | 1.6 KM</t>
  </si>
  <si>
    <t>QC_404-6631761-8542725</t>
  </si>
  <si>
    <t>https://track.loadshare.net/order/QZ0exJj</t>
  </si>
  <si>
    <t>TMK7 | 4:26 PM | 1.3 KM</t>
  </si>
  <si>
    <t>QC_402-0753261-6697908</t>
  </si>
  <si>
    <t>https://track.loadshare.net/order/WW0abyn</t>
  </si>
  <si>
    <t>TMK7 | 4:24 PM | 2.2 KM</t>
  </si>
  <si>
    <t>QC_402-8491875-1921165</t>
  </si>
  <si>
    <t>https://track.loadshare.net/order/nedpwll</t>
  </si>
  <si>
    <t>TMK7 | 4:21 PM | 0.2 KM</t>
  </si>
  <si>
    <t>QC_171-5986923-2612339</t>
  </si>
  <si>
    <t>https://track.loadshare.net/order/aW0Mel8</t>
  </si>
  <si>
    <t>TMK7 | 4:21 PM | 2.1 KM</t>
  </si>
  <si>
    <t>QC_171-4105351-2815519</t>
  </si>
  <si>
    <t>https://track.loadshare.net/order/LaXbZEL</t>
  </si>
  <si>
    <t>TMK7 | 4:20 PM | 2.8 KM</t>
  </si>
  <si>
    <t>QC_407-7553470-6461104</t>
  </si>
  <si>
    <t>https://track.loadshare.net/order/B5DJX2g</t>
  </si>
  <si>
    <t>TMK7 | 4:20 PM | 0.5 KM</t>
  </si>
  <si>
    <t>QC_402-4856192-4717138</t>
  </si>
  <si>
    <t>https://track.loadshare.net/order/LaXbZDw</t>
  </si>
  <si>
    <t>TMK7 | 4:19 PM | 1.2 KM</t>
  </si>
  <si>
    <t>QC_404-5366440-2799508</t>
  </si>
  <si>
    <t>https://track.loadshare.net/order/g0dRAmW</t>
  </si>
  <si>
    <t>TMK7 | 4:17 PM | 1.2 KM</t>
  </si>
  <si>
    <t>QC_405-8926952-5526754</t>
  </si>
  <si>
    <t>https://track.loadshare.net/order/qbl3JRl</t>
  </si>
  <si>
    <t>TMK7 | 4:17 PM | 1.1 KM</t>
  </si>
  <si>
    <t>QC_403-0487374-6334763</t>
  </si>
  <si>
    <t>https://track.loadshare.net/order/d0dn9gE</t>
  </si>
  <si>
    <t>TMK7 | 4:17 PM | 1.9 KM</t>
  </si>
  <si>
    <t>QC_405-4280884-8267559</t>
  </si>
  <si>
    <t>https://track.loadshare.net/order/g0dRyk5</t>
  </si>
  <si>
    <t>TMK7 | 4:16 PM | 1.5 KM</t>
  </si>
  <si>
    <t>QC_403-8433723-2401934</t>
  </si>
  <si>
    <t>https://track.loadshare.net/order/QZ0eGEE</t>
  </si>
  <si>
    <t>XXXXXX9287</t>
  </si>
  <si>
    <t>TMK7 | 4:14 PM | 2.7 KM</t>
  </si>
  <si>
    <t>YUVRAJ CHAVAN</t>
  </si>
  <si>
    <t>QC_404-3986803-9883523</t>
  </si>
  <si>
    <t>https://track.loadshare.net/order/d0dnNg7</t>
  </si>
  <si>
    <t>TMK7 | 4:13 PM | 2.7 KM</t>
  </si>
  <si>
    <t>QC_403-5115202-9671512</t>
  </si>
  <si>
    <t>https://track.loadshare.net/order/aW0Mxjw</t>
  </si>
  <si>
    <t>TMK7 | 4:09 PM | 1.6 KM</t>
  </si>
  <si>
    <t>QC_406-6949938-4117129</t>
  </si>
  <si>
    <t>https://track.loadshare.net/order/5bKJYQL</t>
  </si>
  <si>
    <t>TMK7 | 4:08 PM | 1.4 KM</t>
  </si>
  <si>
    <t>QC_407-5169173-1111561</t>
  </si>
  <si>
    <t>https://track.loadshare.net/order/bx0V9dd</t>
  </si>
  <si>
    <t>TMK7 | 4:05 PM | 2.2 KM</t>
  </si>
  <si>
    <t>QC_171-7447233-0890763</t>
  </si>
  <si>
    <t>https://track.loadshare.net/order/wkjn1pX</t>
  </si>
  <si>
    <t>TMK7 | 4:05 PM | 1.8 KM</t>
  </si>
  <si>
    <t>QC_407-1169482-1510734</t>
  </si>
  <si>
    <t>https://track.loadshare.net/order/N5Qbg3p</t>
  </si>
  <si>
    <t>TMK7 | 4:03 PM | 0.4 KM</t>
  </si>
  <si>
    <t>QC_407-8774903-5701960</t>
  </si>
  <si>
    <t>https://track.loadshare.net/order/B5D9g3g</t>
  </si>
  <si>
    <t>TMK7 | 4:02 PM | 1.2 KM</t>
  </si>
  <si>
    <t>QC_171-5405507-3438763</t>
  </si>
  <si>
    <t>https://track.loadshare.net/order/yqap2R7</t>
  </si>
  <si>
    <t>XXXXXX5990</t>
  </si>
  <si>
    <t>TMK7 | 4:01 PM | 0.9 KM</t>
  </si>
  <si>
    <t>praveen gadade</t>
  </si>
  <si>
    <t>QC_407-2265580-4624343</t>
  </si>
  <si>
    <t>https://track.loadshare.net/order/WW05w5y</t>
  </si>
  <si>
    <t>TMK7 | 4:00 PM | 0.2 KM</t>
  </si>
  <si>
    <t>QC_404-5344065-3436336</t>
  </si>
  <si>
    <t>https://track.loadshare.net/order/E9V5MAM</t>
  </si>
  <si>
    <t>TMK7 | 4:00 PM | 2.0 KM</t>
  </si>
  <si>
    <t>QC_403-4672222-7137163</t>
  </si>
  <si>
    <t>https://track.loadshare.net/order/bx0vWGX</t>
  </si>
  <si>
    <t>TMK7 | 3:58 PM | 2.4 KM</t>
  </si>
  <si>
    <t>QC_406-8769498-9549100</t>
  </si>
  <si>
    <t>https://track.loadshare.net/order/N5QBNne</t>
  </si>
  <si>
    <t>TMK7 | 3:57 PM | 1.8 KM</t>
  </si>
  <si>
    <t>QC_171-4231628-8111562</t>
  </si>
  <si>
    <t>https://track.loadshare.net/order/lAdmXLY</t>
  </si>
  <si>
    <t>TMK7 | 3:55 PM | 1.3 KM</t>
  </si>
  <si>
    <t>QC_408-7849815-4417904</t>
  </si>
  <si>
    <t>https://track.loadshare.net/order/ZW0ma4G</t>
  </si>
  <si>
    <t>TMK7 | 3:52 PM | 2.9 KM</t>
  </si>
  <si>
    <t>QC_406-1367649-5459561</t>
  </si>
  <si>
    <t>https://track.loadshare.net/order/WW059La</t>
  </si>
  <si>
    <t>TMK7 | 3:51 PM | 0.8 KM</t>
  </si>
  <si>
    <t>QC_402-5336917-4548345</t>
  </si>
  <si>
    <t>https://track.loadshare.net/order/g0dpNeR</t>
  </si>
  <si>
    <t>TMK7 | 3:51 PM | 2.4 KM</t>
  </si>
  <si>
    <t>QC_406-6661477-2504334</t>
  </si>
  <si>
    <t>https://track.loadshare.net/order/729EkWm</t>
  </si>
  <si>
    <t>XXXXXX4131</t>
  </si>
  <si>
    <t>TMK7 | 3:50 PM | 2.2 KM</t>
  </si>
  <si>
    <t>RITESH RAJIWADE</t>
  </si>
  <si>
    <t>QC_406-7470424-9029153</t>
  </si>
  <si>
    <t>https://track.loadshare.net/order/YW0DG0q</t>
  </si>
  <si>
    <t>TMK7 | 3:48 PM | 1.3 KM</t>
  </si>
  <si>
    <t>QC_406-2157602-0699520</t>
  </si>
  <si>
    <t>https://track.loadshare.net/order/DDMGEWX</t>
  </si>
  <si>
    <t>TMK7 | 3:47 PM | 1.3 KM</t>
  </si>
  <si>
    <t>QC_171-9260445-6115544</t>
  </si>
  <si>
    <t>https://track.loadshare.net/order/eldw4GA</t>
  </si>
  <si>
    <t>TMK7 | 3:37 PM | 2.0 KM</t>
  </si>
  <si>
    <t>QC_405-5297092-7221938</t>
  </si>
  <si>
    <t>https://track.loadshare.net/order/DDMGKMX</t>
  </si>
  <si>
    <t>TMK7 | 3:34 PM | 1.0 KM</t>
  </si>
  <si>
    <t>QC_405-3042904-4606748</t>
  </si>
  <si>
    <t>https://track.loadshare.net/order/obdZXLl</t>
  </si>
  <si>
    <t>TMK7 | 3:34 PM | 1.8 KM</t>
  </si>
  <si>
    <t>QC_405-6115283-5475541</t>
  </si>
  <si>
    <t>https://track.loadshare.net/order/KgvZ1b2</t>
  </si>
  <si>
    <t>TMK7 | 3:32 PM | 1.4 KM</t>
  </si>
  <si>
    <t>QC_402-8878171-9121135</t>
  </si>
  <si>
    <t>https://track.loadshare.net/order/mWdMm2w</t>
  </si>
  <si>
    <t>TMK7 | 3:30 PM | 0.2 KM</t>
  </si>
  <si>
    <t>QC_403-8869633-4857909</t>
  </si>
  <si>
    <t>https://track.loadshare.net/order/eldwq1a</t>
  </si>
  <si>
    <t>XXXXXX2258</t>
  </si>
  <si>
    <t>TMK7 | 3:28 PM | 1.3 KM</t>
  </si>
  <si>
    <t>Ajinkya Bhadirge</t>
  </si>
  <si>
    <t>QC_171-4207777-2752320</t>
  </si>
  <si>
    <t>https://track.loadshare.net/order/aW0RKMk</t>
  </si>
  <si>
    <t>TMK7 | 3:27 PM | 1.3 KM</t>
  </si>
  <si>
    <t>QC_408-9825069-6443519</t>
  </si>
  <si>
    <t>https://track.loadshare.net/order/qbloD1n</t>
  </si>
  <si>
    <t>TMK7 | 3:22 PM | 1.7 KM</t>
  </si>
  <si>
    <t>QC_405-9927261-8217904</t>
  </si>
  <si>
    <t>https://track.loadshare.net/order/VY0GKdy</t>
  </si>
  <si>
    <t>TMK7 | 3:19 PM | 2.1 KM</t>
  </si>
  <si>
    <t>QC_402-1787511-9163537</t>
  </si>
  <si>
    <t>https://track.loadshare.net/order/4eAEoOA</t>
  </si>
  <si>
    <t>TMK7 | 3:18 PM | 1.4 KM</t>
  </si>
  <si>
    <t>QC_171-4345766-9845955</t>
  </si>
  <si>
    <t>https://track.loadshare.net/order/jxd3MxV</t>
  </si>
  <si>
    <t>TMK7 | 3:15 PM | 2.2 KM</t>
  </si>
  <si>
    <t>QC_407-7572009-8870711</t>
  </si>
  <si>
    <t>https://track.loadshare.net/order/1YeEM1v</t>
  </si>
  <si>
    <t>TMK7 | 3:14 PM | 1.3 KM</t>
  </si>
  <si>
    <t>QC_403-1526902-4633155</t>
  </si>
  <si>
    <t>https://track.loadshare.net/order/Xn03apQ</t>
  </si>
  <si>
    <t>TMK7 | 3:12 PM | 0.5 KM</t>
  </si>
  <si>
    <t>QC_405-9178621-9829934</t>
  </si>
  <si>
    <t>https://track.loadshare.net/order/JMRVnQR</t>
  </si>
  <si>
    <t>TMK7 | 3:11 PM | 2.7 KM</t>
  </si>
  <si>
    <t>QC_408-5617635-9509921</t>
  </si>
  <si>
    <t>https://track.loadshare.net/order/3bK1d20</t>
  </si>
  <si>
    <t>TMK7 | 3:09 PM | 1.3 KM</t>
  </si>
  <si>
    <t>QC_403-7930151-1185928</t>
  </si>
  <si>
    <t>https://track.loadshare.net/order/qblo8J7</t>
  </si>
  <si>
    <t>TMK7 | 3:06 PM | 0.8 KM</t>
  </si>
  <si>
    <t>QC_403-8805562-4390721</t>
  </si>
  <si>
    <t>https://track.loadshare.net/order/E9V5Ro3</t>
  </si>
  <si>
    <t>TMK7 | 3:05 PM | 1.2 KM</t>
  </si>
  <si>
    <t>QC_408-4945522-1102757</t>
  </si>
  <si>
    <t>https://track.loadshare.net/order/A93wOqW</t>
  </si>
  <si>
    <t>TMK7 | 3:05 PM | 2.0 KM</t>
  </si>
  <si>
    <t>QC_405-4910963-5564344</t>
  </si>
  <si>
    <t>https://track.loadshare.net/order/bx0vkAv</t>
  </si>
  <si>
    <t>TMK7 | 3:03 PM | 2.3 KM</t>
  </si>
  <si>
    <t>QC_407-2025848-5501914</t>
  </si>
  <si>
    <t>https://track.loadshare.net/order/mWdMaxk</t>
  </si>
  <si>
    <t>TMK7 | 2:56 PM | 0.7 KM</t>
  </si>
  <si>
    <t>QC_405-9038988-7979507</t>
  </si>
  <si>
    <t>https://track.loadshare.net/order/729E9o7</t>
  </si>
  <si>
    <t>TMK7 | 2:55 PM | 2.3 KM</t>
  </si>
  <si>
    <t>QC_402-5262297-0120305</t>
  </si>
  <si>
    <t>https://track.loadshare.net/order/kndDdOb</t>
  </si>
  <si>
    <t>TMK7 | 2:54 PM | 1.9 KM</t>
  </si>
  <si>
    <t>QC_406-3211449-1646760</t>
  </si>
  <si>
    <t>https://track.loadshare.net/order/E9V5Vy2</t>
  </si>
  <si>
    <t>TMK7 | 2:51 PM | 2.5 KM</t>
  </si>
  <si>
    <t>QC_404-9929539-2577155</t>
  </si>
  <si>
    <t>https://track.loadshare.net/order/5bKEOlx</t>
  </si>
  <si>
    <t>TMK7 | 2:51 PM | 2.2 KM</t>
  </si>
  <si>
    <t>QC_405-6468071-7545160</t>
  </si>
  <si>
    <t>https://track.loadshare.net/order/aW0RM3k</t>
  </si>
  <si>
    <t>QC_402-1617594-2429901</t>
  </si>
  <si>
    <t>https://track.loadshare.net/order/729EJVL</t>
  </si>
  <si>
    <t>TMK7 | 2:50 PM | 2.3 KM</t>
  </si>
  <si>
    <t>QC_403-3124240-6065913</t>
  </si>
  <si>
    <t>https://track.loadshare.net/order/Xn03qAQ</t>
  </si>
  <si>
    <t>TMK7 | 2:47 PM | 0.7 KM</t>
  </si>
  <si>
    <t>QC_405-5411953-4539537</t>
  </si>
  <si>
    <t>https://track.loadshare.net/order/nedVVDo</t>
  </si>
  <si>
    <t>TMK7 | 2:44 PM | 1.9 KM</t>
  </si>
  <si>
    <t>QC_404-0323280-7253122</t>
  </si>
  <si>
    <t>https://track.loadshare.net/order/A93wmDM</t>
  </si>
  <si>
    <t>XXXXXX6157</t>
  </si>
  <si>
    <t>TMK7 | 2:43 PM | 2.5 KM</t>
  </si>
  <si>
    <t>LAXMI SHANKAR JADHAV</t>
  </si>
  <si>
    <t>QC_171-4971054-6784339</t>
  </si>
  <si>
    <t>https://track.loadshare.net/order/3bK1xbJ</t>
  </si>
  <si>
    <t>TMK7 | 2:41 PM | 2.7 KM</t>
  </si>
  <si>
    <t>QC_408-5869508-7931511</t>
  </si>
  <si>
    <t>https://track.loadshare.net/order/0vKEA04</t>
  </si>
  <si>
    <t>TMK7 | 2:41 PM | 2.0 KM</t>
  </si>
  <si>
    <t>QC_171-7688511-4397114</t>
  </si>
  <si>
    <t>https://track.loadshare.net/order/wkjwQDD</t>
  </si>
  <si>
    <t>TMK7 | 2:38 PM | 1.1 KM</t>
  </si>
  <si>
    <t>QC_405-9003090-6869952</t>
  </si>
  <si>
    <t>https://track.loadshare.net/order/KgvZqaQ</t>
  </si>
  <si>
    <t>TMK7 | 2:35 PM | 2.3 KM</t>
  </si>
  <si>
    <t>QC_408-2342948-5585950</t>
  </si>
  <si>
    <t>https://track.loadshare.net/order/aW0RoZZ</t>
  </si>
  <si>
    <t>TMK7 | 2:33 PM | 1.1 KM</t>
  </si>
  <si>
    <t>QC_171-2429400-2073136</t>
  </si>
  <si>
    <t>https://track.loadshare.net/order/KgvZeBG</t>
  </si>
  <si>
    <t>TMK7 | 2:32 PM | 2.0 KM</t>
  </si>
  <si>
    <t>QC_405-2128751-9769958</t>
  </si>
  <si>
    <t>https://track.loadshare.net/order/E9V5Zy8</t>
  </si>
  <si>
    <t>TMK7 | 2:32 PM | 2.1 KM</t>
  </si>
  <si>
    <t>QC_404-3804288-7813916</t>
  </si>
  <si>
    <t>https://track.loadshare.net/order/DDMGgLL</t>
  </si>
  <si>
    <t>TMK7 | 2:32 PM | 1.8 KM</t>
  </si>
  <si>
    <t>QC_408-6251793-5151559</t>
  </si>
  <si>
    <t>https://track.loadshare.net/order/mWdM1An</t>
  </si>
  <si>
    <t>TMK7 | 2:32 PM | 2.3 KM</t>
  </si>
  <si>
    <t>QC_408-3927457-8956329</t>
  </si>
  <si>
    <t>https://track.loadshare.net/order/g0dp1Ke</t>
  </si>
  <si>
    <t>TMK7 | 2:30 PM | 1.4 KM</t>
  </si>
  <si>
    <t>QC_404-7616651-3113152</t>
  </si>
  <si>
    <t>https://track.loadshare.net/order/qbloaKl</t>
  </si>
  <si>
    <t>TMK7 | 2:29 PM | 0.8 KM</t>
  </si>
  <si>
    <t>QC_406-8995489-6609115</t>
  </si>
  <si>
    <t>https://track.loadshare.net/order/1YeEwWy</t>
  </si>
  <si>
    <t>TMK7 | 2:27 PM | 2.0 KM</t>
  </si>
  <si>
    <t>QC_408-7540804-7662713</t>
  </si>
  <si>
    <t>https://track.loadshare.net/order/qblo1yN</t>
  </si>
  <si>
    <t>TMK7 | 2:26 PM | 1.1 KM</t>
  </si>
  <si>
    <t>QC_403-1000008-7288354</t>
  </si>
  <si>
    <t>https://track.loadshare.net/order/LaXnjmy</t>
  </si>
  <si>
    <t>TMK7 | 2:23 PM | 2.1 KM</t>
  </si>
  <si>
    <t>QC_171-4309406-7817914</t>
  </si>
  <si>
    <t>https://track.loadshare.net/order/YW0DeEM</t>
  </si>
  <si>
    <t>TMK7 | 2:22 PM | 2.2 KM</t>
  </si>
  <si>
    <t>QC_405-6768669-5900311</t>
  </si>
  <si>
    <t>https://track.loadshare.net/order/1YeE5NK</t>
  </si>
  <si>
    <t>TMK7 | 2:22 PM | 1.9 KM</t>
  </si>
  <si>
    <t>QC_407-8073926-0868347</t>
  </si>
  <si>
    <t>https://track.loadshare.net/order/3bK1DAR</t>
  </si>
  <si>
    <t>TMK7 | 2:22 PM | 1.8 KM</t>
  </si>
  <si>
    <t>QC_404-9180469-1969122</t>
  </si>
  <si>
    <t>https://track.loadshare.net/order/pJ0ne8v</t>
  </si>
  <si>
    <t>TMK7 | 2:20 PM | 1.6 KM</t>
  </si>
  <si>
    <t>QC_408-9961390-7995555</t>
  </si>
  <si>
    <t>https://track.loadshare.net/order/QZ0aEAA</t>
  </si>
  <si>
    <t>TMK7 | 2:20 PM | 1.9 KM</t>
  </si>
  <si>
    <t>QC_408-7955870-6029146</t>
  </si>
  <si>
    <t>https://track.loadshare.net/order/3bK17B0</t>
  </si>
  <si>
    <t>TMK7 | 2:19 PM | 2.3 KM</t>
  </si>
  <si>
    <t>QC_405-3865656-8373119</t>
  </si>
  <si>
    <t>https://track.loadshare.net/order/MqNoY2X</t>
  </si>
  <si>
    <t>TMK7 | 2:17 PM | 0.5 KM</t>
  </si>
  <si>
    <t>QC_408-7995118-3589102</t>
  </si>
  <si>
    <t>https://track.loadshare.net/order/YW0DNBw</t>
  </si>
  <si>
    <t>TMK7 | 2:16 PM | 2.8 KM</t>
  </si>
  <si>
    <t>QC_408-3757620-9399507</t>
  </si>
  <si>
    <t>https://track.loadshare.net/order/2vKELpg</t>
  </si>
  <si>
    <t>TMK7 | 2:15 PM | 3.0 KM</t>
  </si>
  <si>
    <t>QC_402-0051146-5084326</t>
  </si>
  <si>
    <t>https://track.loadshare.net/order/KgvZBKM</t>
  </si>
  <si>
    <t>TMK7 | 2:14 PM | 0.4 KM</t>
  </si>
  <si>
    <t>QC_408-3738143-3454709</t>
  </si>
  <si>
    <t>https://track.loadshare.net/order/3bK1gw3</t>
  </si>
  <si>
    <t>TMK7 | 2:12 PM | 1.8 KM</t>
  </si>
  <si>
    <t>QC_407-5971964-1406710</t>
  </si>
  <si>
    <t>https://track.loadshare.net/order/nedVkyk</t>
  </si>
  <si>
    <t>TMK7 | 2:11 PM | 1.3 KM</t>
  </si>
  <si>
    <t>QC_408-1241081-9216335</t>
  </si>
  <si>
    <t>https://track.loadshare.net/order/B5D9BQG</t>
  </si>
  <si>
    <t>TMK7 | 2:10 PM | 2.9 KM</t>
  </si>
  <si>
    <t>QC_406-3558997-9299534</t>
  </si>
  <si>
    <t>https://track.loadshare.net/order/ZW0m7mn</t>
  </si>
  <si>
    <t>TMK7 | 2:10 PM | 1.3 KM</t>
  </si>
  <si>
    <t>QC_406-8281554-0155561</t>
  </si>
  <si>
    <t>https://track.loadshare.net/order/3bK1Yp4</t>
  </si>
  <si>
    <t>TMK7 | 2:09 PM | 2.2 KM</t>
  </si>
  <si>
    <t>QC_405-2863515-6769902</t>
  </si>
  <si>
    <t>https://track.loadshare.net/order/Rn9q5RG</t>
  </si>
  <si>
    <t>TMK7 | 2:08 PM | 0.8 KM</t>
  </si>
  <si>
    <t>QC_404-7140237-9369961</t>
  </si>
  <si>
    <t>https://track.loadshare.net/order/lAdmvdR</t>
  </si>
  <si>
    <t>TMK7 | 2:08 PM | 2.2 KM</t>
  </si>
  <si>
    <t>QC_406-9802658-0451534</t>
  </si>
  <si>
    <t>https://track.loadshare.net/order/KgvZXeM</t>
  </si>
  <si>
    <t>TMK7 | 2:06 PM | 1.3 KM</t>
  </si>
  <si>
    <t>QC_405-2323169-0200337</t>
  </si>
  <si>
    <t>https://track.loadshare.net/order/ZW0mWJG</t>
  </si>
  <si>
    <t>TMK7 | 2:05 PM | 0.8 KM</t>
  </si>
  <si>
    <t>QC_404-9536639-4402746</t>
  </si>
  <si>
    <t>https://track.loadshare.net/order/MqNoqeX</t>
  </si>
  <si>
    <t>TMK7 | 2:03 PM | 2.2 KM</t>
  </si>
  <si>
    <t>QC_403-7493776-4595526</t>
  </si>
  <si>
    <t>https://track.loadshare.net/order/aW0Ryo1</t>
  </si>
  <si>
    <t>TMK7 | 2:01 PM | 2.1 KM</t>
  </si>
  <si>
    <t>QC_404-2896748-3693904</t>
  </si>
  <si>
    <t>https://track.loadshare.net/order/A93wGJD</t>
  </si>
  <si>
    <t>TMK7 | 2:00 PM | 2.9 KM</t>
  </si>
  <si>
    <t>QC_406-0490595-3660364</t>
  </si>
  <si>
    <t>https://track.loadshare.net/order/wkjw1Z3</t>
  </si>
  <si>
    <t>TMK7 | 2:00 PM | 2.0 KM</t>
  </si>
  <si>
    <t>QC_407-9956809-7720339</t>
  </si>
  <si>
    <t>https://track.loadshare.net/order/pJ0n4k4</t>
  </si>
  <si>
    <t>TMK7 | 1:59 PM | 0.7 KM</t>
  </si>
  <si>
    <t>QC_408-7702025-2506704</t>
  </si>
  <si>
    <t>https://track.loadshare.net/order/MqNLAWX</t>
  </si>
  <si>
    <t>TMK7 | 1:59 PM | 1.3 KM</t>
  </si>
  <si>
    <t>QC_403-7273516-8007551</t>
  </si>
  <si>
    <t>https://track.loadshare.net/order/LaXALgb</t>
  </si>
  <si>
    <t>TMK7 | 1:58 PM | 0.4 KM</t>
  </si>
  <si>
    <t>QC_406-2296922-6435562</t>
  </si>
  <si>
    <t>https://track.loadshare.net/order/0vKxMEj</t>
  </si>
  <si>
    <t>TMK7 | 1:56 PM | 2.5 KM</t>
  </si>
  <si>
    <t>QC_402-5717840-7095558</t>
  </si>
  <si>
    <t>https://track.loadshare.net/order/eld0aZA</t>
  </si>
  <si>
    <t>TMK7 | 1:55 PM | 1.9 KM</t>
  </si>
  <si>
    <t>QC_404-5185577-0744346</t>
  </si>
  <si>
    <t>https://track.loadshare.net/order/3bKxeaX</t>
  </si>
  <si>
    <t>XXXXXX9267</t>
  </si>
  <si>
    <t>TMK7 | 1:55 PM | 3.0 KM</t>
  </si>
  <si>
    <t>LAXMAN AATHAWANE</t>
  </si>
  <si>
    <t>QC_406-3338348-7206717</t>
  </si>
  <si>
    <t>https://track.loadshare.net/order/Gx9BZyR</t>
  </si>
  <si>
    <t>TMK7 | 1:51 PM | 1.5 KM</t>
  </si>
  <si>
    <t>QC_403-8844109-8622735</t>
  </si>
  <si>
    <t>https://track.loadshare.net/order/E9VnKOo</t>
  </si>
  <si>
    <t>TMK7 | 1:50 PM | 1.3 KM</t>
  </si>
  <si>
    <t>QC_402-4662015-8757104</t>
  </si>
  <si>
    <t>https://track.loadshare.net/order/Rn9e8EA</t>
  </si>
  <si>
    <t>TMK7 | 1:50 PM | 2.6 KM</t>
  </si>
  <si>
    <t>QC_406-3707844-4001126</t>
  </si>
  <si>
    <t>https://track.loadshare.net/order/Gx9BEKb</t>
  </si>
  <si>
    <t>TMK7 | 1:50 PM | 2.7 KM</t>
  </si>
  <si>
    <t>QC_407-5568634-5327526</t>
  </si>
  <si>
    <t>https://track.loadshare.net/order/qbl5Odn</t>
  </si>
  <si>
    <t>TMK7 | 1:48 PM | 2.1 KM</t>
  </si>
  <si>
    <t>QC_408-3252579-5087557</t>
  </si>
  <si>
    <t>https://track.loadshare.net/order/g0dbNlK</t>
  </si>
  <si>
    <t>TMK7 | 1:48 PM | 2.4 KM</t>
  </si>
  <si>
    <t>QC_402-6562803-8837130</t>
  </si>
  <si>
    <t>https://track.loadshare.net/order/eld0vyw</t>
  </si>
  <si>
    <t>TMK7 | 1:46 PM | 2.1 KM</t>
  </si>
  <si>
    <t>QC_407-3078413-1184316</t>
  </si>
  <si>
    <t>https://track.loadshare.net/order/1Yex3OY</t>
  </si>
  <si>
    <t>TMK7 | 1:44 PM | 0.7 KM</t>
  </si>
  <si>
    <t>QC_405-2092101-9567509</t>
  </si>
  <si>
    <t>https://track.loadshare.net/order/1YexWQm</t>
  </si>
  <si>
    <t>TMK7 | 1:43 PM | 1.8 KM</t>
  </si>
  <si>
    <t>QC_405-4037721-1801143</t>
  </si>
  <si>
    <t>https://track.loadshare.net/order/v0kVjwb</t>
  </si>
  <si>
    <t>XXXXXX7965</t>
  </si>
  <si>
    <t>TMK7 | 1:43 PM | 2.4 KM</t>
  </si>
  <si>
    <t>VYANKATESH KATE</t>
  </si>
  <si>
    <t>QC_403-7866290-1457146</t>
  </si>
  <si>
    <t>https://track.loadshare.net/order/VY0Lpoa</t>
  </si>
  <si>
    <t>TMK7 | 1:43 PM | 2.3 KM</t>
  </si>
  <si>
    <t>QC_407-7599177-5673132</t>
  </si>
  <si>
    <t>https://track.loadshare.net/order/nedgKQd</t>
  </si>
  <si>
    <t>TMK7 | 1:41 PM | 1.2 KM</t>
  </si>
  <si>
    <t>QC_406-3640083-8430711</t>
  </si>
  <si>
    <t>https://track.loadshare.net/order/jxdWQBV</t>
  </si>
  <si>
    <t>TMK7 | 1:40 PM | 0.9 KM</t>
  </si>
  <si>
    <t>QC_405-5983774-2984346</t>
  </si>
  <si>
    <t>https://track.loadshare.net/order/4eAxDdK</t>
  </si>
  <si>
    <t>TMK7 | 1:39 PM | 2.2 KM</t>
  </si>
  <si>
    <t>QC_171-4060451-4469959</t>
  </si>
  <si>
    <t>https://track.loadshare.net/order/92KqnEx</t>
  </si>
  <si>
    <t>TMK7 | 1:38 PM | 1.6 KM</t>
  </si>
  <si>
    <t>QC_406-0481092-7133147</t>
  </si>
  <si>
    <t>https://track.loadshare.net/order/KgvLYaO</t>
  </si>
  <si>
    <t>TMK7 | 1:36 PM | 2.3 KM</t>
  </si>
  <si>
    <t>QC_402-4030613-5838729</t>
  </si>
  <si>
    <t>https://track.loadshare.net/order/KgvL1Vw</t>
  </si>
  <si>
    <t>TMK7 | 1:33 PM | 0.7 KM</t>
  </si>
  <si>
    <t>QC_407-8734396-1148361</t>
  </si>
  <si>
    <t>https://track.loadshare.net/order/1YexDGY</t>
  </si>
  <si>
    <t>TMK7 | 1:32 PM | 2.7 KM</t>
  </si>
  <si>
    <t>QC_406-6665822-2777908</t>
  </si>
  <si>
    <t>https://track.loadshare.net/order/d0dA2jp</t>
  </si>
  <si>
    <t>TMK7 | 1:31 PM | 2.0 KM</t>
  </si>
  <si>
    <t>QC_403-8982570-2840324</t>
  </si>
  <si>
    <t>https://track.loadshare.net/order/LaXAMm7</t>
  </si>
  <si>
    <t>TMK7 | 1:30 PM | 0.3 KM</t>
  </si>
  <si>
    <t>QC_407-5704996-7804337</t>
  </si>
  <si>
    <t>https://track.loadshare.net/order/3bKx9Aj</t>
  </si>
  <si>
    <t>TMK7 | 1:29 PM | 2.1 KM</t>
  </si>
  <si>
    <t>QC_406-3168877-9412302</t>
  </si>
  <si>
    <t>https://track.loadshare.net/order/d0dADJW</t>
  </si>
  <si>
    <t>TMK7 | 1:28 PM | 2.9 KM</t>
  </si>
  <si>
    <t>QC_403-5110832-3065917</t>
  </si>
  <si>
    <t>https://track.loadshare.net/order/lAd9Rd3</t>
  </si>
  <si>
    <t>TMK7 | 1:28 PM | 1.6 KM</t>
  </si>
  <si>
    <t>QC_171-7694800-7041104</t>
  </si>
  <si>
    <t>https://track.loadshare.net/order/bx0b5mG</t>
  </si>
  <si>
    <t>TMK7 | 1:27 PM | 2.4 KM</t>
  </si>
  <si>
    <t>QC_405-8443337-2925112</t>
  </si>
  <si>
    <t>https://track.loadshare.net/order/qbl54bL</t>
  </si>
  <si>
    <t>TMK7 | 1:26 PM | 1.0 KM</t>
  </si>
  <si>
    <t>QC_407-8351513-1114722</t>
  </si>
  <si>
    <t>https://track.loadshare.net/order/3bKxnvX</t>
  </si>
  <si>
    <t>-</t>
  </si>
  <si>
    <t>TMK7 | 1:26 PM | 0.4 KM</t>
  </si>
  <si>
    <t>CANCELLED</t>
  </si>
  <si>
    <t>QC_406-1676541-4890749</t>
  </si>
  <si>
    <t>https://track.loadshare.net/order/jxdWMV1</t>
  </si>
  <si>
    <t>TMK7 | 1:25 PM | 2.0 KM</t>
  </si>
  <si>
    <t>QC_403-5137133-8413961</t>
  </si>
  <si>
    <t>https://track.loadshare.net/order/3bKxn2d</t>
  </si>
  <si>
    <t>TMK7 | 1:25 PM | 2.5 KM</t>
  </si>
  <si>
    <t>QC_171-3021889-0637167</t>
  </si>
  <si>
    <t>https://track.loadshare.net/order/5bKeBMn</t>
  </si>
  <si>
    <t>TMK7 | 1:24 PM | 1.4 KM</t>
  </si>
  <si>
    <t>QC_403-3701388-0108316</t>
  </si>
  <si>
    <t>https://track.loadshare.net/order/92KqXZd</t>
  </si>
  <si>
    <t>TMK7 | 1:24 PM | 3.1 KM</t>
  </si>
  <si>
    <t>QC_404-8577950-4721934</t>
  </si>
  <si>
    <t>https://track.loadshare.net/order/DDMZOKg</t>
  </si>
  <si>
    <t>TMK7 | 1:23 PM | 0.9 KM</t>
  </si>
  <si>
    <t>QC_406-0942965-1266700</t>
  </si>
  <si>
    <t>https://track.loadshare.net/order/3bKxZOd</t>
  </si>
  <si>
    <t>TMK7 | 1:23 PM | 2.0 KM</t>
  </si>
  <si>
    <t>QC_403-4233651-7531538</t>
  </si>
  <si>
    <t>https://track.loadshare.net/order/Rn9eOWx</t>
  </si>
  <si>
    <t>TMK7 | 1:23 PM | 1.2 KM</t>
  </si>
  <si>
    <t>QC_402-8013065-3411504</t>
  </si>
  <si>
    <t>https://track.loadshare.net/order/WW0LOYw</t>
  </si>
  <si>
    <t>TMK7 | 1:23 PM | 1.5 KM</t>
  </si>
  <si>
    <t>QC_171-7261214-3150724</t>
  </si>
  <si>
    <t>https://track.loadshare.net/order/Op0Ljx7</t>
  </si>
  <si>
    <t>TMK7 | 1:21 PM | 0.5 KM</t>
  </si>
  <si>
    <t>QC_404-4411067-2761932</t>
  </si>
  <si>
    <t>https://track.loadshare.net/order/Op0LXGl</t>
  </si>
  <si>
    <t>TMK7 | 1:18 PM | 1.2 KM</t>
  </si>
  <si>
    <t>QC_407-6990059-6476319</t>
  </si>
  <si>
    <t>https://track.loadshare.net/order/YW0YXxa</t>
  </si>
  <si>
    <t>TMK7 | 1:18 PM | 2.0 KM</t>
  </si>
  <si>
    <t>QC_408-5756916-6527546</t>
  </si>
  <si>
    <t>https://track.loadshare.net/order/qbl58bv</t>
  </si>
  <si>
    <t>TMK7 | 1:18 PM | 0.8 KM</t>
  </si>
  <si>
    <t>QC_403-7542235-4787544</t>
  </si>
  <si>
    <t>https://track.loadshare.net/order/qbl5875</t>
  </si>
  <si>
    <t>TMK7 | 1:17 PM | 1.1 KM</t>
  </si>
  <si>
    <t>QC_171-2271750-4381138</t>
  </si>
  <si>
    <t>https://track.loadshare.net/order/QZ0LgOj</t>
  </si>
  <si>
    <t>TMK7 | 1:15 PM | 0.2 KM</t>
  </si>
  <si>
    <t>QC_404-6997146-6262761</t>
  </si>
  <si>
    <t>https://track.loadshare.net/order/yqaoZ00</t>
  </si>
  <si>
    <t>TMK7 | 1:15 PM | 2.4 KM</t>
  </si>
  <si>
    <t>QC_402-6057509-0869163</t>
  </si>
  <si>
    <t>https://track.loadshare.net/order/pJ0GgQv</t>
  </si>
  <si>
    <t>TMK7 | 1:15 PM | 1.4 KM</t>
  </si>
  <si>
    <t>QC_407-4605673-8468353</t>
  </si>
  <si>
    <t>https://track.loadshare.net/order/E9Vnl88</t>
  </si>
  <si>
    <t>TMK7 | 1:13 PM | 1.3 KM</t>
  </si>
  <si>
    <t>QC_405-5032864-2937157</t>
  </si>
  <si>
    <t>https://track.loadshare.net/order/LaXA0y7</t>
  </si>
  <si>
    <t>TMK7 | 1:11 PM | 1.0 KM</t>
  </si>
  <si>
    <t>QC_408-7957439-8241902</t>
  </si>
  <si>
    <t>https://track.loadshare.net/order/0vKx420</t>
  </si>
  <si>
    <t>TMK7 | 1:10 PM | 3.1 KM</t>
  </si>
  <si>
    <t>QC_404-5399598-6864358</t>
  </si>
  <si>
    <t>https://track.loadshare.net/order/YW0Y4da</t>
  </si>
  <si>
    <t>TMK7 | 1:10 PM | 2.3 KM</t>
  </si>
  <si>
    <t>QC_408-5251170-5132324</t>
  </si>
  <si>
    <t>https://track.loadshare.net/order/g0dbJB5</t>
  </si>
  <si>
    <t>TMK7 | 1:10 PM | 1.9 KM</t>
  </si>
  <si>
    <t>QC_405-8622874-1149141</t>
  </si>
  <si>
    <t>https://track.loadshare.net/order/3bKxGKR</t>
  </si>
  <si>
    <t>TMK7 | 1:09 PM | 0.4 KM</t>
  </si>
  <si>
    <t>QC_404-5124287-5375531</t>
  </si>
  <si>
    <t>https://track.loadshare.net/order/v0kV58B</t>
  </si>
  <si>
    <t>TMK7 | 1:09 PM | 1.1 KM</t>
  </si>
  <si>
    <t>QC_402-6115443-8658718</t>
  </si>
  <si>
    <t>https://track.loadshare.net/order/5bKe3Gx</t>
  </si>
  <si>
    <t>TMK7 | 1:09 PM | 1.6 KM</t>
  </si>
  <si>
    <t>QC_404-6346974-6077138</t>
  </si>
  <si>
    <t>https://track.loadshare.net/order/Xn0L0mE</t>
  </si>
  <si>
    <t>TMK7 | 1:08 PM | 1.4 KM</t>
  </si>
  <si>
    <t>QC_408-8348789-1923552</t>
  </si>
  <si>
    <t>https://track.loadshare.net/order/B5DMDn0</t>
  </si>
  <si>
    <t>TMK7 | 1:07 PM | 1.4 KM</t>
  </si>
  <si>
    <t>QC_407-2907919-2622729</t>
  </si>
  <si>
    <t>https://track.loadshare.net/order/yqaoaMR</t>
  </si>
  <si>
    <t>TMK7 | 1:06 PM | 0.7 KM</t>
  </si>
  <si>
    <t>QC_407-0524613-5141942</t>
  </si>
  <si>
    <t>https://track.loadshare.net/order/4eAxOD4</t>
  </si>
  <si>
    <t>TMK7 | 1:04 PM | 1.8 KM</t>
  </si>
  <si>
    <t>QC_404-1271188-5107520</t>
  </si>
  <si>
    <t>https://track.loadshare.net/order/5bKeJd4</t>
  </si>
  <si>
    <t>TMK7 | 1:03 PM | 1.4 KM</t>
  </si>
  <si>
    <t>QC_404-5433310-3751568</t>
  </si>
  <si>
    <t>https://track.loadshare.net/order/qbl53E5</t>
  </si>
  <si>
    <t>TMK7 | 1:01 PM | 3.7 KM</t>
  </si>
  <si>
    <t>QC_406-9457977-8498722</t>
  </si>
  <si>
    <t>https://track.loadshare.net/order/nedgVg3</t>
  </si>
  <si>
    <t>TMK7 | 1:00 PM | 2.3 KM</t>
  </si>
  <si>
    <t>QC_404-4808131-2021913</t>
  </si>
  <si>
    <t>https://track.loadshare.net/order/Rn9eqnm</t>
  </si>
  <si>
    <t>TMK7 | 12:59 PM | 1.2 KM</t>
  </si>
  <si>
    <t>QC_171-4497216-7296314</t>
  </si>
  <si>
    <t>https://track.loadshare.net/order/LaXAA9b</t>
  </si>
  <si>
    <t>TMK7 | 12:59 PM | 2.8 KM</t>
  </si>
  <si>
    <t>QC_404-1016593-1120301</t>
  </si>
  <si>
    <t>https://track.loadshare.net/order/DDMZZbg</t>
  </si>
  <si>
    <t>TMK7 | 12:58 PM | 2.0 KM</t>
  </si>
  <si>
    <t>QC_403-8817086-6384340</t>
  </si>
  <si>
    <t>https://track.loadshare.net/order/VY0LLYb</t>
  </si>
  <si>
    <t>QC_407-2252184-2551519</t>
  </si>
  <si>
    <t>https://track.loadshare.net/order/LaXA5My</t>
  </si>
  <si>
    <t>TMK7 | 12:57 PM | 0.2 KM</t>
  </si>
  <si>
    <t>QC_407-9036159-2186702</t>
  </si>
  <si>
    <t>https://track.loadshare.net/order/MqNL3Bm</t>
  </si>
  <si>
    <t>TMK7 | 12:56 PM | 1.3 KM</t>
  </si>
  <si>
    <t>QC_402-7352035-7548332</t>
  </si>
  <si>
    <t>https://track.loadshare.net/order/729xq1L</t>
  </si>
  <si>
    <t>TMK7 | 12:56 PM | 0.3 KM</t>
  </si>
  <si>
    <t>QC_403-2026337-9169161</t>
  </si>
  <si>
    <t>https://track.loadshare.net/order/A93meRY</t>
  </si>
  <si>
    <t>TMK7 | 12:55 PM | 1.2 KM</t>
  </si>
  <si>
    <t>QC_402-0117017-8502713</t>
  </si>
  <si>
    <t>https://track.loadshare.net/order/VY0LZQZ</t>
  </si>
  <si>
    <t>TMK7 | 12:54 PM | 2.3 KM</t>
  </si>
  <si>
    <t>QC_403-3848180-9029156</t>
  </si>
  <si>
    <t>https://track.loadshare.net/order/lAd9pll</t>
  </si>
  <si>
    <t>TMK7 | 12:54 PM | 1.2 KM</t>
  </si>
  <si>
    <t>QC_403-2079914-8641943</t>
  </si>
  <si>
    <t>https://track.loadshare.net/order/pJ0GDJv</t>
  </si>
  <si>
    <t>TMK7 | 12:53 PM | 2.0 KM</t>
  </si>
  <si>
    <t>QC_404-1492255-1762724</t>
  </si>
  <si>
    <t>https://track.loadshare.net/order/JMRL9RR</t>
  </si>
  <si>
    <t>TMK7 | 12:50 PM | 3.5 KM</t>
  </si>
  <si>
    <t>QC_408-6028522-0496349</t>
  </si>
  <si>
    <t>https://track.loadshare.net/order/jxdW73V</t>
  </si>
  <si>
    <t>TMK7 | 12:50 PM | 0.4 KM</t>
  </si>
  <si>
    <t>QC_402-9702384-9393960</t>
  </si>
  <si>
    <t>https://track.loadshare.net/order/bx0b1yW</t>
  </si>
  <si>
    <t>TMK7 | 12:50 PM | 2.8 KM</t>
  </si>
  <si>
    <t>QC_407-5840128-3461900</t>
  </si>
  <si>
    <t>https://track.loadshare.net/order/d0dAW9M</t>
  </si>
  <si>
    <t>TMK7 | 12:49 PM | 2.0 KM</t>
  </si>
  <si>
    <t>QC_408-6523526-1899532</t>
  </si>
  <si>
    <t>https://track.loadshare.net/order/yqaoDYk</t>
  </si>
  <si>
    <t>TMK7 | 12:48 PM | 2.1 KM</t>
  </si>
  <si>
    <t>QC_404-3682914-4075561</t>
  </si>
  <si>
    <t>https://track.loadshare.net/order/729xAgp</t>
  </si>
  <si>
    <t>TMK7 | 12:48 PM | 3.3 KM</t>
  </si>
  <si>
    <t>QC_171-0239955-3389976</t>
  </si>
  <si>
    <t>https://track.loadshare.net/order/4eAxyRa</t>
  </si>
  <si>
    <t>TMK7 | 12:47 PM | 1.1 KM</t>
  </si>
  <si>
    <t>QC_171-9556495-8613927</t>
  </si>
  <si>
    <t>https://track.loadshare.net/order/5bKe5dE</t>
  </si>
  <si>
    <t>TMK7 | 12:46 PM | 1.2 KM</t>
  </si>
  <si>
    <t>QC_404-3323604-1475558</t>
  </si>
  <si>
    <t>https://track.loadshare.net/order/wkjZvQD</t>
  </si>
  <si>
    <t>QC_402-1285047-9571567</t>
  </si>
  <si>
    <t>https://track.loadshare.net/order/lAd97ll</t>
  </si>
  <si>
    <t>TMK7 | 12:45 PM | 1.0 KM</t>
  </si>
  <si>
    <t>QC_403-2382386-1410737</t>
  </si>
  <si>
    <t>https://track.loadshare.net/order/92KqM4M</t>
  </si>
  <si>
    <t>TMK7 | 12:45 PM | 1.7 KM</t>
  </si>
  <si>
    <t>QC_406-1331357-0688353</t>
  </si>
  <si>
    <t>https://track.loadshare.net/order/xadnm74</t>
  </si>
  <si>
    <t>TMK7 | 12:44 PM | 2.1 KM</t>
  </si>
  <si>
    <t>QC_406-9161602-8923524</t>
  </si>
  <si>
    <t>https://track.loadshare.net/order/wkjZDnm</t>
  </si>
  <si>
    <t>TMK7 | 12:44 PM | 2.6 KM</t>
  </si>
  <si>
    <t>QC_404-4238472-8940362</t>
  </si>
  <si>
    <t>https://track.loadshare.net/order/Rn9eXqZ</t>
  </si>
  <si>
    <t>TMK7 | 12:44 PM | 3.6 KM</t>
  </si>
  <si>
    <t>QC_408-6800025-3741136</t>
  </si>
  <si>
    <t>https://track.loadshare.net/order/MqNLEQX</t>
  </si>
  <si>
    <t>TMK7 | 12:44 PM | 2.4 KM</t>
  </si>
  <si>
    <t>QC_403-6646496-9501910</t>
  </si>
  <si>
    <t>https://track.loadshare.net/order/pJ0Gqj3</t>
  </si>
  <si>
    <t>TMK7 | 12:43 PM | 3.1 KM</t>
  </si>
  <si>
    <t>QC_171-8696986-5247556</t>
  </si>
  <si>
    <t>https://track.loadshare.net/order/WW0LY9b</t>
  </si>
  <si>
    <t>TMK7 | 12:42 PM | 1.6 KM</t>
  </si>
  <si>
    <t>QC_171-0442725-0455509</t>
  </si>
  <si>
    <t>https://track.loadshare.net/order/MqNLnNQ</t>
  </si>
  <si>
    <t>TMK7 | 12:41 PM | 2.2 KM</t>
  </si>
  <si>
    <t>QC_404-4659799-7911512</t>
  </si>
  <si>
    <t>https://track.loadshare.net/order/aW09Eyw</t>
  </si>
  <si>
    <t>TMK7 | 12:41 PM | 1.2 KM</t>
  </si>
  <si>
    <t>QC_402-7793201-4125916</t>
  </si>
  <si>
    <t>https://track.loadshare.net/order/QZ0LEk2</t>
  </si>
  <si>
    <t>TMK7 | 12:41 PM | 2.3 KM</t>
  </si>
  <si>
    <t>QC_404-9221752-4025906</t>
  </si>
  <si>
    <t>https://track.loadshare.net/order/qbl5EeM</t>
  </si>
  <si>
    <t>TMK7 | 12:40 PM | 2.4 KM</t>
  </si>
  <si>
    <t>QC_402-4339391-9576344</t>
  </si>
  <si>
    <t>https://track.loadshare.net/order/3bKx7O3</t>
  </si>
  <si>
    <t>TMK7 | 12:40 PM | 1.8 KM</t>
  </si>
  <si>
    <t>QC_404-8783387-7950725</t>
  </si>
  <si>
    <t>https://track.loadshare.net/order/E9Vnvv2</t>
  </si>
  <si>
    <t>TMK7 | 12:37 PM | 2.0 KM</t>
  </si>
  <si>
    <t>QC_406-7850981-6381162</t>
  </si>
  <si>
    <t>https://track.loadshare.net/order/jxdWelp</t>
  </si>
  <si>
    <t>TMK7 | 12:37 PM | 1.9 KM</t>
  </si>
  <si>
    <t>QC_404-9269458-1418704</t>
  </si>
  <si>
    <t>https://track.loadshare.net/order/Op0LoY7</t>
  </si>
  <si>
    <t>TMK7 | 12:37 PM | 2.4 KM</t>
  </si>
  <si>
    <t>QC_405-0208255-0661134</t>
  </si>
  <si>
    <t>https://track.loadshare.net/order/d0dAlJd</t>
  </si>
  <si>
    <t>TMK7 | 12:36 PM | 3.8 KM</t>
  </si>
  <si>
    <t>QC_408-0987141-2897924</t>
  </si>
  <si>
    <t>https://track.loadshare.net/order/2vKxLg5</t>
  </si>
  <si>
    <t>TMK7 | 12:36 PM | 2.4 KM</t>
  </si>
  <si>
    <t>QC_403-1063702-7929111</t>
  </si>
  <si>
    <t>https://track.loadshare.net/order/KgvLB5w</t>
  </si>
  <si>
    <t>TMK7 | 12:35 PM | 1.1 KM</t>
  </si>
  <si>
    <t>QC_402-9990847-5413902</t>
  </si>
  <si>
    <t>https://track.loadshare.net/order/qbl5kEv</t>
  </si>
  <si>
    <t>TMK7 | 12:34 PM | 2.1 KM</t>
  </si>
  <si>
    <t>QC_403-3128632-5191547</t>
  </si>
  <si>
    <t>https://track.loadshare.net/order/1Yexq88</t>
  </si>
  <si>
    <t>TMK7 | 12:33 PM | 2.1 KM</t>
  </si>
  <si>
    <t>QC_171-5103447-9895520</t>
  </si>
  <si>
    <t>https://track.loadshare.net/order/qbl5ybv</t>
  </si>
  <si>
    <t>TMK7 | 12:33 PM | 2.3 KM</t>
  </si>
  <si>
    <t>QC_404-7272910-6881105</t>
  </si>
  <si>
    <t>https://track.loadshare.net/order/ZW0b7YO</t>
  </si>
  <si>
    <t>TMK7 | 12:32 PM | 2.2 KM</t>
  </si>
  <si>
    <t>QC_407-2438741-8623545</t>
  </si>
  <si>
    <t>https://track.loadshare.net/order/g0dby3K</t>
  </si>
  <si>
    <t>TMK7 | 12:30 PM | 1.8 KM</t>
  </si>
  <si>
    <t>QC_408-2709755-3310721</t>
  </si>
  <si>
    <t>https://track.loadshare.net/order/827aLjg</t>
  </si>
  <si>
    <t>TMK7 | 12:30 PM | 1.6 KM</t>
  </si>
  <si>
    <t>QC_403-5358364-5653122</t>
  </si>
  <si>
    <t>https://track.loadshare.net/order/B5DMVM0</t>
  </si>
  <si>
    <t>TMK7 | 12:29 PM | 1.1 KM</t>
  </si>
  <si>
    <t>QC_171-6629627-4325117</t>
  </si>
  <si>
    <t>https://track.loadshare.net/order/DDMZl72</t>
  </si>
  <si>
    <t>TMK7 | 12:25 PM | 2.4 KM</t>
  </si>
  <si>
    <t>QC_405-1067594-2281957</t>
  </si>
  <si>
    <t>https://track.loadshare.net/order/Gx9B38W</t>
  </si>
  <si>
    <t>TMK7 | 12:22 PM | 2.0 KM</t>
  </si>
  <si>
    <t>QC_404-8013646-8181161</t>
  </si>
  <si>
    <t>https://track.loadshare.net/order/VY0jawA</t>
  </si>
  <si>
    <t>TMK7 | 12:22 PM | 2.8 KM</t>
  </si>
  <si>
    <t>QC_171-7540347-7775539</t>
  </si>
  <si>
    <t>https://track.loadshare.net/order/YW0j5yN</t>
  </si>
  <si>
    <t>TMK7 | 12:21 PM | 1.6 KM</t>
  </si>
  <si>
    <t>QC_408-2511255-5301146</t>
  </si>
  <si>
    <t>https://track.loadshare.net/order/0vKAMxn</t>
  </si>
  <si>
    <t>TMK7 | 12:19 PM | 2.1 KM</t>
  </si>
  <si>
    <t>QC_406-0119314-7081920</t>
  </si>
  <si>
    <t>https://track.loadshare.net/order/xad4Ng4</t>
  </si>
  <si>
    <t>TMK7 | 12:16 PM | 1.1 KM</t>
  </si>
  <si>
    <t>QC_171-0749605-9985921</t>
  </si>
  <si>
    <t>https://track.loadshare.net/order/g0dqnxR</t>
  </si>
  <si>
    <t>TMK7 | 12:16 PM | 2.1 KM</t>
  </si>
  <si>
    <t>QC_404-9192365-9065969</t>
  </si>
  <si>
    <t>https://track.loadshare.net/order/obdmEBX</t>
  </si>
  <si>
    <t>TMK7 | 12:14 PM | 1.0 KM</t>
  </si>
  <si>
    <t>QC_402-8513459-7741952</t>
  </si>
  <si>
    <t>https://track.loadshare.net/order/YW0jpoq</t>
  </si>
  <si>
    <t>TMK7 | 12:14 PM | 2.6 KM</t>
  </si>
  <si>
    <t>QC_404-5702820-2225152</t>
  </si>
  <si>
    <t>https://track.loadshare.net/order/pJ0Mx7l</t>
  </si>
  <si>
    <t>TMK7 | 12:14 PM | 1.8 KM</t>
  </si>
  <si>
    <t>QC_171-0308042-0962767</t>
  </si>
  <si>
    <t>https://track.loadshare.net/order/kndGLxw</t>
  </si>
  <si>
    <t>TMK7 | 12:11 PM | 2.2 KM</t>
  </si>
  <si>
    <t>QC_407-6083921-7012338</t>
  </si>
  <si>
    <t>https://track.loadshare.net/order/wkjQqRm</t>
  </si>
  <si>
    <t>TMK7 | 12:11 PM | 2.3 KM</t>
  </si>
  <si>
    <t>QC_171-7279450-6652301</t>
  </si>
  <si>
    <t>https://track.loadshare.net/order/1YeQ3xE</t>
  </si>
  <si>
    <t>TMK7 | 12:10 PM | 2.3 KM</t>
  </si>
  <si>
    <t>QC_403-2007354-1398761</t>
  </si>
  <si>
    <t>https://track.loadshare.net/order/wkjQapw</t>
  </si>
  <si>
    <t>TMK7 | 12:06 PM | 1.5 KM</t>
  </si>
  <si>
    <t>QC_405-1337071-4241942</t>
  </si>
  <si>
    <t>https://track.loadshare.net/order/pJ0Md7l</t>
  </si>
  <si>
    <t>TMK7 | 12:04 PM | 2.4 KM</t>
  </si>
  <si>
    <t>QC_405-8828834-7152340</t>
  </si>
  <si>
    <t>https://track.loadshare.net/order/eldjDNw</t>
  </si>
  <si>
    <t>TMK7 | 12:04 PM | 1.0 KM</t>
  </si>
  <si>
    <t>QC_403-3187937-3802767</t>
  </si>
  <si>
    <t>https://track.loadshare.net/order/4eA729W</t>
  </si>
  <si>
    <t>TMK7 | 12:03 PM | 0.7 KM</t>
  </si>
  <si>
    <t>QC_402-7849994-1429156</t>
  </si>
  <si>
    <t>https://track.loadshare.net/order/pJ0MNoE</t>
  </si>
  <si>
    <t>TMK7 | 12:02 PM | 1.3 KM</t>
  </si>
  <si>
    <t>QC_171-0968566-4285159</t>
  </si>
  <si>
    <t>https://track.loadshare.net/order/QZ0VooV</t>
  </si>
  <si>
    <t>TMK7 | 12:00 PM | 3.6 KM</t>
  </si>
  <si>
    <t>QC_406-7272730-8415504</t>
  </si>
  <si>
    <t>https://track.loadshare.net/order/mWd3pAd</t>
  </si>
  <si>
    <t>XXXXXX8779</t>
  </si>
  <si>
    <t>TMK7 | 12:00 PM | 2.7 KM</t>
  </si>
  <si>
    <t>ishwar shirke</t>
  </si>
  <si>
    <t>QC_404-9046429-3609910</t>
  </si>
  <si>
    <t>https://track.loadshare.net/order/bx0jAG4</t>
  </si>
  <si>
    <t>TMK7 | 11:59 AM | 2.6 KM</t>
  </si>
  <si>
    <t>QC_406-1965069-3230741</t>
  </si>
  <si>
    <t>https://track.loadshare.net/order/yqa1Rmk</t>
  </si>
  <si>
    <t>TMK7 | 11:59 AM | 2.0 KM</t>
  </si>
  <si>
    <t>QC_171-4468100-2242722</t>
  </si>
  <si>
    <t>https://track.loadshare.net/order/4eA7V49</t>
  </si>
  <si>
    <t>TMK7 | 11:58 AM | 0.2 KM</t>
  </si>
  <si>
    <t>QC_404-5082238-3573153</t>
  </si>
  <si>
    <t>https://track.loadshare.net/order/5bK9Zyn</t>
  </si>
  <si>
    <t>TMK7 | 11:58 AM | 1.4 KM</t>
  </si>
  <si>
    <t>QC_404-9032147-7747553</t>
  </si>
  <si>
    <t>https://track.loadshare.net/order/KgvGwa9</t>
  </si>
  <si>
    <t>TMK7 | 11:57 AM | 2.5 KM</t>
  </si>
  <si>
    <t>QC_408-6927049-0126735</t>
  </si>
  <si>
    <t>https://track.loadshare.net/order/E9VBg1o</t>
  </si>
  <si>
    <t>TMK7 | 11:57 AM | 0.1 KM</t>
  </si>
  <si>
    <t>QC_408-5467860-6505929</t>
  </si>
  <si>
    <t>https://track.loadshare.net/order/nedDnOd</t>
  </si>
  <si>
    <t>TMK7 | 11:56 AM | 1.4 KM</t>
  </si>
  <si>
    <t>QC_171-6381395-2387531</t>
  </si>
  <si>
    <t>https://track.loadshare.net/order/4eA7Q3x</t>
  </si>
  <si>
    <t>TMK7 | 11:54 AM | 1.3 KM</t>
  </si>
  <si>
    <t>QC_408-8337321-6328351</t>
  </si>
  <si>
    <t>https://track.loadshare.net/order/2vKQX47</t>
  </si>
  <si>
    <t>TMK7 | 11:53 AM | 0.4 KM</t>
  </si>
  <si>
    <t>QC_402-6880754-3324356</t>
  </si>
  <si>
    <t>https://track.loadshare.net/order/g0dq3D9</t>
  </si>
  <si>
    <t>TMK7 | 11:53 AM | 1.1 KM</t>
  </si>
  <si>
    <t>QC_407-4230822-5270712</t>
  </si>
  <si>
    <t>https://track.loadshare.net/order/WW0jdnE</t>
  </si>
  <si>
    <t>TMK7 | 11:52 AM | 0.4 KM</t>
  </si>
  <si>
    <t>QC_406-4947099-6249945</t>
  </si>
  <si>
    <t>https://track.loadshare.net/order/wkjQ9x3</t>
  </si>
  <si>
    <t>QC_402-6295430-8932353</t>
  </si>
  <si>
    <t>https://track.loadshare.net/order/Op0mjO0</t>
  </si>
  <si>
    <t>TMK7 | 11:50 AM | 2.0 KM</t>
  </si>
  <si>
    <t>QC_406-7561552-1465962</t>
  </si>
  <si>
    <t>https://track.loadshare.net/order/827wvRn</t>
  </si>
  <si>
    <t>TMK7 | 11:50 AM | 0.6 KM</t>
  </si>
  <si>
    <t>QC_408-3294543-6349913</t>
  </si>
  <si>
    <t>https://track.loadshare.net/order/QZ0VQyY</t>
  </si>
  <si>
    <t>TMK7 | 11:49 AM | 2.0 KM</t>
  </si>
  <si>
    <t>QC_407-7394503-0773104</t>
  </si>
  <si>
    <t>https://track.loadshare.net/order/eldjn0Q</t>
  </si>
  <si>
    <t>TMK7 | 11:48 AM | 3.9 KM</t>
  </si>
  <si>
    <t>QC_171-8725461-6546733</t>
  </si>
  <si>
    <t>https://track.loadshare.net/order/5bK9dY8</t>
  </si>
  <si>
    <t>TMK7 | 11:48 AM | 2.2 KM</t>
  </si>
  <si>
    <t>QC_406-6999855-1495554</t>
  </si>
  <si>
    <t>https://track.loadshare.net/order/Xn0jaZD</t>
  </si>
  <si>
    <t>TMK7 | 11:47 AM | 1.4 KM</t>
  </si>
  <si>
    <t>QC_408-2875550-6308330</t>
  </si>
  <si>
    <t>https://track.loadshare.net/order/YW0jXVL</t>
  </si>
  <si>
    <t>TMK7 | 11:47 AM | 2.0 KM</t>
  </si>
  <si>
    <t>QC_404-2290382-8961947</t>
  </si>
  <si>
    <t>https://track.loadshare.net/order/xad4Ylb</t>
  </si>
  <si>
    <t>TMK7 | 11:46 AM | 2.2 KM</t>
  </si>
  <si>
    <t>QC_405-0319602-3779575</t>
  </si>
  <si>
    <t>https://track.loadshare.net/order/yqa1JbZ</t>
  </si>
  <si>
    <t>TMK7 | 11:46 AM | 0.7 KM</t>
  </si>
  <si>
    <t>QC_403-2244903-9192358</t>
  </si>
  <si>
    <t>https://track.loadshare.net/order/xad4Ypl</t>
  </si>
  <si>
    <t>TMK7 | 11:46 AM | 1.5 KM</t>
  </si>
  <si>
    <t>QC_404-6565036-6469122</t>
  </si>
  <si>
    <t>https://track.loadshare.net/order/5bK9aQL</t>
  </si>
  <si>
    <t>TMK7 | 11:45 AM | 1.8 KM</t>
  </si>
  <si>
    <t>QC_406-8771313-9834715</t>
  </si>
  <si>
    <t>https://track.loadshare.net/order/lAd5G0m</t>
  </si>
  <si>
    <t>TMK7 | 11:44 AM | 1.9 KM</t>
  </si>
  <si>
    <t>QC_406-3734387-0365167</t>
  </si>
  <si>
    <t>https://track.loadshare.net/order/qbl9Mkv</t>
  </si>
  <si>
    <t>TMK7 | 11:43 AM | 1.9 KM</t>
  </si>
  <si>
    <t>QC_403-1128687-6045105</t>
  </si>
  <si>
    <t>https://track.loadshare.net/order/E9VBlg1</t>
  </si>
  <si>
    <t>TMK7 | 11:43 AM | 2.4 KM</t>
  </si>
  <si>
    <t>QC_403-1352757-4715561</t>
  </si>
  <si>
    <t>https://track.loadshare.net/order/A93VOpM</t>
  </si>
  <si>
    <t>TMK7 | 11:42 AM | 2.0 KM</t>
  </si>
  <si>
    <t>QC_408-0248094-2876369</t>
  </si>
  <si>
    <t>https://track.loadshare.net/order/Rn9Z25G</t>
  </si>
  <si>
    <t>QC_405-4320241-1203528</t>
  </si>
  <si>
    <t>https://track.loadshare.net/order/v0kQOvX</t>
  </si>
  <si>
    <t>TMK7 | 11:41 AM | 1.2 KM</t>
  </si>
  <si>
    <t>QC_408-6791679-7509903</t>
  </si>
  <si>
    <t>https://track.loadshare.net/order/0vKA4AJ</t>
  </si>
  <si>
    <t>TMK7 | 11:39 AM | 0.5 KM</t>
  </si>
  <si>
    <t>QC_402-8620631-7978725</t>
  </si>
  <si>
    <t>https://track.loadshare.net/order/d0dj1gW</t>
  </si>
  <si>
    <t>QC_408-5899444-1435552</t>
  </si>
  <si>
    <t>https://track.loadshare.net/order/3bKQGn9</t>
  </si>
  <si>
    <t>TMK7 | 11:39 AM | 3.9 KM</t>
  </si>
  <si>
    <t>QC_408-6869905-9738762</t>
  </si>
  <si>
    <t>https://track.loadshare.net/order/3bKQGJ0</t>
  </si>
  <si>
    <t>TMK7 | 11:36 AM | 3.1 KM</t>
  </si>
  <si>
    <t>QC_406-9059628-7714753</t>
  </si>
  <si>
    <t>https://track.loadshare.net/order/5bK9K9V</t>
  </si>
  <si>
    <t>TMK7 | 11:34 AM | 1.9 KM</t>
  </si>
  <si>
    <t>QC_405-1024648-0781113</t>
  </si>
  <si>
    <t>https://track.loadshare.net/order/MqN34EX</t>
  </si>
  <si>
    <t>TMK7 | 11:34 AM | 0.4 KM</t>
  </si>
  <si>
    <t>QC_171-5048683-2201100</t>
  </si>
  <si>
    <t>https://track.loadshare.net/order/Gx9qLvR</t>
  </si>
  <si>
    <t>TMK7 | 11:33 AM | 2.0 KM</t>
  </si>
  <si>
    <t>QC_402-1210939-1266754</t>
  </si>
  <si>
    <t>https://track.loadshare.net/order/LaX5bWp</t>
  </si>
  <si>
    <t>TMK7 | 11:33 AM | 1.4 KM</t>
  </si>
  <si>
    <t>QC_403-1176504-1713958</t>
  </si>
  <si>
    <t>https://track.loadshare.net/order/3bKQJqJ</t>
  </si>
  <si>
    <t>TMK7 | 11:30 AM | 1.0 KM</t>
  </si>
  <si>
    <t>QC_406-9439969-1346724</t>
  </si>
  <si>
    <t>https://track.loadshare.net/order/lAd5mmB</t>
  </si>
  <si>
    <t>TMK7 | 11:30 AM | 2.9 KM</t>
  </si>
  <si>
    <t>QC_407-8352202-3099565</t>
  </si>
  <si>
    <t>https://track.loadshare.net/order/qbl9o5L</t>
  </si>
  <si>
    <t>TMK7 | 11:30 AM | 2.1 KM</t>
  </si>
  <si>
    <t>QC_404-9143835-6333957</t>
  </si>
  <si>
    <t>https://track.loadshare.net/order/wkjQw5g</t>
  </si>
  <si>
    <t>TMK7 | 11:30 AM | 1.3 KM</t>
  </si>
  <si>
    <t>QC_405-6291104-0192353</t>
  </si>
  <si>
    <t>https://track.loadshare.net/order/jxdp3Z4</t>
  </si>
  <si>
    <t>TMK7 | 11:29 AM | 2.1 KM</t>
  </si>
  <si>
    <t>QC_407-8967786-3211540</t>
  </si>
  <si>
    <t>https://track.loadshare.net/order/aW0j9wV</t>
  </si>
  <si>
    <t>TMK7 | 11:28 AM | 1.5 KM</t>
  </si>
  <si>
    <t>QC_403-7915848-2679548</t>
  </si>
  <si>
    <t>https://track.loadshare.net/order/d0djAKp</t>
  </si>
  <si>
    <t>TMK7 | 11:28 AM | 1.3 KM</t>
  </si>
  <si>
    <t>QC_403-7430511-4555509</t>
  </si>
  <si>
    <t>https://track.loadshare.net/order/lAd59j3</t>
  </si>
  <si>
    <t>TMK7 | 11:26 AM | 1.6 KM</t>
  </si>
  <si>
    <t>QC_171-3503897-8496356</t>
  </si>
  <si>
    <t>https://track.loadshare.net/order/d0djjep</t>
  </si>
  <si>
    <t>TMK7 | 11:25 AM | 1.2 KM</t>
  </si>
  <si>
    <t>QC_402-5296640-8773957</t>
  </si>
  <si>
    <t>https://track.loadshare.net/order/2vKQ0pg</t>
  </si>
  <si>
    <t>TMK7 | 11:25 AM | 3.0 KM</t>
  </si>
  <si>
    <t>QC_407-3490263-9229924</t>
  </si>
  <si>
    <t>https://track.loadshare.net/order/E9VBe53</t>
  </si>
  <si>
    <t>TMK7 | 11:23 AM | 1.3 KM</t>
  </si>
  <si>
    <t>QC_403-2852974-4053161</t>
  </si>
  <si>
    <t>https://track.loadshare.net/order/827wRYX</t>
  </si>
  <si>
    <t>TMK7 | 11:22 AM | 0.5 KM</t>
  </si>
  <si>
    <t>QC_407-8137955-3825137</t>
  </si>
  <si>
    <t>https://track.loadshare.net/order/mWd3jBd</t>
  </si>
  <si>
    <t>TMK7 | 11:22 AM | 1.8 KM</t>
  </si>
  <si>
    <t>QC_403-9162209-3007533</t>
  </si>
  <si>
    <t>https://track.loadshare.net/order/5bK9nMV</t>
  </si>
  <si>
    <t>TMK7 | 11:21 AM | 2.2 KM</t>
  </si>
  <si>
    <t>QC_406-9423009-0790725</t>
  </si>
  <si>
    <t>https://track.loadshare.net/order/g0dq23N</t>
  </si>
  <si>
    <t>TMK7 | 11:21 AM | 0.2 KM</t>
  </si>
  <si>
    <t>QC_402-8240759-7605907</t>
  </si>
  <si>
    <t>https://track.loadshare.net/order/jxdp79l</t>
  </si>
  <si>
    <t>TMK7 | 11:21 AM | 1.9 KM</t>
  </si>
  <si>
    <t>QC_406-7340944-2648364</t>
  </si>
  <si>
    <t>https://track.loadshare.net/order/5bK97JV</t>
  </si>
  <si>
    <t>TMK7 | 11:18 AM | 0.7 KM</t>
  </si>
  <si>
    <t>QC_406-1481475-1457134</t>
  </si>
  <si>
    <t>https://track.loadshare.net/order/YW0jBWx</t>
  </si>
  <si>
    <t>TMK7 | 11:18 AM | 0.9 KM</t>
  </si>
  <si>
    <t>QC_406-3240082-9981144</t>
  </si>
  <si>
    <t>https://track.loadshare.net/order/DDMogpg</t>
  </si>
  <si>
    <t>TMK7 | 11:18 AM | 1.6 KM</t>
  </si>
  <si>
    <t>QC_171-7402066-2609132</t>
  </si>
  <si>
    <t>https://track.loadshare.net/order/E9VBaKo</t>
  </si>
  <si>
    <t>TMK7 | 11:17 AM | 1.8 KM</t>
  </si>
  <si>
    <t>QC_408-3871039-1921104</t>
  </si>
  <si>
    <t>https://track.loadshare.net/order/DDMoQjX</t>
  </si>
  <si>
    <t>TMK7 | 11:15 AM | 0.2 KM</t>
  </si>
  <si>
    <t>QC_404-9133580-7727517</t>
  </si>
  <si>
    <t>https://track.loadshare.net/order/pJ0MqRA</t>
  </si>
  <si>
    <t>TMK7 | 11:15 AM | 0.6 KM</t>
  </si>
  <si>
    <t>QC_406-5330839-1597152</t>
  </si>
  <si>
    <t>https://track.loadshare.net/order/KgvGJpM</t>
  </si>
  <si>
    <t>TMK7 | 11:15 AM | 0.9 KM</t>
  </si>
  <si>
    <t>QC_171-8862202-8833944</t>
  </si>
  <si>
    <t>https://track.loadshare.net/order/mWd3E9Q</t>
  </si>
  <si>
    <t>TMK7 | 11:14 AM | 1.1 KM</t>
  </si>
  <si>
    <t>QC_408-4476240-3148323</t>
  </si>
  <si>
    <t>https://track.loadshare.net/order/WW0jYlv</t>
  </si>
  <si>
    <t>TMK7 | 11:14 AM | 1.2 KM</t>
  </si>
  <si>
    <t>QC_171-9291617-9845950</t>
  </si>
  <si>
    <t>https://track.loadshare.net/order/E9VB0NE</t>
  </si>
  <si>
    <t>TMK7 | 11:14 AM | 3.5 KM</t>
  </si>
  <si>
    <t>QC_403-3806443-5109929</t>
  </si>
  <si>
    <t>https://track.loadshare.net/order/JMRpj1Q</t>
  </si>
  <si>
    <t>TMK7 | 11:12 AM | 1.2 KM</t>
  </si>
  <si>
    <t>QC_405-4606301-3017141</t>
  </si>
  <si>
    <t>https://track.loadshare.net/order/eldjElA</t>
  </si>
  <si>
    <t>TMK7 | 11:12 AM | 3.7 KM</t>
  </si>
  <si>
    <t>QC_404-8636111-5256334</t>
  </si>
  <si>
    <t>https://track.loadshare.net/order/4eA7NWg</t>
  </si>
  <si>
    <t>TMK7 | 11:11 AM | 2.3 KM</t>
  </si>
  <si>
    <t>QC_402-9307872-4676351</t>
  </si>
  <si>
    <t>https://track.loadshare.net/order/Xn0jYvQ</t>
  </si>
  <si>
    <t>TMK7 | 11:10 AM | 0.5 KM</t>
  </si>
  <si>
    <t>QC_406-6316104-6454764</t>
  </si>
  <si>
    <t>https://track.loadshare.net/order/wkjQyam</t>
  </si>
  <si>
    <t>TMK7 | 11:09 AM | 3.0 KM</t>
  </si>
  <si>
    <t>QC_407-3249259-4666701</t>
  </si>
  <si>
    <t>https://track.loadshare.net/order/2vKQ7Ko</t>
  </si>
  <si>
    <t>TMK7 | 11:07 AM | 1.7 KM</t>
  </si>
  <si>
    <t>QC_405-1471869-6749946</t>
  </si>
  <si>
    <t>https://track.loadshare.net/order/lAd5e0A</t>
  </si>
  <si>
    <t>TMK7 | 11:07 AM | 1.4 KM</t>
  </si>
  <si>
    <t>QC_404-9689670-4584342</t>
  </si>
  <si>
    <t>https://track.loadshare.net/order/827wxOb</t>
  </si>
  <si>
    <t>TMK7 | 11:07 AM | 1.2 KM</t>
  </si>
  <si>
    <t>QC_406-1283042-1800306</t>
  </si>
  <si>
    <t>https://track.loadshare.net/order/aW0jdRw</t>
  </si>
  <si>
    <t>TMK7 | 11:04 AM | 2.3 KM</t>
  </si>
  <si>
    <t>QC_406-3763390-0422729</t>
  </si>
  <si>
    <t>https://track.loadshare.net/order/Op0ml34</t>
  </si>
  <si>
    <t>TMK7 | 11:03 AM | 1.5 KM</t>
  </si>
  <si>
    <t>QC_404-4035649-9681900</t>
  </si>
  <si>
    <t>https://track.loadshare.net/order/WW0jenE</t>
  </si>
  <si>
    <t>TMK7 | 11:03 AM | 1.3 KM</t>
  </si>
  <si>
    <t>QC_404-3479098-0529159</t>
  </si>
  <si>
    <t>https://track.loadshare.net/order/E9VB7vq</t>
  </si>
  <si>
    <t>TMK7 | 11:02 AM | 0.4 KM</t>
  </si>
  <si>
    <t>QC_407-2939341-4853118</t>
  </si>
  <si>
    <t>https://track.loadshare.net/order/MqN3Je5</t>
  </si>
  <si>
    <t>TMK7 | 11:02 AM | 0.3 KM</t>
  </si>
  <si>
    <t>QC_406-7262450-8712369</t>
  </si>
  <si>
    <t>https://track.loadshare.net/order/N5QDYO2</t>
  </si>
  <si>
    <t>TMK7 | 11:02 AM | 1.6 KM</t>
  </si>
  <si>
    <t>QC_406-2275441-0625115</t>
  </si>
  <si>
    <t>https://track.loadshare.net/order/eldj3Rl</t>
  </si>
  <si>
    <t>QC_403-5084098-5240361</t>
  </si>
  <si>
    <t>https://track.loadshare.net/order/nedD4nM</t>
  </si>
  <si>
    <t>TMK7 | 11:00 AM | 1.2 KM</t>
  </si>
  <si>
    <t>QC_408-9884656-7529947</t>
  </si>
  <si>
    <t>https://track.loadshare.net/order/3bKQbWR</t>
  </si>
  <si>
    <t>TMK7 | 10:59 AM | 1.1 KM</t>
  </si>
  <si>
    <t>QC_403-5239300-8700359</t>
  </si>
  <si>
    <t>https://track.loadshare.net/order/ZW0jW37</t>
  </si>
  <si>
    <t>TMK7 | 10:58 AM | 2.3 KM</t>
  </si>
  <si>
    <t>QC_171-1451705-4416339</t>
  </si>
  <si>
    <t>https://track.loadshare.net/order/bx0j9Yd</t>
  </si>
  <si>
    <t>TMK7 | 10:57 AM | 3.1 KM</t>
  </si>
  <si>
    <t>QC_402-3608857-5941923</t>
  </si>
  <si>
    <t>https://track.loadshare.net/order/0vKAl90</t>
  </si>
  <si>
    <t>TMK7 | 10:57 AM | 1.2 KM</t>
  </si>
  <si>
    <t>QC_405-0734370-6517134</t>
  </si>
  <si>
    <t>https://track.loadshare.net/order/YW0jKVL</t>
  </si>
  <si>
    <t>TMK7 | 10:57 AM | 2.2 KM</t>
  </si>
  <si>
    <t>QC_406-6235472-2452300</t>
  </si>
  <si>
    <t>https://track.loadshare.net/order/wkjQ4jE</t>
  </si>
  <si>
    <t>TMK7 | 10:57 AM | 2.4 KM</t>
  </si>
  <si>
    <t>QC_404-0828679-6685910</t>
  </si>
  <si>
    <t>https://track.loadshare.net/order/N5QDw7Y</t>
  </si>
  <si>
    <t>TMK7 | 10:55 AM | 0.1 KM</t>
  </si>
  <si>
    <t>QC_171-3578798-4326743</t>
  </si>
  <si>
    <t>https://track.loadshare.net/order/92KgwQj</t>
  </si>
  <si>
    <t>TMK7 | 10:55 AM | 3.9 KM</t>
  </si>
  <si>
    <t>QC_171-7415804-6899511</t>
  </si>
  <si>
    <t>https://track.loadshare.net/order/eldjXwD</t>
  </si>
  <si>
    <t>TMK7 | 10:55 AM | 1.9 KM</t>
  </si>
  <si>
    <t>QC_404-6179559-6080303</t>
  </si>
  <si>
    <t>https://track.loadshare.net/order/v0kQ7Dj</t>
  </si>
  <si>
    <t>TMK7 | 10:55 AM | 1.2 KM</t>
  </si>
  <si>
    <t>QC_408-0645541-6686731</t>
  </si>
  <si>
    <t>https://track.loadshare.net/order/eldjXAK</t>
  </si>
  <si>
    <t>TMK7 | 10:54 AM | 0.8 KM</t>
  </si>
  <si>
    <t>QC_406-4343343-4221934</t>
  </si>
  <si>
    <t>https://track.loadshare.net/order/E9VByy5</t>
  </si>
  <si>
    <t>QC_406-4728697-9445141</t>
  </si>
  <si>
    <t>https://track.loadshare.net/order/eldZ7Rl</t>
  </si>
  <si>
    <t>TMK7 | 10:54 AM | 0.3 KM</t>
  </si>
  <si>
    <t>QC_406-7652700-9289121</t>
  </si>
  <si>
    <t>https://track.loadshare.net/order/B5Degaj</t>
  </si>
  <si>
    <t>TMK7 | 10:53 AM | 1.0 KM</t>
  </si>
  <si>
    <t>QC_171-0378369-6607501</t>
  </si>
  <si>
    <t>https://track.loadshare.net/order/obd93lM</t>
  </si>
  <si>
    <t>TMK7 | 10:52 AM | 2.3 KM</t>
  </si>
  <si>
    <t>QC_402-3986277-7075535</t>
  </si>
  <si>
    <t>https://track.loadshare.net/order/lAdp3Vx</t>
  </si>
  <si>
    <t>XXXXXX3456</t>
  </si>
  <si>
    <t>TMK7 | 10:52 AM | 2.2 KM</t>
  </si>
  <si>
    <t>ASHOK BENKAR</t>
  </si>
  <si>
    <t>QC_402-8930730-8601152</t>
  </si>
  <si>
    <t>https://track.loadshare.net/order/5bK0jBV</t>
  </si>
  <si>
    <t>TMK7 | 10:52 AM | 2.1 KM</t>
  </si>
  <si>
    <t>QC_405-6985150-3253132</t>
  </si>
  <si>
    <t>https://track.loadshare.net/order/qblmZvn</t>
  </si>
  <si>
    <t>TMK7 | 10:52 AM | 1.5 KM</t>
  </si>
  <si>
    <t>QC_407-6516728-3005160</t>
  </si>
  <si>
    <t>https://track.loadshare.net/order/MqNgX5B</t>
  </si>
  <si>
    <t>XXXXXX5914</t>
  </si>
  <si>
    <t>TMK7 | 10:50 AM | 2.0 KM</t>
  </si>
  <si>
    <t>RONAK NAGRALE</t>
  </si>
  <si>
    <t>QC_406-4580205-8753968</t>
  </si>
  <si>
    <t>https://track.loadshare.net/order/g0dowxO</t>
  </si>
  <si>
    <t>QC_405-9649773-7404335</t>
  </si>
  <si>
    <t>https://track.loadshare.net/order/JMRaBXx</t>
  </si>
  <si>
    <t>TMK7 | 10:50 AM | 2.5 KM</t>
  </si>
  <si>
    <t>QC_407-9948618-4654764</t>
  </si>
  <si>
    <t>https://track.loadshare.net/order/N5QpOdY</t>
  </si>
  <si>
    <t>TMK7 | 10:50 AM | 1.6 KM</t>
  </si>
  <si>
    <t>QC_404-5147099-0518713</t>
  </si>
  <si>
    <t>https://track.loadshare.net/order/wkjJO2Y</t>
  </si>
  <si>
    <t>TMK7 | 10:50 AM | 0.2 KM</t>
  </si>
  <si>
    <t>QC_405-8809342-7169137</t>
  </si>
  <si>
    <t>https://track.loadshare.net/order/82703Ka</t>
  </si>
  <si>
    <t>TMK7 | 10:50 AM | 1.0 KM</t>
  </si>
  <si>
    <t>QC_407-7743198-1647500</t>
  </si>
  <si>
    <t>https://track.loadshare.net/order/obd94Ll</t>
  </si>
  <si>
    <t>QC_404-4065065-8108365</t>
  </si>
  <si>
    <t>https://track.loadshare.net/order/E9VeQlL</t>
  </si>
  <si>
    <t>TMK7 | 10:49 AM | 2.2 KM</t>
  </si>
  <si>
    <t>QC_407-6759697-2745902</t>
  </si>
  <si>
    <t>https://track.loadshare.net/order/Op0G7NK</t>
  </si>
  <si>
    <t>TMK7 | 10:48 AM | 2.2 KM</t>
  </si>
  <si>
    <t>QC_406-7095000-4934752</t>
  </si>
  <si>
    <t>https://track.loadshare.net/order/ned5Axd</t>
  </si>
  <si>
    <t>TMK7 | 10:47 AM | 1.2 KM</t>
  </si>
  <si>
    <t>QC_171-4570163-6831555</t>
  </si>
  <si>
    <t>https://track.loadshare.net/order/Rn9D8G2</t>
  </si>
  <si>
    <t>TMK7 | 10:47 AM | 1.8 KM</t>
  </si>
  <si>
    <t>QC_407-0981298-3283501</t>
  </si>
  <si>
    <t>https://track.loadshare.net/order/5bK0DAb</t>
  </si>
  <si>
    <t>TMK7 | 10:47 AM | 0.2 KM</t>
  </si>
  <si>
    <t>QC_403-5749153-2596312</t>
  </si>
  <si>
    <t>https://track.loadshare.net/order/v0kodNK</t>
  </si>
  <si>
    <t>TMK7 | 10:46 AM | 1.7 KM</t>
  </si>
  <si>
    <t>QC_404-8797580-4207556</t>
  </si>
  <si>
    <t>https://track.loadshare.net/order/xadEj2b</t>
  </si>
  <si>
    <t>TMK7 | 10:44 AM | 0.8 KM</t>
  </si>
  <si>
    <t>QC_408-4066672-0197932</t>
  </si>
  <si>
    <t>https://track.loadshare.net/order/Gx9eO03</t>
  </si>
  <si>
    <t>TMK7 | 10:44 AM | 2.1 KM</t>
  </si>
  <si>
    <t>QC_402-1187904-3951539</t>
  </si>
  <si>
    <t>https://track.loadshare.net/order/xadEwD3</t>
  </si>
  <si>
    <t>TMK7 | 10:42 AM | 2.1 KM</t>
  </si>
  <si>
    <t>QC_404-0491431-5609144</t>
  </si>
  <si>
    <t>https://track.loadshare.net/order/5bK0W8L</t>
  </si>
  <si>
    <t>TMK7 | 10:42 AM | 2.3 KM</t>
  </si>
  <si>
    <t>QC_405-7126724-3952337</t>
  </si>
  <si>
    <t>https://track.loadshare.net/order/5bK0WRV</t>
  </si>
  <si>
    <t>TMK7 | 10:40 AM | 0.1 KM</t>
  </si>
  <si>
    <t>QC_404-0382280-1086709</t>
  </si>
  <si>
    <t>https://track.loadshare.net/order/Rn9Dyw2</t>
  </si>
  <si>
    <t>TMK7 | 10:39 AM | 0.6 KM</t>
  </si>
  <si>
    <t>QC_405-4326019-2166764</t>
  </si>
  <si>
    <t>https://track.loadshare.net/order/Gx9e49A</t>
  </si>
  <si>
    <t>TMK7 | 10:39 AM | 1.7 KM</t>
  </si>
  <si>
    <t>QC_407-2318784-8477156</t>
  </si>
  <si>
    <t>https://track.loadshare.net/order/LaXwE40</t>
  </si>
  <si>
    <t>XXXXXX6774</t>
  </si>
  <si>
    <t>TMK7 | 10:39 AM | 1.2 KM</t>
  </si>
  <si>
    <t>Satish swami</t>
  </si>
  <si>
    <t>QC_405-4019600-3497929</t>
  </si>
  <si>
    <t>https://track.loadshare.net/order/B5DeR00</t>
  </si>
  <si>
    <t>TMK7 | 10:39 AM | 3.5 KM</t>
  </si>
  <si>
    <t>QC_404-6933365-2447552</t>
  </si>
  <si>
    <t>https://track.loadshare.net/order/VY0Z9Yo</t>
  </si>
  <si>
    <t>TMK7 | 10:38 AM | 2.1 KM</t>
  </si>
  <si>
    <t>QC_407-8684267-5074715</t>
  </si>
  <si>
    <t>https://track.loadshare.net/order/MqNgd2X</t>
  </si>
  <si>
    <t>TMK7 | 10:38 AM | 0.2 KM</t>
  </si>
  <si>
    <t>QC_403-1316096-7375513</t>
  </si>
  <si>
    <t>https://track.loadshare.net/order/2vK05Vg</t>
  </si>
  <si>
    <t>TMK7 | 10:37 AM | 1.4 KM</t>
  </si>
  <si>
    <t>QC_408-8470999-0332369</t>
  </si>
  <si>
    <t>https://track.loadshare.net/order/bx0mNEW</t>
  </si>
  <si>
    <t>TMK7 | 10:36 AM | 1.9 KM</t>
  </si>
  <si>
    <t>QC_408-4101285-9892318</t>
  </si>
  <si>
    <t>https://track.loadshare.net/order/Op0G1qq</t>
  </si>
  <si>
    <t>TMK7 | 10:35 AM | 2.3 KM</t>
  </si>
  <si>
    <t>QC_405-7950812-0256328</t>
  </si>
  <si>
    <t>https://track.loadshare.net/order/B5De1ZY</t>
  </si>
  <si>
    <t>TMK7 | 10:35 AM | 2.1 KM</t>
  </si>
  <si>
    <t>QC_407-2528161-8625969</t>
  </si>
  <si>
    <t>https://track.loadshare.net/order/Kgvq1Q2</t>
  </si>
  <si>
    <t>TMK7 | 10:34 AM | 0.3 KM</t>
  </si>
  <si>
    <t>QC_408-5051414-5338755</t>
  </si>
  <si>
    <t>https://track.loadshare.net/order/bx0mYAx</t>
  </si>
  <si>
    <t>TMK7 | 10:33 AM | 0.3 KM</t>
  </si>
  <si>
    <t>QC_406-2770440-7792324</t>
  </si>
  <si>
    <t>https://track.loadshare.net/order/B5DeylY</t>
  </si>
  <si>
    <t>TMK7 | 10:32 AM | 2.2 KM</t>
  </si>
  <si>
    <t>QC_408-3397907-8982736</t>
  </si>
  <si>
    <t>https://track.loadshare.net/order/g0do7K5</t>
  </si>
  <si>
    <t>TMK7 | 10:32 AM | 0.4 KM</t>
  </si>
  <si>
    <t>QC_407-2932118-2729121</t>
  </si>
  <si>
    <t>https://track.loadshare.net/order/1YejDxE</t>
  </si>
  <si>
    <t>TMK7 | 10:30 AM | 2.3 KM</t>
  </si>
  <si>
    <t>QC_408-0882749-1030751</t>
  </si>
  <si>
    <t>https://track.loadshare.net/order/DDMew8g</t>
  </si>
  <si>
    <t>TMK7 | 10:28 AM | 4.0 KM</t>
  </si>
  <si>
    <t>QC_406-1319239-4093110</t>
  </si>
  <si>
    <t>https://track.loadshare.net/order/pJ0DQnl</t>
  </si>
  <si>
    <t>TMK7 | 10:26 AM | 2.0 KM</t>
  </si>
  <si>
    <t>QC_402-1368591-7380307</t>
  </si>
  <si>
    <t>https://track.loadshare.net/order/qblmvv7</t>
  </si>
  <si>
    <t>TMK7 | 10:23 AM | 0.8 KM</t>
  </si>
  <si>
    <t>QC_171-4454734-0992317</t>
  </si>
  <si>
    <t>https://track.loadshare.net/order/WW0nExg</t>
  </si>
  <si>
    <t>TMK7 | 10:23 AM | 1.4 KM</t>
  </si>
  <si>
    <t>QC_407-7456239-9681160</t>
  </si>
  <si>
    <t>https://track.loadshare.net/order/JMRan7x</t>
  </si>
  <si>
    <t>TMK7 | 10:22 AM | 1.5 KM</t>
  </si>
  <si>
    <t>QC_402-8966131-9160329</t>
  </si>
  <si>
    <t>https://track.loadshare.net/order/eldZnAJ</t>
  </si>
  <si>
    <t>TMK7 | 10:21 AM | 1.1 KM</t>
  </si>
  <si>
    <t>QC_403-4239117-4291521</t>
  </si>
  <si>
    <t>https://track.loadshare.net/order/lAdpQjl</t>
  </si>
  <si>
    <t>TMK7 | 10:21 AM | 1.5 KM</t>
  </si>
  <si>
    <t>QC_407-5999176-2911538</t>
  </si>
  <si>
    <t>https://track.loadshare.net/order/1Yej8oE</t>
  </si>
  <si>
    <t>TMK7 | 10:20 AM | 2.4 KM</t>
  </si>
  <si>
    <t>QC_171-7549576-6328304</t>
  </si>
  <si>
    <t>https://track.loadshare.net/order/B5De8Da</t>
  </si>
  <si>
    <t>TMK7 | 10:20 AM | 2.2 KM</t>
  </si>
  <si>
    <t>QC_407-1483941-7855523</t>
  </si>
  <si>
    <t>https://track.loadshare.net/order/LaXwGnw</t>
  </si>
  <si>
    <t>TMK7 | 10:19 AM | 0.2 KM</t>
  </si>
  <si>
    <t>QC_406-2849478-9139521</t>
  </si>
  <si>
    <t>https://track.loadshare.net/order/qblmMDK</t>
  </si>
  <si>
    <t>TMK7 | 10:17 AM | 1.4 KM</t>
  </si>
  <si>
    <t>QC_405-0727203-0247518</t>
  </si>
  <si>
    <t>https://track.loadshare.net/order/yqaLZOZ</t>
  </si>
  <si>
    <t>TMK7 | 10:16 AM | 0.3 KM</t>
  </si>
  <si>
    <t>QC_408-4570239-0152308</t>
  </si>
  <si>
    <t>https://track.loadshare.net/order/xadEVyJ</t>
  </si>
  <si>
    <t>TMK7 | 10:15 AM | 1.9 KM</t>
  </si>
  <si>
    <t>QC_408-8964635-0798749</t>
  </si>
  <si>
    <t>https://track.loadshare.net/order/QZ03JYO</t>
  </si>
  <si>
    <t>TMK7 | 10:15 AM | 2.3 KM</t>
  </si>
  <si>
    <t>QC_404-3879580-7526715</t>
  </si>
  <si>
    <t>https://track.loadshare.net/order/B5DejRj</t>
  </si>
  <si>
    <t>TMK7 | 10:14 AM | 0.1 KM</t>
  </si>
  <si>
    <t>QC_171-3246721-1241126</t>
  </si>
  <si>
    <t>https://track.loadshare.net/order/QZ03JRj</t>
  </si>
  <si>
    <t>TMK7 | 10:14 AM | 1.9 KM</t>
  </si>
  <si>
    <t>QC_171-7836300-2694739</t>
  </si>
  <si>
    <t>https://track.loadshare.net/order/QZ03Jpj</t>
  </si>
  <si>
    <t>TMK7 | 10:14 AM | 1.4 KM</t>
  </si>
  <si>
    <t>QC_171-5653509-5649111</t>
  </si>
  <si>
    <t>https://track.loadshare.net/order/E9VejoE</t>
  </si>
  <si>
    <t>TMK7 | 10:13 AM | 1.7 KM</t>
  </si>
  <si>
    <t>QC_405-8861008-1916315</t>
  </si>
  <si>
    <t>https://track.loadshare.net/order/2vK0pq7</t>
  </si>
  <si>
    <t>QC_407-5138107-3828342</t>
  </si>
  <si>
    <t>https://track.loadshare.net/order/aW0DJKA</t>
  </si>
  <si>
    <t>TMK7 | 10:13 AM | 0.7 KM</t>
  </si>
  <si>
    <t>QC_171-7748443-2863512</t>
  </si>
  <si>
    <t>https://track.loadshare.net/order/jxdwJmj</t>
  </si>
  <si>
    <t>TMK7 | 10:13 AM | 1.3 KM</t>
  </si>
  <si>
    <t>QC_404-3357022-5717922</t>
  </si>
  <si>
    <t>https://track.loadshare.net/order/d0dV1Zp</t>
  </si>
  <si>
    <t>TMK7 | 10:12 AM | 0.3 KM</t>
  </si>
  <si>
    <t>QC_404-1547457-3132361</t>
  </si>
  <si>
    <t>https://track.loadshare.net/order/JMRa5GA</t>
  </si>
  <si>
    <t>TMK7 | 10:12 AM | 2.2 KM</t>
  </si>
  <si>
    <t>QC_403-7105740-1561934</t>
  </si>
  <si>
    <t>https://track.loadshare.net/order/lAdpJNY</t>
  </si>
  <si>
    <t>TMK7 | 10:11 AM | 1.9 KM</t>
  </si>
  <si>
    <t>QC_407-5812428-7744362</t>
  </si>
  <si>
    <t>https://track.loadshare.net/order/xadEdDV</t>
  </si>
  <si>
    <t>TMK7 | 10:09 AM | 2.4 KM</t>
  </si>
  <si>
    <t>QC_407-4585598-3626761</t>
  </si>
  <si>
    <t>https://track.loadshare.net/order/ned5Zvg</t>
  </si>
  <si>
    <t>TMK7 | 10:09 AM | 2.7 KM</t>
  </si>
  <si>
    <t>QC_407-4809174-5676313</t>
  </si>
  <si>
    <t>https://track.loadshare.net/order/g0doGM9</t>
  </si>
  <si>
    <t>TMK7 | 10:08 AM | 1.3 KM</t>
  </si>
  <si>
    <t>QC_408-7100966-5974725</t>
  </si>
  <si>
    <t>https://track.loadshare.net/order/wkjJlx2</t>
  </si>
  <si>
    <t>TMK7 | 10:08 AM | 0.4 KM</t>
  </si>
  <si>
    <t>QC_406-8770778-6693941</t>
  </si>
  <si>
    <t>https://track.loadshare.net/order/xadEl3X</t>
  </si>
  <si>
    <t>TMK7 | 10:08 AM | 2.1 KM</t>
  </si>
  <si>
    <t>QC_404-0111595-4095574</t>
  </si>
  <si>
    <t>https://track.loadshare.net/order/qblmByM</t>
  </si>
  <si>
    <t>TMK7 | 10:07 AM | 0.1 KM</t>
  </si>
  <si>
    <t>QC_404-4470329-2641112</t>
  </si>
  <si>
    <t>https://track.loadshare.net/order/7290Jke</t>
  </si>
  <si>
    <t>TMK7 | 10:07 AM | 2.1 KM</t>
  </si>
  <si>
    <t>QC_171-6990459-6923538</t>
  </si>
  <si>
    <t>https://track.loadshare.net/order/mWdG9Lw</t>
  </si>
  <si>
    <t>TMK7 | 10:07 AM | 1.4 KM</t>
  </si>
  <si>
    <t>QC_404-5322857-9454751</t>
  </si>
  <si>
    <t>https://track.loadshare.net/order/ned5p9Q</t>
  </si>
  <si>
    <t>TMK7 | 10:06 AM | 0.1 KM</t>
  </si>
  <si>
    <t>QC_404-5850299-4384338</t>
  </si>
  <si>
    <t>https://track.loadshare.net/order/v0koZKj</t>
  </si>
  <si>
    <t>TMK7 | 10:06 AM | 0.7 KM</t>
  </si>
  <si>
    <t>QC_408-2774210-3817101</t>
  </si>
  <si>
    <t>https://track.loadshare.net/order/xadEoWV</t>
  </si>
  <si>
    <t>TMK7 | 10:06 AM | 2.8 KM</t>
  </si>
  <si>
    <t>QC_404-4321322-3536361</t>
  </si>
  <si>
    <t>https://track.loadshare.net/order/YW0awQx</t>
  </si>
  <si>
    <t>TMK7 | 10:06 AM | 1.3 KM</t>
  </si>
  <si>
    <t>QC_406-9785664-7180358</t>
  </si>
  <si>
    <t>https://track.loadshare.net/order/ned5VA3</t>
  </si>
  <si>
    <t>TMK7 | 10:05 AM | 0.2 KM</t>
  </si>
  <si>
    <t>QC_403-3310170-2705947</t>
  </si>
  <si>
    <t>https://track.loadshare.net/order/d0dVqaE</t>
  </si>
  <si>
    <t>TMK7 | 10:05 AM | 1.0 KM</t>
  </si>
  <si>
    <t>QC_403-4489712-9865918</t>
  </si>
  <si>
    <t>https://track.loadshare.net/order/DDMeGwo</t>
  </si>
  <si>
    <t>QC_171-8619278-0448302</t>
  </si>
  <si>
    <t>https://track.loadshare.net/order/ned5VXd</t>
  </si>
  <si>
    <t>TMK7 | 10:02 AM | 2.1 KM</t>
  </si>
  <si>
    <t>QC_402-3195801-3542701</t>
  </si>
  <si>
    <t>https://track.loadshare.net/order/wkjJZ5q</t>
  </si>
  <si>
    <t>TMK7 | 10:02 AM | 0.8 KM</t>
  </si>
  <si>
    <t>QC_408-1724607-3532313</t>
  </si>
  <si>
    <t>https://track.loadshare.net/order/E9VeBKE</t>
  </si>
  <si>
    <t>TMK7 | 10:01 AM | 2.1 KM</t>
  </si>
  <si>
    <t>QC_404-0949699-3165908</t>
  </si>
  <si>
    <t>https://track.loadshare.net/order/d0dVj2b</t>
  </si>
  <si>
    <t>TMK7 | 10:01 AM | 0.7 KM</t>
  </si>
  <si>
    <t>QC_407-9380560-7221143</t>
  </si>
  <si>
    <t>https://track.loadshare.net/order/qblm9mL</t>
  </si>
  <si>
    <t>TMK7 | 10:00 AM | 2.8 KM</t>
  </si>
  <si>
    <t>QC_406-6076210-6645936</t>
  </si>
  <si>
    <t>https://track.loadshare.net/order/7290q3L</t>
  </si>
  <si>
    <t>TMK7 | 10:00 AM | 2.2 KM</t>
  </si>
  <si>
    <t>QC_406-9360577-3380349</t>
  </si>
  <si>
    <t>https://track.loadshare.net/order/YW0aa5w</t>
  </si>
  <si>
    <t>TMK7 | 9:57 AM | 1.6 KM</t>
  </si>
  <si>
    <t>QC_402-9829704-2744330</t>
  </si>
  <si>
    <t>https://track.loadshare.net/order/lAdpW9e</t>
  </si>
  <si>
    <t>TMK7 | 9:56 AM | 1.4 KM</t>
  </si>
  <si>
    <t>QC_171-8947245-1006719</t>
  </si>
  <si>
    <t>https://track.loadshare.net/order/aW0DLd2</t>
  </si>
  <si>
    <t>TMK7 | 9:55 AM | 2.7 KM</t>
  </si>
  <si>
    <t>QC_407-0583907-0880367</t>
  </si>
  <si>
    <t>https://track.loadshare.net/order/v0koK5M</t>
  </si>
  <si>
    <t>TMK7 | 9:54 AM | 1.7 KM</t>
  </si>
  <si>
    <t>QC_404-3234870-8889957</t>
  </si>
  <si>
    <t>https://track.loadshare.net/order/KgvqeJA</t>
  </si>
  <si>
    <t>TMK7 | 9:54 AM | 1.3 KM</t>
  </si>
  <si>
    <t>QC_403-2394224-2432316</t>
  </si>
  <si>
    <t>https://track.loadshare.net/order/pJ0DkAE</t>
  </si>
  <si>
    <t>TMK7 | 9:52 AM | 1.0 KM</t>
  </si>
  <si>
    <t>QC_408-8792404-3978762</t>
  </si>
  <si>
    <t>https://track.loadshare.net/order/MqNganq</t>
  </si>
  <si>
    <t>TMK7 | 9:52 AM | 1.2 KM</t>
  </si>
  <si>
    <t>QC_405-9429376-7158700</t>
  </si>
  <si>
    <t>https://track.loadshare.net/order/Gx9e5yB</t>
  </si>
  <si>
    <t>TMK7 | 9:52 AM | 1.3 KM</t>
  </si>
  <si>
    <t>QC_406-9286543-2680358</t>
  </si>
  <si>
    <t>https://track.loadshare.net/order/B5De0vb</t>
  </si>
  <si>
    <t>TMK7 | 9:51 AM | 1.9 KM</t>
  </si>
  <si>
    <t>QC_406-1135222-7503544</t>
  </si>
  <si>
    <t>https://track.loadshare.net/order/Gx9ewad</t>
  </si>
  <si>
    <t>TMK7 | 9:51 AM | 2.0 KM</t>
  </si>
  <si>
    <t>QC_408-0857135-2352313</t>
  </si>
  <si>
    <t>https://track.loadshare.net/order/eldZMkl</t>
  </si>
  <si>
    <t>TMK7 | 9:51 AM | 1.7 KM</t>
  </si>
  <si>
    <t>QC_404-7018562-1440342</t>
  </si>
  <si>
    <t>https://track.loadshare.net/order/jxdwvdQ</t>
  </si>
  <si>
    <t>TMK7 | 9:50 AM | 1.7 KM</t>
  </si>
  <si>
    <t>QC_171-9003923-2767551</t>
  </si>
  <si>
    <t>https://track.loadshare.net/order/kndgRy9</t>
  </si>
  <si>
    <t>TMK7 | 9:50 AM | 2.3 KM</t>
  </si>
  <si>
    <t>QC_402-1140192-9421124</t>
  </si>
  <si>
    <t>https://track.loadshare.net/order/MqNgE0X</t>
  </si>
  <si>
    <t>TMK7 | 9:50 AM | 0.4 KM</t>
  </si>
  <si>
    <t>QC_406-1264133-2731515</t>
  </si>
  <si>
    <t>https://track.loadshare.net/order/g0doZ5e</t>
  </si>
  <si>
    <t>TMK7 | 9:49 AM | 2.3 KM</t>
  </si>
  <si>
    <t>QC_404-5560330-8050744</t>
  </si>
  <si>
    <t>https://track.loadshare.net/order/N5QpEMm</t>
  </si>
  <si>
    <t>TMK7 | 9:49 AM | 2.9 KM</t>
  </si>
  <si>
    <t>QC_402-4449982-3641904</t>
  </si>
  <si>
    <t>https://track.loadshare.net/order/qblmw5K</t>
  </si>
  <si>
    <t>TMK7 | 9:48 AM | 2.2 KM</t>
  </si>
  <si>
    <t>QC_171-6607703-8930727</t>
  </si>
  <si>
    <t>https://track.loadshare.net/order/Xn0o2pQ</t>
  </si>
  <si>
    <t>TMK7 | 9:47 AM | 2.0 KM</t>
  </si>
  <si>
    <t>QC_406-7380072-2506715</t>
  </si>
  <si>
    <t>https://track.loadshare.net/order/xadEWYe</t>
  </si>
  <si>
    <t>TMK7 | 9:46 AM | 2.7 KM</t>
  </si>
  <si>
    <t>QC_407-7622269-2145911</t>
  </si>
  <si>
    <t>https://track.loadshare.net/order/bx0mEx5</t>
  </si>
  <si>
    <t>TMK7 | 9:44 AM | 1.2 KM</t>
  </si>
  <si>
    <t>QC_408-9789469-7701938</t>
  </si>
  <si>
    <t>https://track.loadshare.net/order/eldZ9yl</t>
  </si>
  <si>
    <t>TMK7 | 9:43 AM | 0.8 KM</t>
  </si>
  <si>
    <t>QC_407-8825732-3196350</t>
  </si>
  <si>
    <t>https://track.loadshare.net/order/lAdpaoB</t>
  </si>
  <si>
    <t>TMK7 | 9:42 AM | 0.7 KM</t>
  </si>
  <si>
    <t>QC_408-4225024-2092311</t>
  </si>
  <si>
    <t>https://track.loadshare.net/order/92K0m4j</t>
  </si>
  <si>
    <t>TMK7 | 9:42 AM | 0.1 KM</t>
  </si>
  <si>
    <t>QC_171-4254360-4088338</t>
  </si>
  <si>
    <t>https://track.loadshare.net/order/YW0avda</t>
  </si>
  <si>
    <t>TMK7 | 9:41 AM | 0.8 KM</t>
  </si>
  <si>
    <t>QC_171-5867187-2511563</t>
  </si>
  <si>
    <t>https://track.loadshare.net/order/qblmkm7</t>
  </si>
  <si>
    <t>TMK7 | 9:40 AM | 2.0 KM</t>
  </si>
  <si>
    <t>QC_402-6724891-1934740</t>
  </si>
  <si>
    <t>https://track.loadshare.net/order/qblmkb5</t>
  </si>
  <si>
    <t>TMK7 | 9:40 AM | 1.7 KM</t>
  </si>
  <si>
    <t>QC_407-2662130-4383546</t>
  </si>
  <si>
    <t>https://track.loadshare.net/order/Op0GlOZ</t>
  </si>
  <si>
    <t>TMK7 | 9:40 AM | 2.4 KM</t>
  </si>
  <si>
    <t>QC_406-6999018-5665925</t>
  </si>
  <si>
    <t>https://track.loadshare.net/order/yqaLyRl</t>
  </si>
  <si>
    <t>TMK7 | 9:38 AM | 1.5 KM</t>
  </si>
  <si>
    <t>QC_402-2770461-6876303</t>
  </si>
  <si>
    <t>https://track.loadshare.net/order/LaXwxkk</t>
  </si>
  <si>
    <t>TMK7 | 9:37 AM | 1.8 KM</t>
  </si>
  <si>
    <t>QC_407-9366451-8441107</t>
  </si>
  <si>
    <t>https://track.loadshare.net/order/Op0G3B7</t>
  </si>
  <si>
    <t>TMK7 | 9:36 AM | 2.8 KM</t>
  </si>
  <si>
    <t>QC_406-9588968-3125134</t>
  </si>
  <si>
    <t>https://track.loadshare.net/order/g0dojXW</t>
  </si>
  <si>
    <t>TMK7 | 9:34 AM | 2.3 KM</t>
  </si>
  <si>
    <t>QC_404-0591514-8446769</t>
  </si>
  <si>
    <t>https://track.loadshare.net/order/YW0aWpw</t>
  </si>
  <si>
    <t>TMK7 | 9:34 AM | 1.4 KM</t>
  </si>
  <si>
    <t>QC_402-0303041-8655569</t>
  </si>
  <si>
    <t>https://track.loadshare.net/order/lAdpARJ</t>
  </si>
  <si>
    <t>TMK7 | 9:34 AM | 0.4 KM</t>
  </si>
  <si>
    <t>QC_408-0289948-4020359</t>
  </si>
  <si>
    <t>https://track.loadshare.net/order/jxdwxoD</t>
  </si>
  <si>
    <t>TMK7 | 9:33 AM | 2.7 KM</t>
  </si>
  <si>
    <t>QC_404-2655643-2124318</t>
  </si>
  <si>
    <t>https://track.loadshare.net/order/5bK0b78</t>
  </si>
  <si>
    <t>TMK7 | 9:32 AM | 0.4 KM</t>
  </si>
  <si>
    <t>QC_171-2927431-9265939</t>
  </si>
  <si>
    <t>https://track.loadshare.net/order/ned5lMl</t>
  </si>
  <si>
    <t>TMK7 | 9:32 AM | 2.0 KM</t>
  </si>
  <si>
    <t>QC_405-0488582-1629949</t>
  </si>
  <si>
    <t>https://track.loadshare.net/order/Xn0oKev</t>
  </si>
  <si>
    <t>TMK7 | 9:31 AM | 1.9 KM</t>
  </si>
  <si>
    <t>QC_405-3078939-3190751</t>
  </si>
  <si>
    <t>https://track.loadshare.net/order/pJ0DXg3</t>
  </si>
  <si>
    <t>TMK7 | 9:31 AM | 1.0 KM</t>
  </si>
  <si>
    <t>QC_405-8373155-5841962</t>
  </si>
  <si>
    <t>https://track.loadshare.net/order/MqNgG4Q</t>
  </si>
  <si>
    <t>TMK7 | 9:30 AM | 1.5 KM</t>
  </si>
  <si>
    <t>QC_405-0126467-2404338</t>
  </si>
  <si>
    <t>https://track.loadshare.net/order/g0do8KN</t>
  </si>
  <si>
    <t>TMK7 | 9:30 AM | 3.3 KM</t>
  </si>
  <si>
    <t>QC_171-7017745-2971519</t>
  </si>
  <si>
    <t>https://track.loadshare.net/order/1YejlVy</t>
  </si>
  <si>
    <t>TMK7 | 9:28 AM | 2.8 KM</t>
  </si>
  <si>
    <t>QC_403-6729102-5633164</t>
  </si>
  <si>
    <t>https://track.loadshare.net/order/N5QpgXZ</t>
  </si>
  <si>
    <t>TMK7 | 9:27 AM | 2.1 KM</t>
  </si>
  <si>
    <t>QC_408-1429956-8739554</t>
  </si>
  <si>
    <t>https://track.loadshare.net/order/qblgVp7</t>
  </si>
  <si>
    <t>TMK7 | 9:27 AM | 1.8 KM</t>
  </si>
  <si>
    <t>QC_406-3942269-4550717</t>
  </si>
  <si>
    <t>https://track.loadshare.net/order/Op0NOAl</t>
  </si>
  <si>
    <t>TMK7 | 9:26 AM | 1.0 KM</t>
  </si>
  <si>
    <t>QC_403-8959079-7581910</t>
  </si>
  <si>
    <t>https://track.loadshare.net/order/92KekDb</t>
  </si>
  <si>
    <t>TMK7 | 9:25 AM | 2.4 KM</t>
  </si>
  <si>
    <t>QC_406-5369241-5589161</t>
  </si>
  <si>
    <t>https://track.loadshare.net/order/729YlL2</t>
  </si>
  <si>
    <t>TMK7 | 9:25 AM | 1.3 KM</t>
  </si>
  <si>
    <t>QC_171-4941828-9439523</t>
  </si>
  <si>
    <t>https://track.loadshare.net/order/ZW08Ywj</t>
  </si>
  <si>
    <t>TMK7 | 9:25 AM | 1.6 KM</t>
  </si>
  <si>
    <t>QC_171-1528296-9743530</t>
  </si>
  <si>
    <t>https://track.loadshare.net/order/mWdjDVd</t>
  </si>
  <si>
    <t>TMK7 | 9:24 AM | 2.0 KM</t>
  </si>
  <si>
    <t>QC_407-4874519-5844337</t>
  </si>
  <si>
    <t>https://track.loadshare.net/order/VY0J2MV</t>
  </si>
  <si>
    <t>TMK7 | 9:23 AM | 2.8 KM</t>
  </si>
  <si>
    <t>QC_405-4436137-0340341</t>
  </si>
  <si>
    <t>https://track.loadshare.net/order/5bKnp3w</t>
  </si>
  <si>
    <t>TMK7 | 9:23 AM | 2.6 KM</t>
  </si>
  <si>
    <t>QC_407-0455899-9331560</t>
  </si>
  <si>
    <t>https://track.loadshare.net/order/WW08lja</t>
  </si>
  <si>
    <t>TMK7 | 9:21 AM | 1.3 KM</t>
  </si>
  <si>
    <t>QC_404-9038931-7645907</t>
  </si>
  <si>
    <t>https://track.loadshare.net/order/92KeZ8J</t>
  </si>
  <si>
    <t>TMK7 | 9:21 AM | 1.2 KM</t>
  </si>
  <si>
    <t>QC_402-0146397-2277955</t>
  </si>
  <si>
    <t>https://track.loadshare.net/order/mWdjKlQ</t>
  </si>
  <si>
    <t>TMK7 | 9:19 AM | 1.8 KM</t>
  </si>
  <si>
    <t>QC_402-7266191-3652305</t>
  </si>
  <si>
    <t>https://track.loadshare.net/order/eldAvJJ</t>
  </si>
  <si>
    <t>TMK7 | 9:16 AM | 1.3 KM</t>
  </si>
  <si>
    <t>QC_404-2426033-2001115</t>
  </si>
  <si>
    <t>https://track.loadshare.net/order/LaXNeNL</t>
  </si>
  <si>
    <t>TMK7 | 9:16 AM | 1.2 KM</t>
  </si>
  <si>
    <t>QC_402-9717365-6629940</t>
  </si>
  <si>
    <t>https://track.loadshare.net/order/Rn9Wa8O</t>
  </si>
  <si>
    <t>TMK7 | 9:15 AM | 2.2 KM</t>
  </si>
  <si>
    <t>QC_408-7944398-1489919</t>
  </si>
  <si>
    <t>https://track.loadshare.net/order/0vKDWnM</t>
  </si>
  <si>
    <t>TMK7 | 9:12 AM | 1.5 KM</t>
  </si>
  <si>
    <t>QC_403-7995141-5660310</t>
  </si>
  <si>
    <t>https://track.loadshare.net/order/N5Q0xAY</t>
  </si>
  <si>
    <t>TMK7 | 9:12 AM | 0.6 KM</t>
  </si>
  <si>
    <t>QC_406-2024523-0601126</t>
  </si>
  <si>
    <t>https://track.loadshare.net/order/nedaKgo</t>
  </si>
  <si>
    <t>TMK7 | 9:12 AM | 2.3 KM</t>
  </si>
  <si>
    <t>QC_403-5828359-0958723</t>
  </si>
  <si>
    <t>https://track.loadshare.net/order/729YGDp</t>
  </si>
  <si>
    <t>TMK7 | 9:12 AM | 4.0 KM</t>
  </si>
  <si>
    <t>QC_408-9086671-4860314</t>
  </si>
  <si>
    <t>https://track.loadshare.net/order/N5Q0xnZ</t>
  </si>
  <si>
    <t>TMK7 | 9:12 AM | 2.0 KM</t>
  </si>
  <si>
    <t>QC_404-1729094-2661145</t>
  </si>
  <si>
    <t>https://track.loadshare.net/order/wkjmdVk</t>
  </si>
  <si>
    <t>TMK7 | 9:10 AM | 2.1 KM</t>
  </si>
  <si>
    <t>QC_406-2542669-0856347</t>
  </si>
  <si>
    <t>https://track.loadshare.net/order/E9VLAb1</t>
  </si>
  <si>
    <t>TMK7 | 9:07 AM | 2.1 KM</t>
  </si>
  <si>
    <t>QC_404-5723974-5669129</t>
  </si>
  <si>
    <t>https://track.loadshare.net/order/g0dlMy9</t>
  </si>
  <si>
    <t>TMK7 | 9:07 AM | 2.8 KM</t>
  </si>
  <si>
    <t>QC_402-6215936-7290725</t>
  </si>
  <si>
    <t>https://track.loadshare.net/order/0vKDLjJ</t>
  </si>
  <si>
    <t>TMK7 | 9:05 AM | 3.6 KM</t>
  </si>
  <si>
    <t>QC_405-8198771-4770738</t>
  </si>
  <si>
    <t>https://track.loadshare.net/order/kndW3X9</t>
  </si>
  <si>
    <t>TMK7 | 9:04 AM | 0.6 KM</t>
  </si>
  <si>
    <t>QC_407-5364062-4277121</t>
  </si>
  <si>
    <t>https://track.loadshare.net/order/aW0LKX8</t>
  </si>
  <si>
    <t>TMK7 | 9:04 AM | 2.0 KM</t>
  </si>
  <si>
    <t>QC_404-8326420-9295505</t>
  </si>
  <si>
    <t>https://track.loadshare.net/order/g0dl7DO</t>
  </si>
  <si>
    <t>QC_402-7616800-4630707</t>
  </si>
  <si>
    <t>https://track.loadshare.net/order/DDMJ28o</t>
  </si>
  <si>
    <t>TMK7 | 9:03 AM | 1.2 KM</t>
  </si>
  <si>
    <t>QC_403-0446856-4801163</t>
  </si>
  <si>
    <t>https://track.loadshare.net/order/LaXNg70</t>
  </si>
  <si>
    <t>TMK7 | 9:02 AM | 2.2 KM</t>
  </si>
  <si>
    <t>QC_404-3949995-6820327</t>
  </si>
  <si>
    <t>https://track.loadshare.net/order/Gx9NG2Q</t>
  </si>
  <si>
    <t>TMK7 | 9:01 AM | 1.3 KM</t>
  </si>
  <si>
    <t>QC_403-1178699-0017136</t>
  </si>
  <si>
    <t>https://track.loadshare.net/order/mWdjZBm</t>
  </si>
  <si>
    <t>TMK7 | 9:00 AM | 2.7 KM</t>
  </si>
  <si>
    <t>QC_407-1908158-3153906</t>
  </si>
  <si>
    <t>https://track.loadshare.net/order/4eAZvYA</t>
  </si>
  <si>
    <t>TMK7 | 9:00 AM | 2.4 KM</t>
  </si>
  <si>
    <t>QC_408-3246958-3596332</t>
  </si>
  <si>
    <t>https://track.loadshare.net/order/MqNQVGE</t>
  </si>
  <si>
    <t>TMK7 | 9:00 AM | 1.5 KM</t>
  </si>
  <si>
    <t>QC_404-0345246-8680344</t>
  </si>
  <si>
    <t>https://track.loadshare.net/order/0vKDRLX</t>
  </si>
  <si>
    <t>TMK7 | 8:59 AM | 2.4 KM</t>
  </si>
  <si>
    <t>QC_406-1689783-4559519</t>
  </si>
  <si>
    <t>https://track.loadshare.net/order/ZW08xZp</t>
  </si>
  <si>
    <t>TMK7 | 8:59 AM | 1.9 KM</t>
  </si>
  <si>
    <t>QC_404-8240428-0101922</t>
  </si>
  <si>
    <t>https://track.loadshare.net/order/nedaXO3</t>
  </si>
  <si>
    <t>TMK7 | 8:59 AM | 2.2 KM</t>
  </si>
  <si>
    <t>QC_402-0575468-6687549</t>
  </si>
  <si>
    <t>https://track.loadshare.net/order/yqaVODE</t>
  </si>
  <si>
    <t>TMK7 | 8:57 AM | 1.3 KM</t>
  </si>
  <si>
    <t>QC_405-1368706-0835505</t>
  </si>
  <si>
    <t>https://track.loadshare.net/order/DDMJdMx</t>
  </si>
  <si>
    <t>TMK7 | 8:56 AM | 2.1 KM</t>
  </si>
  <si>
    <t>QC_404-0068380-3632347</t>
  </si>
  <si>
    <t>https://track.loadshare.net/order/YW08dxa</t>
  </si>
  <si>
    <t>TMK7 | 8:55 AM | 1.4 KM</t>
  </si>
  <si>
    <t>QC_171-0768581-1969134</t>
  </si>
  <si>
    <t>https://track.loadshare.net/order/g0dlDae</t>
  </si>
  <si>
    <t>TMK7 | 8:54 AM | 1.2 KM</t>
  </si>
  <si>
    <t>QC_171-0214338-1853146</t>
  </si>
  <si>
    <t>https://track.loadshare.net/order/LaXNOD7</t>
  </si>
  <si>
    <t>TMK7 | 8:53 AM | 0.2 KM</t>
  </si>
  <si>
    <t>QC_404-8398606-9618758</t>
  </si>
  <si>
    <t>https://track.loadshare.net/order/QZ07QbG</t>
  </si>
  <si>
    <t>TMK7 | 8:53 AM | 1.4 KM</t>
  </si>
  <si>
    <t>QC_407-8862737-1155565</t>
  </si>
  <si>
    <t>https://track.loadshare.net/order/B5DLGKa</t>
  </si>
  <si>
    <t>TMK7 | 8:53 AM | 0.5 KM</t>
  </si>
  <si>
    <t>QC_402-3763610-5851541</t>
  </si>
  <si>
    <t>https://track.loadshare.net/order/xadMG5l</t>
  </si>
  <si>
    <t>TMK7 | 8:53 AM | 1.9 KM</t>
  </si>
  <si>
    <t>QC_404-1378621-3489112</t>
  </si>
  <si>
    <t>https://track.loadshare.net/order/nedabX3</t>
  </si>
  <si>
    <t>TMK7 | 8:53 AM | 2.0 KM</t>
  </si>
  <si>
    <t>QC_402-5330073-9328313</t>
  </si>
  <si>
    <t>https://track.loadshare.net/order/B5DLGxG</t>
  </si>
  <si>
    <t>TMK7 | 8:52 AM | 0.3 KM</t>
  </si>
  <si>
    <t>QC_406-0859929-8031518</t>
  </si>
  <si>
    <t>https://track.loadshare.net/order/VY0JAgA</t>
  </si>
  <si>
    <t>TMK7 | 8:51 AM | 1.4 KM</t>
  </si>
  <si>
    <t>QC_402-6630750-9867512</t>
  </si>
  <si>
    <t>https://track.loadshare.net/order/WW08Rwn</t>
  </si>
  <si>
    <t>TMK7 | 8:50 AM | 2.4 KM</t>
  </si>
  <si>
    <t>QC_402-5377077-1129112</t>
  </si>
  <si>
    <t>https://track.loadshare.net/order/B5DL8xY</t>
  </si>
  <si>
    <t>TMK7 | 8:50 AM | 2.2 KM</t>
  </si>
  <si>
    <t>QC_407-3636592-8166743</t>
  </si>
  <si>
    <t>https://track.loadshare.net/order/pJ0wYng</t>
  </si>
  <si>
    <t>TMK7 | 8:49 AM | 1.3 KM</t>
  </si>
  <si>
    <t>QC_407-3382929-3437921</t>
  </si>
  <si>
    <t>https://track.loadshare.net/order/0vKD87N</t>
  </si>
  <si>
    <t>TMK7 | 8:48 AM | 1.1 KM</t>
  </si>
  <si>
    <t>QC_403-5727868-5052361</t>
  </si>
  <si>
    <t>https://track.loadshare.net/order/1Yem4WE</t>
  </si>
  <si>
    <t>TMK7 | 8:48 AM | 1.0 KM</t>
  </si>
  <si>
    <t>QC_402-2211089-5596318</t>
  </si>
  <si>
    <t>https://track.loadshare.net/order/Rn9WpJx</t>
  </si>
  <si>
    <t>TMK7 | 8:47 AM | 0.4 KM</t>
  </si>
  <si>
    <t>QC_407-0967179-5293915</t>
  </si>
  <si>
    <t>https://track.loadshare.net/order/wkjmRRg</t>
  </si>
  <si>
    <t>TMK7 | 8:47 AM | 1.5 KM</t>
  </si>
  <si>
    <t>QC_408-0343669-9512356</t>
  </si>
  <si>
    <t>https://track.loadshare.net/order/v0kDB3j</t>
  </si>
  <si>
    <t>TMK7 | 8:47 AM | 3.0 KM</t>
  </si>
  <si>
    <t>QC_403-1243482-0373901</t>
  </si>
  <si>
    <t>https://track.loadshare.net/order/d0dLbvM</t>
  </si>
  <si>
    <t>TMK7 | 8:46 AM | 2.8 KM</t>
  </si>
  <si>
    <t>QC_404-6977319-7189169</t>
  </si>
  <si>
    <t>https://track.loadshare.net/order/A93bO4Z</t>
  </si>
  <si>
    <t>TMK7 | 8:45 AM | 2.8 KM</t>
  </si>
  <si>
    <t>QC_403-6527649-0772330</t>
  </si>
  <si>
    <t>https://track.loadshare.net/order/N5Q09Gl</t>
  </si>
  <si>
    <t>TMK7 | 8:45 AM | 0.9 KM</t>
  </si>
  <si>
    <t>QC_404-5411023-5208323</t>
  </si>
  <si>
    <t>https://track.loadshare.net/order/E9VLl4M</t>
  </si>
  <si>
    <t>TMK7 | 8:44 AM | 1.2 KM</t>
  </si>
  <si>
    <t>QC_406-4408304-6383549</t>
  </si>
  <si>
    <t>https://track.loadshare.net/order/qblgpw7</t>
  </si>
  <si>
    <t>TMK7 | 8:43 AM | 1.5 KM</t>
  </si>
  <si>
    <t>QC_402-7843868-2295540</t>
  </si>
  <si>
    <t>https://track.loadshare.net/order/mWdjl5n</t>
  </si>
  <si>
    <t>TMK7 | 8:40 AM | 0.3 KM</t>
  </si>
  <si>
    <t>QC_171-3371603-4959500</t>
  </si>
  <si>
    <t>https://track.loadshare.net/order/N5Q0MLk</t>
  </si>
  <si>
    <t>TMK7 | 8:40 AM | 1.4 KM</t>
  </si>
  <si>
    <t>QC_171-6518525-4282737</t>
  </si>
  <si>
    <t>https://track.loadshare.net/order/2vKMp05</t>
  </si>
  <si>
    <t>TMK7 | 8:39 AM | 0.0 KM</t>
  </si>
  <si>
    <t>QC_407-5851043-7869143</t>
  </si>
  <si>
    <t>https://track.loadshare.net/order/eldAJAm</t>
  </si>
  <si>
    <t>TMK7 | 8:39 AM | 2.1 KM</t>
  </si>
  <si>
    <t>QC_406-7845881-5385163</t>
  </si>
  <si>
    <t>https://track.loadshare.net/order/KgvNv4A</t>
  </si>
  <si>
    <t>TMK7 | 8:38 AM | 2.0 KM</t>
  </si>
  <si>
    <t>QC_404-9586490-0865937</t>
  </si>
  <si>
    <t>https://track.loadshare.net/order/N5Q0Qdl</t>
  </si>
  <si>
    <t>TMK7 | 8:36 AM | 2.3 KM</t>
  </si>
  <si>
    <t>QC_171-0802753-6880311</t>
  </si>
  <si>
    <t>https://track.loadshare.net/order/2vKMK7j</t>
  </si>
  <si>
    <t>TMK7 | 8:35 AM | 2.1 KM</t>
  </si>
  <si>
    <t>QC_404-6388085-3854768</t>
  </si>
  <si>
    <t>https://track.loadshare.net/order/3bKVOMk</t>
  </si>
  <si>
    <t>TMK7 | 8:33 AM | 3.1 KM</t>
  </si>
  <si>
    <t>QC_403-7852573-4495561</t>
  </si>
  <si>
    <t>https://track.loadshare.net/order/Gx9NJ2b</t>
  </si>
  <si>
    <t>TMK7 | 8:32 AM | 0.4 KM</t>
  </si>
  <si>
    <t>QC_408-8341855-0297133</t>
  </si>
  <si>
    <t>https://track.loadshare.net/order/WW08akv</t>
  </si>
  <si>
    <t>TMK7 | 8:32 AM | 2.7 KM</t>
  </si>
  <si>
    <t>QC_171-5798308-2631549</t>
  </si>
  <si>
    <t>https://track.loadshare.net/order/0vKDXxN</t>
  </si>
  <si>
    <t>TMK7 | 8:31 AM | 0.9 KM</t>
  </si>
  <si>
    <t>QC_407-7031933-8014729</t>
  </si>
  <si>
    <t>https://track.loadshare.net/order/g0dlR1N</t>
  </si>
  <si>
    <t>TMK7 | 8:31 AM | 1.3 KM</t>
  </si>
  <si>
    <t>QC_405-9769632-3624356</t>
  </si>
  <si>
    <t>https://track.loadshare.net/order/4eAZJRa</t>
  </si>
  <si>
    <t>TMK7 | 8:30 AM | 1.5 KM</t>
  </si>
  <si>
    <t>QC_402-0864106-2219555</t>
  </si>
  <si>
    <t>https://track.loadshare.net/order/mWdjML2</t>
  </si>
  <si>
    <t>TMK7 | 8:29 AM | 1.8 KM</t>
  </si>
  <si>
    <t>QC_171-1913929-9856350</t>
  </si>
  <si>
    <t>https://track.loadshare.net/order/Op0NRVL</t>
  </si>
  <si>
    <t>TMK7 | 8:29 AM | 1.7 KM</t>
  </si>
  <si>
    <t>QC_403-9209100-3406728</t>
  </si>
  <si>
    <t>https://track.loadshare.net/order/729YEp2</t>
  </si>
  <si>
    <t>TMK7 | 8:28 AM | 0.6 KM</t>
  </si>
  <si>
    <t>QC_408-3946966-3029114</t>
  </si>
  <si>
    <t>https://track.loadshare.net/order/92KeEYj</t>
  </si>
  <si>
    <t>TMK7 | 8:27 AM | 2.3 KM</t>
  </si>
  <si>
    <t>QC_407-7560167-1029153</t>
  </si>
  <si>
    <t>https://track.loadshare.net/order/wkjmZq3</t>
  </si>
  <si>
    <t>TMK7 | 8:24 AM | 1.2 KM</t>
  </si>
  <si>
    <t>QC_407-8932493-9413965</t>
  </si>
  <si>
    <t>https://track.loadshare.net/order/JMR9p5w</t>
  </si>
  <si>
    <t>TMK7 | 8:23 AM | 1.2 KM</t>
  </si>
  <si>
    <t>QC_405-2692945-0876351</t>
  </si>
  <si>
    <t>https://track.loadshare.net/order/Gx9Nq5A</t>
  </si>
  <si>
    <t>TMK7 | 8:19 AM | 1.2 KM</t>
  </si>
  <si>
    <t>QC_403-8829231-2317161</t>
  </si>
  <si>
    <t>https://track.loadshare.net/order/kndWWv4</t>
  </si>
  <si>
    <t>TMK7 | 8:19 AM | 1.1 KM</t>
  </si>
  <si>
    <t>QC_406-3604781-8337925</t>
  </si>
  <si>
    <t>https://track.loadshare.net/order/g0dllXe</t>
  </si>
  <si>
    <t>TMK7 | 8:18 AM | 1.0 KM</t>
  </si>
  <si>
    <t>QC_402-5781067-0683561</t>
  </si>
  <si>
    <t>https://track.loadshare.net/order/729YY8l</t>
  </si>
  <si>
    <t>TMK7 | 8:17 AM | 2.3 KM</t>
  </si>
  <si>
    <t>QC_406-0139404-3549933</t>
  </si>
  <si>
    <t>https://track.loadshare.net/order/5bKnnJn</t>
  </si>
  <si>
    <t>TMK7 | 8:13 AM | 1.4 KM</t>
  </si>
  <si>
    <t>QC_403-2566138-2106723</t>
  </si>
  <si>
    <t>https://track.loadshare.net/order/obdqKvZ</t>
  </si>
  <si>
    <t>TMK7 | 8:12 AM | 2.8 KM</t>
  </si>
  <si>
    <t>QC_171-7330689-2697139</t>
  </si>
  <si>
    <t>https://track.loadshare.net/order/MqNQal7</t>
  </si>
  <si>
    <t>TMK7 | 8:10 AM | 2.0 KM</t>
  </si>
  <si>
    <t>QC_405-1146483-0526737</t>
  </si>
  <si>
    <t>https://track.loadshare.net/order/729YAy8</t>
  </si>
  <si>
    <t>TMK7 | 8:09 AM | 3.1 KM</t>
  </si>
  <si>
    <t>QC_408-6138623-7405935</t>
  </si>
  <si>
    <t>https://track.loadshare.net/order/eldAMNA</t>
  </si>
  <si>
    <t>TMK7 | 8:08 AM | 2.4 KM</t>
  </si>
  <si>
    <t>QC_404-4533235-6606708</t>
  </si>
  <si>
    <t>https://track.loadshare.net/order/yqaVnXj</t>
  </si>
  <si>
    <t>TMK7 | 8:06 AM | 2.2 KM</t>
  </si>
  <si>
    <t>QC_405-1693792-6261962</t>
  </si>
  <si>
    <t>https://track.loadshare.net/order/729Ypn2</t>
  </si>
  <si>
    <t>TMK7 | 8:04 AM | 1.0 KM</t>
  </si>
  <si>
    <t>QC_402-6437856-1513111</t>
  </si>
  <si>
    <t>https://track.loadshare.net/order/2vKM2Qj</t>
  </si>
  <si>
    <t>TMK7 | 8:04 AM | 1.3 KM</t>
  </si>
  <si>
    <t>QC_402-1306198-3317155</t>
  </si>
  <si>
    <t>https://track.loadshare.net/order/5bKnw9b</t>
  </si>
  <si>
    <t>TMK7 | 8:04 AM | 2.2 KM</t>
  </si>
  <si>
    <t>QC_406-5167800-2839563</t>
  </si>
  <si>
    <t>https://track.loadshare.net/order/YW08EEM</t>
  </si>
  <si>
    <t>TMK7 | 8:04 AM | 3.9 KM</t>
  </si>
  <si>
    <t>QC_404-2776169-0121900</t>
  </si>
  <si>
    <t>https://track.loadshare.net/order/ZW08X7p</t>
  </si>
  <si>
    <t>TMK7 | 8:01 AM | 3.8 KM</t>
  </si>
  <si>
    <t>QC_406-5843308-1018712</t>
  </si>
  <si>
    <t>https://track.loadshare.net/order/WW08Yag</t>
  </si>
  <si>
    <t>TMK7 | 8:00 AM | 3.9 KM</t>
  </si>
  <si>
    <t>QC_407-0069291-6794762</t>
  </si>
  <si>
    <t>https://track.loadshare.net/order/Gx9NQQp</t>
  </si>
  <si>
    <t>TMK7 | 7:59 AM | 2.9 KM</t>
  </si>
  <si>
    <t>QC_404-3234999-5237910</t>
  </si>
  <si>
    <t>https://track.loadshare.net/order/d0dLvJ7</t>
  </si>
  <si>
    <t>TMK7 | 7:59 AM | 1.4 KM</t>
  </si>
  <si>
    <t>QC_405-5410962-6723535</t>
  </si>
  <si>
    <t>https://track.loadshare.net/order/nedayA3</t>
  </si>
  <si>
    <t>TMK7 | 7:56 AM | 2.2 KM</t>
  </si>
  <si>
    <t>QC_406-9356548-7059530</t>
  </si>
  <si>
    <t>https://track.loadshare.net/order/JMR9YBw</t>
  </si>
  <si>
    <t>TMK7 | 7:55 AM | 2.2 KM</t>
  </si>
  <si>
    <t>QC_402-7550827-7345914</t>
  </si>
  <si>
    <t>https://track.loadshare.net/order/0vKDN3p</t>
  </si>
  <si>
    <t>TMK7 | 7:54 AM | 1.1 KM</t>
  </si>
  <si>
    <t>QC_403-5540166-1816364</t>
  </si>
  <si>
    <t>https://track.loadshare.net/order/Gx9NYX3</t>
  </si>
  <si>
    <t>TMK7 | 7:53 AM | 2.7 KM</t>
  </si>
  <si>
    <t>QC_407-4382629-5346736</t>
  </si>
  <si>
    <t>https://track.loadshare.net/order/aW0LggQ</t>
  </si>
  <si>
    <t>TMK7 | 7:53 AM | 2.1 KM</t>
  </si>
  <si>
    <t>QC_404-4047464-6208300</t>
  </si>
  <si>
    <t>https://track.loadshare.net/order/obdqgWb</t>
  </si>
  <si>
    <t>XXXXXX4606</t>
  </si>
  <si>
    <t>TMK7 | 7:53 AM | 1.1 KM</t>
  </si>
  <si>
    <t>rohit salunkhe</t>
  </si>
  <si>
    <t>QC_403-2207779-3415546</t>
  </si>
  <si>
    <t>https://track.loadshare.net/order/5bKnvl8</t>
  </si>
  <si>
    <t>TMK7 | 7:53 AM | 1.4 KM</t>
  </si>
  <si>
    <t>QC_402-4504950-5874708</t>
  </si>
  <si>
    <t>https://track.loadshare.net/order/0vKDNbq</t>
  </si>
  <si>
    <t>TMK7 | 7:52 AM | 1.4 KM</t>
  </si>
  <si>
    <t>QC_407-2826573-5276306</t>
  </si>
  <si>
    <t>https://track.loadshare.net/order/MqNQ7k5</t>
  </si>
  <si>
    <t>TMK7 | 7:50 AM | 1.5 KM</t>
  </si>
  <si>
    <t>QC_404-0571196-0236329</t>
  </si>
  <si>
    <t>https://track.loadshare.net/order/Rn9W3oy</t>
  </si>
  <si>
    <t>TMK7 | 7:50 AM | 1.2 KM</t>
  </si>
  <si>
    <t>QC_171-1572968-3368317</t>
  </si>
  <si>
    <t>https://track.loadshare.net/order/0vKD1OM</t>
  </si>
  <si>
    <t>TMK7 | 7:45 AM | 2.1 KM</t>
  </si>
  <si>
    <t>QC_407-3196933-9273927</t>
  </si>
  <si>
    <t>https://track.loadshare.net/order/WW08Bnv</t>
  </si>
  <si>
    <t>TMK7 | 7:42 AM | 2.8 KM</t>
  </si>
  <si>
    <t>QC_408-7991352-4857939</t>
  </si>
  <si>
    <t>https://track.loadshare.net/order/g0dlyBR</t>
  </si>
  <si>
    <t>TMK7 | 7:41 AM | 1.6 KM</t>
  </si>
  <si>
    <t>QC_406-4334006-1750747</t>
  </si>
  <si>
    <t>https://track.loadshare.net/order/lAdWjoY</t>
  </si>
  <si>
    <t>TMK7 | 7:39 AM | 0.4 KM</t>
  </si>
  <si>
    <t>QC_407-1043916-1989916</t>
  </si>
  <si>
    <t>https://track.loadshare.net/order/yqaVN4R</t>
  </si>
  <si>
    <t>TMK7 | 7:34 AM | 0.2 KM</t>
  </si>
  <si>
    <t>QC_406-5470290-5257160</t>
  </si>
  <si>
    <t>https://track.loadshare.net/order/v0kD0eX</t>
  </si>
  <si>
    <t>TMK7 | 7:34 AM | 1.4 KM</t>
  </si>
  <si>
    <t>QC_403-3111967-4658710</t>
  </si>
  <si>
    <t>https://track.loadshare.net/order/827R213</t>
  </si>
  <si>
    <t>TMK7 | 7:31 AM | 1.4 KM</t>
  </si>
  <si>
    <t>QC_404-8513444-6947564</t>
  </si>
  <si>
    <t>https://track.loadshare.net/order/Gx9NxRQ</t>
  </si>
  <si>
    <t>TMK7 | 7:31 AM | 1.8 KM</t>
  </si>
  <si>
    <t>QC_408-8340419-7937963</t>
  </si>
  <si>
    <t>https://track.loadshare.net/order/3bKVbpp</t>
  </si>
  <si>
    <t>TMK7 | 7:31 AM | 2.1 KM</t>
  </si>
  <si>
    <t>QC_408-9415023-7998768</t>
  </si>
  <si>
    <t>https://track.loadshare.net/order/YW08WNl</t>
  </si>
  <si>
    <t>TMK7 | 7:29 AM | 1.4 KM</t>
  </si>
  <si>
    <t>QC_404-9387200-9770705</t>
  </si>
  <si>
    <t>https://track.loadshare.net/order/LaXN8E7</t>
  </si>
  <si>
    <t>TMK7 | 7:22 AM | 1.2 KM</t>
  </si>
  <si>
    <t>QC_407-2316950-3649903</t>
  </si>
  <si>
    <t>https://track.loadshare.net/order/kndWXOw</t>
  </si>
  <si>
    <t>TMK7 | 7:22 AM | 0.9 KM</t>
  </si>
  <si>
    <t>QC_402-4907310-6625927</t>
  </si>
  <si>
    <t>https://track.loadshare.net/order/Xn08ZqO</t>
  </si>
  <si>
    <t>TMK7 | 7:20 AM | 3.1 KM</t>
  </si>
  <si>
    <t>QC_406-7653718-6341963</t>
  </si>
  <si>
    <t>https://track.loadshare.net/order/92Kewod</t>
  </si>
  <si>
    <t>TMK7 | 7:14 AM | 3.3 KM</t>
  </si>
  <si>
    <t>QC_404-8260739-9229109</t>
  </si>
  <si>
    <t>https://track.loadshare.net/order/DDMV3vL</t>
  </si>
  <si>
    <t>XXXXXX4916</t>
  </si>
  <si>
    <t>TMK7 | 7:13 AM | 2.1 KM</t>
  </si>
  <si>
    <t>Vishal Vitthal More</t>
  </si>
  <si>
    <t>QC_171-4274004-5119500</t>
  </si>
  <si>
    <t>https://track.loadshare.net/order/QZ0Rd5O</t>
  </si>
  <si>
    <t>TMK7 | 7:00 AM | 0.6 KM</t>
  </si>
  <si>
    <t>QC_402-4955788-4792365</t>
  </si>
  <si>
    <t>https://track.loadshare.net/order/yqaeYb0</t>
  </si>
  <si>
    <t>TMK7 | 6:59 AM | 2.1 KM</t>
  </si>
  <si>
    <t>QC_403-8970622-2962700</t>
  </si>
  <si>
    <t>https://track.loadshare.net/order/MqN9xq1</t>
  </si>
  <si>
    <t>TMK7 | 6:32 AM | 1.7 KM</t>
  </si>
  <si>
    <t>QC_407-6679239-1756302</t>
  </si>
  <si>
    <t>https://track.loadshare.net/order/Kgvedb0</t>
  </si>
  <si>
    <t>TMK7 | 6:22 AM | 1.2 KM</t>
  </si>
  <si>
    <t>QC_407-0444194-0117106</t>
  </si>
  <si>
    <t>https://track.loadshare.net/order/nedjxAN</t>
  </si>
  <si>
    <t>TMK7 | 6:13 AM | 1.5 KM</t>
  </si>
  <si>
    <t>QC_405-9669210-1387529</t>
  </si>
  <si>
    <t>https://track.loadshare.net/order/YW0939a</t>
  </si>
  <si>
    <t>TMK7 | 6:11 AM | 1.5 KM</t>
  </si>
  <si>
    <t>QC_171-5981922-2514743</t>
  </si>
  <si>
    <t>https://track.loadshare.net/order/B5DmWoJ</t>
  </si>
  <si>
    <t>TMK7 | 6:04 AM | 1.2 KM</t>
  </si>
  <si>
    <t>QC_171-3842986-6964349</t>
  </si>
  <si>
    <t>https://track.loadshare.net/order/MqN9217</t>
  </si>
  <si>
    <t xml:space="preserve">ZAHID HUSSAIN </t>
  </si>
  <si>
    <t xml:space="preserve">Shubham ramesh kaithal </t>
  </si>
  <si>
    <t xml:space="preserve">SAMARTH SANJAY GHODAKE </t>
  </si>
  <si>
    <t xml:space="preserve">Shubham suresh giri </t>
  </si>
  <si>
    <t xml:space="preserve">Ganesh shankar pawar </t>
  </si>
  <si>
    <t xml:space="preserve">Rajankumar Ramesh Sah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</si>
</sst>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\-dd\-yyyy\ h:mm"/>
    <numFmt numFmtId="166" formatCode="mm/dd/yyyy\ h:mm"/>
  </numFmts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11"/>
      <color rgb="FF000000"/>
      <name val="&quot;Aptos Narrow&quot;"/>
    </font>
    <font>
      <u/>
      <sz val="12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11" fontId="2" fillId="0" borderId="0" xfId="0" applyNumberFormat="1" applyFont="1" applyAlignment="1">
      <alignment horizontal="right"/>
    </xf>
    <xf numFmtId="22" fontId="2" fillId="0" borderId="0" xfId="0" applyNumberFormat="1" applyFont="1"/>
    <xf numFmtId="0" fontId="2" fillId="0" borderId="0" xfId="0" applyFont="1" applyAlignment="1">
      <alignment horizontal="right"/>
    </xf>
    <xf numFmtId="22" fontId="2" fillId="0" borderId="0" xfId="0" applyNumberFormat="1" applyFont="1" applyAlignment="1">
      <alignment horizontal="center"/>
    </xf>
    <xf numFmtId="0" fontId="4" fillId="0" borderId="0" xfId="0" applyFont="1"/>
    <xf numFmtId="18" fontId="2" fillId="0" borderId="0" xfId="0" applyNumberFormat="1" applyFont="1" applyAlignment="1">
      <alignment horizontal="right"/>
    </xf>
    <xf numFmtId="0" fontId="1" fillId="0" borderId="0" xfId="0" applyFont="1"/>
    <xf numFmtId="165" fontId="2" fillId="0" borderId="0" xfId="0" applyNumberFormat="1" applyFont="1"/>
    <xf numFmtId="11" fontId="2" fillId="0" borderId="0" xfId="0" applyNumberFormat="1" applyFont="1"/>
    <xf numFmtId="22" fontId="2" fillId="0" borderId="0" xfId="0" applyNumberFormat="1" applyFont="1" applyAlignment="1">
      <alignment horizontal="right"/>
    </xf>
    <xf numFmtId="166" fontId="2" fillId="0" borderId="0" xfId="0" applyNumberFormat="1" applyFont="1"/>
    <xf numFmtId="11" fontId="5" fillId="0" borderId="0" xfId="0" applyNumberFormat="1" applyFont="1" applyAlignment="1">
      <alignment horizontal="right"/>
    </xf>
    <xf numFmtId="2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22" fontId="5" fillId="0" borderId="0" xfId="0" applyNumberFormat="1" applyFont="1"/>
    <xf numFmtId="18" fontId="5" fillId="0" borderId="0" xfId="0" applyNumberFormat="1" applyFont="1" applyAlignment="1">
      <alignment horizontal="right"/>
    </xf>
    <xf numFmtId="166" fontId="5" fillId="0" borderId="0" xfId="0" applyNumberFormat="1" applyFont="1"/>
    <xf numFmtId="0" fontId="5" fillId="0" borderId="0" xfId="0" applyFont="1" applyAlignment="1">
      <alignment horizontal="center"/>
    </xf>
    <xf numFmtId="11" fontId="5" fillId="0" borderId="0" xfId="0" applyNumberFormat="1" applyFont="1"/>
    <xf numFmtId="165" fontId="5" fillId="0" borderId="0" xfId="0" applyNumberFormat="1" applyFont="1"/>
    <xf numFmtId="22" fontId="1" fillId="0" borderId="0" xfId="0" applyNumberFormat="1" applyFont="1"/>
    <xf numFmtId="0" fontId="7" fillId="0" borderId="0" xfId="0" applyFont="1"/>
    <xf numFmtId="18" fontId="1" fillId="0" borderId="0" xfId="0" applyNumberFormat="1" applyFont="1"/>
    <xf numFmtId="4" fontId="1" fillId="0" borderId="0" xfId="0" applyNumberFormat="1" applyFont="1"/>
    <xf numFmtId="22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ack.loadshare.net/order/0vKKoWp" TargetMode="External"/><Relationship Id="rId671" Type="http://schemas.openxmlformats.org/officeDocument/2006/relationships/hyperlink" Target="https://track.loadshare.net/order/5bK97JV" TargetMode="External"/><Relationship Id="rId769" Type="http://schemas.openxmlformats.org/officeDocument/2006/relationships/hyperlink" Target="https://track.loadshare.net/order/d0dV1Zp" TargetMode="External"/><Relationship Id="rId21" Type="http://schemas.openxmlformats.org/officeDocument/2006/relationships/hyperlink" Target="https://track.loadshare.net/order/4eA5ogp" TargetMode="External"/><Relationship Id="rId324" Type="http://schemas.openxmlformats.org/officeDocument/2006/relationships/hyperlink" Target="https://track.loadshare.net/order/obdGY8Z" TargetMode="External"/><Relationship Id="rId531" Type="http://schemas.openxmlformats.org/officeDocument/2006/relationships/hyperlink" Target="https://track.loadshare.net/order/YW0YXxa" TargetMode="External"/><Relationship Id="rId629" Type="http://schemas.openxmlformats.org/officeDocument/2006/relationships/hyperlink" Target="https://track.loadshare.net/order/wkjQ9x3" TargetMode="External"/><Relationship Id="rId170" Type="http://schemas.openxmlformats.org/officeDocument/2006/relationships/hyperlink" Target="https://track.loadshare.net/order/2vKKy45" TargetMode="External"/><Relationship Id="rId836" Type="http://schemas.openxmlformats.org/officeDocument/2006/relationships/hyperlink" Target="https://track.loadshare.net/order/Op0NOAl" TargetMode="External"/><Relationship Id="rId268" Type="http://schemas.openxmlformats.org/officeDocument/2006/relationships/hyperlink" Target="https://track.loadshare.net/order/A930J0m" TargetMode="External"/><Relationship Id="rId475" Type="http://schemas.openxmlformats.org/officeDocument/2006/relationships/hyperlink" Target="https://track.loadshare.net/order/KgvZBKM" TargetMode="External"/><Relationship Id="rId682" Type="http://schemas.openxmlformats.org/officeDocument/2006/relationships/hyperlink" Target="https://track.loadshare.net/order/eldjElA" TargetMode="External"/><Relationship Id="rId903" Type="http://schemas.openxmlformats.org/officeDocument/2006/relationships/hyperlink" Target="https://track.loadshare.net/order/WW08akv" TargetMode="External"/><Relationship Id="rId32" Type="http://schemas.openxmlformats.org/officeDocument/2006/relationships/hyperlink" Target="https://track.loadshare.net/order/pJ0ag8l" TargetMode="External"/><Relationship Id="rId128" Type="http://schemas.openxmlformats.org/officeDocument/2006/relationships/hyperlink" Target="https://track.loadshare.net/order/qbllvyN" TargetMode="External"/><Relationship Id="rId335" Type="http://schemas.openxmlformats.org/officeDocument/2006/relationships/hyperlink" Target="https://track.loadshare.net/order/aW0M7eA" TargetMode="External"/><Relationship Id="rId542" Type="http://schemas.openxmlformats.org/officeDocument/2006/relationships/hyperlink" Target="https://track.loadshare.net/order/3bKxGKR" TargetMode="External"/><Relationship Id="rId181" Type="http://schemas.openxmlformats.org/officeDocument/2006/relationships/hyperlink" Target="https://track.loadshare.net/order/Xn002GD" TargetMode="External"/><Relationship Id="rId402" Type="http://schemas.openxmlformats.org/officeDocument/2006/relationships/hyperlink" Target="https://track.loadshare.net/order/g0dRyk5" TargetMode="External"/><Relationship Id="rId847" Type="http://schemas.openxmlformats.org/officeDocument/2006/relationships/hyperlink" Target="https://track.loadshare.net/order/LaXNeNL" TargetMode="External"/><Relationship Id="rId279" Type="http://schemas.openxmlformats.org/officeDocument/2006/relationships/hyperlink" Target="https://track.loadshare.net/order/mWdVkYN" TargetMode="External"/><Relationship Id="rId486" Type="http://schemas.openxmlformats.org/officeDocument/2006/relationships/hyperlink" Target="https://track.loadshare.net/order/aW0Ryo1" TargetMode="External"/><Relationship Id="rId693" Type="http://schemas.openxmlformats.org/officeDocument/2006/relationships/hyperlink" Target="https://track.loadshare.net/order/MqN3Je5" TargetMode="External"/><Relationship Id="rId707" Type="http://schemas.openxmlformats.org/officeDocument/2006/relationships/hyperlink" Target="https://track.loadshare.net/order/eldjXAK" TargetMode="External"/><Relationship Id="rId914" Type="http://schemas.openxmlformats.org/officeDocument/2006/relationships/hyperlink" Target="https://track.loadshare.net/order/kndWWv4" TargetMode="External"/><Relationship Id="rId43" Type="http://schemas.openxmlformats.org/officeDocument/2006/relationships/hyperlink" Target="https://track.loadshare.net/order/B5DQEAJ" TargetMode="External"/><Relationship Id="rId139" Type="http://schemas.openxmlformats.org/officeDocument/2006/relationships/hyperlink" Target="https://track.loadshare.net/order/yqaaJnE" TargetMode="External"/><Relationship Id="rId346" Type="http://schemas.openxmlformats.org/officeDocument/2006/relationships/hyperlink" Target="https://track.loadshare.net/order/mWd9nkm" TargetMode="External"/><Relationship Id="rId553" Type="http://schemas.openxmlformats.org/officeDocument/2006/relationships/hyperlink" Target="https://track.loadshare.net/order/LaXAA9b" TargetMode="External"/><Relationship Id="rId760" Type="http://schemas.openxmlformats.org/officeDocument/2006/relationships/hyperlink" Target="https://track.loadshare.net/order/xadEVyJ" TargetMode="External"/><Relationship Id="rId192" Type="http://schemas.openxmlformats.org/officeDocument/2006/relationships/hyperlink" Target="https://track.loadshare.net/order/N5QQ4Bb" TargetMode="External"/><Relationship Id="rId206" Type="http://schemas.openxmlformats.org/officeDocument/2006/relationships/hyperlink" Target="https://track.loadshare.net/order/qblljbv" TargetMode="External"/><Relationship Id="rId413" Type="http://schemas.openxmlformats.org/officeDocument/2006/relationships/hyperlink" Target="https://track.loadshare.net/order/E9V5MAM" TargetMode="External"/><Relationship Id="rId858" Type="http://schemas.openxmlformats.org/officeDocument/2006/relationships/hyperlink" Target="https://track.loadshare.net/order/kndW3X9" TargetMode="External"/><Relationship Id="rId497" Type="http://schemas.openxmlformats.org/officeDocument/2006/relationships/hyperlink" Target="https://track.loadshare.net/order/Rn9e8EA" TargetMode="External"/><Relationship Id="rId620" Type="http://schemas.openxmlformats.org/officeDocument/2006/relationships/hyperlink" Target="https://track.loadshare.net/order/4eA7V49" TargetMode="External"/><Relationship Id="rId718" Type="http://schemas.openxmlformats.org/officeDocument/2006/relationships/hyperlink" Target="https://track.loadshare.net/order/N5QpOdY" TargetMode="External"/><Relationship Id="rId925" Type="http://schemas.openxmlformats.org/officeDocument/2006/relationships/hyperlink" Target="https://track.loadshare.net/order/5bKnw9b" TargetMode="External"/><Relationship Id="rId357" Type="http://schemas.openxmlformats.org/officeDocument/2006/relationships/hyperlink" Target="https://track.loadshare.net/order/d0dnkje" TargetMode="External"/><Relationship Id="rId54" Type="http://schemas.openxmlformats.org/officeDocument/2006/relationships/hyperlink" Target="https://track.loadshare.net/order/mWdJjqn" TargetMode="External"/><Relationship Id="rId217" Type="http://schemas.openxmlformats.org/officeDocument/2006/relationships/hyperlink" Target="https://track.loadshare.net/order/3bKOmx3" TargetMode="External"/><Relationship Id="rId564" Type="http://schemas.openxmlformats.org/officeDocument/2006/relationships/hyperlink" Target="https://track.loadshare.net/order/jxdW73V" TargetMode="External"/><Relationship Id="rId771" Type="http://schemas.openxmlformats.org/officeDocument/2006/relationships/hyperlink" Target="https://track.loadshare.net/order/lAdpJNY" TargetMode="External"/><Relationship Id="rId869" Type="http://schemas.openxmlformats.org/officeDocument/2006/relationships/hyperlink" Target="https://track.loadshare.net/order/nedaXO3" TargetMode="External"/><Relationship Id="rId424" Type="http://schemas.openxmlformats.org/officeDocument/2006/relationships/hyperlink" Target="https://track.loadshare.net/order/DDMGKMX" TargetMode="External"/><Relationship Id="rId631" Type="http://schemas.openxmlformats.org/officeDocument/2006/relationships/hyperlink" Target="https://track.loadshare.net/order/827wvRn" TargetMode="External"/><Relationship Id="rId729" Type="http://schemas.openxmlformats.org/officeDocument/2006/relationships/hyperlink" Target="https://track.loadshare.net/order/Gx9eO03" TargetMode="External"/><Relationship Id="rId270" Type="http://schemas.openxmlformats.org/officeDocument/2006/relationships/hyperlink" Target="https://track.loadshare.net/order/Op0ALeK" TargetMode="External"/><Relationship Id="rId936" Type="http://schemas.openxmlformats.org/officeDocument/2006/relationships/hyperlink" Target="https://track.loadshare.net/order/obdqgWb" TargetMode="External"/><Relationship Id="rId65" Type="http://schemas.openxmlformats.org/officeDocument/2006/relationships/hyperlink" Target="https://track.loadshare.net/order/2vKp2Ne" TargetMode="External"/><Relationship Id="rId130" Type="http://schemas.openxmlformats.org/officeDocument/2006/relationships/hyperlink" Target="https://track.loadshare.net/order/1YeeMGA" TargetMode="External"/><Relationship Id="rId368" Type="http://schemas.openxmlformats.org/officeDocument/2006/relationships/hyperlink" Target="https://track.loadshare.net/order/obdGGKM" TargetMode="External"/><Relationship Id="rId575" Type="http://schemas.openxmlformats.org/officeDocument/2006/relationships/hyperlink" Target="https://track.loadshare.net/order/wkjZDnm" TargetMode="External"/><Relationship Id="rId782" Type="http://schemas.openxmlformats.org/officeDocument/2006/relationships/hyperlink" Target="https://track.loadshare.net/order/xadEoWV" TargetMode="External"/><Relationship Id="rId228" Type="http://schemas.openxmlformats.org/officeDocument/2006/relationships/hyperlink" Target="https://track.loadshare.net/order/2vKO5M7" TargetMode="External"/><Relationship Id="rId435" Type="http://schemas.openxmlformats.org/officeDocument/2006/relationships/hyperlink" Target="https://track.loadshare.net/order/Xn03apQ" TargetMode="External"/><Relationship Id="rId642" Type="http://schemas.openxmlformats.org/officeDocument/2006/relationships/hyperlink" Target="https://track.loadshare.net/order/qbl9Mkv" TargetMode="External"/><Relationship Id="rId281" Type="http://schemas.openxmlformats.org/officeDocument/2006/relationships/hyperlink" Target="https://track.loadshare.net/order/jxdD1k1" TargetMode="External"/><Relationship Id="rId502" Type="http://schemas.openxmlformats.org/officeDocument/2006/relationships/hyperlink" Target="https://track.loadshare.net/order/1Yex3OY" TargetMode="External"/><Relationship Id="rId947" Type="http://schemas.openxmlformats.org/officeDocument/2006/relationships/hyperlink" Target="https://track.loadshare.net/order/827R213" TargetMode="External"/><Relationship Id="rId76" Type="http://schemas.openxmlformats.org/officeDocument/2006/relationships/hyperlink" Target="https://track.loadshare.net/order/QZ0nGaV" TargetMode="External"/><Relationship Id="rId141" Type="http://schemas.openxmlformats.org/officeDocument/2006/relationships/hyperlink" Target="https://track.loadshare.net/order/1Yee4Eg" TargetMode="External"/><Relationship Id="rId379" Type="http://schemas.openxmlformats.org/officeDocument/2006/relationships/hyperlink" Target="https://track.loadshare.net/order/aW0M5ak" TargetMode="External"/><Relationship Id="rId586" Type="http://schemas.openxmlformats.org/officeDocument/2006/relationships/hyperlink" Target="https://track.loadshare.net/order/jxdWelp" TargetMode="External"/><Relationship Id="rId793" Type="http://schemas.openxmlformats.org/officeDocument/2006/relationships/hyperlink" Target="https://track.loadshare.net/order/YW0aa5w" TargetMode="External"/><Relationship Id="rId807" Type="http://schemas.openxmlformats.org/officeDocument/2006/relationships/hyperlink" Target="https://track.loadshare.net/order/g0doZ5e" TargetMode="External"/><Relationship Id="rId7" Type="http://schemas.openxmlformats.org/officeDocument/2006/relationships/hyperlink" Target="https://track.loadshare.net/order/DDMaXDx" TargetMode="External"/><Relationship Id="rId239" Type="http://schemas.openxmlformats.org/officeDocument/2006/relationships/hyperlink" Target="https://track.loadshare.net/order/2vKOmA5" TargetMode="External"/><Relationship Id="rId446" Type="http://schemas.openxmlformats.org/officeDocument/2006/relationships/hyperlink" Target="https://track.loadshare.net/order/5bKEOlx" TargetMode="External"/><Relationship Id="rId653" Type="http://schemas.openxmlformats.org/officeDocument/2006/relationships/hyperlink" Target="https://track.loadshare.net/order/Gx9qLvR" TargetMode="External"/><Relationship Id="rId292" Type="http://schemas.openxmlformats.org/officeDocument/2006/relationships/hyperlink" Target="https://track.loadshare.net/order/Gx9LQ2b" TargetMode="External"/><Relationship Id="rId306" Type="http://schemas.openxmlformats.org/officeDocument/2006/relationships/hyperlink" Target="https://track.loadshare.net/order/wkjl45q" TargetMode="External"/><Relationship Id="rId860" Type="http://schemas.openxmlformats.org/officeDocument/2006/relationships/hyperlink" Target="https://track.loadshare.net/order/g0dl7DO" TargetMode="External"/><Relationship Id="rId958" Type="http://schemas.openxmlformats.org/officeDocument/2006/relationships/hyperlink" Target="https://track.loadshare.net/order/MqN9xq1" TargetMode="External"/><Relationship Id="rId87" Type="http://schemas.openxmlformats.org/officeDocument/2006/relationships/hyperlink" Target="https://track.loadshare.net/order/LaXDqkk" TargetMode="External"/><Relationship Id="rId513" Type="http://schemas.openxmlformats.org/officeDocument/2006/relationships/hyperlink" Target="https://track.loadshare.net/order/d0dA2jp" TargetMode="External"/><Relationship Id="rId597" Type="http://schemas.openxmlformats.org/officeDocument/2006/relationships/hyperlink" Target="https://track.loadshare.net/order/B5DMVM0" TargetMode="External"/><Relationship Id="rId720" Type="http://schemas.openxmlformats.org/officeDocument/2006/relationships/hyperlink" Target="https://track.loadshare.net/order/82703Ka" TargetMode="External"/><Relationship Id="rId818" Type="http://schemas.openxmlformats.org/officeDocument/2006/relationships/hyperlink" Target="https://track.loadshare.net/order/qblmkb5" TargetMode="External"/><Relationship Id="rId152" Type="http://schemas.openxmlformats.org/officeDocument/2006/relationships/hyperlink" Target="https://track.loadshare.net/order/Gx99gjB" TargetMode="External"/><Relationship Id="rId457" Type="http://schemas.openxmlformats.org/officeDocument/2006/relationships/hyperlink" Target="https://track.loadshare.net/order/KgvZeBG" TargetMode="External"/><Relationship Id="rId664" Type="http://schemas.openxmlformats.org/officeDocument/2006/relationships/hyperlink" Target="https://track.loadshare.net/order/2vKQ0pg" TargetMode="External"/><Relationship Id="rId871" Type="http://schemas.openxmlformats.org/officeDocument/2006/relationships/hyperlink" Target="https://track.loadshare.net/order/DDMJdMx" TargetMode="External"/><Relationship Id="rId14" Type="http://schemas.openxmlformats.org/officeDocument/2006/relationships/hyperlink" Target="https://track.loadshare.net/order/VY0XNMo" TargetMode="External"/><Relationship Id="rId317" Type="http://schemas.openxmlformats.org/officeDocument/2006/relationships/hyperlink" Target="https://track.loadshare.net/order/LaXbkl7" TargetMode="External"/><Relationship Id="rId524" Type="http://schemas.openxmlformats.org/officeDocument/2006/relationships/hyperlink" Target="https://track.loadshare.net/order/92KqXZd" TargetMode="External"/><Relationship Id="rId731" Type="http://schemas.openxmlformats.org/officeDocument/2006/relationships/hyperlink" Target="https://track.loadshare.net/order/5bK0W8L" TargetMode="External"/><Relationship Id="rId98" Type="http://schemas.openxmlformats.org/officeDocument/2006/relationships/hyperlink" Target="https://track.loadshare.net/order/g0ddXOO" TargetMode="External"/><Relationship Id="rId163" Type="http://schemas.openxmlformats.org/officeDocument/2006/relationships/hyperlink" Target="https://track.loadshare.net/order/lAddpZx" TargetMode="External"/><Relationship Id="rId370" Type="http://schemas.openxmlformats.org/officeDocument/2006/relationships/hyperlink" Target="https://track.loadshare.net/order/YW0wY3L" TargetMode="External"/><Relationship Id="rId829" Type="http://schemas.openxmlformats.org/officeDocument/2006/relationships/hyperlink" Target="https://track.loadshare.net/order/Xn0oKev" TargetMode="External"/><Relationship Id="rId230" Type="http://schemas.openxmlformats.org/officeDocument/2006/relationships/hyperlink" Target="https://track.loadshare.net/order/ZW0A15O" TargetMode="External"/><Relationship Id="rId468" Type="http://schemas.openxmlformats.org/officeDocument/2006/relationships/hyperlink" Target="https://track.loadshare.net/order/3bK1DAR" TargetMode="External"/><Relationship Id="rId675" Type="http://schemas.openxmlformats.org/officeDocument/2006/relationships/hyperlink" Target="https://track.loadshare.net/order/DDMoQjX" TargetMode="External"/><Relationship Id="rId882" Type="http://schemas.openxmlformats.org/officeDocument/2006/relationships/hyperlink" Target="https://track.loadshare.net/order/B5DL8xY" TargetMode="External"/><Relationship Id="rId25" Type="http://schemas.openxmlformats.org/officeDocument/2006/relationships/hyperlink" Target="https://track.loadshare.net/order/Xn0QdZR" TargetMode="External"/><Relationship Id="rId328" Type="http://schemas.openxmlformats.org/officeDocument/2006/relationships/hyperlink" Target="https://track.loadshare.net/order/A93JBy2" TargetMode="External"/><Relationship Id="rId535" Type="http://schemas.openxmlformats.org/officeDocument/2006/relationships/hyperlink" Target="https://track.loadshare.net/order/yqaoZ00" TargetMode="External"/><Relationship Id="rId742" Type="http://schemas.openxmlformats.org/officeDocument/2006/relationships/hyperlink" Target="https://track.loadshare.net/order/B5De1ZY" TargetMode="External"/><Relationship Id="rId174" Type="http://schemas.openxmlformats.org/officeDocument/2006/relationships/hyperlink" Target="https://track.loadshare.net/order/d0ddmYE" TargetMode="External"/><Relationship Id="rId381" Type="http://schemas.openxmlformats.org/officeDocument/2006/relationships/hyperlink" Target="https://track.loadshare.net/order/E9VbEq2" TargetMode="External"/><Relationship Id="rId602" Type="http://schemas.openxmlformats.org/officeDocument/2006/relationships/hyperlink" Target="https://track.loadshare.net/order/0vKAMxn" TargetMode="External"/><Relationship Id="rId241" Type="http://schemas.openxmlformats.org/officeDocument/2006/relationships/hyperlink" Target="https://track.loadshare.net/order/B5DEAjY" TargetMode="External"/><Relationship Id="rId479" Type="http://schemas.openxmlformats.org/officeDocument/2006/relationships/hyperlink" Target="https://track.loadshare.net/order/ZW0m7mn" TargetMode="External"/><Relationship Id="rId686" Type="http://schemas.openxmlformats.org/officeDocument/2006/relationships/hyperlink" Target="https://track.loadshare.net/order/2vKQ7Ko" TargetMode="External"/><Relationship Id="rId893" Type="http://schemas.openxmlformats.org/officeDocument/2006/relationships/hyperlink" Target="https://track.loadshare.net/order/qblgpw7" TargetMode="External"/><Relationship Id="rId907" Type="http://schemas.openxmlformats.org/officeDocument/2006/relationships/hyperlink" Target="https://track.loadshare.net/order/mWdjML2" TargetMode="External"/><Relationship Id="rId36" Type="http://schemas.openxmlformats.org/officeDocument/2006/relationships/hyperlink" Target="https://track.loadshare.net/order/pJ0aOq1" TargetMode="External"/><Relationship Id="rId339" Type="http://schemas.openxmlformats.org/officeDocument/2006/relationships/hyperlink" Target="https://track.loadshare.net/order/B5DJabg" TargetMode="External"/><Relationship Id="rId546" Type="http://schemas.openxmlformats.org/officeDocument/2006/relationships/hyperlink" Target="https://track.loadshare.net/order/B5DMDn0" TargetMode="External"/><Relationship Id="rId753" Type="http://schemas.openxmlformats.org/officeDocument/2006/relationships/hyperlink" Target="https://track.loadshare.net/order/eldZnAJ" TargetMode="External"/><Relationship Id="rId101" Type="http://schemas.openxmlformats.org/officeDocument/2006/relationships/hyperlink" Target="https://track.loadshare.net/order/Rn99wVA" TargetMode="External"/><Relationship Id="rId185" Type="http://schemas.openxmlformats.org/officeDocument/2006/relationships/hyperlink" Target="https://track.loadshare.net/order/LaXXlDk" TargetMode="External"/><Relationship Id="rId406" Type="http://schemas.openxmlformats.org/officeDocument/2006/relationships/hyperlink" Target="https://track.loadshare.net/order/5bKJYQL" TargetMode="External"/><Relationship Id="rId960" Type="http://schemas.openxmlformats.org/officeDocument/2006/relationships/hyperlink" Target="https://track.loadshare.net/order/nedjxAN" TargetMode="External"/><Relationship Id="rId392" Type="http://schemas.openxmlformats.org/officeDocument/2006/relationships/hyperlink" Target="https://track.loadshare.net/order/QZ0exJj" TargetMode="External"/><Relationship Id="rId613" Type="http://schemas.openxmlformats.org/officeDocument/2006/relationships/hyperlink" Target="https://track.loadshare.net/order/eldjDNw" TargetMode="External"/><Relationship Id="rId697" Type="http://schemas.openxmlformats.org/officeDocument/2006/relationships/hyperlink" Target="https://track.loadshare.net/order/3bKQbWR" TargetMode="External"/><Relationship Id="rId820" Type="http://schemas.openxmlformats.org/officeDocument/2006/relationships/hyperlink" Target="https://track.loadshare.net/order/yqaLyRl" TargetMode="External"/><Relationship Id="rId918" Type="http://schemas.openxmlformats.org/officeDocument/2006/relationships/hyperlink" Target="https://track.loadshare.net/order/obdqKvZ" TargetMode="External"/><Relationship Id="rId252" Type="http://schemas.openxmlformats.org/officeDocument/2006/relationships/hyperlink" Target="https://track.loadshare.net/order/DDM48kx" TargetMode="External"/><Relationship Id="rId47" Type="http://schemas.openxmlformats.org/officeDocument/2006/relationships/hyperlink" Target="https://track.loadshare.net/order/aW0J9v1" TargetMode="External"/><Relationship Id="rId112" Type="http://schemas.openxmlformats.org/officeDocument/2006/relationships/hyperlink" Target="https://track.loadshare.net/order/jxdd2Wj" TargetMode="External"/><Relationship Id="rId557" Type="http://schemas.openxmlformats.org/officeDocument/2006/relationships/hyperlink" Target="https://track.loadshare.net/order/MqNL3Bm" TargetMode="External"/><Relationship Id="rId764" Type="http://schemas.openxmlformats.org/officeDocument/2006/relationships/hyperlink" Target="https://track.loadshare.net/order/QZ03Jpj" TargetMode="External"/><Relationship Id="rId196" Type="http://schemas.openxmlformats.org/officeDocument/2006/relationships/hyperlink" Target="https://track.loadshare.net/order/xaddb2b" TargetMode="External"/><Relationship Id="rId417" Type="http://schemas.openxmlformats.org/officeDocument/2006/relationships/hyperlink" Target="https://track.loadshare.net/order/ZW0ma4G" TargetMode="External"/><Relationship Id="rId624" Type="http://schemas.openxmlformats.org/officeDocument/2006/relationships/hyperlink" Target="https://track.loadshare.net/order/nedDnOd" TargetMode="External"/><Relationship Id="rId831" Type="http://schemas.openxmlformats.org/officeDocument/2006/relationships/hyperlink" Target="https://track.loadshare.net/order/MqNgG4Q" TargetMode="External"/><Relationship Id="rId263" Type="http://schemas.openxmlformats.org/officeDocument/2006/relationships/hyperlink" Target="https://track.loadshare.net/order/Rn9AA1x" TargetMode="External"/><Relationship Id="rId470" Type="http://schemas.openxmlformats.org/officeDocument/2006/relationships/hyperlink" Target="https://track.loadshare.net/order/QZ0aEAA" TargetMode="External"/><Relationship Id="rId929" Type="http://schemas.openxmlformats.org/officeDocument/2006/relationships/hyperlink" Target="https://track.loadshare.net/order/Gx9NQQp" TargetMode="External"/><Relationship Id="rId58" Type="http://schemas.openxmlformats.org/officeDocument/2006/relationships/hyperlink" Target="https://track.loadshare.net/order/aW0J5nA" TargetMode="External"/><Relationship Id="rId123" Type="http://schemas.openxmlformats.org/officeDocument/2006/relationships/hyperlink" Target="https://track.loadshare.net/order/Gx99G29" TargetMode="External"/><Relationship Id="rId330" Type="http://schemas.openxmlformats.org/officeDocument/2006/relationships/hyperlink" Target="https://track.loadshare.net/order/v0kZywx" TargetMode="External"/><Relationship Id="rId568" Type="http://schemas.openxmlformats.org/officeDocument/2006/relationships/hyperlink" Target="https://track.loadshare.net/order/729xAgp" TargetMode="External"/><Relationship Id="rId775" Type="http://schemas.openxmlformats.org/officeDocument/2006/relationships/hyperlink" Target="https://track.loadshare.net/order/wkjJlx2" TargetMode="External"/><Relationship Id="rId428" Type="http://schemas.openxmlformats.org/officeDocument/2006/relationships/hyperlink" Target="https://track.loadshare.net/order/eldwq1a" TargetMode="External"/><Relationship Id="rId635" Type="http://schemas.openxmlformats.org/officeDocument/2006/relationships/hyperlink" Target="https://track.loadshare.net/order/Xn0jaZD" TargetMode="External"/><Relationship Id="rId842" Type="http://schemas.openxmlformats.org/officeDocument/2006/relationships/hyperlink" Target="https://track.loadshare.net/order/5bKnp3w" TargetMode="External"/><Relationship Id="rId274" Type="http://schemas.openxmlformats.org/officeDocument/2006/relationships/hyperlink" Target="https://track.loadshare.net/order/Rn9AZW2" TargetMode="External"/><Relationship Id="rId481" Type="http://schemas.openxmlformats.org/officeDocument/2006/relationships/hyperlink" Target="https://track.loadshare.net/order/Rn9q5RG" TargetMode="External"/><Relationship Id="rId702" Type="http://schemas.openxmlformats.org/officeDocument/2006/relationships/hyperlink" Target="https://track.loadshare.net/order/wkjQ4jE" TargetMode="External"/><Relationship Id="rId69" Type="http://schemas.openxmlformats.org/officeDocument/2006/relationships/hyperlink" Target="https://track.loadshare.net/order/nedJwMQ" TargetMode="External"/><Relationship Id="rId134" Type="http://schemas.openxmlformats.org/officeDocument/2006/relationships/hyperlink" Target="https://track.loadshare.net/order/YW00qYq" TargetMode="External"/><Relationship Id="rId579" Type="http://schemas.openxmlformats.org/officeDocument/2006/relationships/hyperlink" Target="https://track.loadshare.net/order/WW0LY9b" TargetMode="External"/><Relationship Id="rId786" Type="http://schemas.openxmlformats.org/officeDocument/2006/relationships/hyperlink" Target="https://track.loadshare.net/order/DDMeGwo" TargetMode="External"/><Relationship Id="rId341" Type="http://schemas.openxmlformats.org/officeDocument/2006/relationships/hyperlink" Target="https://track.loadshare.net/order/2vKJBM5" TargetMode="External"/><Relationship Id="rId439" Type="http://schemas.openxmlformats.org/officeDocument/2006/relationships/hyperlink" Target="https://track.loadshare.net/order/E9V5Ro3" TargetMode="External"/><Relationship Id="rId646" Type="http://schemas.openxmlformats.org/officeDocument/2006/relationships/hyperlink" Target="https://track.loadshare.net/order/v0kQOvX" TargetMode="External"/><Relationship Id="rId201" Type="http://schemas.openxmlformats.org/officeDocument/2006/relationships/hyperlink" Target="https://track.loadshare.net/order/2vKKeL1" TargetMode="External"/><Relationship Id="rId285" Type="http://schemas.openxmlformats.org/officeDocument/2006/relationships/hyperlink" Target="https://track.loadshare.net/order/MqN4abX" TargetMode="External"/><Relationship Id="rId506" Type="http://schemas.openxmlformats.org/officeDocument/2006/relationships/hyperlink" Target="https://track.loadshare.net/order/nedgKQd" TargetMode="External"/><Relationship Id="rId853" Type="http://schemas.openxmlformats.org/officeDocument/2006/relationships/hyperlink" Target="https://track.loadshare.net/order/N5Q0xnZ" TargetMode="External"/><Relationship Id="rId492" Type="http://schemas.openxmlformats.org/officeDocument/2006/relationships/hyperlink" Target="https://track.loadshare.net/order/0vKxMEj" TargetMode="External"/><Relationship Id="rId713" Type="http://schemas.openxmlformats.org/officeDocument/2006/relationships/hyperlink" Target="https://track.loadshare.net/order/5bK0jBV" TargetMode="External"/><Relationship Id="rId797" Type="http://schemas.openxmlformats.org/officeDocument/2006/relationships/hyperlink" Target="https://track.loadshare.net/order/KgvqeJA" TargetMode="External"/><Relationship Id="rId920" Type="http://schemas.openxmlformats.org/officeDocument/2006/relationships/hyperlink" Target="https://track.loadshare.net/order/729YAy8" TargetMode="External"/><Relationship Id="rId145" Type="http://schemas.openxmlformats.org/officeDocument/2006/relationships/hyperlink" Target="https://track.loadshare.net/order/5bKKRpw" TargetMode="External"/><Relationship Id="rId352" Type="http://schemas.openxmlformats.org/officeDocument/2006/relationships/hyperlink" Target="https://track.loadshare.net/order/xadoGX0" TargetMode="External"/><Relationship Id="rId212" Type="http://schemas.openxmlformats.org/officeDocument/2006/relationships/hyperlink" Target="https://track.loadshare.net/order/wkjlOMm" TargetMode="External"/><Relationship Id="rId657" Type="http://schemas.openxmlformats.org/officeDocument/2006/relationships/hyperlink" Target="https://track.loadshare.net/order/qbl9o5L" TargetMode="External"/><Relationship Id="rId864" Type="http://schemas.openxmlformats.org/officeDocument/2006/relationships/hyperlink" Target="https://track.loadshare.net/order/mWdjZBm" TargetMode="External"/><Relationship Id="rId296" Type="http://schemas.openxmlformats.org/officeDocument/2006/relationships/hyperlink" Target="https://track.loadshare.net/order/92KO9Ed" TargetMode="External"/><Relationship Id="rId517" Type="http://schemas.openxmlformats.org/officeDocument/2006/relationships/hyperlink" Target="https://track.loadshare.net/order/lAd9Rd3" TargetMode="External"/><Relationship Id="rId724" Type="http://schemas.openxmlformats.org/officeDocument/2006/relationships/hyperlink" Target="https://track.loadshare.net/order/ned5Axd" TargetMode="External"/><Relationship Id="rId931" Type="http://schemas.openxmlformats.org/officeDocument/2006/relationships/hyperlink" Target="https://track.loadshare.net/order/nedayA3" TargetMode="External"/><Relationship Id="rId60" Type="http://schemas.openxmlformats.org/officeDocument/2006/relationships/hyperlink" Target="https://track.loadshare.net/order/jxdJv9p" TargetMode="External"/><Relationship Id="rId156" Type="http://schemas.openxmlformats.org/officeDocument/2006/relationships/hyperlink" Target="https://track.loadshare.net/order/Rn9999M" TargetMode="External"/><Relationship Id="rId363" Type="http://schemas.openxmlformats.org/officeDocument/2006/relationships/hyperlink" Target="https://track.loadshare.net/order/4eAJO3K" TargetMode="External"/><Relationship Id="rId570" Type="http://schemas.openxmlformats.org/officeDocument/2006/relationships/hyperlink" Target="https://track.loadshare.net/order/5bKe5dE" TargetMode="External"/><Relationship Id="rId223" Type="http://schemas.openxmlformats.org/officeDocument/2006/relationships/hyperlink" Target="https://track.loadshare.net/order/YW0AgD5" TargetMode="External"/><Relationship Id="rId430" Type="http://schemas.openxmlformats.org/officeDocument/2006/relationships/hyperlink" Target="https://track.loadshare.net/order/qbloD1n" TargetMode="External"/><Relationship Id="rId668" Type="http://schemas.openxmlformats.org/officeDocument/2006/relationships/hyperlink" Target="https://track.loadshare.net/order/5bK9nMV" TargetMode="External"/><Relationship Id="rId875" Type="http://schemas.openxmlformats.org/officeDocument/2006/relationships/hyperlink" Target="https://track.loadshare.net/order/QZ07QbG" TargetMode="External"/><Relationship Id="rId18" Type="http://schemas.openxmlformats.org/officeDocument/2006/relationships/hyperlink" Target="https://track.loadshare.net/order/pJ0aBB4" TargetMode="External"/><Relationship Id="rId528" Type="http://schemas.openxmlformats.org/officeDocument/2006/relationships/hyperlink" Target="https://track.loadshare.net/order/WW0LOYw" TargetMode="External"/><Relationship Id="rId735" Type="http://schemas.openxmlformats.org/officeDocument/2006/relationships/hyperlink" Target="https://track.loadshare.net/order/LaXwE40" TargetMode="External"/><Relationship Id="rId942" Type="http://schemas.openxmlformats.org/officeDocument/2006/relationships/hyperlink" Target="https://track.loadshare.net/order/WW08Bnv" TargetMode="External"/><Relationship Id="rId167" Type="http://schemas.openxmlformats.org/officeDocument/2006/relationships/hyperlink" Target="https://track.loadshare.net/order/DDMMJ2g" TargetMode="External"/><Relationship Id="rId374" Type="http://schemas.openxmlformats.org/officeDocument/2006/relationships/hyperlink" Target="https://track.loadshare.net/order/A93JeV3" TargetMode="External"/><Relationship Id="rId581" Type="http://schemas.openxmlformats.org/officeDocument/2006/relationships/hyperlink" Target="https://track.loadshare.net/order/aW09Eyw" TargetMode="External"/><Relationship Id="rId71" Type="http://schemas.openxmlformats.org/officeDocument/2006/relationships/hyperlink" Target="https://track.loadshare.net/order/A93NlXR" TargetMode="External"/><Relationship Id="rId234" Type="http://schemas.openxmlformats.org/officeDocument/2006/relationships/hyperlink" Target="https://track.loadshare.net/order/E9V41vo" TargetMode="External"/><Relationship Id="rId679" Type="http://schemas.openxmlformats.org/officeDocument/2006/relationships/hyperlink" Target="https://track.loadshare.net/order/WW0jYlv" TargetMode="External"/><Relationship Id="rId802" Type="http://schemas.openxmlformats.org/officeDocument/2006/relationships/hyperlink" Target="https://track.loadshare.net/order/Gx9ewad" TargetMode="External"/><Relationship Id="rId886" Type="http://schemas.openxmlformats.org/officeDocument/2006/relationships/hyperlink" Target="https://track.loadshare.net/order/Rn9WpJx" TargetMode="External"/><Relationship Id="rId2" Type="http://schemas.openxmlformats.org/officeDocument/2006/relationships/hyperlink" Target="https://track.loadshare.net/order/xadDwZJ" TargetMode="External"/><Relationship Id="rId29" Type="http://schemas.openxmlformats.org/officeDocument/2006/relationships/hyperlink" Target="https://track.loadshare.net/order/jxdJYbp" TargetMode="External"/><Relationship Id="rId441" Type="http://schemas.openxmlformats.org/officeDocument/2006/relationships/hyperlink" Target="https://track.loadshare.net/order/bx0vkAv" TargetMode="External"/><Relationship Id="rId539" Type="http://schemas.openxmlformats.org/officeDocument/2006/relationships/hyperlink" Target="https://track.loadshare.net/order/0vKx420" TargetMode="External"/><Relationship Id="rId746" Type="http://schemas.openxmlformats.org/officeDocument/2006/relationships/hyperlink" Target="https://track.loadshare.net/order/g0do7K5" TargetMode="External"/><Relationship Id="rId178" Type="http://schemas.openxmlformats.org/officeDocument/2006/relationships/hyperlink" Target="https://track.loadshare.net/order/QZ00Xej" TargetMode="External"/><Relationship Id="rId301" Type="http://schemas.openxmlformats.org/officeDocument/2006/relationships/hyperlink" Target="https://track.loadshare.net/order/VY0eoX3" TargetMode="External"/><Relationship Id="rId953" Type="http://schemas.openxmlformats.org/officeDocument/2006/relationships/hyperlink" Target="https://track.loadshare.net/order/Xn08ZqO" TargetMode="External"/><Relationship Id="rId82" Type="http://schemas.openxmlformats.org/officeDocument/2006/relationships/hyperlink" Target="https://track.loadshare.net/order/827M27X" TargetMode="External"/><Relationship Id="rId385" Type="http://schemas.openxmlformats.org/officeDocument/2006/relationships/hyperlink" Target="https://track.loadshare.net/order/5bKJ2mE" TargetMode="External"/><Relationship Id="rId592" Type="http://schemas.openxmlformats.org/officeDocument/2006/relationships/hyperlink" Target="https://track.loadshare.net/order/1Yexq88" TargetMode="External"/><Relationship Id="rId606" Type="http://schemas.openxmlformats.org/officeDocument/2006/relationships/hyperlink" Target="https://track.loadshare.net/order/YW0jpoq" TargetMode="External"/><Relationship Id="rId813" Type="http://schemas.openxmlformats.org/officeDocument/2006/relationships/hyperlink" Target="https://track.loadshare.net/order/eldZ9yl" TargetMode="External"/><Relationship Id="rId245" Type="http://schemas.openxmlformats.org/officeDocument/2006/relationships/hyperlink" Target="https://track.loadshare.net/order/5bKOB9b" TargetMode="External"/><Relationship Id="rId452" Type="http://schemas.openxmlformats.org/officeDocument/2006/relationships/hyperlink" Target="https://track.loadshare.net/order/3bK1xbJ" TargetMode="External"/><Relationship Id="rId897" Type="http://schemas.openxmlformats.org/officeDocument/2006/relationships/hyperlink" Target="https://track.loadshare.net/order/eldAJAm" TargetMode="External"/><Relationship Id="rId105" Type="http://schemas.openxmlformats.org/officeDocument/2006/relationships/hyperlink" Target="https://track.loadshare.net/order/Op00W3W" TargetMode="External"/><Relationship Id="rId312" Type="http://schemas.openxmlformats.org/officeDocument/2006/relationships/hyperlink" Target="https://track.loadshare.net/order/1YeJab3" TargetMode="External"/><Relationship Id="rId757" Type="http://schemas.openxmlformats.org/officeDocument/2006/relationships/hyperlink" Target="https://track.loadshare.net/order/LaXwGnw" TargetMode="External"/><Relationship Id="rId93" Type="http://schemas.openxmlformats.org/officeDocument/2006/relationships/hyperlink" Target="https://track.loadshare.net/order/eldda1K" TargetMode="External"/><Relationship Id="rId189" Type="http://schemas.openxmlformats.org/officeDocument/2006/relationships/hyperlink" Target="https://track.loadshare.net/order/A933lyX" TargetMode="External"/><Relationship Id="rId396" Type="http://schemas.openxmlformats.org/officeDocument/2006/relationships/hyperlink" Target="https://track.loadshare.net/order/LaXbZEL" TargetMode="External"/><Relationship Id="rId617" Type="http://schemas.openxmlformats.org/officeDocument/2006/relationships/hyperlink" Target="https://track.loadshare.net/order/mWd3pAd" TargetMode="External"/><Relationship Id="rId824" Type="http://schemas.openxmlformats.org/officeDocument/2006/relationships/hyperlink" Target="https://track.loadshare.net/order/YW0aWpw" TargetMode="External"/><Relationship Id="rId256" Type="http://schemas.openxmlformats.org/officeDocument/2006/relationships/hyperlink" Target="https://track.loadshare.net/order/bx0akb4" TargetMode="External"/><Relationship Id="rId463" Type="http://schemas.openxmlformats.org/officeDocument/2006/relationships/hyperlink" Target="https://track.loadshare.net/order/1YeEwWy" TargetMode="External"/><Relationship Id="rId670" Type="http://schemas.openxmlformats.org/officeDocument/2006/relationships/hyperlink" Target="https://track.loadshare.net/order/jxdp79l" TargetMode="External"/><Relationship Id="rId116" Type="http://schemas.openxmlformats.org/officeDocument/2006/relationships/hyperlink" Target="https://track.loadshare.net/order/jxddnjV" TargetMode="External"/><Relationship Id="rId323" Type="http://schemas.openxmlformats.org/officeDocument/2006/relationships/hyperlink" Target="https://track.loadshare.net/order/729Jnw2" TargetMode="External"/><Relationship Id="rId530" Type="http://schemas.openxmlformats.org/officeDocument/2006/relationships/hyperlink" Target="https://track.loadshare.net/order/Op0LXGl" TargetMode="External"/><Relationship Id="rId768" Type="http://schemas.openxmlformats.org/officeDocument/2006/relationships/hyperlink" Target="https://track.loadshare.net/order/jxdwJmj" TargetMode="External"/><Relationship Id="rId20" Type="http://schemas.openxmlformats.org/officeDocument/2006/relationships/hyperlink" Target="https://track.loadshare.net/order/4eA5QLa" TargetMode="External"/><Relationship Id="rId628" Type="http://schemas.openxmlformats.org/officeDocument/2006/relationships/hyperlink" Target="https://track.loadshare.net/order/WW0jdnE" TargetMode="External"/><Relationship Id="rId835" Type="http://schemas.openxmlformats.org/officeDocument/2006/relationships/hyperlink" Target="https://track.loadshare.net/order/qblgVp7" TargetMode="External"/><Relationship Id="rId267" Type="http://schemas.openxmlformats.org/officeDocument/2006/relationships/hyperlink" Target="https://track.loadshare.net/order/DDM4bag" TargetMode="External"/><Relationship Id="rId474" Type="http://schemas.openxmlformats.org/officeDocument/2006/relationships/hyperlink" Target="https://track.loadshare.net/order/2vKELpg" TargetMode="External"/><Relationship Id="rId127" Type="http://schemas.openxmlformats.org/officeDocument/2006/relationships/hyperlink" Target="https://track.loadshare.net/order/d0ddpmd" TargetMode="External"/><Relationship Id="rId681" Type="http://schemas.openxmlformats.org/officeDocument/2006/relationships/hyperlink" Target="https://track.loadshare.net/order/JMRpj1Q" TargetMode="External"/><Relationship Id="rId779" Type="http://schemas.openxmlformats.org/officeDocument/2006/relationships/hyperlink" Target="https://track.loadshare.net/order/mWdG9Lw" TargetMode="External"/><Relationship Id="rId902" Type="http://schemas.openxmlformats.org/officeDocument/2006/relationships/hyperlink" Target="https://track.loadshare.net/order/Gx9NJ2b" TargetMode="External"/><Relationship Id="rId31" Type="http://schemas.openxmlformats.org/officeDocument/2006/relationships/hyperlink" Target="https://track.loadshare.net/order/kndJk0k" TargetMode="External"/><Relationship Id="rId334" Type="http://schemas.openxmlformats.org/officeDocument/2006/relationships/hyperlink" Target="https://track.loadshare.net/order/wkjnNyE" TargetMode="External"/><Relationship Id="rId541" Type="http://schemas.openxmlformats.org/officeDocument/2006/relationships/hyperlink" Target="https://track.loadshare.net/order/g0dbJB5" TargetMode="External"/><Relationship Id="rId639" Type="http://schemas.openxmlformats.org/officeDocument/2006/relationships/hyperlink" Target="https://track.loadshare.net/order/xad4Ypl" TargetMode="External"/><Relationship Id="rId180" Type="http://schemas.openxmlformats.org/officeDocument/2006/relationships/hyperlink" Target="https://track.loadshare.net/order/d0ddE3p" TargetMode="External"/><Relationship Id="rId278" Type="http://schemas.openxmlformats.org/officeDocument/2006/relationships/hyperlink" Target="https://track.loadshare.net/order/A930bgv" TargetMode="External"/><Relationship Id="rId401" Type="http://schemas.openxmlformats.org/officeDocument/2006/relationships/hyperlink" Target="https://track.loadshare.net/order/d0dn9gE" TargetMode="External"/><Relationship Id="rId846" Type="http://schemas.openxmlformats.org/officeDocument/2006/relationships/hyperlink" Target="https://track.loadshare.net/order/eldAvJJ" TargetMode="External"/><Relationship Id="rId485" Type="http://schemas.openxmlformats.org/officeDocument/2006/relationships/hyperlink" Target="https://track.loadshare.net/order/MqNoqeX" TargetMode="External"/><Relationship Id="rId692" Type="http://schemas.openxmlformats.org/officeDocument/2006/relationships/hyperlink" Target="https://track.loadshare.net/order/E9VB7vq" TargetMode="External"/><Relationship Id="rId706" Type="http://schemas.openxmlformats.org/officeDocument/2006/relationships/hyperlink" Target="https://track.loadshare.net/order/v0kQ7Dj" TargetMode="External"/><Relationship Id="rId913" Type="http://schemas.openxmlformats.org/officeDocument/2006/relationships/hyperlink" Target="https://track.loadshare.net/order/Gx9Nq5A" TargetMode="External"/><Relationship Id="rId42" Type="http://schemas.openxmlformats.org/officeDocument/2006/relationships/hyperlink" Target="https://track.loadshare.net/order/4eA5AMK" TargetMode="External"/><Relationship Id="rId138" Type="http://schemas.openxmlformats.org/officeDocument/2006/relationships/hyperlink" Target="https://track.loadshare.net/order/MqNN5ao" TargetMode="External"/><Relationship Id="rId345" Type="http://schemas.openxmlformats.org/officeDocument/2006/relationships/hyperlink" Target="https://track.loadshare.net/order/DDMb5Dy" TargetMode="External"/><Relationship Id="rId552" Type="http://schemas.openxmlformats.org/officeDocument/2006/relationships/hyperlink" Target="https://track.loadshare.net/order/Rn9eqnm" TargetMode="External"/><Relationship Id="rId191" Type="http://schemas.openxmlformats.org/officeDocument/2006/relationships/hyperlink" Target="https://track.loadshare.net/order/obddkkk" TargetMode="External"/><Relationship Id="rId205" Type="http://schemas.openxmlformats.org/officeDocument/2006/relationships/hyperlink" Target="https://track.loadshare.net/order/8277qpy" TargetMode="External"/><Relationship Id="rId412" Type="http://schemas.openxmlformats.org/officeDocument/2006/relationships/hyperlink" Target="https://track.loadshare.net/order/WW05w5y" TargetMode="External"/><Relationship Id="rId857" Type="http://schemas.openxmlformats.org/officeDocument/2006/relationships/hyperlink" Target="https://track.loadshare.net/order/0vKDLjJ" TargetMode="External"/><Relationship Id="rId289" Type="http://schemas.openxmlformats.org/officeDocument/2006/relationships/hyperlink" Target="https://track.loadshare.net/order/729ODX7" TargetMode="External"/><Relationship Id="rId496" Type="http://schemas.openxmlformats.org/officeDocument/2006/relationships/hyperlink" Target="https://track.loadshare.net/order/E9VnKOo" TargetMode="External"/><Relationship Id="rId717" Type="http://schemas.openxmlformats.org/officeDocument/2006/relationships/hyperlink" Target="https://track.loadshare.net/order/JMRaBXx" TargetMode="External"/><Relationship Id="rId924" Type="http://schemas.openxmlformats.org/officeDocument/2006/relationships/hyperlink" Target="https://track.loadshare.net/order/2vKM2Qj" TargetMode="External"/><Relationship Id="rId53" Type="http://schemas.openxmlformats.org/officeDocument/2006/relationships/hyperlink" Target="https://track.loadshare.net/order/MqNmQBo" TargetMode="External"/><Relationship Id="rId149" Type="http://schemas.openxmlformats.org/officeDocument/2006/relationships/hyperlink" Target="https://track.loadshare.net/order/DDMMj9v" TargetMode="External"/><Relationship Id="rId356" Type="http://schemas.openxmlformats.org/officeDocument/2006/relationships/hyperlink" Target="https://track.loadshare.net/order/827JNk3" TargetMode="External"/><Relationship Id="rId563" Type="http://schemas.openxmlformats.org/officeDocument/2006/relationships/hyperlink" Target="https://track.loadshare.net/order/JMRL9RR" TargetMode="External"/><Relationship Id="rId770" Type="http://schemas.openxmlformats.org/officeDocument/2006/relationships/hyperlink" Target="https://track.loadshare.net/order/JMRa5GA" TargetMode="External"/><Relationship Id="rId216" Type="http://schemas.openxmlformats.org/officeDocument/2006/relationships/hyperlink" Target="https://track.loadshare.net/order/827Oojy" TargetMode="External"/><Relationship Id="rId423" Type="http://schemas.openxmlformats.org/officeDocument/2006/relationships/hyperlink" Target="https://track.loadshare.net/order/eldw4GA" TargetMode="External"/><Relationship Id="rId868" Type="http://schemas.openxmlformats.org/officeDocument/2006/relationships/hyperlink" Target="https://track.loadshare.net/order/ZW08xZp" TargetMode="External"/><Relationship Id="rId630" Type="http://schemas.openxmlformats.org/officeDocument/2006/relationships/hyperlink" Target="https://track.loadshare.net/order/Op0mjO0" TargetMode="External"/><Relationship Id="rId728" Type="http://schemas.openxmlformats.org/officeDocument/2006/relationships/hyperlink" Target="https://track.loadshare.net/order/xadEj2b" TargetMode="External"/><Relationship Id="rId935" Type="http://schemas.openxmlformats.org/officeDocument/2006/relationships/hyperlink" Target="https://track.loadshare.net/order/aW0LggQ" TargetMode="External"/><Relationship Id="rId64" Type="http://schemas.openxmlformats.org/officeDocument/2006/relationships/hyperlink" Target="https://track.loadshare.net/order/0vKwZBp" TargetMode="External"/><Relationship Id="rId367" Type="http://schemas.openxmlformats.org/officeDocument/2006/relationships/hyperlink" Target="https://track.loadshare.net/order/827JJ0b" TargetMode="External"/><Relationship Id="rId574" Type="http://schemas.openxmlformats.org/officeDocument/2006/relationships/hyperlink" Target="https://track.loadshare.net/order/xadnm74" TargetMode="External"/><Relationship Id="rId227" Type="http://schemas.openxmlformats.org/officeDocument/2006/relationships/hyperlink" Target="https://track.loadshare.net/order/E9V4Ab3" TargetMode="External"/><Relationship Id="rId781" Type="http://schemas.openxmlformats.org/officeDocument/2006/relationships/hyperlink" Target="https://track.loadshare.net/order/v0koZKj" TargetMode="External"/><Relationship Id="rId879" Type="http://schemas.openxmlformats.org/officeDocument/2006/relationships/hyperlink" Target="https://track.loadshare.net/order/B5DLGxG" TargetMode="External"/><Relationship Id="rId434" Type="http://schemas.openxmlformats.org/officeDocument/2006/relationships/hyperlink" Target="https://track.loadshare.net/order/1YeEM1v" TargetMode="External"/><Relationship Id="rId641" Type="http://schemas.openxmlformats.org/officeDocument/2006/relationships/hyperlink" Target="https://track.loadshare.net/order/lAd5G0m" TargetMode="External"/><Relationship Id="rId739" Type="http://schemas.openxmlformats.org/officeDocument/2006/relationships/hyperlink" Target="https://track.loadshare.net/order/2vK05Vg" TargetMode="External"/><Relationship Id="rId280" Type="http://schemas.openxmlformats.org/officeDocument/2006/relationships/hyperlink" Target="https://track.loadshare.net/order/lAdMoAx" TargetMode="External"/><Relationship Id="rId501" Type="http://schemas.openxmlformats.org/officeDocument/2006/relationships/hyperlink" Target="https://track.loadshare.net/order/eld0vyw" TargetMode="External"/><Relationship Id="rId946" Type="http://schemas.openxmlformats.org/officeDocument/2006/relationships/hyperlink" Target="https://track.loadshare.net/order/v0kD0eX" TargetMode="External"/><Relationship Id="rId75" Type="http://schemas.openxmlformats.org/officeDocument/2006/relationships/hyperlink" Target="https://track.loadshare.net/order/obdJjNY" TargetMode="External"/><Relationship Id="rId140" Type="http://schemas.openxmlformats.org/officeDocument/2006/relationships/hyperlink" Target="https://track.loadshare.net/order/Xn00MM1" TargetMode="External"/><Relationship Id="rId378" Type="http://schemas.openxmlformats.org/officeDocument/2006/relationships/hyperlink" Target="https://track.loadshare.net/order/Rn9bYYZ" TargetMode="External"/><Relationship Id="rId585" Type="http://schemas.openxmlformats.org/officeDocument/2006/relationships/hyperlink" Target="https://track.loadshare.net/order/E9Vnvv2" TargetMode="External"/><Relationship Id="rId792" Type="http://schemas.openxmlformats.org/officeDocument/2006/relationships/hyperlink" Target="https://track.loadshare.net/order/7290q3L" TargetMode="External"/><Relationship Id="rId806" Type="http://schemas.openxmlformats.org/officeDocument/2006/relationships/hyperlink" Target="https://track.loadshare.net/order/MqNgE0X" TargetMode="External"/><Relationship Id="rId6" Type="http://schemas.openxmlformats.org/officeDocument/2006/relationships/hyperlink" Target="https://track.loadshare.net/order/JMR5Kmx" TargetMode="External"/><Relationship Id="rId238" Type="http://schemas.openxmlformats.org/officeDocument/2006/relationships/hyperlink" Target="https://track.loadshare.net/order/bx0aYEX" TargetMode="External"/><Relationship Id="rId445" Type="http://schemas.openxmlformats.org/officeDocument/2006/relationships/hyperlink" Target="https://track.loadshare.net/order/E9V5Vy2" TargetMode="External"/><Relationship Id="rId652" Type="http://schemas.openxmlformats.org/officeDocument/2006/relationships/hyperlink" Target="https://track.loadshare.net/order/MqN34EX" TargetMode="External"/><Relationship Id="rId291" Type="http://schemas.openxmlformats.org/officeDocument/2006/relationships/hyperlink" Target="https://track.loadshare.net/order/d0dwyBW" TargetMode="External"/><Relationship Id="rId305" Type="http://schemas.openxmlformats.org/officeDocument/2006/relationships/hyperlink" Target="https://track.loadshare.net/order/2vKO9mk" TargetMode="External"/><Relationship Id="rId512" Type="http://schemas.openxmlformats.org/officeDocument/2006/relationships/hyperlink" Target="https://track.loadshare.net/order/1YexDGY" TargetMode="External"/><Relationship Id="rId957" Type="http://schemas.openxmlformats.org/officeDocument/2006/relationships/hyperlink" Target="https://track.loadshare.net/order/yqaeYb0" TargetMode="External"/><Relationship Id="rId86" Type="http://schemas.openxmlformats.org/officeDocument/2006/relationships/hyperlink" Target="https://track.loadshare.net/order/aW0Jy4Q" TargetMode="External"/><Relationship Id="rId151" Type="http://schemas.openxmlformats.org/officeDocument/2006/relationships/hyperlink" Target="https://track.loadshare.net/order/Kgvv3w7" TargetMode="External"/><Relationship Id="rId389" Type="http://schemas.openxmlformats.org/officeDocument/2006/relationships/hyperlink" Target="https://track.loadshare.net/order/B5DJYka" TargetMode="External"/><Relationship Id="rId596" Type="http://schemas.openxmlformats.org/officeDocument/2006/relationships/hyperlink" Target="https://track.loadshare.net/order/827aLjg" TargetMode="External"/><Relationship Id="rId817" Type="http://schemas.openxmlformats.org/officeDocument/2006/relationships/hyperlink" Target="https://track.loadshare.net/order/qblmkm7" TargetMode="External"/><Relationship Id="rId249" Type="http://schemas.openxmlformats.org/officeDocument/2006/relationships/hyperlink" Target="https://track.loadshare.net/order/d0dwGd7" TargetMode="External"/><Relationship Id="rId456" Type="http://schemas.openxmlformats.org/officeDocument/2006/relationships/hyperlink" Target="https://track.loadshare.net/order/aW0RoZZ" TargetMode="External"/><Relationship Id="rId663" Type="http://schemas.openxmlformats.org/officeDocument/2006/relationships/hyperlink" Target="https://track.loadshare.net/order/d0djjep" TargetMode="External"/><Relationship Id="rId870" Type="http://schemas.openxmlformats.org/officeDocument/2006/relationships/hyperlink" Target="https://track.loadshare.net/order/yqaVODE" TargetMode="External"/><Relationship Id="rId13" Type="http://schemas.openxmlformats.org/officeDocument/2006/relationships/hyperlink" Target="https://track.loadshare.net/order/B5DQyJj" TargetMode="External"/><Relationship Id="rId109" Type="http://schemas.openxmlformats.org/officeDocument/2006/relationships/hyperlink" Target="https://track.loadshare.net/order/bx00NGX" TargetMode="External"/><Relationship Id="rId316" Type="http://schemas.openxmlformats.org/officeDocument/2006/relationships/hyperlink" Target="https://track.loadshare.net/order/Gx9JEvb" TargetMode="External"/><Relationship Id="rId523" Type="http://schemas.openxmlformats.org/officeDocument/2006/relationships/hyperlink" Target="https://track.loadshare.net/order/5bKeBMn" TargetMode="External"/><Relationship Id="rId97" Type="http://schemas.openxmlformats.org/officeDocument/2006/relationships/hyperlink" Target="https://track.loadshare.net/order/Gx99EmA" TargetMode="External"/><Relationship Id="rId730" Type="http://schemas.openxmlformats.org/officeDocument/2006/relationships/hyperlink" Target="https://track.loadshare.net/order/xadEwD3" TargetMode="External"/><Relationship Id="rId828" Type="http://schemas.openxmlformats.org/officeDocument/2006/relationships/hyperlink" Target="https://track.loadshare.net/order/ned5lMl" TargetMode="External"/><Relationship Id="rId162" Type="http://schemas.openxmlformats.org/officeDocument/2006/relationships/hyperlink" Target="https://track.loadshare.net/order/elddZpl" TargetMode="External"/><Relationship Id="rId467" Type="http://schemas.openxmlformats.org/officeDocument/2006/relationships/hyperlink" Target="https://track.loadshare.net/order/1YeE5NK" TargetMode="External"/><Relationship Id="rId674" Type="http://schemas.openxmlformats.org/officeDocument/2006/relationships/hyperlink" Target="https://track.loadshare.net/order/E9VBaKo" TargetMode="External"/><Relationship Id="rId881" Type="http://schemas.openxmlformats.org/officeDocument/2006/relationships/hyperlink" Target="https://track.loadshare.net/order/WW08Rwn" TargetMode="External"/><Relationship Id="rId24" Type="http://schemas.openxmlformats.org/officeDocument/2006/relationships/hyperlink" Target="https://track.loadshare.net/order/5bK3BL4" TargetMode="External"/><Relationship Id="rId327" Type="http://schemas.openxmlformats.org/officeDocument/2006/relationships/hyperlink" Target="https://track.loadshare.net/order/3bKJq3p" TargetMode="External"/><Relationship Id="rId534" Type="http://schemas.openxmlformats.org/officeDocument/2006/relationships/hyperlink" Target="https://track.loadshare.net/order/QZ0LgOj" TargetMode="External"/><Relationship Id="rId741" Type="http://schemas.openxmlformats.org/officeDocument/2006/relationships/hyperlink" Target="https://track.loadshare.net/order/Op0G1qq" TargetMode="External"/><Relationship Id="rId839" Type="http://schemas.openxmlformats.org/officeDocument/2006/relationships/hyperlink" Target="https://track.loadshare.net/order/ZW08Ywj" TargetMode="External"/><Relationship Id="rId173" Type="http://schemas.openxmlformats.org/officeDocument/2006/relationships/hyperlink" Target="https://track.loadshare.net/order/Gx99wZ9" TargetMode="External"/><Relationship Id="rId380" Type="http://schemas.openxmlformats.org/officeDocument/2006/relationships/hyperlink" Target="https://track.loadshare.net/order/yqaBd5Z" TargetMode="External"/><Relationship Id="rId601" Type="http://schemas.openxmlformats.org/officeDocument/2006/relationships/hyperlink" Target="https://track.loadshare.net/order/YW0j5yN" TargetMode="External"/><Relationship Id="rId240" Type="http://schemas.openxmlformats.org/officeDocument/2006/relationships/hyperlink" Target="https://track.loadshare.net/order/4eAOV9x" TargetMode="External"/><Relationship Id="rId478" Type="http://schemas.openxmlformats.org/officeDocument/2006/relationships/hyperlink" Target="https://track.loadshare.net/order/B5D9BQG" TargetMode="External"/><Relationship Id="rId685" Type="http://schemas.openxmlformats.org/officeDocument/2006/relationships/hyperlink" Target="https://track.loadshare.net/order/wkjQyam" TargetMode="External"/><Relationship Id="rId892" Type="http://schemas.openxmlformats.org/officeDocument/2006/relationships/hyperlink" Target="https://track.loadshare.net/order/E9VLl4M" TargetMode="External"/><Relationship Id="rId906" Type="http://schemas.openxmlformats.org/officeDocument/2006/relationships/hyperlink" Target="https://track.loadshare.net/order/4eAZJRa" TargetMode="External"/><Relationship Id="rId35" Type="http://schemas.openxmlformats.org/officeDocument/2006/relationships/hyperlink" Target="https://track.loadshare.net/order/0vKw4qq" TargetMode="External"/><Relationship Id="rId100" Type="http://schemas.openxmlformats.org/officeDocument/2006/relationships/hyperlink" Target="https://track.loadshare.net/order/Xn009pD" TargetMode="External"/><Relationship Id="rId338" Type="http://schemas.openxmlformats.org/officeDocument/2006/relationships/hyperlink" Target="https://track.loadshare.net/order/VY0bQpV" TargetMode="External"/><Relationship Id="rId545" Type="http://schemas.openxmlformats.org/officeDocument/2006/relationships/hyperlink" Target="https://track.loadshare.net/order/Xn0L0mE" TargetMode="External"/><Relationship Id="rId752" Type="http://schemas.openxmlformats.org/officeDocument/2006/relationships/hyperlink" Target="https://track.loadshare.net/order/JMRan7x" TargetMode="External"/><Relationship Id="rId184" Type="http://schemas.openxmlformats.org/officeDocument/2006/relationships/hyperlink" Target="https://track.loadshare.net/order/B5DDoab" TargetMode="External"/><Relationship Id="rId391" Type="http://schemas.openxmlformats.org/officeDocument/2006/relationships/hyperlink" Target="https://track.loadshare.net/order/LaXb70L" TargetMode="External"/><Relationship Id="rId405" Type="http://schemas.openxmlformats.org/officeDocument/2006/relationships/hyperlink" Target="https://track.loadshare.net/order/aW0Mxjw" TargetMode="External"/><Relationship Id="rId612" Type="http://schemas.openxmlformats.org/officeDocument/2006/relationships/hyperlink" Target="https://track.loadshare.net/order/pJ0Md7l" TargetMode="External"/><Relationship Id="rId251" Type="http://schemas.openxmlformats.org/officeDocument/2006/relationships/hyperlink" Target="https://track.loadshare.net/order/1YeOdl8" TargetMode="External"/><Relationship Id="rId489" Type="http://schemas.openxmlformats.org/officeDocument/2006/relationships/hyperlink" Target="https://track.loadshare.net/order/pJ0n4k4" TargetMode="External"/><Relationship Id="rId696" Type="http://schemas.openxmlformats.org/officeDocument/2006/relationships/hyperlink" Target="https://track.loadshare.net/order/nedD4nM" TargetMode="External"/><Relationship Id="rId917" Type="http://schemas.openxmlformats.org/officeDocument/2006/relationships/hyperlink" Target="https://track.loadshare.net/order/5bKnnJn" TargetMode="External"/><Relationship Id="rId46" Type="http://schemas.openxmlformats.org/officeDocument/2006/relationships/hyperlink" Target="https://track.loadshare.net/order/pJ0anG2" TargetMode="External"/><Relationship Id="rId349" Type="http://schemas.openxmlformats.org/officeDocument/2006/relationships/hyperlink" Target="https://track.loadshare.net/order/nedpBll" TargetMode="External"/><Relationship Id="rId556" Type="http://schemas.openxmlformats.org/officeDocument/2006/relationships/hyperlink" Target="https://track.loadshare.net/order/LaXA5My" TargetMode="External"/><Relationship Id="rId763" Type="http://schemas.openxmlformats.org/officeDocument/2006/relationships/hyperlink" Target="https://track.loadshare.net/order/QZ03JRj" TargetMode="External"/><Relationship Id="rId111" Type="http://schemas.openxmlformats.org/officeDocument/2006/relationships/hyperlink" Target="https://track.loadshare.net/order/neddYOj" TargetMode="External"/><Relationship Id="rId195" Type="http://schemas.openxmlformats.org/officeDocument/2006/relationships/hyperlink" Target="https://track.loadshare.net/order/g0ddAQR" TargetMode="External"/><Relationship Id="rId209" Type="http://schemas.openxmlformats.org/officeDocument/2006/relationships/hyperlink" Target="https://track.loadshare.net/order/DDM4mjO" TargetMode="External"/><Relationship Id="rId416" Type="http://schemas.openxmlformats.org/officeDocument/2006/relationships/hyperlink" Target="https://track.loadshare.net/order/lAdmXLY" TargetMode="External"/><Relationship Id="rId623" Type="http://schemas.openxmlformats.org/officeDocument/2006/relationships/hyperlink" Target="https://track.loadshare.net/order/E9VBg1o" TargetMode="External"/><Relationship Id="rId830" Type="http://schemas.openxmlformats.org/officeDocument/2006/relationships/hyperlink" Target="https://track.loadshare.net/order/pJ0DXg3" TargetMode="External"/><Relationship Id="rId928" Type="http://schemas.openxmlformats.org/officeDocument/2006/relationships/hyperlink" Target="https://track.loadshare.net/order/WW08Yag" TargetMode="External"/><Relationship Id="rId57" Type="http://schemas.openxmlformats.org/officeDocument/2006/relationships/hyperlink" Target="https://track.loadshare.net/order/obdJ1aN" TargetMode="External"/><Relationship Id="rId262" Type="http://schemas.openxmlformats.org/officeDocument/2006/relationships/hyperlink" Target="https://track.loadshare.net/order/mWdVd8m" TargetMode="External"/><Relationship Id="rId567" Type="http://schemas.openxmlformats.org/officeDocument/2006/relationships/hyperlink" Target="https://track.loadshare.net/order/yqaoDYk" TargetMode="External"/><Relationship Id="rId122" Type="http://schemas.openxmlformats.org/officeDocument/2006/relationships/hyperlink" Target="https://track.loadshare.net/order/Xn00B2O" TargetMode="External"/><Relationship Id="rId774" Type="http://schemas.openxmlformats.org/officeDocument/2006/relationships/hyperlink" Target="https://track.loadshare.net/order/g0doGM9" TargetMode="External"/><Relationship Id="rId427" Type="http://schemas.openxmlformats.org/officeDocument/2006/relationships/hyperlink" Target="https://track.loadshare.net/order/mWdMm2w" TargetMode="External"/><Relationship Id="rId634" Type="http://schemas.openxmlformats.org/officeDocument/2006/relationships/hyperlink" Target="https://track.loadshare.net/order/5bK9dY8" TargetMode="External"/><Relationship Id="rId841" Type="http://schemas.openxmlformats.org/officeDocument/2006/relationships/hyperlink" Target="https://track.loadshare.net/order/VY0J2MV" TargetMode="External"/><Relationship Id="rId273" Type="http://schemas.openxmlformats.org/officeDocument/2006/relationships/hyperlink" Target="https://track.loadshare.net/order/WW07LWg" TargetMode="External"/><Relationship Id="rId480" Type="http://schemas.openxmlformats.org/officeDocument/2006/relationships/hyperlink" Target="https://track.loadshare.net/order/3bK1Yp4" TargetMode="External"/><Relationship Id="rId701" Type="http://schemas.openxmlformats.org/officeDocument/2006/relationships/hyperlink" Target="https://track.loadshare.net/order/YW0jKVL" TargetMode="External"/><Relationship Id="rId939" Type="http://schemas.openxmlformats.org/officeDocument/2006/relationships/hyperlink" Target="https://track.loadshare.net/order/MqNQ7k5" TargetMode="External"/><Relationship Id="rId68" Type="http://schemas.openxmlformats.org/officeDocument/2006/relationships/hyperlink" Target="https://track.loadshare.net/order/3bKG7Y9" TargetMode="External"/><Relationship Id="rId133" Type="http://schemas.openxmlformats.org/officeDocument/2006/relationships/hyperlink" Target="https://track.loadshare.net/order/QZ00QjG" TargetMode="External"/><Relationship Id="rId340" Type="http://schemas.openxmlformats.org/officeDocument/2006/relationships/hyperlink" Target="https://track.loadshare.net/order/nedpnO3" TargetMode="External"/><Relationship Id="rId578" Type="http://schemas.openxmlformats.org/officeDocument/2006/relationships/hyperlink" Target="https://track.loadshare.net/order/pJ0Gqj3" TargetMode="External"/><Relationship Id="rId785" Type="http://schemas.openxmlformats.org/officeDocument/2006/relationships/hyperlink" Target="https://track.loadshare.net/order/d0dVqaE" TargetMode="External"/><Relationship Id="rId200" Type="http://schemas.openxmlformats.org/officeDocument/2006/relationships/hyperlink" Target="https://track.loadshare.net/order/5bKKGE3" TargetMode="External"/><Relationship Id="rId438" Type="http://schemas.openxmlformats.org/officeDocument/2006/relationships/hyperlink" Target="https://track.loadshare.net/order/qblo8J7" TargetMode="External"/><Relationship Id="rId645" Type="http://schemas.openxmlformats.org/officeDocument/2006/relationships/hyperlink" Target="https://track.loadshare.net/order/Rn9Z25G" TargetMode="External"/><Relationship Id="rId852" Type="http://schemas.openxmlformats.org/officeDocument/2006/relationships/hyperlink" Target="https://track.loadshare.net/order/729YGDp" TargetMode="External"/><Relationship Id="rId284" Type="http://schemas.openxmlformats.org/officeDocument/2006/relationships/hyperlink" Target="https://track.loadshare.net/order/VY0emKZ" TargetMode="External"/><Relationship Id="rId491" Type="http://schemas.openxmlformats.org/officeDocument/2006/relationships/hyperlink" Target="https://track.loadshare.net/order/LaXALgb" TargetMode="External"/><Relationship Id="rId505" Type="http://schemas.openxmlformats.org/officeDocument/2006/relationships/hyperlink" Target="https://track.loadshare.net/order/VY0Lpoa" TargetMode="External"/><Relationship Id="rId712" Type="http://schemas.openxmlformats.org/officeDocument/2006/relationships/hyperlink" Target="https://track.loadshare.net/order/lAdp3Vx" TargetMode="External"/><Relationship Id="rId79" Type="http://schemas.openxmlformats.org/officeDocument/2006/relationships/hyperlink" Target="https://track.loadshare.net/order/VY0Xo3w" TargetMode="External"/><Relationship Id="rId144" Type="http://schemas.openxmlformats.org/officeDocument/2006/relationships/hyperlink" Target="https://track.loadshare.net/order/knddk5X" TargetMode="External"/><Relationship Id="rId589" Type="http://schemas.openxmlformats.org/officeDocument/2006/relationships/hyperlink" Target="https://track.loadshare.net/order/2vKxLg5" TargetMode="External"/><Relationship Id="rId796" Type="http://schemas.openxmlformats.org/officeDocument/2006/relationships/hyperlink" Target="https://track.loadshare.net/order/v0koK5M" TargetMode="External"/><Relationship Id="rId351" Type="http://schemas.openxmlformats.org/officeDocument/2006/relationships/hyperlink" Target="https://track.loadshare.net/order/Op0bXyd" TargetMode="External"/><Relationship Id="rId449" Type="http://schemas.openxmlformats.org/officeDocument/2006/relationships/hyperlink" Target="https://track.loadshare.net/order/Xn03qAQ" TargetMode="External"/><Relationship Id="rId656" Type="http://schemas.openxmlformats.org/officeDocument/2006/relationships/hyperlink" Target="https://track.loadshare.net/order/lAd5mmB" TargetMode="External"/><Relationship Id="rId863" Type="http://schemas.openxmlformats.org/officeDocument/2006/relationships/hyperlink" Target="https://track.loadshare.net/order/Gx9NG2Q" TargetMode="External"/><Relationship Id="rId211" Type="http://schemas.openxmlformats.org/officeDocument/2006/relationships/hyperlink" Target="https://track.loadshare.net/order/qblBL4y" TargetMode="External"/><Relationship Id="rId295" Type="http://schemas.openxmlformats.org/officeDocument/2006/relationships/hyperlink" Target="https://track.loadshare.net/order/2vKOLvj" TargetMode="External"/><Relationship Id="rId309" Type="http://schemas.openxmlformats.org/officeDocument/2006/relationships/hyperlink" Target="https://track.loadshare.net/order/aW0AQLZ" TargetMode="External"/><Relationship Id="rId516" Type="http://schemas.openxmlformats.org/officeDocument/2006/relationships/hyperlink" Target="https://track.loadshare.net/order/d0dADJW" TargetMode="External"/><Relationship Id="rId723" Type="http://schemas.openxmlformats.org/officeDocument/2006/relationships/hyperlink" Target="https://track.loadshare.net/order/Op0G7NK" TargetMode="External"/><Relationship Id="rId930" Type="http://schemas.openxmlformats.org/officeDocument/2006/relationships/hyperlink" Target="https://track.loadshare.net/order/d0dLvJ7" TargetMode="External"/><Relationship Id="rId155" Type="http://schemas.openxmlformats.org/officeDocument/2006/relationships/hyperlink" Target="https://track.loadshare.net/order/nedddOg" TargetMode="External"/><Relationship Id="rId362" Type="http://schemas.openxmlformats.org/officeDocument/2006/relationships/hyperlink" Target="https://track.loadshare.net/order/g0dRdLo" TargetMode="External"/><Relationship Id="rId222" Type="http://schemas.openxmlformats.org/officeDocument/2006/relationships/hyperlink" Target="https://track.loadshare.net/order/4eAOwdW" TargetMode="External"/><Relationship Id="rId667" Type="http://schemas.openxmlformats.org/officeDocument/2006/relationships/hyperlink" Target="https://track.loadshare.net/order/mWd3jBd" TargetMode="External"/><Relationship Id="rId874" Type="http://schemas.openxmlformats.org/officeDocument/2006/relationships/hyperlink" Target="https://track.loadshare.net/order/LaXNOD7" TargetMode="External"/><Relationship Id="rId17" Type="http://schemas.openxmlformats.org/officeDocument/2006/relationships/hyperlink" Target="https://track.loadshare.net/order/qblqRQl" TargetMode="External"/><Relationship Id="rId527" Type="http://schemas.openxmlformats.org/officeDocument/2006/relationships/hyperlink" Target="https://track.loadshare.net/order/Rn9eOWx" TargetMode="External"/><Relationship Id="rId734" Type="http://schemas.openxmlformats.org/officeDocument/2006/relationships/hyperlink" Target="https://track.loadshare.net/order/Gx9e49A" TargetMode="External"/><Relationship Id="rId941" Type="http://schemas.openxmlformats.org/officeDocument/2006/relationships/hyperlink" Target="https://track.loadshare.net/order/0vKD1OM" TargetMode="External"/><Relationship Id="rId70" Type="http://schemas.openxmlformats.org/officeDocument/2006/relationships/hyperlink" Target="https://track.loadshare.net/order/yqambDj" TargetMode="External"/><Relationship Id="rId166" Type="http://schemas.openxmlformats.org/officeDocument/2006/relationships/hyperlink" Target="https://track.loadshare.net/order/LaXXNYM" TargetMode="External"/><Relationship Id="rId373" Type="http://schemas.openxmlformats.org/officeDocument/2006/relationships/hyperlink" Target="https://track.loadshare.net/order/Op0bmK0" TargetMode="External"/><Relationship Id="rId580" Type="http://schemas.openxmlformats.org/officeDocument/2006/relationships/hyperlink" Target="https://track.loadshare.net/order/MqNLnNQ" TargetMode="External"/><Relationship Id="rId801" Type="http://schemas.openxmlformats.org/officeDocument/2006/relationships/hyperlink" Target="https://track.loadshare.net/order/B5De0vb" TargetMode="External"/><Relationship Id="rId1" Type="http://schemas.openxmlformats.org/officeDocument/2006/relationships/hyperlink" Target="https://track.loadshare.net/order/wkj3qww" TargetMode="External"/><Relationship Id="rId233" Type="http://schemas.openxmlformats.org/officeDocument/2006/relationships/hyperlink" Target="https://track.loadshare.net/order/JMRJ19w" TargetMode="External"/><Relationship Id="rId440" Type="http://schemas.openxmlformats.org/officeDocument/2006/relationships/hyperlink" Target="https://track.loadshare.net/order/A93wOqW" TargetMode="External"/><Relationship Id="rId678" Type="http://schemas.openxmlformats.org/officeDocument/2006/relationships/hyperlink" Target="https://track.loadshare.net/order/mWd3E9Q" TargetMode="External"/><Relationship Id="rId885" Type="http://schemas.openxmlformats.org/officeDocument/2006/relationships/hyperlink" Target="https://track.loadshare.net/order/1Yem4WE" TargetMode="External"/><Relationship Id="rId28" Type="http://schemas.openxmlformats.org/officeDocument/2006/relationships/hyperlink" Target="https://track.loadshare.net/order/d0d1Z2M" TargetMode="External"/><Relationship Id="rId300" Type="http://schemas.openxmlformats.org/officeDocument/2006/relationships/hyperlink" Target="https://track.loadshare.net/order/QZ0A5wO" TargetMode="External"/><Relationship Id="rId538" Type="http://schemas.openxmlformats.org/officeDocument/2006/relationships/hyperlink" Target="https://track.loadshare.net/order/LaXA0y7" TargetMode="External"/><Relationship Id="rId745" Type="http://schemas.openxmlformats.org/officeDocument/2006/relationships/hyperlink" Target="https://track.loadshare.net/order/B5DeylY" TargetMode="External"/><Relationship Id="rId952" Type="http://schemas.openxmlformats.org/officeDocument/2006/relationships/hyperlink" Target="https://track.loadshare.net/order/kndWXOw" TargetMode="External"/><Relationship Id="rId81" Type="http://schemas.openxmlformats.org/officeDocument/2006/relationships/hyperlink" Target="https://track.loadshare.net/order/YW04xNx" TargetMode="External"/><Relationship Id="rId177" Type="http://schemas.openxmlformats.org/officeDocument/2006/relationships/hyperlink" Target="https://track.loadshare.net/order/2vKK2K0" TargetMode="External"/><Relationship Id="rId384" Type="http://schemas.openxmlformats.org/officeDocument/2006/relationships/hyperlink" Target="https://track.loadshare.net/order/g0dREJN" TargetMode="External"/><Relationship Id="rId591" Type="http://schemas.openxmlformats.org/officeDocument/2006/relationships/hyperlink" Target="https://track.loadshare.net/order/qbl5kEv" TargetMode="External"/><Relationship Id="rId605" Type="http://schemas.openxmlformats.org/officeDocument/2006/relationships/hyperlink" Target="https://track.loadshare.net/order/obdmEBX" TargetMode="External"/><Relationship Id="rId812" Type="http://schemas.openxmlformats.org/officeDocument/2006/relationships/hyperlink" Target="https://track.loadshare.net/order/bx0mEx5" TargetMode="External"/><Relationship Id="rId244" Type="http://schemas.openxmlformats.org/officeDocument/2006/relationships/hyperlink" Target="https://track.loadshare.net/order/827OXMg" TargetMode="External"/><Relationship Id="rId689" Type="http://schemas.openxmlformats.org/officeDocument/2006/relationships/hyperlink" Target="https://track.loadshare.net/order/aW0jdRw" TargetMode="External"/><Relationship Id="rId896" Type="http://schemas.openxmlformats.org/officeDocument/2006/relationships/hyperlink" Target="https://track.loadshare.net/order/2vKMp05" TargetMode="External"/><Relationship Id="rId39" Type="http://schemas.openxmlformats.org/officeDocument/2006/relationships/hyperlink" Target="https://track.loadshare.net/order/mWdJJd5" TargetMode="External"/><Relationship Id="rId451" Type="http://schemas.openxmlformats.org/officeDocument/2006/relationships/hyperlink" Target="https://track.loadshare.net/order/A93wmDM" TargetMode="External"/><Relationship Id="rId549" Type="http://schemas.openxmlformats.org/officeDocument/2006/relationships/hyperlink" Target="https://track.loadshare.net/order/5bKeJd4" TargetMode="External"/><Relationship Id="rId756" Type="http://schemas.openxmlformats.org/officeDocument/2006/relationships/hyperlink" Target="https://track.loadshare.net/order/B5De8Da" TargetMode="External"/><Relationship Id="rId50" Type="http://schemas.openxmlformats.org/officeDocument/2006/relationships/hyperlink" Target="https://track.loadshare.net/order/LaXDA7y" TargetMode="External"/><Relationship Id="rId104" Type="http://schemas.openxmlformats.org/officeDocument/2006/relationships/hyperlink" Target="https://track.loadshare.net/order/LaXXWKL" TargetMode="External"/><Relationship Id="rId146" Type="http://schemas.openxmlformats.org/officeDocument/2006/relationships/hyperlink" Target="https://track.loadshare.net/order/MqNNj5o" TargetMode="External"/><Relationship Id="rId188" Type="http://schemas.openxmlformats.org/officeDocument/2006/relationships/hyperlink" Target="https://track.loadshare.net/order/B5DDYOj" TargetMode="External"/><Relationship Id="rId311" Type="http://schemas.openxmlformats.org/officeDocument/2006/relationships/hyperlink" Target="https://track.loadshare.net/order/Xn0qO0Q" TargetMode="External"/><Relationship Id="rId353" Type="http://schemas.openxmlformats.org/officeDocument/2006/relationships/hyperlink" Target="https://track.loadshare.net/order/v0kZY4b" TargetMode="External"/><Relationship Id="rId395" Type="http://schemas.openxmlformats.org/officeDocument/2006/relationships/hyperlink" Target="https://track.loadshare.net/order/aW0Mel8" TargetMode="External"/><Relationship Id="rId409" Type="http://schemas.openxmlformats.org/officeDocument/2006/relationships/hyperlink" Target="https://track.loadshare.net/order/N5Qbg3p" TargetMode="External"/><Relationship Id="rId560" Type="http://schemas.openxmlformats.org/officeDocument/2006/relationships/hyperlink" Target="https://track.loadshare.net/order/VY0LZQZ" TargetMode="External"/><Relationship Id="rId798" Type="http://schemas.openxmlformats.org/officeDocument/2006/relationships/hyperlink" Target="https://track.loadshare.net/order/pJ0DkAE" TargetMode="External"/><Relationship Id="rId963" Type="http://schemas.openxmlformats.org/officeDocument/2006/relationships/hyperlink" Target="https://track.loadshare.net/order/MqN9217" TargetMode="External"/><Relationship Id="rId92" Type="http://schemas.openxmlformats.org/officeDocument/2006/relationships/hyperlink" Target="https://track.loadshare.net/order/5bKKjAV" TargetMode="External"/><Relationship Id="rId213" Type="http://schemas.openxmlformats.org/officeDocument/2006/relationships/hyperlink" Target="https://track.loadshare.net/order/Op0A7bL" TargetMode="External"/><Relationship Id="rId420" Type="http://schemas.openxmlformats.org/officeDocument/2006/relationships/hyperlink" Target="https://track.loadshare.net/order/729EkWm" TargetMode="External"/><Relationship Id="rId616" Type="http://schemas.openxmlformats.org/officeDocument/2006/relationships/hyperlink" Target="https://track.loadshare.net/order/QZ0VooV" TargetMode="External"/><Relationship Id="rId658" Type="http://schemas.openxmlformats.org/officeDocument/2006/relationships/hyperlink" Target="https://track.loadshare.net/order/wkjQw5g" TargetMode="External"/><Relationship Id="rId823" Type="http://schemas.openxmlformats.org/officeDocument/2006/relationships/hyperlink" Target="https://track.loadshare.net/order/g0dojXW" TargetMode="External"/><Relationship Id="rId865" Type="http://schemas.openxmlformats.org/officeDocument/2006/relationships/hyperlink" Target="https://track.loadshare.net/order/4eAZvYA" TargetMode="External"/><Relationship Id="rId255" Type="http://schemas.openxmlformats.org/officeDocument/2006/relationships/hyperlink" Target="https://track.loadshare.net/order/4eAOB9p" TargetMode="External"/><Relationship Id="rId297" Type="http://schemas.openxmlformats.org/officeDocument/2006/relationships/hyperlink" Target="https://track.loadshare.net/order/Gx9LARQ" TargetMode="External"/><Relationship Id="rId462" Type="http://schemas.openxmlformats.org/officeDocument/2006/relationships/hyperlink" Target="https://track.loadshare.net/order/qbloaKl" TargetMode="External"/><Relationship Id="rId518" Type="http://schemas.openxmlformats.org/officeDocument/2006/relationships/hyperlink" Target="https://track.loadshare.net/order/bx0b5mG" TargetMode="External"/><Relationship Id="rId725" Type="http://schemas.openxmlformats.org/officeDocument/2006/relationships/hyperlink" Target="https://track.loadshare.net/order/Rn9D8G2" TargetMode="External"/><Relationship Id="rId932" Type="http://schemas.openxmlformats.org/officeDocument/2006/relationships/hyperlink" Target="https://track.loadshare.net/order/JMR9YBw" TargetMode="External"/><Relationship Id="rId115" Type="http://schemas.openxmlformats.org/officeDocument/2006/relationships/hyperlink" Target="https://track.loadshare.net/order/DDMM1eL" TargetMode="External"/><Relationship Id="rId157" Type="http://schemas.openxmlformats.org/officeDocument/2006/relationships/hyperlink" Target="https://track.loadshare.net/order/lAddw9J" TargetMode="External"/><Relationship Id="rId322" Type="http://schemas.openxmlformats.org/officeDocument/2006/relationships/hyperlink" Target="https://track.loadshare.net/order/v0kZagM" TargetMode="External"/><Relationship Id="rId364" Type="http://schemas.openxmlformats.org/officeDocument/2006/relationships/hyperlink" Target="https://track.loadshare.net/order/lAdwM4A" TargetMode="External"/><Relationship Id="rId767" Type="http://schemas.openxmlformats.org/officeDocument/2006/relationships/hyperlink" Target="https://track.loadshare.net/order/aW0DJKA" TargetMode="External"/><Relationship Id="rId61" Type="http://schemas.openxmlformats.org/officeDocument/2006/relationships/hyperlink" Target="https://track.loadshare.net/order/obdJxZq" TargetMode="External"/><Relationship Id="rId199" Type="http://schemas.openxmlformats.org/officeDocument/2006/relationships/hyperlink" Target="https://track.loadshare.net/order/qbll03v" TargetMode="External"/><Relationship Id="rId571" Type="http://schemas.openxmlformats.org/officeDocument/2006/relationships/hyperlink" Target="https://track.loadshare.net/order/wkjZvQD" TargetMode="External"/><Relationship Id="rId627" Type="http://schemas.openxmlformats.org/officeDocument/2006/relationships/hyperlink" Target="https://track.loadshare.net/order/g0dq3D9" TargetMode="External"/><Relationship Id="rId669" Type="http://schemas.openxmlformats.org/officeDocument/2006/relationships/hyperlink" Target="https://track.loadshare.net/order/g0dq23N" TargetMode="External"/><Relationship Id="rId834" Type="http://schemas.openxmlformats.org/officeDocument/2006/relationships/hyperlink" Target="https://track.loadshare.net/order/N5QpgXZ" TargetMode="External"/><Relationship Id="rId876" Type="http://schemas.openxmlformats.org/officeDocument/2006/relationships/hyperlink" Target="https://track.loadshare.net/order/B5DLGKa" TargetMode="External"/><Relationship Id="rId19" Type="http://schemas.openxmlformats.org/officeDocument/2006/relationships/hyperlink" Target="https://track.loadshare.net/order/v0k59KV" TargetMode="External"/><Relationship Id="rId224" Type="http://schemas.openxmlformats.org/officeDocument/2006/relationships/hyperlink" Target="https://track.loadshare.net/order/YW0AgWx" TargetMode="External"/><Relationship Id="rId266" Type="http://schemas.openxmlformats.org/officeDocument/2006/relationships/hyperlink" Target="https://track.loadshare.net/order/A930Jj2" TargetMode="External"/><Relationship Id="rId431" Type="http://schemas.openxmlformats.org/officeDocument/2006/relationships/hyperlink" Target="https://track.loadshare.net/order/VY0GKdy" TargetMode="External"/><Relationship Id="rId473" Type="http://schemas.openxmlformats.org/officeDocument/2006/relationships/hyperlink" Target="https://track.loadshare.net/order/YW0DNBw" TargetMode="External"/><Relationship Id="rId529" Type="http://schemas.openxmlformats.org/officeDocument/2006/relationships/hyperlink" Target="https://track.loadshare.net/order/Op0Ljx7" TargetMode="External"/><Relationship Id="rId680" Type="http://schemas.openxmlformats.org/officeDocument/2006/relationships/hyperlink" Target="https://track.loadshare.net/order/E9VB0NE" TargetMode="External"/><Relationship Id="rId736" Type="http://schemas.openxmlformats.org/officeDocument/2006/relationships/hyperlink" Target="https://track.loadshare.net/order/B5DeR00" TargetMode="External"/><Relationship Id="rId901" Type="http://schemas.openxmlformats.org/officeDocument/2006/relationships/hyperlink" Target="https://track.loadshare.net/order/3bKVOMk" TargetMode="External"/><Relationship Id="rId30" Type="http://schemas.openxmlformats.org/officeDocument/2006/relationships/hyperlink" Target="https://track.loadshare.net/order/yqamJ5j" TargetMode="External"/><Relationship Id="rId126" Type="http://schemas.openxmlformats.org/officeDocument/2006/relationships/hyperlink" Target="https://track.loadshare.net/order/yqaaO8M" TargetMode="External"/><Relationship Id="rId168" Type="http://schemas.openxmlformats.org/officeDocument/2006/relationships/hyperlink" Target="https://track.loadshare.net/order/WW00pnE" TargetMode="External"/><Relationship Id="rId333" Type="http://schemas.openxmlformats.org/officeDocument/2006/relationships/hyperlink" Target="https://track.loadshare.net/order/Op0b19l" TargetMode="External"/><Relationship Id="rId540" Type="http://schemas.openxmlformats.org/officeDocument/2006/relationships/hyperlink" Target="https://track.loadshare.net/order/YW0Y4da" TargetMode="External"/><Relationship Id="rId778" Type="http://schemas.openxmlformats.org/officeDocument/2006/relationships/hyperlink" Target="https://track.loadshare.net/order/7290Jke" TargetMode="External"/><Relationship Id="rId943" Type="http://schemas.openxmlformats.org/officeDocument/2006/relationships/hyperlink" Target="https://track.loadshare.net/order/g0dlyBR" TargetMode="External"/><Relationship Id="rId72" Type="http://schemas.openxmlformats.org/officeDocument/2006/relationships/hyperlink" Target="https://track.loadshare.net/order/0vKw15p" TargetMode="External"/><Relationship Id="rId375" Type="http://schemas.openxmlformats.org/officeDocument/2006/relationships/hyperlink" Target="https://track.loadshare.net/order/pJ05wpo" TargetMode="External"/><Relationship Id="rId582" Type="http://schemas.openxmlformats.org/officeDocument/2006/relationships/hyperlink" Target="https://track.loadshare.net/order/QZ0LEk2" TargetMode="External"/><Relationship Id="rId638" Type="http://schemas.openxmlformats.org/officeDocument/2006/relationships/hyperlink" Target="https://track.loadshare.net/order/yqa1JbZ" TargetMode="External"/><Relationship Id="rId803" Type="http://schemas.openxmlformats.org/officeDocument/2006/relationships/hyperlink" Target="https://track.loadshare.net/order/eldZMkl" TargetMode="External"/><Relationship Id="rId845" Type="http://schemas.openxmlformats.org/officeDocument/2006/relationships/hyperlink" Target="https://track.loadshare.net/order/mWdjKlQ" TargetMode="External"/><Relationship Id="rId3" Type="http://schemas.openxmlformats.org/officeDocument/2006/relationships/hyperlink" Target="https://track.loadshare.net/order/qblqdG7" TargetMode="External"/><Relationship Id="rId235" Type="http://schemas.openxmlformats.org/officeDocument/2006/relationships/hyperlink" Target="https://track.loadshare.net/order/5bKOxbV" TargetMode="External"/><Relationship Id="rId277" Type="http://schemas.openxmlformats.org/officeDocument/2006/relationships/hyperlink" Target="https://track.loadshare.net/order/eldgA4A" TargetMode="External"/><Relationship Id="rId400" Type="http://schemas.openxmlformats.org/officeDocument/2006/relationships/hyperlink" Target="https://track.loadshare.net/order/qbl3JRl" TargetMode="External"/><Relationship Id="rId442" Type="http://schemas.openxmlformats.org/officeDocument/2006/relationships/hyperlink" Target="https://track.loadshare.net/order/mWdMaxk" TargetMode="External"/><Relationship Id="rId484" Type="http://schemas.openxmlformats.org/officeDocument/2006/relationships/hyperlink" Target="https://track.loadshare.net/order/ZW0mWJG" TargetMode="External"/><Relationship Id="rId705" Type="http://schemas.openxmlformats.org/officeDocument/2006/relationships/hyperlink" Target="https://track.loadshare.net/order/eldjXwD" TargetMode="External"/><Relationship Id="rId887" Type="http://schemas.openxmlformats.org/officeDocument/2006/relationships/hyperlink" Target="https://track.loadshare.net/order/wkjmRRg" TargetMode="External"/><Relationship Id="rId137" Type="http://schemas.openxmlformats.org/officeDocument/2006/relationships/hyperlink" Target="https://track.loadshare.net/order/d0ddYAd" TargetMode="External"/><Relationship Id="rId302" Type="http://schemas.openxmlformats.org/officeDocument/2006/relationships/hyperlink" Target="https://track.loadshare.net/order/3bKObe9" TargetMode="External"/><Relationship Id="rId344" Type="http://schemas.openxmlformats.org/officeDocument/2006/relationships/hyperlink" Target="https://track.loadshare.net/order/1YeJvo3" TargetMode="External"/><Relationship Id="rId691" Type="http://schemas.openxmlformats.org/officeDocument/2006/relationships/hyperlink" Target="https://track.loadshare.net/order/WW0jenE" TargetMode="External"/><Relationship Id="rId747" Type="http://schemas.openxmlformats.org/officeDocument/2006/relationships/hyperlink" Target="https://track.loadshare.net/order/1YejDxE" TargetMode="External"/><Relationship Id="rId789" Type="http://schemas.openxmlformats.org/officeDocument/2006/relationships/hyperlink" Target="https://track.loadshare.net/order/E9VeBKE" TargetMode="External"/><Relationship Id="rId912" Type="http://schemas.openxmlformats.org/officeDocument/2006/relationships/hyperlink" Target="https://track.loadshare.net/order/JMR9p5w" TargetMode="External"/><Relationship Id="rId954" Type="http://schemas.openxmlformats.org/officeDocument/2006/relationships/hyperlink" Target="https://track.loadshare.net/order/92Kewod" TargetMode="External"/><Relationship Id="rId41" Type="http://schemas.openxmlformats.org/officeDocument/2006/relationships/hyperlink" Target="https://track.loadshare.net/order/ZW0JJ3p" TargetMode="External"/><Relationship Id="rId83" Type="http://schemas.openxmlformats.org/officeDocument/2006/relationships/hyperlink" Target="https://track.loadshare.net/order/aW0JyXQ" TargetMode="External"/><Relationship Id="rId179" Type="http://schemas.openxmlformats.org/officeDocument/2006/relationships/hyperlink" Target="https://track.loadshare.net/order/0vKKGJq" TargetMode="External"/><Relationship Id="rId386" Type="http://schemas.openxmlformats.org/officeDocument/2006/relationships/hyperlink" Target="https://track.loadshare.net/order/xadoJB4" TargetMode="External"/><Relationship Id="rId551" Type="http://schemas.openxmlformats.org/officeDocument/2006/relationships/hyperlink" Target="https://track.loadshare.net/order/nedgVg3" TargetMode="External"/><Relationship Id="rId593" Type="http://schemas.openxmlformats.org/officeDocument/2006/relationships/hyperlink" Target="https://track.loadshare.net/order/qbl5ybv" TargetMode="External"/><Relationship Id="rId607" Type="http://schemas.openxmlformats.org/officeDocument/2006/relationships/hyperlink" Target="https://track.loadshare.net/order/pJ0Mx7l" TargetMode="External"/><Relationship Id="rId649" Type="http://schemas.openxmlformats.org/officeDocument/2006/relationships/hyperlink" Target="https://track.loadshare.net/order/3bKQGn9" TargetMode="External"/><Relationship Id="rId814" Type="http://schemas.openxmlformats.org/officeDocument/2006/relationships/hyperlink" Target="https://track.loadshare.net/order/lAdpaoB" TargetMode="External"/><Relationship Id="rId856" Type="http://schemas.openxmlformats.org/officeDocument/2006/relationships/hyperlink" Target="https://track.loadshare.net/order/g0dlMy9" TargetMode="External"/><Relationship Id="rId190" Type="http://schemas.openxmlformats.org/officeDocument/2006/relationships/hyperlink" Target="https://track.loadshare.net/order/N5QQXyl" TargetMode="External"/><Relationship Id="rId204" Type="http://schemas.openxmlformats.org/officeDocument/2006/relationships/hyperlink" Target="https://track.loadshare.net/order/N5QQgJY" TargetMode="External"/><Relationship Id="rId246" Type="http://schemas.openxmlformats.org/officeDocument/2006/relationships/hyperlink" Target="https://track.loadshare.net/order/pJ0oRWv" TargetMode="External"/><Relationship Id="rId288" Type="http://schemas.openxmlformats.org/officeDocument/2006/relationships/hyperlink" Target="https://track.loadshare.net/order/v0klNvb" TargetMode="External"/><Relationship Id="rId411" Type="http://schemas.openxmlformats.org/officeDocument/2006/relationships/hyperlink" Target="https://track.loadshare.net/order/yqap2R7" TargetMode="External"/><Relationship Id="rId453" Type="http://schemas.openxmlformats.org/officeDocument/2006/relationships/hyperlink" Target="https://track.loadshare.net/order/0vKEA04" TargetMode="External"/><Relationship Id="rId509" Type="http://schemas.openxmlformats.org/officeDocument/2006/relationships/hyperlink" Target="https://track.loadshare.net/order/92KqnEx" TargetMode="External"/><Relationship Id="rId660" Type="http://schemas.openxmlformats.org/officeDocument/2006/relationships/hyperlink" Target="https://track.loadshare.net/order/aW0j9wV" TargetMode="External"/><Relationship Id="rId898" Type="http://schemas.openxmlformats.org/officeDocument/2006/relationships/hyperlink" Target="https://track.loadshare.net/order/KgvNv4A" TargetMode="External"/><Relationship Id="rId106" Type="http://schemas.openxmlformats.org/officeDocument/2006/relationships/hyperlink" Target="https://track.loadshare.net/order/mWddLoN" TargetMode="External"/><Relationship Id="rId313" Type="http://schemas.openxmlformats.org/officeDocument/2006/relationships/hyperlink" Target="https://track.loadshare.net/order/v0kZxD2" TargetMode="External"/><Relationship Id="rId495" Type="http://schemas.openxmlformats.org/officeDocument/2006/relationships/hyperlink" Target="https://track.loadshare.net/order/Gx9BZyR" TargetMode="External"/><Relationship Id="rId716" Type="http://schemas.openxmlformats.org/officeDocument/2006/relationships/hyperlink" Target="https://track.loadshare.net/order/g0dowxO" TargetMode="External"/><Relationship Id="rId758" Type="http://schemas.openxmlformats.org/officeDocument/2006/relationships/hyperlink" Target="https://track.loadshare.net/order/qblmMDK" TargetMode="External"/><Relationship Id="rId923" Type="http://schemas.openxmlformats.org/officeDocument/2006/relationships/hyperlink" Target="https://track.loadshare.net/order/729Ypn2" TargetMode="External"/><Relationship Id="rId10" Type="http://schemas.openxmlformats.org/officeDocument/2006/relationships/hyperlink" Target="https://track.loadshare.net/order/qblqely" TargetMode="External"/><Relationship Id="rId52" Type="http://schemas.openxmlformats.org/officeDocument/2006/relationships/hyperlink" Target="https://track.loadshare.net/order/ZW0Jjnk" TargetMode="External"/><Relationship Id="rId94" Type="http://schemas.openxmlformats.org/officeDocument/2006/relationships/hyperlink" Target="https://track.loadshare.net/order/pJ00b7M" TargetMode="External"/><Relationship Id="rId148" Type="http://schemas.openxmlformats.org/officeDocument/2006/relationships/hyperlink" Target="https://track.loadshare.net/order/obdd8oY" TargetMode="External"/><Relationship Id="rId355" Type="http://schemas.openxmlformats.org/officeDocument/2006/relationships/hyperlink" Target="https://track.loadshare.net/order/5bKJaax" TargetMode="External"/><Relationship Id="rId397" Type="http://schemas.openxmlformats.org/officeDocument/2006/relationships/hyperlink" Target="https://track.loadshare.net/order/B5DJX2g" TargetMode="External"/><Relationship Id="rId520" Type="http://schemas.openxmlformats.org/officeDocument/2006/relationships/hyperlink" Target="https://track.loadshare.net/order/3bKxnvX" TargetMode="External"/><Relationship Id="rId562" Type="http://schemas.openxmlformats.org/officeDocument/2006/relationships/hyperlink" Target="https://track.loadshare.net/order/pJ0GDJv" TargetMode="External"/><Relationship Id="rId618" Type="http://schemas.openxmlformats.org/officeDocument/2006/relationships/hyperlink" Target="https://track.loadshare.net/order/bx0jAG4" TargetMode="External"/><Relationship Id="rId825" Type="http://schemas.openxmlformats.org/officeDocument/2006/relationships/hyperlink" Target="https://track.loadshare.net/order/lAdpARJ" TargetMode="External"/><Relationship Id="rId215" Type="http://schemas.openxmlformats.org/officeDocument/2006/relationships/hyperlink" Target="https://track.loadshare.net/order/WW073Og" TargetMode="External"/><Relationship Id="rId257" Type="http://schemas.openxmlformats.org/officeDocument/2006/relationships/hyperlink" Target="https://track.loadshare.net/order/v0klOxx" TargetMode="External"/><Relationship Id="rId422" Type="http://schemas.openxmlformats.org/officeDocument/2006/relationships/hyperlink" Target="https://track.loadshare.net/order/DDMGEWX" TargetMode="External"/><Relationship Id="rId464" Type="http://schemas.openxmlformats.org/officeDocument/2006/relationships/hyperlink" Target="https://track.loadshare.net/order/qblo1yN" TargetMode="External"/><Relationship Id="rId867" Type="http://schemas.openxmlformats.org/officeDocument/2006/relationships/hyperlink" Target="https://track.loadshare.net/order/0vKDRLX" TargetMode="External"/><Relationship Id="rId299" Type="http://schemas.openxmlformats.org/officeDocument/2006/relationships/hyperlink" Target="https://track.loadshare.net/order/B5DEXNk" TargetMode="External"/><Relationship Id="rId727" Type="http://schemas.openxmlformats.org/officeDocument/2006/relationships/hyperlink" Target="https://track.loadshare.net/order/v0kodNK" TargetMode="External"/><Relationship Id="rId934" Type="http://schemas.openxmlformats.org/officeDocument/2006/relationships/hyperlink" Target="https://track.loadshare.net/order/Gx9NYX3" TargetMode="External"/><Relationship Id="rId63" Type="http://schemas.openxmlformats.org/officeDocument/2006/relationships/hyperlink" Target="https://track.loadshare.net/order/YW04EAy" TargetMode="External"/><Relationship Id="rId159" Type="http://schemas.openxmlformats.org/officeDocument/2006/relationships/hyperlink" Target="https://track.loadshare.net/order/mWddMb2" TargetMode="External"/><Relationship Id="rId366" Type="http://schemas.openxmlformats.org/officeDocument/2006/relationships/hyperlink" Target="https://track.loadshare.net/order/d0dnn1d" TargetMode="External"/><Relationship Id="rId573" Type="http://schemas.openxmlformats.org/officeDocument/2006/relationships/hyperlink" Target="https://track.loadshare.net/order/92KqM4M" TargetMode="External"/><Relationship Id="rId780" Type="http://schemas.openxmlformats.org/officeDocument/2006/relationships/hyperlink" Target="https://track.loadshare.net/order/ned5p9Q" TargetMode="External"/><Relationship Id="rId226" Type="http://schemas.openxmlformats.org/officeDocument/2006/relationships/hyperlink" Target="https://track.loadshare.net/order/mWdV7l2" TargetMode="External"/><Relationship Id="rId433" Type="http://schemas.openxmlformats.org/officeDocument/2006/relationships/hyperlink" Target="https://track.loadshare.net/order/jxd3MxV" TargetMode="External"/><Relationship Id="rId878" Type="http://schemas.openxmlformats.org/officeDocument/2006/relationships/hyperlink" Target="https://track.loadshare.net/order/nedabX3" TargetMode="External"/><Relationship Id="rId640" Type="http://schemas.openxmlformats.org/officeDocument/2006/relationships/hyperlink" Target="https://track.loadshare.net/order/5bK9aQL" TargetMode="External"/><Relationship Id="rId738" Type="http://schemas.openxmlformats.org/officeDocument/2006/relationships/hyperlink" Target="https://track.loadshare.net/order/MqNgd2X" TargetMode="External"/><Relationship Id="rId945" Type="http://schemas.openxmlformats.org/officeDocument/2006/relationships/hyperlink" Target="https://track.loadshare.net/order/yqaVN4R" TargetMode="External"/><Relationship Id="rId74" Type="http://schemas.openxmlformats.org/officeDocument/2006/relationships/hyperlink" Target="https://track.loadshare.net/order/LaXDZZ3" TargetMode="External"/><Relationship Id="rId377" Type="http://schemas.openxmlformats.org/officeDocument/2006/relationships/hyperlink" Target="https://track.loadshare.net/order/LaXbRnp" TargetMode="External"/><Relationship Id="rId500" Type="http://schemas.openxmlformats.org/officeDocument/2006/relationships/hyperlink" Target="https://track.loadshare.net/order/g0dbNlK" TargetMode="External"/><Relationship Id="rId584" Type="http://schemas.openxmlformats.org/officeDocument/2006/relationships/hyperlink" Target="https://track.loadshare.net/order/3bKx7O3" TargetMode="External"/><Relationship Id="rId805" Type="http://schemas.openxmlformats.org/officeDocument/2006/relationships/hyperlink" Target="https://track.loadshare.net/order/kndgRy9" TargetMode="External"/><Relationship Id="rId5" Type="http://schemas.openxmlformats.org/officeDocument/2006/relationships/hyperlink" Target="https://track.loadshare.net/order/kndJ4pw" TargetMode="External"/><Relationship Id="rId237" Type="http://schemas.openxmlformats.org/officeDocument/2006/relationships/hyperlink" Target="https://track.loadshare.net/order/wkjlNv2" TargetMode="External"/><Relationship Id="rId791" Type="http://schemas.openxmlformats.org/officeDocument/2006/relationships/hyperlink" Target="https://track.loadshare.net/order/qblm9mL" TargetMode="External"/><Relationship Id="rId889" Type="http://schemas.openxmlformats.org/officeDocument/2006/relationships/hyperlink" Target="https://track.loadshare.net/order/d0dLbvM" TargetMode="External"/><Relationship Id="rId444" Type="http://schemas.openxmlformats.org/officeDocument/2006/relationships/hyperlink" Target="https://track.loadshare.net/order/kndDdOb" TargetMode="External"/><Relationship Id="rId651" Type="http://schemas.openxmlformats.org/officeDocument/2006/relationships/hyperlink" Target="https://track.loadshare.net/order/5bK9K9V" TargetMode="External"/><Relationship Id="rId749" Type="http://schemas.openxmlformats.org/officeDocument/2006/relationships/hyperlink" Target="https://track.loadshare.net/order/pJ0DQnl" TargetMode="External"/><Relationship Id="rId290" Type="http://schemas.openxmlformats.org/officeDocument/2006/relationships/hyperlink" Target="https://track.loadshare.net/order/Xn0AlQX" TargetMode="External"/><Relationship Id="rId304" Type="http://schemas.openxmlformats.org/officeDocument/2006/relationships/hyperlink" Target="https://track.loadshare.net/order/E9V4JQM" TargetMode="External"/><Relationship Id="rId388" Type="http://schemas.openxmlformats.org/officeDocument/2006/relationships/hyperlink" Target="https://track.loadshare.net/order/YW0wZE5" TargetMode="External"/><Relationship Id="rId511" Type="http://schemas.openxmlformats.org/officeDocument/2006/relationships/hyperlink" Target="https://track.loadshare.net/order/KgvL1Vw" TargetMode="External"/><Relationship Id="rId609" Type="http://schemas.openxmlformats.org/officeDocument/2006/relationships/hyperlink" Target="https://track.loadshare.net/order/wkjQqRm" TargetMode="External"/><Relationship Id="rId956" Type="http://schemas.openxmlformats.org/officeDocument/2006/relationships/hyperlink" Target="https://track.loadshare.net/order/QZ0Rd5O" TargetMode="External"/><Relationship Id="rId85" Type="http://schemas.openxmlformats.org/officeDocument/2006/relationships/hyperlink" Target="https://track.loadshare.net/order/LaXD85w" TargetMode="External"/><Relationship Id="rId150" Type="http://schemas.openxmlformats.org/officeDocument/2006/relationships/hyperlink" Target="https://track.loadshare.net/order/1Yeeb4v" TargetMode="External"/><Relationship Id="rId595" Type="http://schemas.openxmlformats.org/officeDocument/2006/relationships/hyperlink" Target="https://track.loadshare.net/order/g0dby3K" TargetMode="External"/><Relationship Id="rId816" Type="http://schemas.openxmlformats.org/officeDocument/2006/relationships/hyperlink" Target="https://track.loadshare.net/order/YW0avda" TargetMode="External"/><Relationship Id="rId248" Type="http://schemas.openxmlformats.org/officeDocument/2006/relationships/hyperlink" Target="https://track.loadshare.net/order/yqalE50" TargetMode="External"/><Relationship Id="rId455" Type="http://schemas.openxmlformats.org/officeDocument/2006/relationships/hyperlink" Target="https://track.loadshare.net/order/KgvZqaQ" TargetMode="External"/><Relationship Id="rId662" Type="http://schemas.openxmlformats.org/officeDocument/2006/relationships/hyperlink" Target="https://track.loadshare.net/order/lAd59j3" TargetMode="External"/><Relationship Id="rId12" Type="http://schemas.openxmlformats.org/officeDocument/2006/relationships/hyperlink" Target="https://track.loadshare.net/order/mWdJR2m" TargetMode="External"/><Relationship Id="rId108" Type="http://schemas.openxmlformats.org/officeDocument/2006/relationships/hyperlink" Target="https://track.loadshare.net/order/5bKKgbV" TargetMode="External"/><Relationship Id="rId315" Type="http://schemas.openxmlformats.org/officeDocument/2006/relationships/hyperlink" Target="https://track.loadshare.net/order/Rn9b8OO" TargetMode="External"/><Relationship Id="rId522" Type="http://schemas.openxmlformats.org/officeDocument/2006/relationships/hyperlink" Target="https://track.loadshare.net/order/3bKxn2d" TargetMode="External"/><Relationship Id="rId96" Type="http://schemas.openxmlformats.org/officeDocument/2006/relationships/hyperlink" Target="https://track.loadshare.net/order/g0ddnEj" TargetMode="External"/><Relationship Id="rId161" Type="http://schemas.openxmlformats.org/officeDocument/2006/relationships/hyperlink" Target="https://track.loadshare.net/order/Rn99eb8" TargetMode="External"/><Relationship Id="rId399" Type="http://schemas.openxmlformats.org/officeDocument/2006/relationships/hyperlink" Target="https://track.loadshare.net/order/g0dRAmW" TargetMode="External"/><Relationship Id="rId827" Type="http://schemas.openxmlformats.org/officeDocument/2006/relationships/hyperlink" Target="https://track.loadshare.net/order/5bK0b78" TargetMode="External"/><Relationship Id="rId259" Type="http://schemas.openxmlformats.org/officeDocument/2006/relationships/hyperlink" Target="https://track.loadshare.net/order/0vKOK5N" TargetMode="External"/><Relationship Id="rId466" Type="http://schemas.openxmlformats.org/officeDocument/2006/relationships/hyperlink" Target="https://track.loadshare.net/order/YW0DeEM" TargetMode="External"/><Relationship Id="rId673" Type="http://schemas.openxmlformats.org/officeDocument/2006/relationships/hyperlink" Target="https://track.loadshare.net/order/DDMogpg" TargetMode="External"/><Relationship Id="rId880" Type="http://schemas.openxmlformats.org/officeDocument/2006/relationships/hyperlink" Target="https://track.loadshare.net/order/VY0JAgA" TargetMode="External"/><Relationship Id="rId23" Type="http://schemas.openxmlformats.org/officeDocument/2006/relationships/hyperlink" Target="https://track.loadshare.net/order/mWdJnEk" TargetMode="External"/><Relationship Id="rId119" Type="http://schemas.openxmlformats.org/officeDocument/2006/relationships/hyperlink" Target="https://track.loadshare.net/order/7299ool" TargetMode="External"/><Relationship Id="rId326" Type="http://schemas.openxmlformats.org/officeDocument/2006/relationships/hyperlink" Target="https://track.loadshare.net/order/d0dnXld" TargetMode="External"/><Relationship Id="rId533" Type="http://schemas.openxmlformats.org/officeDocument/2006/relationships/hyperlink" Target="https://track.loadshare.net/order/qbl5875" TargetMode="External"/><Relationship Id="rId740" Type="http://schemas.openxmlformats.org/officeDocument/2006/relationships/hyperlink" Target="https://track.loadshare.net/order/bx0mNEW" TargetMode="External"/><Relationship Id="rId838" Type="http://schemas.openxmlformats.org/officeDocument/2006/relationships/hyperlink" Target="https://track.loadshare.net/order/729YlL2" TargetMode="External"/><Relationship Id="rId172" Type="http://schemas.openxmlformats.org/officeDocument/2006/relationships/hyperlink" Target="https://track.loadshare.net/order/2vKKgog" TargetMode="External"/><Relationship Id="rId477" Type="http://schemas.openxmlformats.org/officeDocument/2006/relationships/hyperlink" Target="https://track.loadshare.net/order/nedVkyk" TargetMode="External"/><Relationship Id="rId600" Type="http://schemas.openxmlformats.org/officeDocument/2006/relationships/hyperlink" Target="https://track.loadshare.net/order/VY0jawA" TargetMode="External"/><Relationship Id="rId684" Type="http://schemas.openxmlformats.org/officeDocument/2006/relationships/hyperlink" Target="https://track.loadshare.net/order/Xn0jYvQ" TargetMode="External"/><Relationship Id="rId337" Type="http://schemas.openxmlformats.org/officeDocument/2006/relationships/hyperlink" Target="https://track.loadshare.net/order/DDMb2pL" TargetMode="External"/><Relationship Id="rId891" Type="http://schemas.openxmlformats.org/officeDocument/2006/relationships/hyperlink" Target="https://track.loadshare.net/order/N5Q09Gl" TargetMode="External"/><Relationship Id="rId905" Type="http://schemas.openxmlformats.org/officeDocument/2006/relationships/hyperlink" Target="https://track.loadshare.net/order/g0dlR1N" TargetMode="External"/><Relationship Id="rId34" Type="http://schemas.openxmlformats.org/officeDocument/2006/relationships/hyperlink" Target="https://track.loadshare.net/order/JMR5lgw" TargetMode="External"/><Relationship Id="rId544" Type="http://schemas.openxmlformats.org/officeDocument/2006/relationships/hyperlink" Target="https://track.loadshare.net/order/5bKe3Gx" TargetMode="External"/><Relationship Id="rId751" Type="http://schemas.openxmlformats.org/officeDocument/2006/relationships/hyperlink" Target="https://track.loadshare.net/order/WW0nExg" TargetMode="External"/><Relationship Id="rId849" Type="http://schemas.openxmlformats.org/officeDocument/2006/relationships/hyperlink" Target="https://track.loadshare.net/order/0vKDWnM" TargetMode="External"/><Relationship Id="rId183" Type="http://schemas.openxmlformats.org/officeDocument/2006/relationships/hyperlink" Target="https://track.loadshare.net/order/qbllEdK" TargetMode="External"/><Relationship Id="rId390" Type="http://schemas.openxmlformats.org/officeDocument/2006/relationships/hyperlink" Target="https://track.loadshare.net/order/wkjnyoY" TargetMode="External"/><Relationship Id="rId404" Type="http://schemas.openxmlformats.org/officeDocument/2006/relationships/hyperlink" Target="https://track.loadshare.net/order/d0dnNg7" TargetMode="External"/><Relationship Id="rId611" Type="http://schemas.openxmlformats.org/officeDocument/2006/relationships/hyperlink" Target="https://track.loadshare.net/order/wkjQapw" TargetMode="External"/><Relationship Id="rId250" Type="http://schemas.openxmlformats.org/officeDocument/2006/relationships/hyperlink" Target="https://track.loadshare.net/order/qblBAq5" TargetMode="External"/><Relationship Id="rId488" Type="http://schemas.openxmlformats.org/officeDocument/2006/relationships/hyperlink" Target="https://track.loadshare.net/order/wkjw1Z3" TargetMode="External"/><Relationship Id="rId695" Type="http://schemas.openxmlformats.org/officeDocument/2006/relationships/hyperlink" Target="https://track.loadshare.net/order/eldj3Rl" TargetMode="External"/><Relationship Id="rId709" Type="http://schemas.openxmlformats.org/officeDocument/2006/relationships/hyperlink" Target="https://track.loadshare.net/order/eldZ7Rl" TargetMode="External"/><Relationship Id="rId916" Type="http://schemas.openxmlformats.org/officeDocument/2006/relationships/hyperlink" Target="https://track.loadshare.net/order/729YY8l" TargetMode="External"/><Relationship Id="rId45" Type="http://schemas.openxmlformats.org/officeDocument/2006/relationships/hyperlink" Target="https://track.loadshare.net/order/qblq31l" TargetMode="External"/><Relationship Id="rId110" Type="http://schemas.openxmlformats.org/officeDocument/2006/relationships/hyperlink" Target="https://track.loadshare.net/order/1YeeG9y" TargetMode="External"/><Relationship Id="rId348" Type="http://schemas.openxmlformats.org/officeDocument/2006/relationships/hyperlink" Target="https://track.loadshare.net/order/v0kZLWV" TargetMode="External"/><Relationship Id="rId555" Type="http://schemas.openxmlformats.org/officeDocument/2006/relationships/hyperlink" Target="https://track.loadshare.net/order/VY0LLYb" TargetMode="External"/><Relationship Id="rId762" Type="http://schemas.openxmlformats.org/officeDocument/2006/relationships/hyperlink" Target="https://track.loadshare.net/order/B5DejRj" TargetMode="External"/><Relationship Id="rId194" Type="http://schemas.openxmlformats.org/officeDocument/2006/relationships/hyperlink" Target="https://track.loadshare.net/order/5bKKy2x" TargetMode="External"/><Relationship Id="rId208" Type="http://schemas.openxmlformats.org/officeDocument/2006/relationships/hyperlink" Target="https://track.loadshare.net/order/xadlNAV" TargetMode="External"/><Relationship Id="rId415" Type="http://schemas.openxmlformats.org/officeDocument/2006/relationships/hyperlink" Target="https://track.loadshare.net/order/N5QBNne" TargetMode="External"/><Relationship Id="rId622" Type="http://schemas.openxmlformats.org/officeDocument/2006/relationships/hyperlink" Target="https://track.loadshare.net/order/KgvGwa9" TargetMode="External"/><Relationship Id="rId261" Type="http://schemas.openxmlformats.org/officeDocument/2006/relationships/hyperlink" Target="https://track.loadshare.net/order/v0klkgb" TargetMode="External"/><Relationship Id="rId499" Type="http://schemas.openxmlformats.org/officeDocument/2006/relationships/hyperlink" Target="https://track.loadshare.net/order/qbl5Odn" TargetMode="External"/><Relationship Id="rId927" Type="http://schemas.openxmlformats.org/officeDocument/2006/relationships/hyperlink" Target="https://track.loadshare.net/order/ZW08X7p" TargetMode="External"/><Relationship Id="rId56" Type="http://schemas.openxmlformats.org/officeDocument/2006/relationships/hyperlink" Target="https://track.loadshare.net/order/d0d1KaX" TargetMode="External"/><Relationship Id="rId359" Type="http://schemas.openxmlformats.org/officeDocument/2006/relationships/hyperlink" Target="https://track.loadshare.net/order/d0dnOlb" TargetMode="External"/><Relationship Id="rId566" Type="http://schemas.openxmlformats.org/officeDocument/2006/relationships/hyperlink" Target="https://track.loadshare.net/order/d0dAW9M" TargetMode="External"/><Relationship Id="rId773" Type="http://schemas.openxmlformats.org/officeDocument/2006/relationships/hyperlink" Target="https://track.loadshare.net/order/ned5Zvg" TargetMode="External"/><Relationship Id="rId121" Type="http://schemas.openxmlformats.org/officeDocument/2006/relationships/hyperlink" Target="https://track.loadshare.net/order/A933K33" TargetMode="External"/><Relationship Id="rId219" Type="http://schemas.openxmlformats.org/officeDocument/2006/relationships/hyperlink" Target="https://track.loadshare.net/order/MqN4Wxo" TargetMode="External"/><Relationship Id="rId426" Type="http://schemas.openxmlformats.org/officeDocument/2006/relationships/hyperlink" Target="https://track.loadshare.net/order/KgvZ1b2" TargetMode="External"/><Relationship Id="rId633" Type="http://schemas.openxmlformats.org/officeDocument/2006/relationships/hyperlink" Target="https://track.loadshare.net/order/eldjn0Q" TargetMode="External"/><Relationship Id="rId840" Type="http://schemas.openxmlformats.org/officeDocument/2006/relationships/hyperlink" Target="https://track.loadshare.net/order/mWdjDVd" TargetMode="External"/><Relationship Id="rId938" Type="http://schemas.openxmlformats.org/officeDocument/2006/relationships/hyperlink" Target="https://track.loadshare.net/order/0vKDNbq" TargetMode="External"/><Relationship Id="rId67" Type="http://schemas.openxmlformats.org/officeDocument/2006/relationships/hyperlink" Target="https://track.loadshare.net/order/A93NAm3" TargetMode="External"/><Relationship Id="rId272" Type="http://schemas.openxmlformats.org/officeDocument/2006/relationships/hyperlink" Target="https://track.loadshare.net/order/lAdM9b3" TargetMode="External"/><Relationship Id="rId577" Type="http://schemas.openxmlformats.org/officeDocument/2006/relationships/hyperlink" Target="https://track.loadshare.net/order/MqNLEQX" TargetMode="External"/><Relationship Id="rId700" Type="http://schemas.openxmlformats.org/officeDocument/2006/relationships/hyperlink" Target="https://track.loadshare.net/order/0vKAl90" TargetMode="External"/><Relationship Id="rId132" Type="http://schemas.openxmlformats.org/officeDocument/2006/relationships/hyperlink" Target="https://track.loadshare.net/order/pJ00KV4" TargetMode="External"/><Relationship Id="rId784" Type="http://schemas.openxmlformats.org/officeDocument/2006/relationships/hyperlink" Target="https://track.loadshare.net/order/ned5VA3" TargetMode="External"/><Relationship Id="rId437" Type="http://schemas.openxmlformats.org/officeDocument/2006/relationships/hyperlink" Target="https://track.loadshare.net/order/3bK1d20" TargetMode="External"/><Relationship Id="rId644" Type="http://schemas.openxmlformats.org/officeDocument/2006/relationships/hyperlink" Target="https://track.loadshare.net/order/A93VOpM" TargetMode="External"/><Relationship Id="rId851" Type="http://schemas.openxmlformats.org/officeDocument/2006/relationships/hyperlink" Target="https://track.loadshare.net/order/nedaKgo" TargetMode="External"/><Relationship Id="rId283" Type="http://schemas.openxmlformats.org/officeDocument/2006/relationships/hyperlink" Target="https://track.loadshare.net/order/QZ0ApB2" TargetMode="External"/><Relationship Id="rId490" Type="http://schemas.openxmlformats.org/officeDocument/2006/relationships/hyperlink" Target="https://track.loadshare.net/order/MqNLAWX" TargetMode="External"/><Relationship Id="rId504" Type="http://schemas.openxmlformats.org/officeDocument/2006/relationships/hyperlink" Target="https://track.loadshare.net/order/v0kVjwb" TargetMode="External"/><Relationship Id="rId711" Type="http://schemas.openxmlformats.org/officeDocument/2006/relationships/hyperlink" Target="https://track.loadshare.net/order/obd93lM" TargetMode="External"/><Relationship Id="rId949" Type="http://schemas.openxmlformats.org/officeDocument/2006/relationships/hyperlink" Target="https://track.loadshare.net/order/3bKVbpp" TargetMode="External"/><Relationship Id="rId78" Type="http://schemas.openxmlformats.org/officeDocument/2006/relationships/hyperlink" Target="https://track.loadshare.net/order/aW0J1ek" TargetMode="External"/><Relationship Id="rId143" Type="http://schemas.openxmlformats.org/officeDocument/2006/relationships/hyperlink" Target="https://track.loadshare.net/order/A933O52" TargetMode="External"/><Relationship Id="rId350" Type="http://schemas.openxmlformats.org/officeDocument/2006/relationships/hyperlink" Target="https://track.loadshare.net/order/MqNbRKm" TargetMode="External"/><Relationship Id="rId588" Type="http://schemas.openxmlformats.org/officeDocument/2006/relationships/hyperlink" Target="https://track.loadshare.net/order/d0dAlJd" TargetMode="External"/><Relationship Id="rId795" Type="http://schemas.openxmlformats.org/officeDocument/2006/relationships/hyperlink" Target="https://track.loadshare.net/order/aW0DLd2" TargetMode="External"/><Relationship Id="rId809" Type="http://schemas.openxmlformats.org/officeDocument/2006/relationships/hyperlink" Target="https://track.loadshare.net/order/qblmw5K" TargetMode="External"/><Relationship Id="rId9" Type="http://schemas.openxmlformats.org/officeDocument/2006/relationships/hyperlink" Target="https://track.loadshare.net/order/A93N4gY" TargetMode="External"/><Relationship Id="rId210" Type="http://schemas.openxmlformats.org/officeDocument/2006/relationships/hyperlink" Target="https://track.loadshare.net/order/jxdDGj9" TargetMode="External"/><Relationship Id="rId448" Type="http://schemas.openxmlformats.org/officeDocument/2006/relationships/hyperlink" Target="https://track.loadshare.net/order/729EJVL" TargetMode="External"/><Relationship Id="rId655" Type="http://schemas.openxmlformats.org/officeDocument/2006/relationships/hyperlink" Target="https://track.loadshare.net/order/3bKQJqJ" TargetMode="External"/><Relationship Id="rId862" Type="http://schemas.openxmlformats.org/officeDocument/2006/relationships/hyperlink" Target="https://track.loadshare.net/order/LaXNg70" TargetMode="External"/><Relationship Id="rId294" Type="http://schemas.openxmlformats.org/officeDocument/2006/relationships/hyperlink" Target="https://track.loadshare.net/order/A930AnX" TargetMode="External"/><Relationship Id="rId308" Type="http://schemas.openxmlformats.org/officeDocument/2006/relationships/hyperlink" Target="https://track.loadshare.net/order/xadlXne" TargetMode="External"/><Relationship Id="rId515" Type="http://schemas.openxmlformats.org/officeDocument/2006/relationships/hyperlink" Target="https://track.loadshare.net/order/3bKx9Aj" TargetMode="External"/><Relationship Id="rId722" Type="http://schemas.openxmlformats.org/officeDocument/2006/relationships/hyperlink" Target="https://track.loadshare.net/order/E9VeQlL" TargetMode="External"/><Relationship Id="rId89" Type="http://schemas.openxmlformats.org/officeDocument/2006/relationships/hyperlink" Target="https://track.loadshare.net/order/MqNNAk7" TargetMode="External"/><Relationship Id="rId154" Type="http://schemas.openxmlformats.org/officeDocument/2006/relationships/hyperlink" Target="https://track.loadshare.net/order/N5QQQ3e" TargetMode="External"/><Relationship Id="rId361" Type="http://schemas.openxmlformats.org/officeDocument/2006/relationships/hyperlink" Target="https://track.loadshare.net/order/yqaBm7Z" TargetMode="External"/><Relationship Id="rId599" Type="http://schemas.openxmlformats.org/officeDocument/2006/relationships/hyperlink" Target="https://track.loadshare.net/order/Gx9B38W" TargetMode="External"/><Relationship Id="rId459" Type="http://schemas.openxmlformats.org/officeDocument/2006/relationships/hyperlink" Target="https://track.loadshare.net/order/DDMGgLL" TargetMode="External"/><Relationship Id="rId666" Type="http://schemas.openxmlformats.org/officeDocument/2006/relationships/hyperlink" Target="https://track.loadshare.net/order/827wRYX" TargetMode="External"/><Relationship Id="rId873" Type="http://schemas.openxmlformats.org/officeDocument/2006/relationships/hyperlink" Target="https://track.loadshare.net/order/g0dlDae" TargetMode="External"/><Relationship Id="rId16" Type="http://schemas.openxmlformats.org/officeDocument/2006/relationships/hyperlink" Target="https://track.loadshare.net/order/WW0No3v" TargetMode="External"/><Relationship Id="rId221" Type="http://schemas.openxmlformats.org/officeDocument/2006/relationships/hyperlink" Target="https://track.loadshare.net/order/92KOWNn" TargetMode="External"/><Relationship Id="rId319" Type="http://schemas.openxmlformats.org/officeDocument/2006/relationships/hyperlink" Target="https://track.loadshare.net/order/Op0b8dq" TargetMode="External"/><Relationship Id="rId526" Type="http://schemas.openxmlformats.org/officeDocument/2006/relationships/hyperlink" Target="https://track.loadshare.net/order/3bKxZOd" TargetMode="External"/><Relationship Id="rId733" Type="http://schemas.openxmlformats.org/officeDocument/2006/relationships/hyperlink" Target="https://track.loadshare.net/order/Rn9Dyw2" TargetMode="External"/><Relationship Id="rId940" Type="http://schemas.openxmlformats.org/officeDocument/2006/relationships/hyperlink" Target="https://track.loadshare.net/order/Rn9W3oy" TargetMode="External"/><Relationship Id="rId165" Type="http://schemas.openxmlformats.org/officeDocument/2006/relationships/hyperlink" Target="https://track.loadshare.net/order/ZW00ql7" TargetMode="External"/><Relationship Id="rId372" Type="http://schemas.openxmlformats.org/officeDocument/2006/relationships/hyperlink" Target="https://track.loadshare.net/order/aW0Mj7Q" TargetMode="External"/><Relationship Id="rId677" Type="http://schemas.openxmlformats.org/officeDocument/2006/relationships/hyperlink" Target="https://track.loadshare.net/order/KgvGJpM" TargetMode="External"/><Relationship Id="rId800" Type="http://schemas.openxmlformats.org/officeDocument/2006/relationships/hyperlink" Target="https://track.loadshare.net/order/Gx9e5yB" TargetMode="External"/><Relationship Id="rId232" Type="http://schemas.openxmlformats.org/officeDocument/2006/relationships/hyperlink" Target="https://track.loadshare.net/order/DDM41BO" TargetMode="External"/><Relationship Id="rId884" Type="http://schemas.openxmlformats.org/officeDocument/2006/relationships/hyperlink" Target="https://track.loadshare.net/order/0vKD87N" TargetMode="External"/><Relationship Id="rId27" Type="http://schemas.openxmlformats.org/officeDocument/2006/relationships/hyperlink" Target="https://track.loadshare.net/order/2vKpVl7" TargetMode="External"/><Relationship Id="rId537" Type="http://schemas.openxmlformats.org/officeDocument/2006/relationships/hyperlink" Target="https://track.loadshare.net/order/E9Vnl88" TargetMode="External"/><Relationship Id="rId744" Type="http://schemas.openxmlformats.org/officeDocument/2006/relationships/hyperlink" Target="https://track.loadshare.net/order/bx0mYAx" TargetMode="External"/><Relationship Id="rId951" Type="http://schemas.openxmlformats.org/officeDocument/2006/relationships/hyperlink" Target="https://track.loadshare.net/order/LaXN8E7" TargetMode="External"/><Relationship Id="rId80" Type="http://schemas.openxmlformats.org/officeDocument/2006/relationships/hyperlink" Target="https://track.loadshare.net/order/aW0JxYk" TargetMode="External"/><Relationship Id="rId176" Type="http://schemas.openxmlformats.org/officeDocument/2006/relationships/hyperlink" Target="https://track.loadshare.net/order/8277G5p" TargetMode="External"/><Relationship Id="rId383" Type="http://schemas.openxmlformats.org/officeDocument/2006/relationships/hyperlink" Target="https://track.loadshare.net/order/WW0aYDn" TargetMode="External"/><Relationship Id="rId590" Type="http://schemas.openxmlformats.org/officeDocument/2006/relationships/hyperlink" Target="https://track.loadshare.net/order/KgvLB5w" TargetMode="External"/><Relationship Id="rId604" Type="http://schemas.openxmlformats.org/officeDocument/2006/relationships/hyperlink" Target="https://track.loadshare.net/order/g0dqnxR" TargetMode="External"/><Relationship Id="rId811" Type="http://schemas.openxmlformats.org/officeDocument/2006/relationships/hyperlink" Target="https://track.loadshare.net/order/xadEWYe" TargetMode="External"/><Relationship Id="rId243" Type="http://schemas.openxmlformats.org/officeDocument/2006/relationships/hyperlink" Target="https://track.loadshare.net/order/aW0AqVw" TargetMode="External"/><Relationship Id="rId450" Type="http://schemas.openxmlformats.org/officeDocument/2006/relationships/hyperlink" Target="https://track.loadshare.net/order/nedVVDo" TargetMode="External"/><Relationship Id="rId688" Type="http://schemas.openxmlformats.org/officeDocument/2006/relationships/hyperlink" Target="https://track.loadshare.net/order/827wxOb" TargetMode="External"/><Relationship Id="rId895" Type="http://schemas.openxmlformats.org/officeDocument/2006/relationships/hyperlink" Target="https://track.loadshare.net/order/N5Q0MLk" TargetMode="External"/><Relationship Id="rId909" Type="http://schemas.openxmlformats.org/officeDocument/2006/relationships/hyperlink" Target="https://track.loadshare.net/order/729YEp2" TargetMode="External"/><Relationship Id="rId38" Type="http://schemas.openxmlformats.org/officeDocument/2006/relationships/hyperlink" Target="https://track.loadshare.net/order/wkj33am" TargetMode="External"/><Relationship Id="rId103" Type="http://schemas.openxmlformats.org/officeDocument/2006/relationships/hyperlink" Target="https://track.loadshare.net/order/2vKKWyk" TargetMode="External"/><Relationship Id="rId310" Type="http://schemas.openxmlformats.org/officeDocument/2006/relationships/hyperlink" Target="https://track.loadshare.net/order/MqNbAqQ" TargetMode="External"/><Relationship Id="rId548" Type="http://schemas.openxmlformats.org/officeDocument/2006/relationships/hyperlink" Target="https://track.loadshare.net/order/4eAxOD4" TargetMode="External"/><Relationship Id="rId755" Type="http://schemas.openxmlformats.org/officeDocument/2006/relationships/hyperlink" Target="https://track.loadshare.net/order/1Yej8oE" TargetMode="External"/><Relationship Id="rId962" Type="http://schemas.openxmlformats.org/officeDocument/2006/relationships/hyperlink" Target="https://track.loadshare.net/order/B5DmWoJ" TargetMode="External"/><Relationship Id="rId91" Type="http://schemas.openxmlformats.org/officeDocument/2006/relationships/hyperlink" Target="https://track.loadshare.net/order/neddmJk" TargetMode="External"/><Relationship Id="rId187" Type="http://schemas.openxmlformats.org/officeDocument/2006/relationships/hyperlink" Target="https://track.loadshare.net/order/mWddqYn" TargetMode="External"/><Relationship Id="rId394" Type="http://schemas.openxmlformats.org/officeDocument/2006/relationships/hyperlink" Target="https://track.loadshare.net/order/nedpwll" TargetMode="External"/><Relationship Id="rId408" Type="http://schemas.openxmlformats.org/officeDocument/2006/relationships/hyperlink" Target="https://track.loadshare.net/order/wkjn1pX" TargetMode="External"/><Relationship Id="rId615" Type="http://schemas.openxmlformats.org/officeDocument/2006/relationships/hyperlink" Target="https://track.loadshare.net/order/pJ0MNoE" TargetMode="External"/><Relationship Id="rId822" Type="http://schemas.openxmlformats.org/officeDocument/2006/relationships/hyperlink" Target="https://track.loadshare.net/order/Op0G3B7" TargetMode="External"/><Relationship Id="rId254" Type="http://schemas.openxmlformats.org/officeDocument/2006/relationships/hyperlink" Target="https://track.loadshare.net/order/3bKO8DJ" TargetMode="External"/><Relationship Id="rId699" Type="http://schemas.openxmlformats.org/officeDocument/2006/relationships/hyperlink" Target="https://track.loadshare.net/order/bx0j9Yd" TargetMode="External"/><Relationship Id="rId49" Type="http://schemas.openxmlformats.org/officeDocument/2006/relationships/hyperlink" Target="https://track.loadshare.net/order/729mxx2" TargetMode="External"/><Relationship Id="rId114" Type="http://schemas.openxmlformats.org/officeDocument/2006/relationships/hyperlink" Target="https://track.loadshare.net/order/knddo4Q" TargetMode="External"/><Relationship Id="rId461" Type="http://schemas.openxmlformats.org/officeDocument/2006/relationships/hyperlink" Target="https://track.loadshare.net/order/g0dp1Ke" TargetMode="External"/><Relationship Id="rId559" Type="http://schemas.openxmlformats.org/officeDocument/2006/relationships/hyperlink" Target="https://track.loadshare.net/order/A93meRY" TargetMode="External"/><Relationship Id="rId766" Type="http://schemas.openxmlformats.org/officeDocument/2006/relationships/hyperlink" Target="https://track.loadshare.net/order/2vK0pq7" TargetMode="External"/><Relationship Id="rId198" Type="http://schemas.openxmlformats.org/officeDocument/2006/relationships/hyperlink" Target="https://track.loadshare.net/order/MqNNZOX" TargetMode="External"/><Relationship Id="rId321" Type="http://schemas.openxmlformats.org/officeDocument/2006/relationships/hyperlink" Target="https://track.loadshare.net/order/YW0wmqa" TargetMode="External"/><Relationship Id="rId419" Type="http://schemas.openxmlformats.org/officeDocument/2006/relationships/hyperlink" Target="https://track.loadshare.net/order/g0dpNeR" TargetMode="External"/><Relationship Id="rId626" Type="http://schemas.openxmlformats.org/officeDocument/2006/relationships/hyperlink" Target="https://track.loadshare.net/order/2vKQX47" TargetMode="External"/><Relationship Id="rId833" Type="http://schemas.openxmlformats.org/officeDocument/2006/relationships/hyperlink" Target="https://track.loadshare.net/order/1YejlVy" TargetMode="External"/><Relationship Id="rId265" Type="http://schemas.openxmlformats.org/officeDocument/2006/relationships/hyperlink" Target="https://track.loadshare.net/order/jxdDDZq" TargetMode="External"/><Relationship Id="rId472" Type="http://schemas.openxmlformats.org/officeDocument/2006/relationships/hyperlink" Target="https://track.loadshare.net/order/MqNoY2X" TargetMode="External"/><Relationship Id="rId900" Type="http://schemas.openxmlformats.org/officeDocument/2006/relationships/hyperlink" Target="https://track.loadshare.net/order/2vKMK7j" TargetMode="External"/><Relationship Id="rId125" Type="http://schemas.openxmlformats.org/officeDocument/2006/relationships/hyperlink" Target="https://track.loadshare.net/order/wkjjbKm" TargetMode="External"/><Relationship Id="rId332" Type="http://schemas.openxmlformats.org/officeDocument/2006/relationships/hyperlink" Target="https://track.loadshare.net/order/DDMbKnX" TargetMode="External"/><Relationship Id="rId777" Type="http://schemas.openxmlformats.org/officeDocument/2006/relationships/hyperlink" Target="https://track.loadshare.net/order/qblmByM" TargetMode="External"/><Relationship Id="rId637" Type="http://schemas.openxmlformats.org/officeDocument/2006/relationships/hyperlink" Target="https://track.loadshare.net/order/xad4Ylb" TargetMode="External"/><Relationship Id="rId844" Type="http://schemas.openxmlformats.org/officeDocument/2006/relationships/hyperlink" Target="https://track.loadshare.net/order/92KeZ8J" TargetMode="External"/><Relationship Id="rId276" Type="http://schemas.openxmlformats.org/officeDocument/2006/relationships/hyperlink" Target="https://track.loadshare.net/order/0vKODYJ" TargetMode="External"/><Relationship Id="rId483" Type="http://schemas.openxmlformats.org/officeDocument/2006/relationships/hyperlink" Target="https://track.loadshare.net/order/KgvZXeM" TargetMode="External"/><Relationship Id="rId690" Type="http://schemas.openxmlformats.org/officeDocument/2006/relationships/hyperlink" Target="https://track.loadshare.net/order/Op0ml34" TargetMode="External"/><Relationship Id="rId704" Type="http://schemas.openxmlformats.org/officeDocument/2006/relationships/hyperlink" Target="https://track.loadshare.net/order/92KgwQj" TargetMode="External"/><Relationship Id="rId911" Type="http://schemas.openxmlformats.org/officeDocument/2006/relationships/hyperlink" Target="https://track.loadshare.net/order/wkjmZq3" TargetMode="External"/><Relationship Id="rId40" Type="http://schemas.openxmlformats.org/officeDocument/2006/relationships/hyperlink" Target="https://track.loadshare.net/order/pJ0aaol" TargetMode="External"/><Relationship Id="rId136" Type="http://schemas.openxmlformats.org/officeDocument/2006/relationships/hyperlink" Target="https://track.loadshare.net/order/pJ00KJA" TargetMode="External"/><Relationship Id="rId343" Type="http://schemas.openxmlformats.org/officeDocument/2006/relationships/hyperlink" Target="https://track.loadshare.net/order/xadoxBV" TargetMode="External"/><Relationship Id="rId550" Type="http://schemas.openxmlformats.org/officeDocument/2006/relationships/hyperlink" Target="https://track.loadshare.net/order/qbl53E5" TargetMode="External"/><Relationship Id="rId788" Type="http://schemas.openxmlformats.org/officeDocument/2006/relationships/hyperlink" Target="https://track.loadshare.net/order/wkjJZ5q" TargetMode="External"/><Relationship Id="rId203" Type="http://schemas.openxmlformats.org/officeDocument/2006/relationships/hyperlink" Target="https://track.loadshare.net/order/Kgvv0Y0" TargetMode="External"/><Relationship Id="rId648" Type="http://schemas.openxmlformats.org/officeDocument/2006/relationships/hyperlink" Target="https://track.loadshare.net/order/d0dj1gW" TargetMode="External"/><Relationship Id="rId855" Type="http://schemas.openxmlformats.org/officeDocument/2006/relationships/hyperlink" Target="https://track.loadshare.net/order/E9VLAb1" TargetMode="External"/><Relationship Id="rId287" Type="http://schemas.openxmlformats.org/officeDocument/2006/relationships/hyperlink" Target="https://track.loadshare.net/order/v0klG1X" TargetMode="External"/><Relationship Id="rId410" Type="http://schemas.openxmlformats.org/officeDocument/2006/relationships/hyperlink" Target="https://track.loadshare.net/order/B5D9g3g" TargetMode="External"/><Relationship Id="rId494" Type="http://schemas.openxmlformats.org/officeDocument/2006/relationships/hyperlink" Target="https://track.loadshare.net/order/3bKxeaX" TargetMode="External"/><Relationship Id="rId508" Type="http://schemas.openxmlformats.org/officeDocument/2006/relationships/hyperlink" Target="https://track.loadshare.net/order/4eAxDdK" TargetMode="External"/><Relationship Id="rId715" Type="http://schemas.openxmlformats.org/officeDocument/2006/relationships/hyperlink" Target="https://track.loadshare.net/order/MqNgX5B" TargetMode="External"/><Relationship Id="rId922" Type="http://schemas.openxmlformats.org/officeDocument/2006/relationships/hyperlink" Target="https://track.loadshare.net/order/yqaVnXj" TargetMode="External"/><Relationship Id="rId147" Type="http://schemas.openxmlformats.org/officeDocument/2006/relationships/hyperlink" Target="https://track.loadshare.net/order/5bKK1Nj" TargetMode="External"/><Relationship Id="rId354" Type="http://schemas.openxmlformats.org/officeDocument/2006/relationships/hyperlink" Target="https://track.loadshare.net/order/g0dRY0R" TargetMode="External"/><Relationship Id="rId799" Type="http://schemas.openxmlformats.org/officeDocument/2006/relationships/hyperlink" Target="https://track.loadshare.net/order/MqNganq" TargetMode="External"/><Relationship Id="rId51" Type="http://schemas.openxmlformats.org/officeDocument/2006/relationships/hyperlink" Target="https://track.loadshare.net/order/JMR5pLx" TargetMode="External"/><Relationship Id="rId561" Type="http://schemas.openxmlformats.org/officeDocument/2006/relationships/hyperlink" Target="https://track.loadshare.net/order/lAd9pll" TargetMode="External"/><Relationship Id="rId659" Type="http://schemas.openxmlformats.org/officeDocument/2006/relationships/hyperlink" Target="https://track.loadshare.net/order/jxdp3Z4" TargetMode="External"/><Relationship Id="rId866" Type="http://schemas.openxmlformats.org/officeDocument/2006/relationships/hyperlink" Target="https://track.loadshare.net/order/MqNQVGE" TargetMode="External"/><Relationship Id="rId214" Type="http://schemas.openxmlformats.org/officeDocument/2006/relationships/hyperlink" Target="https://track.loadshare.net/order/obdn21Y" TargetMode="External"/><Relationship Id="rId298" Type="http://schemas.openxmlformats.org/officeDocument/2006/relationships/hyperlink" Target="https://track.loadshare.net/order/aW0Aeo1" TargetMode="External"/><Relationship Id="rId421" Type="http://schemas.openxmlformats.org/officeDocument/2006/relationships/hyperlink" Target="https://track.loadshare.net/order/YW0DG0q" TargetMode="External"/><Relationship Id="rId519" Type="http://schemas.openxmlformats.org/officeDocument/2006/relationships/hyperlink" Target="https://track.loadshare.net/order/qbl54bL" TargetMode="External"/><Relationship Id="rId158" Type="http://schemas.openxmlformats.org/officeDocument/2006/relationships/hyperlink" Target="https://track.loadshare.net/order/pJ005JA" TargetMode="External"/><Relationship Id="rId726" Type="http://schemas.openxmlformats.org/officeDocument/2006/relationships/hyperlink" Target="https://track.loadshare.net/order/5bK0DAb" TargetMode="External"/><Relationship Id="rId933" Type="http://schemas.openxmlformats.org/officeDocument/2006/relationships/hyperlink" Target="https://track.loadshare.net/order/0vKDN3p" TargetMode="External"/><Relationship Id="rId62" Type="http://schemas.openxmlformats.org/officeDocument/2006/relationships/hyperlink" Target="https://track.loadshare.net/order/lAdJlJ3" TargetMode="External"/><Relationship Id="rId365" Type="http://schemas.openxmlformats.org/officeDocument/2006/relationships/hyperlink" Target="https://track.loadshare.net/order/WW0aa44" TargetMode="External"/><Relationship Id="rId572" Type="http://schemas.openxmlformats.org/officeDocument/2006/relationships/hyperlink" Target="https://track.loadshare.net/order/lAd97ll" TargetMode="External"/><Relationship Id="rId225" Type="http://schemas.openxmlformats.org/officeDocument/2006/relationships/hyperlink" Target="https://track.loadshare.net/order/Gx9L2M3" TargetMode="External"/><Relationship Id="rId432" Type="http://schemas.openxmlformats.org/officeDocument/2006/relationships/hyperlink" Target="https://track.loadshare.net/order/4eAEoOA" TargetMode="External"/><Relationship Id="rId877" Type="http://schemas.openxmlformats.org/officeDocument/2006/relationships/hyperlink" Target="https://track.loadshare.net/order/xadMG5l" TargetMode="External"/><Relationship Id="rId737" Type="http://schemas.openxmlformats.org/officeDocument/2006/relationships/hyperlink" Target="https://track.loadshare.net/order/VY0Z9Yo" TargetMode="External"/><Relationship Id="rId944" Type="http://schemas.openxmlformats.org/officeDocument/2006/relationships/hyperlink" Target="https://track.loadshare.net/order/lAdWjoY" TargetMode="External"/><Relationship Id="rId73" Type="http://schemas.openxmlformats.org/officeDocument/2006/relationships/hyperlink" Target="https://track.loadshare.net/order/WW0N2dD" TargetMode="External"/><Relationship Id="rId169" Type="http://schemas.openxmlformats.org/officeDocument/2006/relationships/hyperlink" Target="https://track.loadshare.net/order/aW0088Q" TargetMode="External"/><Relationship Id="rId376" Type="http://schemas.openxmlformats.org/officeDocument/2006/relationships/hyperlink" Target="https://track.loadshare.net/order/g0dRl8N" TargetMode="External"/><Relationship Id="rId583" Type="http://schemas.openxmlformats.org/officeDocument/2006/relationships/hyperlink" Target="https://track.loadshare.net/order/qbl5EeM" TargetMode="External"/><Relationship Id="rId790" Type="http://schemas.openxmlformats.org/officeDocument/2006/relationships/hyperlink" Target="https://track.loadshare.net/order/d0dVj2b" TargetMode="External"/><Relationship Id="rId804" Type="http://schemas.openxmlformats.org/officeDocument/2006/relationships/hyperlink" Target="https://track.loadshare.net/order/jxdwvdQ" TargetMode="External"/><Relationship Id="rId4" Type="http://schemas.openxmlformats.org/officeDocument/2006/relationships/hyperlink" Target="https://track.loadshare.net/order/1Yeg0G3" TargetMode="External"/><Relationship Id="rId236" Type="http://schemas.openxmlformats.org/officeDocument/2006/relationships/hyperlink" Target="https://track.loadshare.net/order/QZ0Aobj" TargetMode="External"/><Relationship Id="rId443" Type="http://schemas.openxmlformats.org/officeDocument/2006/relationships/hyperlink" Target="https://track.loadshare.net/order/729E9o7" TargetMode="External"/><Relationship Id="rId650" Type="http://schemas.openxmlformats.org/officeDocument/2006/relationships/hyperlink" Target="https://track.loadshare.net/order/3bKQGJ0" TargetMode="External"/><Relationship Id="rId888" Type="http://schemas.openxmlformats.org/officeDocument/2006/relationships/hyperlink" Target="https://track.loadshare.net/order/v0kDB3j" TargetMode="External"/><Relationship Id="rId303" Type="http://schemas.openxmlformats.org/officeDocument/2006/relationships/hyperlink" Target="https://track.loadshare.net/order/kndmnyG" TargetMode="External"/><Relationship Id="rId748" Type="http://schemas.openxmlformats.org/officeDocument/2006/relationships/hyperlink" Target="https://track.loadshare.net/order/DDMew8g" TargetMode="External"/><Relationship Id="rId955" Type="http://schemas.openxmlformats.org/officeDocument/2006/relationships/hyperlink" Target="https://track.loadshare.net/order/DDMV3vL" TargetMode="External"/><Relationship Id="rId84" Type="http://schemas.openxmlformats.org/officeDocument/2006/relationships/hyperlink" Target="https://track.loadshare.net/order/QZ0nvnG" TargetMode="External"/><Relationship Id="rId387" Type="http://schemas.openxmlformats.org/officeDocument/2006/relationships/hyperlink" Target="https://track.loadshare.net/order/DDMbvZx" TargetMode="External"/><Relationship Id="rId510" Type="http://schemas.openxmlformats.org/officeDocument/2006/relationships/hyperlink" Target="https://track.loadshare.net/order/KgvLYaO" TargetMode="External"/><Relationship Id="rId594" Type="http://schemas.openxmlformats.org/officeDocument/2006/relationships/hyperlink" Target="https://track.loadshare.net/order/ZW0b7YO" TargetMode="External"/><Relationship Id="rId608" Type="http://schemas.openxmlformats.org/officeDocument/2006/relationships/hyperlink" Target="https://track.loadshare.net/order/kndGLxw" TargetMode="External"/><Relationship Id="rId815" Type="http://schemas.openxmlformats.org/officeDocument/2006/relationships/hyperlink" Target="https://track.loadshare.net/order/92K0m4j" TargetMode="External"/><Relationship Id="rId247" Type="http://schemas.openxmlformats.org/officeDocument/2006/relationships/hyperlink" Target="https://track.loadshare.net/order/wkjlKLk" TargetMode="External"/><Relationship Id="rId899" Type="http://schemas.openxmlformats.org/officeDocument/2006/relationships/hyperlink" Target="https://track.loadshare.net/order/N5Q0Qdl" TargetMode="External"/><Relationship Id="rId107" Type="http://schemas.openxmlformats.org/officeDocument/2006/relationships/hyperlink" Target="https://track.loadshare.net/order/pJ00E8M" TargetMode="External"/><Relationship Id="rId454" Type="http://schemas.openxmlformats.org/officeDocument/2006/relationships/hyperlink" Target="https://track.loadshare.net/order/wkjwQDD" TargetMode="External"/><Relationship Id="rId661" Type="http://schemas.openxmlformats.org/officeDocument/2006/relationships/hyperlink" Target="https://track.loadshare.net/order/d0djAKp" TargetMode="External"/><Relationship Id="rId759" Type="http://schemas.openxmlformats.org/officeDocument/2006/relationships/hyperlink" Target="https://track.loadshare.net/order/yqaLZOZ" TargetMode="External"/><Relationship Id="rId11" Type="http://schemas.openxmlformats.org/officeDocument/2006/relationships/hyperlink" Target="https://track.loadshare.net/order/JMR57XQ" TargetMode="External"/><Relationship Id="rId314" Type="http://schemas.openxmlformats.org/officeDocument/2006/relationships/hyperlink" Target="https://track.loadshare.net/order/3bKJ53p" TargetMode="External"/><Relationship Id="rId398" Type="http://schemas.openxmlformats.org/officeDocument/2006/relationships/hyperlink" Target="https://track.loadshare.net/order/LaXbZDw" TargetMode="External"/><Relationship Id="rId521" Type="http://schemas.openxmlformats.org/officeDocument/2006/relationships/hyperlink" Target="https://track.loadshare.net/order/jxdWMV1" TargetMode="External"/><Relationship Id="rId619" Type="http://schemas.openxmlformats.org/officeDocument/2006/relationships/hyperlink" Target="https://track.loadshare.net/order/yqa1Rmk" TargetMode="External"/><Relationship Id="rId95" Type="http://schemas.openxmlformats.org/officeDocument/2006/relationships/hyperlink" Target="https://track.loadshare.net/order/A933R7v" TargetMode="External"/><Relationship Id="rId160" Type="http://schemas.openxmlformats.org/officeDocument/2006/relationships/hyperlink" Target="https://track.loadshare.net/order/KgvvL4A" TargetMode="External"/><Relationship Id="rId826" Type="http://schemas.openxmlformats.org/officeDocument/2006/relationships/hyperlink" Target="https://track.loadshare.net/order/jxdwxoD" TargetMode="External"/><Relationship Id="rId258" Type="http://schemas.openxmlformats.org/officeDocument/2006/relationships/hyperlink" Target="https://track.loadshare.net/order/DDM4MNA" TargetMode="External"/><Relationship Id="rId465" Type="http://schemas.openxmlformats.org/officeDocument/2006/relationships/hyperlink" Target="https://track.loadshare.net/order/LaXnjmy" TargetMode="External"/><Relationship Id="rId672" Type="http://schemas.openxmlformats.org/officeDocument/2006/relationships/hyperlink" Target="https://track.loadshare.net/order/YW0jBWx" TargetMode="External"/><Relationship Id="rId22" Type="http://schemas.openxmlformats.org/officeDocument/2006/relationships/hyperlink" Target="https://track.loadshare.net/order/WW0NdgJ" TargetMode="External"/><Relationship Id="rId118" Type="http://schemas.openxmlformats.org/officeDocument/2006/relationships/hyperlink" Target="https://track.loadshare.net/order/0vKK3gJ" TargetMode="External"/><Relationship Id="rId325" Type="http://schemas.openxmlformats.org/officeDocument/2006/relationships/hyperlink" Target="https://track.loadshare.net/order/827Jopy" TargetMode="External"/><Relationship Id="rId532" Type="http://schemas.openxmlformats.org/officeDocument/2006/relationships/hyperlink" Target="https://track.loadshare.net/order/qbl58bv" TargetMode="External"/><Relationship Id="rId171" Type="http://schemas.openxmlformats.org/officeDocument/2006/relationships/hyperlink" Target="https://track.loadshare.net/order/g0ddWe5" TargetMode="External"/><Relationship Id="rId837" Type="http://schemas.openxmlformats.org/officeDocument/2006/relationships/hyperlink" Target="https://track.loadshare.net/order/92KekDb" TargetMode="External"/><Relationship Id="rId269" Type="http://schemas.openxmlformats.org/officeDocument/2006/relationships/hyperlink" Target="https://track.loadshare.net/order/lAdMmRY" TargetMode="External"/><Relationship Id="rId476" Type="http://schemas.openxmlformats.org/officeDocument/2006/relationships/hyperlink" Target="https://track.loadshare.net/order/3bK1gw3" TargetMode="External"/><Relationship Id="rId683" Type="http://schemas.openxmlformats.org/officeDocument/2006/relationships/hyperlink" Target="https://track.loadshare.net/order/4eA7NWg" TargetMode="External"/><Relationship Id="rId890" Type="http://schemas.openxmlformats.org/officeDocument/2006/relationships/hyperlink" Target="https://track.loadshare.net/order/A93bO4Z" TargetMode="External"/><Relationship Id="rId904" Type="http://schemas.openxmlformats.org/officeDocument/2006/relationships/hyperlink" Target="https://track.loadshare.net/order/0vKDXxN" TargetMode="External"/><Relationship Id="rId33" Type="http://schemas.openxmlformats.org/officeDocument/2006/relationships/hyperlink" Target="https://track.loadshare.net/order/729mX1m" TargetMode="External"/><Relationship Id="rId129" Type="http://schemas.openxmlformats.org/officeDocument/2006/relationships/hyperlink" Target="https://track.loadshare.net/order/Op00d3q" TargetMode="External"/><Relationship Id="rId336" Type="http://schemas.openxmlformats.org/officeDocument/2006/relationships/hyperlink" Target="https://track.loadshare.net/order/pJ053m4" TargetMode="External"/><Relationship Id="rId543" Type="http://schemas.openxmlformats.org/officeDocument/2006/relationships/hyperlink" Target="https://track.loadshare.net/order/v0kV58B" TargetMode="External"/><Relationship Id="rId182" Type="http://schemas.openxmlformats.org/officeDocument/2006/relationships/hyperlink" Target="https://track.loadshare.net/order/neddyE3" TargetMode="External"/><Relationship Id="rId403" Type="http://schemas.openxmlformats.org/officeDocument/2006/relationships/hyperlink" Target="https://track.loadshare.net/order/QZ0eGEE" TargetMode="External"/><Relationship Id="rId750" Type="http://schemas.openxmlformats.org/officeDocument/2006/relationships/hyperlink" Target="https://track.loadshare.net/order/qblmvv7" TargetMode="External"/><Relationship Id="rId848" Type="http://schemas.openxmlformats.org/officeDocument/2006/relationships/hyperlink" Target="https://track.loadshare.net/order/Rn9Wa8O" TargetMode="External"/><Relationship Id="rId487" Type="http://schemas.openxmlformats.org/officeDocument/2006/relationships/hyperlink" Target="https://track.loadshare.net/order/A93wGJD" TargetMode="External"/><Relationship Id="rId610" Type="http://schemas.openxmlformats.org/officeDocument/2006/relationships/hyperlink" Target="https://track.loadshare.net/order/1YeQ3xE" TargetMode="External"/><Relationship Id="rId694" Type="http://schemas.openxmlformats.org/officeDocument/2006/relationships/hyperlink" Target="https://track.loadshare.net/order/N5QDYO2" TargetMode="External"/><Relationship Id="rId708" Type="http://schemas.openxmlformats.org/officeDocument/2006/relationships/hyperlink" Target="https://track.loadshare.net/order/E9VByy5" TargetMode="External"/><Relationship Id="rId915" Type="http://schemas.openxmlformats.org/officeDocument/2006/relationships/hyperlink" Target="https://track.loadshare.net/order/g0dllXe" TargetMode="External"/><Relationship Id="rId347" Type="http://schemas.openxmlformats.org/officeDocument/2006/relationships/hyperlink" Target="https://track.loadshare.net/order/xado9Zl" TargetMode="External"/><Relationship Id="rId44" Type="http://schemas.openxmlformats.org/officeDocument/2006/relationships/hyperlink" Target="https://track.loadshare.net/order/MqNm4E5" TargetMode="External"/><Relationship Id="rId554" Type="http://schemas.openxmlformats.org/officeDocument/2006/relationships/hyperlink" Target="https://track.loadshare.net/order/DDMZZbg" TargetMode="External"/><Relationship Id="rId761" Type="http://schemas.openxmlformats.org/officeDocument/2006/relationships/hyperlink" Target="https://track.loadshare.net/order/QZ03JYO" TargetMode="External"/><Relationship Id="rId859" Type="http://schemas.openxmlformats.org/officeDocument/2006/relationships/hyperlink" Target="https://track.loadshare.net/order/aW0LKX8" TargetMode="External"/><Relationship Id="rId193" Type="http://schemas.openxmlformats.org/officeDocument/2006/relationships/hyperlink" Target="https://track.loadshare.net/order/B5DDXMV" TargetMode="External"/><Relationship Id="rId207" Type="http://schemas.openxmlformats.org/officeDocument/2006/relationships/hyperlink" Target="https://track.loadshare.net/order/VY0eaAQ" TargetMode="External"/><Relationship Id="rId414" Type="http://schemas.openxmlformats.org/officeDocument/2006/relationships/hyperlink" Target="https://track.loadshare.net/order/bx0vWGX" TargetMode="External"/><Relationship Id="rId498" Type="http://schemas.openxmlformats.org/officeDocument/2006/relationships/hyperlink" Target="https://track.loadshare.net/order/Gx9BEKb" TargetMode="External"/><Relationship Id="rId621" Type="http://schemas.openxmlformats.org/officeDocument/2006/relationships/hyperlink" Target="https://track.loadshare.net/order/5bK9Zyn" TargetMode="External"/><Relationship Id="rId260" Type="http://schemas.openxmlformats.org/officeDocument/2006/relationships/hyperlink" Target="https://track.loadshare.net/order/aW0A0Bj" TargetMode="External"/><Relationship Id="rId719" Type="http://schemas.openxmlformats.org/officeDocument/2006/relationships/hyperlink" Target="https://track.loadshare.net/order/wkjJO2Y" TargetMode="External"/><Relationship Id="rId926" Type="http://schemas.openxmlformats.org/officeDocument/2006/relationships/hyperlink" Target="https://track.loadshare.net/order/YW08EEM" TargetMode="External"/><Relationship Id="rId55" Type="http://schemas.openxmlformats.org/officeDocument/2006/relationships/hyperlink" Target="https://track.loadshare.net/order/v0k5KOB" TargetMode="External"/><Relationship Id="rId120" Type="http://schemas.openxmlformats.org/officeDocument/2006/relationships/hyperlink" Target="https://track.loadshare.net/order/A933KjY" TargetMode="External"/><Relationship Id="rId358" Type="http://schemas.openxmlformats.org/officeDocument/2006/relationships/hyperlink" Target="https://track.loadshare.net/order/3bKJo2d" TargetMode="External"/><Relationship Id="rId565" Type="http://schemas.openxmlformats.org/officeDocument/2006/relationships/hyperlink" Target="https://track.loadshare.net/order/bx0b1yW" TargetMode="External"/><Relationship Id="rId772" Type="http://schemas.openxmlformats.org/officeDocument/2006/relationships/hyperlink" Target="https://track.loadshare.net/order/xadEdDV" TargetMode="External"/><Relationship Id="rId218" Type="http://schemas.openxmlformats.org/officeDocument/2006/relationships/hyperlink" Target="https://track.loadshare.net/order/N5QAjqy" TargetMode="External"/><Relationship Id="rId425" Type="http://schemas.openxmlformats.org/officeDocument/2006/relationships/hyperlink" Target="https://track.loadshare.net/order/obdZXLl" TargetMode="External"/><Relationship Id="rId632" Type="http://schemas.openxmlformats.org/officeDocument/2006/relationships/hyperlink" Target="https://track.loadshare.net/order/QZ0VQyY" TargetMode="External"/><Relationship Id="rId271" Type="http://schemas.openxmlformats.org/officeDocument/2006/relationships/hyperlink" Target="https://track.loadshare.net/order/g0dGb49" TargetMode="External"/><Relationship Id="rId937" Type="http://schemas.openxmlformats.org/officeDocument/2006/relationships/hyperlink" Target="https://track.loadshare.net/order/5bKnvl8" TargetMode="External"/><Relationship Id="rId66" Type="http://schemas.openxmlformats.org/officeDocument/2006/relationships/hyperlink" Target="https://track.loadshare.net/order/DDManNg" TargetMode="External"/><Relationship Id="rId131" Type="http://schemas.openxmlformats.org/officeDocument/2006/relationships/hyperlink" Target="https://track.loadshare.net/order/Xn00ekv" TargetMode="External"/><Relationship Id="rId369" Type="http://schemas.openxmlformats.org/officeDocument/2006/relationships/hyperlink" Target="https://track.loadshare.net/order/Op0bb34" TargetMode="External"/><Relationship Id="rId576" Type="http://schemas.openxmlformats.org/officeDocument/2006/relationships/hyperlink" Target="https://track.loadshare.net/order/Rn9eXqZ" TargetMode="External"/><Relationship Id="rId783" Type="http://schemas.openxmlformats.org/officeDocument/2006/relationships/hyperlink" Target="https://track.loadshare.net/order/YW0awQx" TargetMode="External"/><Relationship Id="rId229" Type="http://schemas.openxmlformats.org/officeDocument/2006/relationships/hyperlink" Target="https://track.loadshare.net/order/729OVAl" TargetMode="External"/><Relationship Id="rId436" Type="http://schemas.openxmlformats.org/officeDocument/2006/relationships/hyperlink" Target="https://track.loadshare.net/order/JMRVnQR" TargetMode="External"/><Relationship Id="rId643" Type="http://schemas.openxmlformats.org/officeDocument/2006/relationships/hyperlink" Target="https://track.loadshare.net/order/E9VBlg1" TargetMode="External"/><Relationship Id="rId850" Type="http://schemas.openxmlformats.org/officeDocument/2006/relationships/hyperlink" Target="https://track.loadshare.net/order/N5Q0xAY" TargetMode="External"/><Relationship Id="rId948" Type="http://schemas.openxmlformats.org/officeDocument/2006/relationships/hyperlink" Target="https://track.loadshare.net/order/Gx9NxRQ" TargetMode="External"/><Relationship Id="rId77" Type="http://schemas.openxmlformats.org/officeDocument/2006/relationships/hyperlink" Target="https://track.loadshare.net/order/VY0XEJA" TargetMode="External"/><Relationship Id="rId282" Type="http://schemas.openxmlformats.org/officeDocument/2006/relationships/hyperlink" Target="https://track.loadshare.net/order/lAdM1bJ" TargetMode="External"/><Relationship Id="rId503" Type="http://schemas.openxmlformats.org/officeDocument/2006/relationships/hyperlink" Target="https://track.loadshare.net/order/1YexWQm" TargetMode="External"/><Relationship Id="rId587" Type="http://schemas.openxmlformats.org/officeDocument/2006/relationships/hyperlink" Target="https://track.loadshare.net/order/Op0LoY7" TargetMode="External"/><Relationship Id="rId710" Type="http://schemas.openxmlformats.org/officeDocument/2006/relationships/hyperlink" Target="https://track.loadshare.net/order/B5Degaj" TargetMode="External"/><Relationship Id="rId808" Type="http://schemas.openxmlformats.org/officeDocument/2006/relationships/hyperlink" Target="https://track.loadshare.net/order/N5QpEMm" TargetMode="External"/><Relationship Id="rId8" Type="http://schemas.openxmlformats.org/officeDocument/2006/relationships/hyperlink" Target="https://track.loadshare.net/order/d0d14aE" TargetMode="External"/><Relationship Id="rId142" Type="http://schemas.openxmlformats.org/officeDocument/2006/relationships/hyperlink" Target="https://track.loadshare.net/order/knddpWb" TargetMode="External"/><Relationship Id="rId447" Type="http://schemas.openxmlformats.org/officeDocument/2006/relationships/hyperlink" Target="https://track.loadshare.net/order/aW0RM3k" TargetMode="External"/><Relationship Id="rId794" Type="http://schemas.openxmlformats.org/officeDocument/2006/relationships/hyperlink" Target="https://track.loadshare.net/order/lAdpW9e" TargetMode="External"/><Relationship Id="rId654" Type="http://schemas.openxmlformats.org/officeDocument/2006/relationships/hyperlink" Target="https://track.loadshare.net/order/LaX5bWp" TargetMode="External"/><Relationship Id="rId861" Type="http://schemas.openxmlformats.org/officeDocument/2006/relationships/hyperlink" Target="https://track.loadshare.net/order/DDMJ28o" TargetMode="External"/><Relationship Id="rId959" Type="http://schemas.openxmlformats.org/officeDocument/2006/relationships/hyperlink" Target="https://track.loadshare.net/order/Kgvedb0" TargetMode="External"/><Relationship Id="rId293" Type="http://schemas.openxmlformats.org/officeDocument/2006/relationships/hyperlink" Target="https://track.loadshare.net/order/v0kl2Kk" TargetMode="External"/><Relationship Id="rId307" Type="http://schemas.openxmlformats.org/officeDocument/2006/relationships/hyperlink" Target="https://track.loadshare.net/order/92KOw30" TargetMode="External"/><Relationship Id="rId514" Type="http://schemas.openxmlformats.org/officeDocument/2006/relationships/hyperlink" Target="https://track.loadshare.net/order/LaXAMm7" TargetMode="External"/><Relationship Id="rId721" Type="http://schemas.openxmlformats.org/officeDocument/2006/relationships/hyperlink" Target="https://track.loadshare.net/order/obd94Ll" TargetMode="External"/><Relationship Id="rId88" Type="http://schemas.openxmlformats.org/officeDocument/2006/relationships/hyperlink" Target="https://track.loadshare.net/order/jxdJjVQ" TargetMode="External"/><Relationship Id="rId153" Type="http://schemas.openxmlformats.org/officeDocument/2006/relationships/hyperlink" Target="https://track.loadshare.net/order/Kgvv3G0" TargetMode="External"/><Relationship Id="rId360" Type="http://schemas.openxmlformats.org/officeDocument/2006/relationships/hyperlink" Target="https://track.loadshare.net/order/d0dn1ee" TargetMode="External"/><Relationship Id="rId598" Type="http://schemas.openxmlformats.org/officeDocument/2006/relationships/hyperlink" Target="https://track.loadshare.net/order/DDMZl72" TargetMode="External"/><Relationship Id="rId819" Type="http://schemas.openxmlformats.org/officeDocument/2006/relationships/hyperlink" Target="https://track.loadshare.net/order/Op0GlOZ" TargetMode="External"/><Relationship Id="rId220" Type="http://schemas.openxmlformats.org/officeDocument/2006/relationships/hyperlink" Target="https://track.loadshare.net/order/DDM4W1y" TargetMode="External"/><Relationship Id="rId458" Type="http://schemas.openxmlformats.org/officeDocument/2006/relationships/hyperlink" Target="https://track.loadshare.net/order/E9V5Zy8" TargetMode="External"/><Relationship Id="rId665" Type="http://schemas.openxmlformats.org/officeDocument/2006/relationships/hyperlink" Target="https://track.loadshare.net/order/E9VBe53" TargetMode="External"/><Relationship Id="rId872" Type="http://schemas.openxmlformats.org/officeDocument/2006/relationships/hyperlink" Target="https://track.loadshare.net/order/YW08dxa" TargetMode="External"/><Relationship Id="rId15" Type="http://schemas.openxmlformats.org/officeDocument/2006/relationships/hyperlink" Target="https://track.loadshare.net/order/A93NYXX" TargetMode="External"/><Relationship Id="rId318" Type="http://schemas.openxmlformats.org/officeDocument/2006/relationships/hyperlink" Target="https://track.loadshare.net/order/A93JLKY" TargetMode="External"/><Relationship Id="rId525" Type="http://schemas.openxmlformats.org/officeDocument/2006/relationships/hyperlink" Target="https://track.loadshare.net/order/DDMZOKg" TargetMode="External"/><Relationship Id="rId732" Type="http://schemas.openxmlformats.org/officeDocument/2006/relationships/hyperlink" Target="https://track.loadshare.net/order/5bK0WRV" TargetMode="External"/><Relationship Id="rId99" Type="http://schemas.openxmlformats.org/officeDocument/2006/relationships/hyperlink" Target="https://track.loadshare.net/order/VY00qVy" TargetMode="External"/><Relationship Id="rId164" Type="http://schemas.openxmlformats.org/officeDocument/2006/relationships/hyperlink" Target="https://track.loadshare.net/order/YW00aOL" TargetMode="External"/><Relationship Id="rId371" Type="http://schemas.openxmlformats.org/officeDocument/2006/relationships/hyperlink" Target="https://track.loadshare.net/order/wkjnZ1w" TargetMode="External"/><Relationship Id="rId469" Type="http://schemas.openxmlformats.org/officeDocument/2006/relationships/hyperlink" Target="https://track.loadshare.net/order/pJ0ne8v" TargetMode="External"/><Relationship Id="rId676" Type="http://schemas.openxmlformats.org/officeDocument/2006/relationships/hyperlink" Target="https://track.loadshare.net/order/pJ0MqRA" TargetMode="External"/><Relationship Id="rId883" Type="http://schemas.openxmlformats.org/officeDocument/2006/relationships/hyperlink" Target="https://track.loadshare.net/order/pJ0wYng" TargetMode="External"/><Relationship Id="rId26" Type="http://schemas.openxmlformats.org/officeDocument/2006/relationships/hyperlink" Target="https://track.loadshare.net/order/eldJ5oJ" TargetMode="External"/><Relationship Id="rId231" Type="http://schemas.openxmlformats.org/officeDocument/2006/relationships/hyperlink" Target="https://track.loadshare.net/order/WW071Qa" TargetMode="External"/><Relationship Id="rId329" Type="http://schemas.openxmlformats.org/officeDocument/2006/relationships/hyperlink" Target="https://track.loadshare.net/order/ZW0gp27" TargetMode="External"/><Relationship Id="rId536" Type="http://schemas.openxmlformats.org/officeDocument/2006/relationships/hyperlink" Target="https://track.loadshare.net/order/pJ0GgQv" TargetMode="External"/><Relationship Id="rId175" Type="http://schemas.openxmlformats.org/officeDocument/2006/relationships/hyperlink" Target="https://track.loadshare.net/order/jxddZkj" TargetMode="External"/><Relationship Id="rId743" Type="http://schemas.openxmlformats.org/officeDocument/2006/relationships/hyperlink" Target="https://track.loadshare.net/order/Kgvq1Q2" TargetMode="External"/><Relationship Id="rId950" Type="http://schemas.openxmlformats.org/officeDocument/2006/relationships/hyperlink" Target="https://track.loadshare.net/order/YW08WNl" TargetMode="External"/><Relationship Id="rId382" Type="http://schemas.openxmlformats.org/officeDocument/2006/relationships/hyperlink" Target="https://track.loadshare.net/order/729Jpb2" TargetMode="External"/><Relationship Id="rId603" Type="http://schemas.openxmlformats.org/officeDocument/2006/relationships/hyperlink" Target="https://track.loadshare.net/order/xad4Ng4" TargetMode="External"/><Relationship Id="rId687" Type="http://schemas.openxmlformats.org/officeDocument/2006/relationships/hyperlink" Target="https://track.loadshare.net/order/lAd5e0A" TargetMode="External"/><Relationship Id="rId810" Type="http://schemas.openxmlformats.org/officeDocument/2006/relationships/hyperlink" Target="https://track.loadshare.net/order/Xn0o2pQ" TargetMode="External"/><Relationship Id="rId908" Type="http://schemas.openxmlformats.org/officeDocument/2006/relationships/hyperlink" Target="https://track.loadshare.net/order/Op0NRVL" TargetMode="External"/><Relationship Id="rId242" Type="http://schemas.openxmlformats.org/officeDocument/2006/relationships/hyperlink" Target="https://track.loadshare.net/order/wkjlbjw" TargetMode="External"/><Relationship Id="rId894" Type="http://schemas.openxmlformats.org/officeDocument/2006/relationships/hyperlink" Target="https://track.loadshare.net/order/mWdjl5n" TargetMode="External"/><Relationship Id="rId37" Type="http://schemas.openxmlformats.org/officeDocument/2006/relationships/hyperlink" Target="https://track.loadshare.net/order/qblqWEN" TargetMode="External"/><Relationship Id="rId102" Type="http://schemas.openxmlformats.org/officeDocument/2006/relationships/hyperlink" Target="https://track.loadshare.net/order/lAddEXm" TargetMode="External"/><Relationship Id="rId547" Type="http://schemas.openxmlformats.org/officeDocument/2006/relationships/hyperlink" Target="https://track.loadshare.net/order/yqaoaMR" TargetMode="External"/><Relationship Id="rId754" Type="http://schemas.openxmlformats.org/officeDocument/2006/relationships/hyperlink" Target="https://track.loadshare.net/order/lAdpQjl" TargetMode="External"/><Relationship Id="rId961" Type="http://schemas.openxmlformats.org/officeDocument/2006/relationships/hyperlink" Target="https://track.loadshare.net/order/YW0939a" TargetMode="External"/><Relationship Id="rId90" Type="http://schemas.openxmlformats.org/officeDocument/2006/relationships/hyperlink" Target="https://track.loadshare.net/order/neddGDM" TargetMode="External"/><Relationship Id="rId186" Type="http://schemas.openxmlformats.org/officeDocument/2006/relationships/hyperlink" Target="https://track.loadshare.net/order/pJ00leE" TargetMode="External"/><Relationship Id="rId393" Type="http://schemas.openxmlformats.org/officeDocument/2006/relationships/hyperlink" Target="https://track.loadshare.net/order/WW0abyn" TargetMode="External"/><Relationship Id="rId407" Type="http://schemas.openxmlformats.org/officeDocument/2006/relationships/hyperlink" Target="https://track.loadshare.net/order/bx0V9dd" TargetMode="External"/><Relationship Id="rId614" Type="http://schemas.openxmlformats.org/officeDocument/2006/relationships/hyperlink" Target="https://track.loadshare.net/order/4eA729W" TargetMode="External"/><Relationship Id="rId821" Type="http://schemas.openxmlformats.org/officeDocument/2006/relationships/hyperlink" Target="https://track.loadshare.net/order/LaXwxkk" TargetMode="External"/><Relationship Id="rId253" Type="http://schemas.openxmlformats.org/officeDocument/2006/relationships/hyperlink" Target="https://track.loadshare.net/order/YW0AXBy" TargetMode="External"/><Relationship Id="rId460" Type="http://schemas.openxmlformats.org/officeDocument/2006/relationships/hyperlink" Target="https://track.loadshare.net/order/mWdM1An" TargetMode="External"/><Relationship Id="rId698" Type="http://schemas.openxmlformats.org/officeDocument/2006/relationships/hyperlink" Target="https://track.loadshare.net/order/ZW0jW37" TargetMode="External"/><Relationship Id="rId919" Type="http://schemas.openxmlformats.org/officeDocument/2006/relationships/hyperlink" Target="https://track.loadshare.net/order/MqNQal7" TargetMode="External"/><Relationship Id="rId48" Type="http://schemas.openxmlformats.org/officeDocument/2006/relationships/hyperlink" Target="https://track.loadshare.net/order/xadDnYb" TargetMode="External"/><Relationship Id="rId113" Type="http://schemas.openxmlformats.org/officeDocument/2006/relationships/hyperlink" Target="https://track.loadshare.net/order/obddX3q" TargetMode="External"/><Relationship Id="rId320" Type="http://schemas.openxmlformats.org/officeDocument/2006/relationships/hyperlink" Target="https://track.loadshare.net/order/eldo45w" TargetMode="External"/><Relationship Id="rId558" Type="http://schemas.openxmlformats.org/officeDocument/2006/relationships/hyperlink" Target="https://track.loadshare.net/order/729xq1L" TargetMode="External"/><Relationship Id="rId765" Type="http://schemas.openxmlformats.org/officeDocument/2006/relationships/hyperlink" Target="https://track.loadshare.net/order/E9VejoE" TargetMode="External"/><Relationship Id="rId197" Type="http://schemas.openxmlformats.org/officeDocument/2006/relationships/hyperlink" Target="https://track.loadshare.net/order/jxddl0D" TargetMode="External"/><Relationship Id="rId418" Type="http://schemas.openxmlformats.org/officeDocument/2006/relationships/hyperlink" Target="https://track.loadshare.net/order/WW059La" TargetMode="External"/><Relationship Id="rId625" Type="http://schemas.openxmlformats.org/officeDocument/2006/relationships/hyperlink" Target="https://track.loadshare.net/order/4eA7Q3x" TargetMode="External"/><Relationship Id="rId832" Type="http://schemas.openxmlformats.org/officeDocument/2006/relationships/hyperlink" Target="https://track.loadshare.net/order/g0do8KN" TargetMode="External"/><Relationship Id="rId264" Type="http://schemas.openxmlformats.org/officeDocument/2006/relationships/hyperlink" Target="https://track.loadshare.net/order/4eAOOA9" TargetMode="External"/><Relationship Id="rId471" Type="http://schemas.openxmlformats.org/officeDocument/2006/relationships/hyperlink" Target="https://track.loadshare.net/order/3bK17B0" TargetMode="External"/><Relationship Id="rId59" Type="http://schemas.openxmlformats.org/officeDocument/2006/relationships/hyperlink" Target="https://track.loadshare.net/order/qblq1nL" TargetMode="External"/><Relationship Id="rId124" Type="http://schemas.openxmlformats.org/officeDocument/2006/relationships/hyperlink" Target="https://track.loadshare.net/order/JMRRDq3" TargetMode="External"/><Relationship Id="rId569" Type="http://schemas.openxmlformats.org/officeDocument/2006/relationships/hyperlink" Target="https://track.loadshare.net/order/4eAxyRa" TargetMode="External"/><Relationship Id="rId776" Type="http://schemas.openxmlformats.org/officeDocument/2006/relationships/hyperlink" Target="https://track.loadshare.net/order/xadEl3X" TargetMode="External"/><Relationship Id="rId331" Type="http://schemas.openxmlformats.org/officeDocument/2006/relationships/hyperlink" Target="https://track.loadshare.net/order/B5DJbNg" TargetMode="External"/><Relationship Id="rId429" Type="http://schemas.openxmlformats.org/officeDocument/2006/relationships/hyperlink" Target="https://track.loadshare.net/order/aW0RKMk" TargetMode="External"/><Relationship Id="rId636" Type="http://schemas.openxmlformats.org/officeDocument/2006/relationships/hyperlink" Target="https://track.loadshare.net/order/YW0jXVL" TargetMode="External"/><Relationship Id="rId843" Type="http://schemas.openxmlformats.org/officeDocument/2006/relationships/hyperlink" Target="https://track.loadshare.net/order/WW08lja" TargetMode="External"/><Relationship Id="rId275" Type="http://schemas.openxmlformats.org/officeDocument/2006/relationships/hyperlink" Target="https://track.loadshare.net/order/MqN439o" TargetMode="External"/><Relationship Id="rId482" Type="http://schemas.openxmlformats.org/officeDocument/2006/relationships/hyperlink" Target="https://track.loadshare.net/order/lAdmvdR" TargetMode="External"/><Relationship Id="rId703" Type="http://schemas.openxmlformats.org/officeDocument/2006/relationships/hyperlink" Target="https://track.loadshare.net/order/N5QDw7Y" TargetMode="External"/><Relationship Id="rId910" Type="http://schemas.openxmlformats.org/officeDocument/2006/relationships/hyperlink" Target="https://track.loadshare.net/order/92KeEYj" TargetMode="External"/><Relationship Id="rId135" Type="http://schemas.openxmlformats.org/officeDocument/2006/relationships/hyperlink" Target="https://track.loadshare.net/order/ZW00wBO" TargetMode="External"/><Relationship Id="rId342" Type="http://schemas.openxmlformats.org/officeDocument/2006/relationships/hyperlink" Target="https://track.loadshare.net/order/MqNbBM7" TargetMode="External"/><Relationship Id="rId787" Type="http://schemas.openxmlformats.org/officeDocument/2006/relationships/hyperlink" Target="https://track.loadshare.net/order/ned5VXd" TargetMode="External"/><Relationship Id="rId202" Type="http://schemas.openxmlformats.org/officeDocument/2006/relationships/hyperlink" Target="https://track.loadshare.net/order/DDMMpvX" TargetMode="External"/><Relationship Id="rId647" Type="http://schemas.openxmlformats.org/officeDocument/2006/relationships/hyperlink" Target="https://track.loadshare.net/order/0vKA4AJ" TargetMode="External"/><Relationship Id="rId854" Type="http://schemas.openxmlformats.org/officeDocument/2006/relationships/hyperlink" Target="https://track.loadshare.net/order/wkjmdVk" TargetMode="External"/><Relationship Id="rId286" Type="http://schemas.openxmlformats.org/officeDocument/2006/relationships/hyperlink" Target="https://track.loadshare.net/order/729OA0n" TargetMode="External"/><Relationship Id="rId493" Type="http://schemas.openxmlformats.org/officeDocument/2006/relationships/hyperlink" Target="https://track.loadshare.net/order/eld0aZA" TargetMode="External"/><Relationship Id="rId507" Type="http://schemas.openxmlformats.org/officeDocument/2006/relationships/hyperlink" Target="https://track.loadshare.net/order/jxdWQBV" TargetMode="External"/><Relationship Id="rId714" Type="http://schemas.openxmlformats.org/officeDocument/2006/relationships/hyperlink" Target="https://track.loadshare.net/order/qblmZvn" TargetMode="External"/><Relationship Id="rId921" Type="http://schemas.openxmlformats.org/officeDocument/2006/relationships/hyperlink" Target="https://track.loadshare.net/order/eldAM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64B3-E7F3-8A45-BBEE-06593F04EBC8}">
  <dimension ref="A1:AC964"/>
  <sheetViews>
    <sheetView topLeftCell="U1" workbookViewId="0">
      <selection activeCell="G14" sqref="G14"/>
    </sheetView>
  </sheetViews>
  <sheetFormatPr baseColWidth="10" defaultRowHeight="13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40</v>
      </c>
      <c r="B2" s="29">
        <v>46313.998263888891</v>
      </c>
      <c r="C2">
        <v>989</v>
      </c>
      <c r="D2" t="s">
        <v>41</v>
      </c>
      <c r="E2">
        <v>4</v>
      </c>
      <c r="F2" t="s">
        <v>41</v>
      </c>
      <c r="G2" t="s">
        <v>41</v>
      </c>
      <c r="H2" t="s">
        <v>42</v>
      </c>
      <c r="I2" s="29">
        <v>46313.999097222222</v>
      </c>
      <c r="J2" t="s">
        <v>41</v>
      </c>
      <c r="K2" s="29">
        <v>46313.998807870368</v>
      </c>
      <c r="L2">
        <v>24</v>
      </c>
      <c r="O2" s="29">
        <v>46313.998206018521</v>
      </c>
      <c r="P2" t="s">
        <v>43</v>
      </c>
      <c r="Q2" t="s">
        <v>44</v>
      </c>
      <c r="R2" t="s">
        <v>45</v>
      </c>
      <c r="S2">
        <v>4247</v>
      </c>
      <c r="T2" t="s">
        <v>41</v>
      </c>
      <c r="U2" s="29">
        <v>46314.001747685186</v>
      </c>
      <c r="V2" s="29">
        <v>46314.00136574074</v>
      </c>
      <c r="W2" t="s">
        <v>46</v>
      </c>
      <c r="X2">
        <v>22411</v>
      </c>
      <c r="Z2">
        <v>0</v>
      </c>
      <c r="AA2" s="30">
        <v>0.99791666666666667</v>
      </c>
      <c r="AB2">
        <v>3</v>
      </c>
      <c r="AC2" t="s">
        <v>41</v>
      </c>
    </row>
    <row r="3" spans="1:29">
      <c r="A3" t="s">
        <v>47</v>
      </c>
      <c r="B3" s="29">
        <v>46313.997615740744</v>
      </c>
      <c r="C3">
        <v>957</v>
      </c>
      <c r="D3" t="s">
        <v>41</v>
      </c>
      <c r="E3">
        <v>3</v>
      </c>
      <c r="F3" t="s">
        <v>41</v>
      </c>
      <c r="G3" t="s">
        <v>41</v>
      </c>
      <c r="H3" t="s">
        <v>48</v>
      </c>
      <c r="I3" s="29">
        <v>46314.001030092593</v>
      </c>
      <c r="J3" t="s">
        <v>41</v>
      </c>
      <c r="K3" s="29">
        <v>46314.000891203701</v>
      </c>
      <c r="L3">
        <v>11</v>
      </c>
      <c r="O3" s="29">
        <v>46313.997534722221</v>
      </c>
      <c r="P3" t="s">
        <v>43</v>
      </c>
      <c r="Q3" t="s">
        <v>49</v>
      </c>
      <c r="R3" t="s">
        <v>50</v>
      </c>
      <c r="S3">
        <v>4247</v>
      </c>
      <c r="T3" t="s">
        <v>41</v>
      </c>
      <c r="U3" s="29">
        <v>46314.003541666665</v>
      </c>
      <c r="V3" s="29">
        <v>46314.002650462964</v>
      </c>
      <c r="W3" t="s">
        <v>51</v>
      </c>
      <c r="X3">
        <v>22411</v>
      </c>
      <c r="Z3">
        <v>0</v>
      </c>
      <c r="AA3" s="30">
        <v>0.99722222222222223</v>
      </c>
      <c r="AB3">
        <v>2</v>
      </c>
      <c r="AC3" t="s">
        <v>41</v>
      </c>
    </row>
    <row r="4" spans="1:29">
      <c r="A4" t="s">
        <v>52</v>
      </c>
      <c r="B4" s="29">
        <v>46313.998043981483</v>
      </c>
      <c r="C4">
        <v>1399</v>
      </c>
      <c r="D4" t="s">
        <v>41</v>
      </c>
      <c r="E4">
        <v>5</v>
      </c>
      <c r="F4" t="s">
        <v>41</v>
      </c>
      <c r="G4" t="s">
        <v>41</v>
      </c>
      <c r="H4" t="s">
        <v>53</v>
      </c>
      <c r="I4" s="29">
        <v>46313.998310185183</v>
      </c>
      <c r="J4" t="s">
        <v>41</v>
      </c>
      <c r="K4" s="29">
        <v>46313.998078703706</v>
      </c>
      <c r="L4">
        <v>19</v>
      </c>
      <c r="O4" s="29">
        <v>46313.997164351851</v>
      </c>
      <c r="P4" t="s">
        <v>43</v>
      </c>
      <c r="Q4" t="s">
        <v>54</v>
      </c>
      <c r="R4" t="s">
        <v>55</v>
      </c>
      <c r="S4">
        <v>4247</v>
      </c>
      <c r="T4" t="s">
        <v>41</v>
      </c>
      <c r="U4" s="29">
        <v>46314.001550925925</v>
      </c>
      <c r="V4" s="29">
        <v>46314.001469907409</v>
      </c>
      <c r="W4" t="s">
        <v>56</v>
      </c>
      <c r="X4">
        <v>22411</v>
      </c>
      <c r="Z4">
        <v>0</v>
      </c>
      <c r="AA4" s="30">
        <v>0.99791666666666667</v>
      </c>
      <c r="AB4">
        <v>5</v>
      </c>
      <c r="AC4" t="s">
        <v>41</v>
      </c>
    </row>
    <row r="5" spans="1:29">
      <c r="A5" t="s">
        <v>57</v>
      </c>
      <c r="B5" s="29">
        <v>46313.991562499999</v>
      </c>
      <c r="C5">
        <v>1547</v>
      </c>
      <c r="D5" t="s">
        <v>41</v>
      </c>
      <c r="E5">
        <v>5</v>
      </c>
      <c r="F5" t="s">
        <v>41</v>
      </c>
      <c r="G5" t="s">
        <v>41</v>
      </c>
      <c r="H5" t="s">
        <v>58</v>
      </c>
      <c r="I5" s="29">
        <v>46313.993020833332</v>
      </c>
      <c r="J5" t="s">
        <v>41</v>
      </c>
      <c r="K5" s="29">
        <v>46313.992800925924</v>
      </c>
      <c r="L5">
        <v>18</v>
      </c>
      <c r="O5" s="29">
        <v>46313.991365740738</v>
      </c>
      <c r="P5" t="s">
        <v>43</v>
      </c>
      <c r="Q5" t="s">
        <v>59</v>
      </c>
      <c r="R5" t="s">
        <v>60</v>
      </c>
      <c r="S5">
        <v>4247</v>
      </c>
      <c r="T5" t="s">
        <v>41</v>
      </c>
      <c r="U5" s="29">
        <v>46313.998055555552</v>
      </c>
      <c r="V5" s="29">
        <v>46313.996296296296</v>
      </c>
      <c r="W5" t="s">
        <v>61</v>
      </c>
      <c r="X5">
        <v>22411</v>
      </c>
      <c r="Z5">
        <v>0</v>
      </c>
      <c r="AA5" s="30">
        <v>0.99097222222222225</v>
      </c>
      <c r="AB5">
        <v>5</v>
      </c>
      <c r="AC5" t="s">
        <v>41</v>
      </c>
    </row>
    <row r="6" spans="1:29">
      <c r="A6" t="s">
        <v>62</v>
      </c>
      <c r="B6" s="29">
        <v>46313.990972222222</v>
      </c>
      <c r="C6">
        <v>1327</v>
      </c>
      <c r="D6" t="s">
        <v>41</v>
      </c>
      <c r="E6">
        <v>6</v>
      </c>
      <c r="F6" t="s">
        <v>41</v>
      </c>
      <c r="G6" t="s">
        <v>41</v>
      </c>
      <c r="H6" t="s">
        <v>63</v>
      </c>
      <c r="I6" s="29">
        <v>46313.991574074076</v>
      </c>
      <c r="J6" t="s">
        <v>41</v>
      </c>
      <c r="K6" s="29">
        <v>46313.991296296299</v>
      </c>
      <c r="L6">
        <v>23</v>
      </c>
      <c r="O6" s="29">
        <v>46313.990405092591</v>
      </c>
      <c r="P6" t="s">
        <v>43</v>
      </c>
      <c r="Q6" t="s">
        <v>64</v>
      </c>
      <c r="R6" t="s">
        <v>65</v>
      </c>
      <c r="S6">
        <v>4247</v>
      </c>
      <c r="T6" t="s">
        <v>41</v>
      </c>
      <c r="U6" s="29">
        <v>46313.996967592589</v>
      </c>
      <c r="V6" s="29">
        <v>46313.995555555557</v>
      </c>
      <c r="W6" t="s">
        <v>66</v>
      </c>
      <c r="X6">
        <v>22411</v>
      </c>
      <c r="Z6">
        <v>0</v>
      </c>
      <c r="AA6" s="30">
        <v>0.9902777777777777</v>
      </c>
      <c r="AB6">
        <v>6</v>
      </c>
      <c r="AC6" t="s">
        <v>41</v>
      </c>
    </row>
    <row r="7" spans="1:29">
      <c r="A7" t="s">
        <v>67</v>
      </c>
      <c r="B7" s="29">
        <v>46313.989259259259</v>
      </c>
      <c r="C7">
        <v>1886</v>
      </c>
      <c r="D7" t="s">
        <v>41</v>
      </c>
      <c r="E7">
        <v>6</v>
      </c>
      <c r="F7" t="s">
        <v>41</v>
      </c>
      <c r="G7" t="s">
        <v>41</v>
      </c>
      <c r="H7" t="s">
        <v>68</v>
      </c>
      <c r="I7" s="29">
        <v>46313.990347222221</v>
      </c>
      <c r="J7" t="s">
        <v>41</v>
      </c>
      <c r="K7" s="29">
        <v>46313.989988425928</v>
      </c>
      <c r="L7">
        <v>30</v>
      </c>
      <c r="O7" s="29">
        <v>46313.989050925928</v>
      </c>
      <c r="P7" t="s">
        <v>43</v>
      </c>
      <c r="Q7" t="s">
        <v>69</v>
      </c>
      <c r="R7" t="s">
        <v>70</v>
      </c>
      <c r="S7">
        <v>4247</v>
      </c>
      <c r="T7" t="s">
        <v>41</v>
      </c>
      <c r="U7" s="29">
        <v>46313.994351851848</v>
      </c>
      <c r="V7" s="29">
        <v>46313.994074074071</v>
      </c>
      <c r="W7" t="s">
        <v>71</v>
      </c>
      <c r="X7">
        <v>22411</v>
      </c>
      <c r="Z7">
        <v>0</v>
      </c>
      <c r="AA7" s="30">
        <v>0.98888888888888893</v>
      </c>
      <c r="AB7">
        <v>5</v>
      </c>
      <c r="AC7" t="s">
        <v>41</v>
      </c>
    </row>
    <row r="8" spans="1:29">
      <c r="A8" t="s">
        <v>72</v>
      </c>
      <c r="B8" s="29">
        <v>46313.98810185185</v>
      </c>
      <c r="C8">
        <v>1510</v>
      </c>
      <c r="D8" t="s">
        <v>41</v>
      </c>
      <c r="E8">
        <v>4</v>
      </c>
      <c r="F8" t="s">
        <v>41</v>
      </c>
      <c r="G8" t="s">
        <v>41</v>
      </c>
      <c r="H8" t="s">
        <v>73</v>
      </c>
      <c r="I8" s="29">
        <v>46313.990532407406</v>
      </c>
      <c r="J8" t="s">
        <v>41</v>
      </c>
      <c r="K8" s="29">
        <v>46313.990243055552</v>
      </c>
      <c r="L8">
        <v>24</v>
      </c>
      <c r="O8" s="29">
        <v>46313.987986111111</v>
      </c>
      <c r="P8" t="s">
        <v>43</v>
      </c>
      <c r="Q8" t="s">
        <v>74</v>
      </c>
      <c r="R8" t="s">
        <v>75</v>
      </c>
      <c r="S8">
        <v>4247</v>
      </c>
      <c r="T8" t="s">
        <v>41</v>
      </c>
      <c r="U8" s="29">
        <v>46313.995497685188</v>
      </c>
      <c r="V8" s="29">
        <v>46313.992951388886</v>
      </c>
      <c r="W8" t="s">
        <v>76</v>
      </c>
      <c r="X8">
        <v>22411</v>
      </c>
      <c r="Z8">
        <v>0</v>
      </c>
      <c r="AA8" s="30">
        <v>0.98749999999999993</v>
      </c>
      <c r="AB8">
        <v>3</v>
      </c>
      <c r="AC8" t="s">
        <v>41</v>
      </c>
    </row>
    <row r="9" spans="1:29">
      <c r="A9" t="s">
        <v>77</v>
      </c>
      <c r="B9" s="29">
        <v>46313.986805555556</v>
      </c>
      <c r="C9">
        <v>957</v>
      </c>
      <c r="D9" t="s">
        <v>41</v>
      </c>
      <c r="E9">
        <v>4</v>
      </c>
      <c r="F9" t="s">
        <v>41</v>
      </c>
      <c r="G9" t="s">
        <v>41</v>
      </c>
      <c r="H9" t="s">
        <v>78</v>
      </c>
      <c r="I9" s="29">
        <v>46313.991481481484</v>
      </c>
      <c r="J9" t="s">
        <v>41</v>
      </c>
      <c r="K9" s="29">
        <v>46313.99114583333</v>
      </c>
      <c r="L9">
        <v>28</v>
      </c>
      <c r="O9" s="29">
        <v>46313.986643518518</v>
      </c>
      <c r="P9" t="s">
        <v>43</v>
      </c>
      <c r="Q9" t="s">
        <v>79</v>
      </c>
      <c r="R9" t="s">
        <v>80</v>
      </c>
      <c r="S9">
        <v>4247</v>
      </c>
      <c r="T9" t="s">
        <v>41</v>
      </c>
      <c r="U9" s="29">
        <v>46313.993958333333</v>
      </c>
      <c r="V9" s="29">
        <v>46313.993877314817</v>
      </c>
      <c r="W9" t="s">
        <v>81</v>
      </c>
      <c r="X9">
        <v>22411</v>
      </c>
      <c r="Z9">
        <v>0</v>
      </c>
      <c r="AA9" s="30">
        <v>0.9868055555555556</v>
      </c>
      <c r="AB9">
        <v>3</v>
      </c>
      <c r="AC9" t="s">
        <v>41</v>
      </c>
    </row>
    <row r="10" spans="1:29">
      <c r="A10" t="s">
        <v>82</v>
      </c>
      <c r="B10" s="29">
        <v>46313.986516203702</v>
      </c>
      <c r="C10">
        <v>1410</v>
      </c>
      <c r="D10" t="s">
        <v>41</v>
      </c>
      <c r="E10">
        <v>5</v>
      </c>
      <c r="F10" t="s">
        <v>41</v>
      </c>
      <c r="G10" t="s">
        <v>41</v>
      </c>
      <c r="H10" t="s">
        <v>83</v>
      </c>
      <c r="I10" s="29">
        <v>46313.987627314818</v>
      </c>
      <c r="J10" t="s">
        <v>41</v>
      </c>
      <c r="K10" s="29">
        <v>46313.987395833334</v>
      </c>
      <c r="L10">
        <v>19</v>
      </c>
      <c r="O10" s="29">
        <v>46313.986388888887</v>
      </c>
      <c r="P10" t="s">
        <v>43</v>
      </c>
      <c r="Q10" t="s">
        <v>84</v>
      </c>
      <c r="R10" t="s">
        <v>85</v>
      </c>
      <c r="S10">
        <v>4247</v>
      </c>
      <c r="T10" t="s">
        <v>41</v>
      </c>
      <c r="U10" s="29">
        <v>46313.990717592591</v>
      </c>
      <c r="V10" s="29">
        <v>46313.990763888891</v>
      </c>
      <c r="W10" t="s">
        <v>86</v>
      </c>
      <c r="X10">
        <v>22411</v>
      </c>
      <c r="Z10">
        <v>0</v>
      </c>
      <c r="AA10" s="30">
        <v>0.98611111111111116</v>
      </c>
      <c r="AB10">
        <v>5</v>
      </c>
      <c r="AC10" t="s">
        <v>41</v>
      </c>
    </row>
    <row r="11" spans="1:29">
      <c r="A11" t="s">
        <v>52</v>
      </c>
      <c r="B11" s="29">
        <v>46313.985914351855</v>
      </c>
      <c r="C11">
        <v>2705</v>
      </c>
      <c r="D11" t="s">
        <v>41</v>
      </c>
      <c r="E11">
        <v>7</v>
      </c>
      <c r="F11" t="s">
        <v>41</v>
      </c>
      <c r="G11" t="s">
        <v>41</v>
      </c>
      <c r="H11" t="s">
        <v>87</v>
      </c>
      <c r="I11" s="29">
        <v>46313.98678240741</v>
      </c>
      <c r="J11" t="s">
        <v>41</v>
      </c>
      <c r="K11" s="29">
        <v>46313.986388888887</v>
      </c>
      <c r="L11">
        <v>33</v>
      </c>
      <c r="O11" s="29">
        <v>46313.985520833332</v>
      </c>
      <c r="P11" t="s">
        <v>43</v>
      </c>
      <c r="Q11" t="s">
        <v>54</v>
      </c>
      <c r="R11" t="s">
        <v>88</v>
      </c>
      <c r="S11">
        <v>4247</v>
      </c>
      <c r="T11" t="s">
        <v>41</v>
      </c>
      <c r="U11" s="29">
        <v>46313.992812500001</v>
      </c>
      <c r="V11" s="29">
        <v>46313.991180555553</v>
      </c>
      <c r="W11" t="s">
        <v>89</v>
      </c>
      <c r="X11">
        <v>22411</v>
      </c>
      <c r="Z11">
        <v>0</v>
      </c>
      <c r="AA11" s="30">
        <v>0.98541666666666661</v>
      </c>
      <c r="AB11">
        <v>6</v>
      </c>
      <c r="AC11" t="s">
        <v>41</v>
      </c>
    </row>
    <row r="12" spans="1:29">
      <c r="A12" t="s">
        <v>47</v>
      </c>
      <c r="B12" s="29">
        <v>46313.983576388891</v>
      </c>
      <c r="C12">
        <v>1248</v>
      </c>
      <c r="D12" t="s">
        <v>41</v>
      </c>
      <c r="E12">
        <v>3</v>
      </c>
      <c r="F12" t="s">
        <v>41</v>
      </c>
      <c r="G12" t="s">
        <v>41</v>
      </c>
      <c r="H12" t="s">
        <v>90</v>
      </c>
      <c r="I12" s="29">
        <v>46313.985509259262</v>
      </c>
      <c r="J12" t="s">
        <v>41</v>
      </c>
      <c r="K12" s="29">
        <v>46313.985196759262</v>
      </c>
      <c r="L12">
        <v>26</v>
      </c>
      <c r="O12" s="29">
        <v>46313.983495370368</v>
      </c>
      <c r="P12" t="s">
        <v>43</v>
      </c>
      <c r="Q12" t="s">
        <v>49</v>
      </c>
      <c r="R12" t="s">
        <v>91</v>
      </c>
      <c r="S12">
        <v>4247</v>
      </c>
      <c r="T12" t="s">
        <v>41</v>
      </c>
      <c r="U12" s="29">
        <v>46313.989803240744</v>
      </c>
      <c r="V12" s="29">
        <v>46313.98715277778</v>
      </c>
      <c r="W12" t="s">
        <v>92</v>
      </c>
      <c r="X12">
        <v>22411</v>
      </c>
      <c r="Z12">
        <v>0</v>
      </c>
      <c r="AA12" s="30">
        <v>0.98333333333333339</v>
      </c>
      <c r="AB12">
        <v>2</v>
      </c>
      <c r="AC12" t="s">
        <v>41</v>
      </c>
    </row>
    <row r="13" spans="1:29">
      <c r="A13" t="s">
        <v>93</v>
      </c>
      <c r="B13" s="29">
        <v>46313.98333333333</v>
      </c>
      <c r="C13">
        <v>1003</v>
      </c>
      <c r="D13" t="s">
        <v>41</v>
      </c>
      <c r="E13">
        <v>4</v>
      </c>
      <c r="F13" t="s">
        <v>41</v>
      </c>
      <c r="G13" t="s">
        <v>41</v>
      </c>
      <c r="H13" t="s">
        <v>94</v>
      </c>
      <c r="I13" s="29">
        <v>46313.984189814815</v>
      </c>
      <c r="J13" t="s">
        <v>41</v>
      </c>
      <c r="K13" s="29">
        <v>46313.983703703707</v>
      </c>
      <c r="L13">
        <v>41</v>
      </c>
      <c r="O13" s="29">
        <v>46313.982870370368</v>
      </c>
      <c r="P13" t="s">
        <v>43</v>
      </c>
      <c r="Q13" t="s">
        <v>95</v>
      </c>
      <c r="R13" t="s">
        <v>96</v>
      </c>
      <c r="S13">
        <v>4247</v>
      </c>
      <c r="T13" t="s">
        <v>41</v>
      </c>
      <c r="U13" s="29">
        <v>46313.986689814818</v>
      </c>
      <c r="V13" s="29">
        <v>46313.986516203702</v>
      </c>
      <c r="W13" t="s">
        <v>97</v>
      </c>
      <c r="X13">
        <v>22411</v>
      </c>
      <c r="Z13">
        <v>0</v>
      </c>
      <c r="AA13" s="30">
        <v>0.98333333333333339</v>
      </c>
      <c r="AB13">
        <v>3</v>
      </c>
      <c r="AC13" t="s">
        <v>41</v>
      </c>
    </row>
    <row r="14" spans="1:29">
      <c r="A14" t="s">
        <v>98</v>
      </c>
      <c r="B14" s="29">
        <v>46313.977175925924</v>
      </c>
      <c r="C14">
        <v>338</v>
      </c>
      <c r="D14" t="s">
        <v>41</v>
      </c>
      <c r="E14">
        <v>1</v>
      </c>
      <c r="F14" t="s">
        <v>41</v>
      </c>
      <c r="G14" t="s">
        <v>41</v>
      </c>
      <c r="H14" t="s">
        <v>99</v>
      </c>
      <c r="I14" s="29">
        <v>46313.979375000003</v>
      </c>
      <c r="J14" t="s">
        <v>41</v>
      </c>
      <c r="K14" s="29">
        <v>46313.978993055556</v>
      </c>
      <c r="L14">
        <v>32</v>
      </c>
      <c r="O14" s="29">
        <v>46313.977118055554</v>
      </c>
      <c r="P14" t="s">
        <v>43</v>
      </c>
      <c r="Q14" t="s">
        <v>3005</v>
      </c>
      <c r="R14" t="s">
        <v>101</v>
      </c>
      <c r="S14">
        <v>4247</v>
      </c>
      <c r="T14" t="s">
        <v>41</v>
      </c>
      <c r="U14" s="29">
        <v>46313.981087962966</v>
      </c>
      <c r="V14" s="29">
        <v>46313.979456018518</v>
      </c>
      <c r="W14" t="s">
        <v>102</v>
      </c>
      <c r="X14">
        <v>22411</v>
      </c>
      <c r="Z14">
        <v>0</v>
      </c>
      <c r="AA14" s="30">
        <v>0.9770833333333333</v>
      </c>
      <c r="AB14">
        <v>0</v>
      </c>
      <c r="AC14" t="s">
        <v>41</v>
      </c>
    </row>
    <row r="15" spans="1:29">
      <c r="A15" t="s">
        <v>40</v>
      </c>
      <c r="B15" s="29">
        <v>46313.976331018515</v>
      </c>
      <c r="C15">
        <v>2042</v>
      </c>
      <c r="D15" t="s">
        <v>41</v>
      </c>
      <c r="E15">
        <v>6</v>
      </c>
      <c r="F15" t="s">
        <v>41</v>
      </c>
      <c r="G15" t="s">
        <v>41</v>
      </c>
      <c r="H15" t="s">
        <v>103</v>
      </c>
      <c r="I15" s="29">
        <v>46313.977372685185</v>
      </c>
      <c r="J15" t="s">
        <v>41</v>
      </c>
      <c r="K15" s="29">
        <v>46313.977094907408</v>
      </c>
      <c r="L15">
        <v>23</v>
      </c>
      <c r="O15" s="29">
        <v>46313.976168981484</v>
      </c>
      <c r="P15" t="s">
        <v>43</v>
      </c>
      <c r="Q15" t="s">
        <v>44</v>
      </c>
      <c r="R15" t="s">
        <v>104</v>
      </c>
      <c r="S15">
        <v>4247</v>
      </c>
      <c r="T15" t="s">
        <v>41</v>
      </c>
      <c r="U15" s="29">
        <v>46313.981932870367</v>
      </c>
      <c r="V15" s="29">
        <v>46313.981238425928</v>
      </c>
      <c r="W15" t="s">
        <v>105</v>
      </c>
      <c r="X15">
        <v>22411</v>
      </c>
      <c r="Z15">
        <v>0</v>
      </c>
      <c r="AA15" s="30">
        <v>0.97569444444444453</v>
      </c>
      <c r="AB15">
        <v>6</v>
      </c>
      <c r="AC15" t="s">
        <v>41</v>
      </c>
    </row>
    <row r="16" spans="1:29">
      <c r="A16" t="s">
        <v>106</v>
      </c>
      <c r="B16" s="29">
        <v>46313.976030092592</v>
      </c>
      <c r="C16">
        <v>1308</v>
      </c>
      <c r="D16" t="s">
        <v>41</v>
      </c>
      <c r="E16">
        <v>5</v>
      </c>
      <c r="F16" t="s">
        <v>41</v>
      </c>
      <c r="G16" t="s">
        <v>41</v>
      </c>
      <c r="H16" t="s">
        <v>107</v>
      </c>
      <c r="I16" s="29">
        <v>46313.977418981478</v>
      </c>
      <c r="J16" t="s">
        <v>41</v>
      </c>
      <c r="K16" s="29">
        <v>46313.976979166669</v>
      </c>
      <c r="L16">
        <v>37</v>
      </c>
      <c r="O16" s="29">
        <v>46313.975891203707</v>
      </c>
      <c r="P16" t="s">
        <v>43</v>
      </c>
      <c r="Q16" t="s">
        <v>108</v>
      </c>
      <c r="R16" t="s">
        <v>109</v>
      </c>
      <c r="S16">
        <v>4247</v>
      </c>
      <c r="T16" t="s">
        <v>41</v>
      </c>
      <c r="U16" s="29">
        <v>46313.981712962966</v>
      </c>
      <c r="V16" s="29">
        <v>46313.980324074073</v>
      </c>
      <c r="W16" t="s">
        <v>110</v>
      </c>
      <c r="X16">
        <v>22411</v>
      </c>
      <c r="Z16">
        <v>0</v>
      </c>
      <c r="AA16" s="30">
        <v>0.97569444444444453</v>
      </c>
      <c r="AB16">
        <v>4</v>
      </c>
      <c r="AC16" t="s">
        <v>41</v>
      </c>
    </row>
    <row r="17" spans="1:29">
      <c r="A17" t="s">
        <v>72</v>
      </c>
      <c r="B17" s="29">
        <v>46313.975104166668</v>
      </c>
      <c r="C17">
        <v>292</v>
      </c>
      <c r="D17" t="s">
        <v>41</v>
      </c>
      <c r="E17">
        <v>2</v>
      </c>
      <c r="F17" t="s">
        <v>41</v>
      </c>
      <c r="G17" t="s">
        <v>41</v>
      </c>
      <c r="H17" t="s">
        <v>111</v>
      </c>
      <c r="I17" s="29">
        <v>46313.975555555553</v>
      </c>
      <c r="J17" t="s">
        <v>41</v>
      </c>
      <c r="K17" s="29">
        <v>46313.975266203706</v>
      </c>
      <c r="L17">
        <v>24</v>
      </c>
      <c r="O17" s="29">
        <v>46313.974849537037</v>
      </c>
      <c r="P17" t="s">
        <v>43</v>
      </c>
      <c r="Q17" t="s">
        <v>74</v>
      </c>
      <c r="R17" t="s">
        <v>112</v>
      </c>
      <c r="S17">
        <v>4247</v>
      </c>
      <c r="T17" t="s">
        <v>41</v>
      </c>
      <c r="U17" s="29">
        <v>46313.977083333331</v>
      </c>
      <c r="V17" s="29">
        <v>46313.976354166669</v>
      </c>
      <c r="W17" t="s">
        <v>113</v>
      </c>
      <c r="X17">
        <v>22411</v>
      </c>
      <c r="Z17">
        <v>0</v>
      </c>
      <c r="AA17" s="30">
        <v>0.97499999999999998</v>
      </c>
      <c r="AB17">
        <v>1</v>
      </c>
      <c r="AC17" t="s">
        <v>41</v>
      </c>
    </row>
    <row r="18" spans="1:29">
      <c r="A18" t="s">
        <v>77</v>
      </c>
      <c r="B18" s="29">
        <v>46313.971574074072</v>
      </c>
      <c r="C18">
        <v>809</v>
      </c>
      <c r="D18" t="s">
        <v>41</v>
      </c>
      <c r="E18">
        <v>3</v>
      </c>
      <c r="F18" t="s">
        <v>41</v>
      </c>
      <c r="G18" t="s">
        <v>41</v>
      </c>
      <c r="H18" t="s">
        <v>114</v>
      </c>
      <c r="I18" s="29">
        <v>46313.97179398148</v>
      </c>
      <c r="J18" t="s">
        <v>41</v>
      </c>
      <c r="K18" s="29">
        <v>46313.971296296295</v>
      </c>
      <c r="L18">
        <v>19</v>
      </c>
      <c r="O18" s="29">
        <v>46313.970659722225</v>
      </c>
      <c r="P18" t="s">
        <v>43</v>
      </c>
      <c r="Q18" t="s">
        <v>79</v>
      </c>
      <c r="R18" t="s">
        <v>115</v>
      </c>
      <c r="S18">
        <v>4247</v>
      </c>
      <c r="T18" t="s">
        <v>41</v>
      </c>
      <c r="U18" s="29">
        <v>46313.974826388891</v>
      </c>
      <c r="V18" s="29">
        <v>46313.97384259259</v>
      </c>
      <c r="W18" t="s">
        <v>116</v>
      </c>
      <c r="X18">
        <v>22411</v>
      </c>
      <c r="Z18">
        <v>0</v>
      </c>
      <c r="AA18" s="30">
        <v>0.97152777777777777</v>
      </c>
      <c r="AB18">
        <v>3</v>
      </c>
      <c r="AC18" t="s">
        <v>41</v>
      </c>
    </row>
    <row r="19" spans="1:29">
      <c r="A19" t="s">
        <v>117</v>
      </c>
      <c r="B19" s="29">
        <v>46313.970520833333</v>
      </c>
      <c r="C19">
        <v>1505</v>
      </c>
      <c r="D19" t="s">
        <v>41</v>
      </c>
      <c r="E19">
        <v>5</v>
      </c>
      <c r="F19" t="s">
        <v>41</v>
      </c>
      <c r="G19" t="s">
        <v>41</v>
      </c>
      <c r="H19" t="s">
        <v>118</v>
      </c>
      <c r="I19" s="29">
        <v>46313.972939814812</v>
      </c>
      <c r="J19" t="s">
        <v>41</v>
      </c>
      <c r="K19" s="29">
        <v>46313.972627314812</v>
      </c>
      <c r="L19">
        <v>26</v>
      </c>
      <c r="O19" s="29">
        <v>46313.970393518517</v>
      </c>
      <c r="P19" t="s">
        <v>43</v>
      </c>
      <c r="Q19" t="s">
        <v>119</v>
      </c>
      <c r="R19" t="s">
        <v>120</v>
      </c>
      <c r="S19">
        <v>4247</v>
      </c>
      <c r="T19" t="s">
        <v>41</v>
      </c>
      <c r="U19" s="29">
        <v>46313.976435185185</v>
      </c>
      <c r="V19" s="29">
        <v>46313.976307870369</v>
      </c>
      <c r="W19" t="s">
        <v>121</v>
      </c>
      <c r="X19">
        <v>22411</v>
      </c>
      <c r="Z19">
        <v>0</v>
      </c>
      <c r="AA19" s="30">
        <v>0.97013888888888899</v>
      </c>
      <c r="AB19">
        <v>5</v>
      </c>
      <c r="AC19" t="s">
        <v>41</v>
      </c>
    </row>
    <row r="20" spans="1:29">
      <c r="A20" t="s">
        <v>62</v>
      </c>
      <c r="B20" s="29">
        <v>46313.969178240739</v>
      </c>
      <c r="C20">
        <v>1383</v>
      </c>
      <c r="D20" t="s">
        <v>41</v>
      </c>
      <c r="E20">
        <v>5</v>
      </c>
      <c r="F20" t="s">
        <v>41</v>
      </c>
      <c r="G20" t="s">
        <v>41</v>
      </c>
      <c r="H20" t="s">
        <v>122</v>
      </c>
      <c r="I20" s="29">
        <v>46313.970821759256</v>
      </c>
      <c r="J20" t="s">
        <v>41</v>
      </c>
      <c r="K20" s="29">
        <v>46313.970578703702</v>
      </c>
      <c r="L20">
        <v>20</v>
      </c>
      <c r="O20" s="29">
        <v>46313.968969907408</v>
      </c>
      <c r="P20" t="s">
        <v>43</v>
      </c>
      <c r="Q20" t="s">
        <v>64</v>
      </c>
      <c r="R20" t="s">
        <v>123</v>
      </c>
      <c r="S20">
        <v>4247</v>
      </c>
      <c r="T20" t="s">
        <v>41</v>
      </c>
      <c r="U20" s="29">
        <v>46313.974317129629</v>
      </c>
      <c r="V20" s="29">
        <v>46313.974270833336</v>
      </c>
      <c r="W20" t="s">
        <v>124</v>
      </c>
      <c r="X20">
        <v>22411</v>
      </c>
      <c r="Z20">
        <v>0</v>
      </c>
      <c r="AA20" s="30">
        <v>0.96875</v>
      </c>
      <c r="AB20">
        <v>5</v>
      </c>
      <c r="AC20" t="s">
        <v>41</v>
      </c>
    </row>
    <row r="21" spans="1:29">
      <c r="A21" t="s">
        <v>125</v>
      </c>
      <c r="B21" s="29">
        <v>46313.96503472222</v>
      </c>
      <c r="C21">
        <v>2118</v>
      </c>
      <c r="D21" t="s">
        <v>41</v>
      </c>
      <c r="E21">
        <v>8</v>
      </c>
      <c r="F21" t="s">
        <v>41</v>
      </c>
      <c r="G21" t="s">
        <v>41</v>
      </c>
      <c r="H21" t="s">
        <v>126</v>
      </c>
      <c r="I21" s="29">
        <v>46313.966886574075</v>
      </c>
      <c r="J21" t="s">
        <v>41</v>
      </c>
      <c r="K21" s="29">
        <v>46313.966631944444</v>
      </c>
      <c r="L21">
        <v>21</v>
      </c>
      <c r="O21" s="29">
        <v>46313.964837962965</v>
      </c>
      <c r="P21" t="s">
        <v>43</v>
      </c>
      <c r="Q21" t="s">
        <v>3006</v>
      </c>
      <c r="R21" t="s">
        <v>128</v>
      </c>
      <c r="S21">
        <v>4247</v>
      </c>
      <c r="T21" t="s">
        <v>41</v>
      </c>
      <c r="U21" s="29">
        <v>46313.97179398148</v>
      </c>
      <c r="V21" s="29">
        <v>46313.971851851849</v>
      </c>
      <c r="W21" t="s">
        <v>129</v>
      </c>
      <c r="X21">
        <v>22411</v>
      </c>
      <c r="Z21">
        <v>0</v>
      </c>
      <c r="AA21" s="30">
        <v>0.96458333333333324</v>
      </c>
      <c r="AB21">
        <v>7</v>
      </c>
      <c r="AC21" t="s">
        <v>41</v>
      </c>
    </row>
    <row r="22" spans="1:29">
      <c r="A22" t="s">
        <v>40</v>
      </c>
      <c r="B22" s="29">
        <v>46313.964224537034</v>
      </c>
      <c r="C22">
        <v>910</v>
      </c>
      <c r="D22" t="s">
        <v>41</v>
      </c>
      <c r="E22">
        <v>4</v>
      </c>
      <c r="F22" t="s">
        <v>41</v>
      </c>
      <c r="G22" t="s">
        <v>41</v>
      </c>
      <c r="H22" t="s">
        <v>130</v>
      </c>
      <c r="I22" s="29">
        <v>46313.965405092589</v>
      </c>
      <c r="J22" t="s">
        <v>41</v>
      </c>
      <c r="K22" s="29">
        <v>46313.965046296296</v>
      </c>
      <c r="L22">
        <v>30</v>
      </c>
      <c r="O22" s="29">
        <v>46313.964085648149</v>
      </c>
      <c r="P22" t="s">
        <v>43</v>
      </c>
      <c r="Q22" t="s">
        <v>44</v>
      </c>
      <c r="R22" t="s">
        <v>131</v>
      </c>
      <c r="S22">
        <v>4247</v>
      </c>
      <c r="T22" t="s">
        <v>41</v>
      </c>
      <c r="U22" s="29">
        <v>46313.968182870369</v>
      </c>
      <c r="V22" s="29">
        <v>46313.967511574076</v>
      </c>
      <c r="W22" t="s">
        <v>132</v>
      </c>
      <c r="X22">
        <v>22411</v>
      </c>
      <c r="Z22">
        <v>0</v>
      </c>
      <c r="AA22" s="30">
        <v>0.96388888888888891</v>
      </c>
      <c r="AB22">
        <v>3</v>
      </c>
      <c r="AC22" t="s">
        <v>41</v>
      </c>
    </row>
    <row r="23" spans="1:29">
      <c r="A23" t="s">
        <v>82</v>
      </c>
      <c r="B23" s="29">
        <v>46313.964097222219</v>
      </c>
      <c r="C23">
        <v>2106</v>
      </c>
      <c r="D23" t="s">
        <v>41</v>
      </c>
      <c r="E23">
        <v>4</v>
      </c>
      <c r="F23" t="s">
        <v>41</v>
      </c>
      <c r="G23" t="s">
        <v>41</v>
      </c>
      <c r="H23" t="s">
        <v>133</v>
      </c>
      <c r="I23" s="29">
        <v>46313.96539351852</v>
      </c>
      <c r="J23" t="s">
        <v>41</v>
      </c>
      <c r="K23" s="29">
        <v>46313.965150462966</v>
      </c>
      <c r="L23">
        <v>20</v>
      </c>
      <c r="O23" s="29">
        <v>46313.963958333334</v>
      </c>
      <c r="P23" t="s">
        <v>43</v>
      </c>
      <c r="Q23" t="s">
        <v>84</v>
      </c>
      <c r="R23" t="s">
        <v>134</v>
      </c>
      <c r="S23">
        <v>4247</v>
      </c>
      <c r="T23" t="s">
        <v>41</v>
      </c>
      <c r="U23" s="29">
        <v>46313.970462962963</v>
      </c>
      <c r="V23" s="29">
        <v>46313.968229166669</v>
      </c>
      <c r="W23" t="s">
        <v>135</v>
      </c>
      <c r="X23">
        <v>22411</v>
      </c>
      <c r="Z23">
        <v>0</v>
      </c>
      <c r="AA23" s="30">
        <v>0.96388888888888891</v>
      </c>
      <c r="AB23">
        <v>4</v>
      </c>
      <c r="AC23" t="s">
        <v>41</v>
      </c>
    </row>
    <row r="24" spans="1:29">
      <c r="A24" t="s">
        <v>67</v>
      </c>
      <c r="B24" s="29">
        <v>46313.961886574078</v>
      </c>
      <c r="C24">
        <v>2723</v>
      </c>
      <c r="D24" t="s">
        <v>41</v>
      </c>
      <c r="E24">
        <v>9</v>
      </c>
      <c r="F24" t="s">
        <v>41</v>
      </c>
      <c r="G24" t="s">
        <v>41</v>
      </c>
      <c r="H24" t="s">
        <v>136</v>
      </c>
      <c r="I24" s="29">
        <v>46313.964687500003</v>
      </c>
      <c r="J24" t="s">
        <v>41</v>
      </c>
      <c r="K24" s="29">
        <v>46313.96434027778</v>
      </c>
      <c r="L24">
        <v>29</v>
      </c>
      <c r="O24" s="29">
        <v>46313.961724537039</v>
      </c>
      <c r="P24" t="s">
        <v>43</v>
      </c>
      <c r="Q24" t="s">
        <v>69</v>
      </c>
      <c r="R24" t="s">
        <v>137</v>
      </c>
      <c r="S24">
        <v>4247</v>
      </c>
      <c r="T24" t="s">
        <v>41</v>
      </c>
      <c r="U24" s="29">
        <v>46313.971863425926</v>
      </c>
      <c r="V24" s="29">
        <v>46313.970300925925</v>
      </c>
      <c r="W24" t="s">
        <v>138</v>
      </c>
      <c r="X24">
        <v>22411</v>
      </c>
      <c r="Z24">
        <v>0</v>
      </c>
      <c r="AA24" s="30">
        <v>0.96180555555555547</v>
      </c>
      <c r="AB24">
        <v>8</v>
      </c>
      <c r="AC24" t="s">
        <v>41</v>
      </c>
    </row>
    <row r="25" spans="1:29">
      <c r="A25" t="s">
        <v>47</v>
      </c>
      <c r="B25" s="29">
        <v>46313.961562500001</v>
      </c>
      <c r="C25">
        <v>2501</v>
      </c>
      <c r="D25" t="s">
        <v>41</v>
      </c>
      <c r="E25">
        <v>6</v>
      </c>
      <c r="F25" t="s">
        <v>41</v>
      </c>
      <c r="G25" t="s">
        <v>41</v>
      </c>
      <c r="H25" t="s">
        <v>139</v>
      </c>
      <c r="I25" s="29">
        <v>46313.96266203704</v>
      </c>
      <c r="J25" t="s">
        <v>41</v>
      </c>
      <c r="K25" s="29">
        <v>46313.962395833332</v>
      </c>
      <c r="L25">
        <v>22</v>
      </c>
      <c r="O25" s="29">
        <v>46313.961423611108</v>
      </c>
      <c r="P25" t="s">
        <v>43</v>
      </c>
      <c r="Q25" t="s">
        <v>49</v>
      </c>
      <c r="R25" t="s">
        <v>140</v>
      </c>
      <c r="S25">
        <v>4247</v>
      </c>
      <c r="T25" t="s">
        <v>41</v>
      </c>
      <c r="U25" s="29">
        <v>46313.968275462961</v>
      </c>
      <c r="V25" s="29">
        <v>46313.966319444444</v>
      </c>
      <c r="W25" t="s">
        <v>141</v>
      </c>
      <c r="X25">
        <v>22411</v>
      </c>
      <c r="Z25">
        <v>0</v>
      </c>
      <c r="AA25" s="30">
        <v>0.96111111111111114</v>
      </c>
      <c r="AB25">
        <v>5</v>
      </c>
      <c r="AC25" t="s">
        <v>41</v>
      </c>
    </row>
    <row r="26" spans="1:29">
      <c r="A26" t="s">
        <v>93</v>
      </c>
      <c r="B26" s="29">
        <v>46313.961157407408</v>
      </c>
      <c r="C26">
        <v>2344</v>
      </c>
      <c r="D26" t="s">
        <v>41</v>
      </c>
      <c r="E26">
        <v>8</v>
      </c>
      <c r="F26" t="s">
        <v>41</v>
      </c>
      <c r="G26" t="s">
        <v>41</v>
      </c>
      <c r="H26" t="s">
        <v>142</v>
      </c>
      <c r="I26" s="29">
        <v>46313.962523148148</v>
      </c>
      <c r="J26" t="s">
        <v>41</v>
      </c>
      <c r="K26" s="29">
        <v>46313.961967592593</v>
      </c>
      <c r="L26">
        <v>47</v>
      </c>
      <c r="O26" s="29">
        <v>46313.960972222223</v>
      </c>
      <c r="P26" t="s">
        <v>43</v>
      </c>
      <c r="Q26" t="s">
        <v>95</v>
      </c>
      <c r="R26" t="s">
        <v>143</v>
      </c>
      <c r="S26">
        <v>4247</v>
      </c>
      <c r="T26" t="s">
        <v>41</v>
      </c>
      <c r="U26" s="29">
        <v>46313.969537037039</v>
      </c>
      <c r="V26" s="29">
        <v>46313.967685185184</v>
      </c>
      <c r="W26" t="s">
        <v>144</v>
      </c>
      <c r="X26">
        <v>22411</v>
      </c>
      <c r="Z26">
        <v>0</v>
      </c>
      <c r="AA26" s="30">
        <v>0.96111111111111114</v>
      </c>
      <c r="AB26">
        <v>7</v>
      </c>
      <c r="AC26" t="s">
        <v>41</v>
      </c>
    </row>
    <row r="27" spans="1:29">
      <c r="A27" t="s">
        <v>52</v>
      </c>
      <c r="B27" s="29">
        <v>46313.959317129629</v>
      </c>
      <c r="C27">
        <v>3745</v>
      </c>
      <c r="D27" t="s">
        <v>41</v>
      </c>
      <c r="E27">
        <v>10</v>
      </c>
      <c r="F27" t="s">
        <v>41</v>
      </c>
      <c r="G27" t="s">
        <v>41</v>
      </c>
      <c r="H27" t="s">
        <v>145</v>
      </c>
      <c r="I27" s="29">
        <v>46313.96</v>
      </c>
      <c r="J27" t="s">
        <v>41</v>
      </c>
      <c r="K27" s="29">
        <v>46313.959606481483</v>
      </c>
      <c r="L27">
        <v>33</v>
      </c>
      <c r="O27" s="29">
        <v>46313.959143518521</v>
      </c>
      <c r="P27" t="s">
        <v>43</v>
      </c>
      <c r="Q27" t="s">
        <v>54</v>
      </c>
      <c r="R27" t="s">
        <v>146</v>
      </c>
      <c r="S27">
        <v>4247</v>
      </c>
      <c r="T27" t="s">
        <v>41</v>
      </c>
      <c r="U27" s="29">
        <v>46313.968993055554</v>
      </c>
      <c r="V27" s="29">
        <v>46313.966562499998</v>
      </c>
      <c r="W27" t="s">
        <v>147</v>
      </c>
      <c r="X27">
        <v>22411</v>
      </c>
      <c r="Z27">
        <v>0</v>
      </c>
      <c r="AA27" s="30">
        <v>0.9590277777777777</v>
      </c>
      <c r="AB27">
        <v>9</v>
      </c>
      <c r="AC27" t="s">
        <v>41</v>
      </c>
    </row>
    <row r="28" spans="1:29">
      <c r="A28" t="s">
        <v>98</v>
      </c>
      <c r="B28" s="29">
        <v>46313.957916666666</v>
      </c>
      <c r="C28">
        <v>1327</v>
      </c>
      <c r="D28" t="s">
        <v>41</v>
      </c>
      <c r="E28">
        <v>5</v>
      </c>
      <c r="F28" t="s">
        <v>41</v>
      </c>
      <c r="G28" t="s">
        <v>41</v>
      </c>
      <c r="H28" t="s">
        <v>148</v>
      </c>
      <c r="I28" s="29">
        <v>46313.96303240741</v>
      </c>
      <c r="J28" t="s">
        <v>41</v>
      </c>
      <c r="K28" s="29">
        <v>46313.962685185186</v>
      </c>
      <c r="L28">
        <v>29</v>
      </c>
      <c r="O28" s="29">
        <v>46313.957743055558</v>
      </c>
      <c r="P28" t="s">
        <v>43</v>
      </c>
      <c r="Q28" t="s">
        <v>3005</v>
      </c>
      <c r="R28" t="s">
        <v>149</v>
      </c>
      <c r="S28">
        <v>4247</v>
      </c>
      <c r="T28" t="s">
        <v>41</v>
      </c>
      <c r="U28" s="29">
        <v>46313.968425925923</v>
      </c>
      <c r="V28" s="29">
        <v>46313.966168981482</v>
      </c>
      <c r="W28" t="s">
        <v>150</v>
      </c>
      <c r="X28">
        <v>22411</v>
      </c>
      <c r="Z28">
        <v>0</v>
      </c>
      <c r="AA28" s="30">
        <v>0.95763888888888893</v>
      </c>
      <c r="AB28">
        <v>5</v>
      </c>
      <c r="AC28" t="s">
        <v>41</v>
      </c>
    </row>
    <row r="29" spans="1:29">
      <c r="A29" t="s">
        <v>72</v>
      </c>
      <c r="B29" s="29">
        <v>46313.95716435185</v>
      </c>
      <c r="C29">
        <v>521</v>
      </c>
      <c r="D29" t="s">
        <v>41</v>
      </c>
      <c r="E29">
        <v>3</v>
      </c>
      <c r="F29" t="s">
        <v>41</v>
      </c>
      <c r="G29" t="s">
        <v>41</v>
      </c>
      <c r="H29" t="s">
        <v>151</v>
      </c>
      <c r="I29" s="29">
        <v>46313.958321759259</v>
      </c>
      <c r="J29" t="s">
        <v>41</v>
      </c>
      <c r="K29" s="29">
        <v>46313.957997685182</v>
      </c>
      <c r="L29">
        <v>27</v>
      </c>
      <c r="O29" s="29">
        <v>46313.956990740742</v>
      </c>
      <c r="P29" t="s">
        <v>43</v>
      </c>
      <c r="Q29" t="s">
        <v>74</v>
      </c>
      <c r="R29" t="s">
        <v>152</v>
      </c>
      <c r="S29">
        <v>4247</v>
      </c>
      <c r="T29" t="s">
        <v>41</v>
      </c>
      <c r="U29" s="29">
        <v>46313.96</v>
      </c>
      <c r="V29" s="29">
        <v>46313.960393518515</v>
      </c>
      <c r="W29" t="s">
        <v>153</v>
      </c>
      <c r="X29">
        <v>22411</v>
      </c>
      <c r="Z29">
        <v>0</v>
      </c>
      <c r="AA29" s="30">
        <v>0.95694444444444438</v>
      </c>
      <c r="AB29">
        <v>3</v>
      </c>
      <c r="AC29" t="s">
        <v>41</v>
      </c>
    </row>
    <row r="30" spans="1:29">
      <c r="A30" t="s">
        <v>106</v>
      </c>
      <c r="B30" s="29">
        <v>46313.954479166663</v>
      </c>
      <c r="C30">
        <v>2146</v>
      </c>
      <c r="D30" t="s">
        <v>41</v>
      </c>
      <c r="E30">
        <v>7</v>
      </c>
      <c r="F30" t="s">
        <v>41</v>
      </c>
      <c r="G30" t="s">
        <v>41</v>
      </c>
      <c r="H30" t="s">
        <v>154</v>
      </c>
      <c r="I30" s="29">
        <v>46313.955740740741</v>
      </c>
      <c r="J30" t="s">
        <v>41</v>
      </c>
      <c r="K30" s="29">
        <v>46313.955347222225</v>
      </c>
      <c r="L30">
        <v>33</v>
      </c>
      <c r="O30" s="29">
        <v>46313.954328703701</v>
      </c>
      <c r="P30" t="s">
        <v>43</v>
      </c>
      <c r="Q30" t="s">
        <v>108</v>
      </c>
      <c r="R30" t="s">
        <v>155</v>
      </c>
      <c r="S30">
        <v>4247</v>
      </c>
      <c r="T30" t="s">
        <v>41</v>
      </c>
      <c r="U30" s="29">
        <v>46313.962395833332</v>
      </c>
      <c r="V30" s="29">
        <v>46313.960335648146</v>
      </c>
      <c r="W30" t="s">
        <v>156</v>
      </c>
      <c r="X30">
        <v>22411</v>
      </c>
      <c r="Z30">
        <v>0</v>
      </c>
      <c r="AA30" s="30">
        <v>0.95416666666666661</v>
      </c>
      <c r="AB30">
        <v>7</v>
      </c>
      <c r="AC30" t="s">
        <v>41</v>
      </c>
    </row>
    <row r="31" spans="1:29">
      <c r="A31" t="s">
        <v>157</v>
      </c>
      <c r="B31" s="29">
        <v>46313.953738425924</v>
      </c>
      <c r="C31">
        <v>1223</v>
      </c>
      <c r="D31" t="s">
        <v>41</v>
      </c>
      <c r="E31">
        <v>3</v>
      </c>
      <c r="F31" t="s">
        <v>41</v>
      </c>
      <c r="G31" t="s">
        <v>41</v>
      </c>
      <c r="H31" t="s">
        <v>158</v>
      </c>
      <c r="I31" s="29">
        <v>46313.954398148147</v>
      </c>
      <c r="J31" t="s">
        <v>41</v>
      </c>
      <c r="K31" s="29">
        <v>46313.954097222224</v>
      </c>
      <c r="L31">
        <v>25</v>
      </c>
      <c r="O31" s="29">
        <v>46313.953576388885</v>
      </c>
      <c r="P31" t="s">
        <v>43</v>
      </c>
      <c r="Q31" t="s">
        <v>159</v>
      </c>
      <c r="R31" t="s">
        <v>160</v>
      </c>
      <c r="S31">
        <v>4247</v>
      </c>
      <c r="T31" t="s">
        <v>41</v>
      </c>
      <c r="U31" s="29">
        <v>46313.957407407404</v>
      </c>
      <c r="V31" s="29">
        <v>46313.956226851849</v>
      </c>
      <c r="W31" t="s">
        <v>161</v>
      </c>
      <c r="X31">
        <v>22411</v>
      </c>
      <c r="Z31">
        <v>0</v>
      </c>
      <c r="AA31" s="30">
        <v>0.95347222222222217</v>
      </c>
      <c r="AB31">
        <v>3</v>
      </c>
      <c r="AC31" t="s">
        <v>41</v>
      </c>
    </row>
    <row r="32" spans="1:29">
      <c r="A32" t="s">
        <v>125</v>
      </c>
      <c r="B32" s="29">
        <v>46313.946747685186</v>
      </c>
      <c r="C32">
        <v>457</v>
      </c>
      <c r="D32" t="s">
        <v>41</v>
      </c>
      <c r="E32">
        <v>2</v>
      </c>
      <c r="F32" t="s">
        <v>41</v>
      </c>
      <c r="G32" t="s">
        <v>41</v>
      </c>
      <c r="H32" t="s">
        <v>162</v>
      </c>
      <c r="I32" s="29">
        <v>46313.947592592594</v>
      </c>
      <c r="J32" t="s">
        <v>41</v>
      </c>
      <c r="K32" s="29">
        <v>46313.94740740741</v>
      </c>
      <c r="L32">
        <v>15</v>
      </c>
      <c r="O32" s="29">
        <v>46313.946527777778</v>
      </c>
      <c r="P32" t="s">
        <v>43</v>
      </c>
      <c r="Q32" t="s">
        <v>3006</v>
      </c>
      <c r="R32" t="s">
        <v>163</v>
      </c>
      <c r="S32">
        <v>4247</v>
      </c>
      <c r="T32" t="s">
        <v>41</v>
      </c>
      <c r="U32" s="29">
        <v>46313.949803240743</v>
      </c>
      <c r="V32" s="29">
        <v>46313.949016203704</v>
      </c>
      <c r="W32" t="s">
        <v>164</v>
      </c>
      <c r="X32">
        <v>22411</v>
      </c>
      <c r="Z32">
        <v>0</v>
      </c>
      <c r="AA32" s="30">
        <v>0.94652777777777775</v>
      </c>
      <c r="AB32">
        <v>2</v>
      </c>
      <c r="AC32" t="s">
        <v>41</v>
      </c>
    </row>
    <row r="33" spans="1:29">
      <c r="A33" t="s">
        <v>117</v>
      </c>
      <c r="B33" s="29">
        <v>46313.946273148147</v>
      </c>
      <c r="C33">
        <v>1434</v>
      </c>
      <c r="D33" t="s">
        <v>41</v>
      </c>
      <c r="E33">
        <v>4</v>
      </c>
      <c r="F33" t="s">
        <v>41</v>
      </c>
      <c r="G33" t="s">
        <v>41</v>
      </c>
      <c r="H33" t="s">
        <v>165</v>
      </c>
      <c r="I33" s="29">
        <v>46313.947418981479</v>
      </c>
      <c r="J33" t="s">
        <v>41</v>
      </c>
      <c r="K33" s="29">
        <v>46313.947129629632</v>
      </c>
      <c r="L33">
        <v>24</v>
      </c>
      <c r="O33" s="29">
        <v>46313.946215277778</v>
      </c>
      <c r="P33" t="s">
        <v>43</v>
      </c>
      <c r="Q33" t="s">
        <v>119</v>
      </c>
      <c r="R33" t="s">
        <v>166</v>
      </c>
      <c r="S33">
        <v>4247</v>
      </c>
      <c r="T33" t="s">
        <v>41</v>
      </c>
      <c r="U33" s="29">
        <v>46313.950960648152</v>
      </c>
      <c r="V33" s="29">
        <v>46313.950185185182</v>
      </c>
      <c r="W33" t="s">
        <v>167</v>
      </c>
      <c r="X33">
        <v>22411</v>
      </c>
      <c r="Z33">
        <v>0</v>
      </c>
      <c r="AA33" s="30">
        <v>0.9458333333333333</v>
      </c>
      <c r="AB33">
        <v>4</v>
      </c>
      <c r="AC33" t="s">
        <v>41</v>
      </c>
    </row>
    <row r="34" spans="1:29">
      <c r="A34" t="s">
        <v>57</v>
      </c>
      <c r="B34" s="29">
        <v>46313.946134259262</v>
      </c>
      <c r="C34">
        <v>2803</v>
      </c>
      <c r="D34" t="s">
        <v>41</v>
      </c>
      <c r="E34">
        <v>9</v>
      </c>
      <c r="F34" t="s">
        <v>41</v>
      </c>
      <c r="G34" t="s">
        <v>41</v>
      </c>
      <c r="H34" t="s">
        <v>168</v>
      </c>
      <c r="I34" s="29">
        <v>46313.948541666665</v>
      </c>
      <c r="J34" t="s">
        <v>41</v>
      </c>
      <c r="K34" s="29">
        <v>46313.948275462964</v>
      </c>
      <c r="L34">
        <v>22</v>
      </c>
      <c r="O34" s="29">
        <v>46313.946053240739</v>
      </c>
      <c r="P34" t="s">
        <v>43</v>
      </c>
      <c r="Q34" t="s">
        <v>59</v>
      </c>
      <c r="R34" t="s">
        <v>169</v>
      </c>
      <c r="S34">
        <v>4247</v>
      </c>
      <c r="T34" t="s">
        <v>41</v>
      </c>
      <c r="U34" s="29">
        <v>46313.956111111111</v>
      </c>
      <c r="V34" s="29">
        <v>46313.954652777778</v>
      </c>
      <c r="W34" t="s">
        <v>170</v>
      </c>
      <c r="X34">
        <v>22411</v>
      </c>
      <c r="Z34">
        <v>0</v>
      </c>
      <c r="AA34" s="30">
        <v>0.9458333333333333</v>
      </c>
      <c r="AB34">
        <v>9</v>
      </c>
      <c r="AC34" t="s">
        <v>41</v>
      </c>
    </row>
    <row r="35" spans="1:29">
      <c r="A35" t="s">
        <v>98</v>
      </c>
      <c r="B35" s="29">
        <v>46313.944837962961</v>
      </c>
      <c r="C35">
        <v>365</v>
      </c>
      <c r="D35" t="s">
        <v>41</v>
      </c>
      <c r="E35">
        <v>2</v>
      </c>
      <c r="F35" t="s">
        <v>41</v>
      </c>
      <c r="G35" t="s">
        <v>41</v>
      </c>
      <c r="H35" t="s">
        <v>171</v>
      </c>
      <c r="I35" s="29">
        <v>46313.945763888885</v>
      </c>
      <c r="J35" t="s">
        <v>41</v>
      </c>
      <c r="K35" s="29">
        <v>46313.945451388892</v>
      </c>
      <c r="L35">
        <v>26</v>
      </c>
      <c r="O35" s="29">
        <v>46313.944710648146</v>
      </c>
      <c r="P35" t="s">
        <v>43</v>
      </c>
      <c r="Q35" t="s">
        <v>3005</v>
      </c>
      <c r="R35" t="s">
        <v>172</v>
      </c>
      <c r="S35">
        <v>4247</v>
      </c>
      <c r="T35" t="s">
        <v>41</v>
      </c>
      <c r="U35" s="29">
        <v>46313.947453703702</v>
      </c>
      <c r="V35" s="29">
        <v>46313.946539351855</v>
      </c>
      <c r="W35" t="s">
        <v>173</v>
      </c>
      <c r="X35">
        <v>22411</v>
      </c>
      <c r="Z35">
        <v>0</v>
      </c>
      <c r="AA35" s="30">
        <v>0.94444444444444453</v>
      </c>
      <c r="AB35">
        <v>1</v>
      </c>
      <c r="AC35" t="s">
        <v>41</v>
      </c>
    </row>
    <row r="36" spans="1:29">
      <c r="A36" t="s">
        <v>47</v>
      </c>
      <c r="B36" s="29">
        <v>46313.943807870368</v>
      </c>
      <c r="C36">
        <v>1433</v>
      </c>
      <c r="D36" t="s">
        <v>41</v>
      </c>
      <c r="E36">
        <v>4</v>
      </c>
      <c r="F36" t="s">
        <v>41</v>
      </c>
      <c r="G36" t="s">
        <v>41</v>
      </c>
      <c r="H36" t="s">
        <v>174</v>
      </c>
      <c r="I36" s="29">
        <v>46313.944421296299</v>
      </c>
      <c r="J36" t="s">
        <v>41</v>
      </c>
      <c r="K36" s="29">
        <v>46313.944201388891</v>
      </c>
      <c r="L36">
        <v>18</v>
      </c>
      <c r="O36" s="29">
        <v>46313.943738425929</v>
      </c>
      <c r="P36" t="s">
        <v>43</v>
      </c>
      <c r="Q36" t="s">
        <v>49</v>
      </c>
      <c r="R36" t="s">
        <v>175</v>
      </c>
      <c r="S36">
        <v>4247</v>
      </c>
      <c r="T36" t="s">
        <v>41</v>
      </c>
      <c r="U36" s="29">
        <v>46313.94908564815</v>
      </c>
      <c r="V36" s="29">
        <v>46313.946770833332</v>
      </c>
      <c r="W36" t="s">
        <v>176</v>
      </c>
      <c r="X36">
        <v>22411</v>
      </c>
      <c r="Z36">
        <v>0</v>
      </c>
      <c r="AA36" s="30">
        <v>0.94374999999999998</v>
      </c>
      <c r="AB36">
        <v>3</v>
      </c>
      <c r="AC36" t="s">
        <v>41</v>
      </c>
    </row>
    <row r="37" spans="1:29">
      <c r="A37" t="s">
        <v>177</v>
      </c>
      <c r="B37" s="29">
        <v>46313.943796296298</v>
      </c>
      <c r="C37">
        <v>2146</v>
      </c>
      <c r="D37" t="s">
        <v>41</v>
      </c>
      <c r="E37">
        <v>7</v>
      </c>
      <c r="F37" t="s">
        <v>41</v>
      </c>
      <c r="G37" t="s">
        <v>41</v>
      </c>
      <c r="H37" t="s">
        <v>178</v>
      </c>
      <c r="I37" s="29">
        <v>46313.944710648146</v>
      </c>
      <c r="J37" t="s">
        <v>41</v>
      </c>
      <c r="K37" s="29">
        <v>46313.944178240738</v>
      </c>
      <c r="L37">
        <v>45</v>
      </c>
      <c r="O37" s="29">
        <v>46313.943668981483</v>
      </c>
      <c r="P37" t="s">
        <v>43</v>
      </c>
      <c r="Q37" t="s">
        <v>179</v>
      </c>
      <c r="R37" t="s">
        <v>180</v>
      </c>
      <c r="S37">
        <v>4247</v>
      </c>
      <c r="T37" t="s">
        <v>41</v>
      </c>
      <c r="U37" s="29">
        <v>46313.951365740744</v>
      </c>
      <c r="V37" s="29">
        <v>46313.949340277781</v>
      </c>
      <c r="W37" t="s">
        <v>181</v>
      </c>
      <c r="X37">
        <v>22411</v>
      </c>
      <c r="Z37">
        <v>0</v>
      </c>
      <c r="AA37" s="30">
        <v>0.94374999999999998</v>
      </c>
      <c r="AB37">
        <v>7</v>
      </c>
      <c r="AC37" t="s">
        <v>41</v>
      </c>
    </row>
    <row r="38" spans="1:29">
      <c r="A38" t="s">
        <v>77</v>
      </c>
      <c r="B38" s="29">
        <v>46313.943680555552</v>
      </c>
      <c r="C38">
        <v>3042</v>
      </c>
      <c r="D38" t="s">
        <v>41</v>
      </c>
      <c r="E38">
        <v>8</v>
      </c>
      <c r="F38" t="s">
        <v>41</v>
      </c>
      <c r="G38" t="s">
        <v>41</v>
      </c>
      <c r="H38" t="s">
        <v>182</v>
      </c>
      <c r="I38" s="29">
        <v>46313.945520833331</v>
      </c>
      <c r="J38" t="s">
        <v>41</v>
      </c>
      <c r="K38" s="29">
        <v>46313.945185185185</v>
      </c>
      <c r="L38">
        <v>28</v>
      </c>
      <c r="O38" s="29">
        <v>46313.943506944444</v>
      </c>
      <c r="P38" t="s">
        <v>43</v>
      </c>
      <c r="Q38" t="s">
        <v>79</v>
      </c>
      <c r="R38" t="s">
        <v>183</v>
      </c>
      <c r="S38">
        <v>4247</v>
      </c>
      <c r="T38" t="s">
        <v>41</v>
      </c>
      <c r="U38" s="29">
        <v>46313.953113425923</v>
      </c>
      <c r="V38" s="29">
        <v>46313.950682870367</v>
      </c>
      <c r="W38" t="s">
        <v>184</v>
      </c>
      <c r="X38">
        <v>22411</v>
      </c>
      <c r="Z38">
        <v>0</v>
      </c>
      <c r="AA38" s="30">
        <v>0.94305555555555554</v>
      </c>
      <c r="AB38">
        <v>7</v>
      </c>
      <c r="AC38" t="s">
        <v>41</v>
      </c>
    </row>
    <row r="39" spans="1:29">
      <c r="A39" t="s">
        <v>185</v>
      </c>
      <c r="B39" s="29">
        <v>46313.94263888889</v>
      </c>
      <c r="C39">
        <v>1238</v>
      </c>
      <c r="D39" t="s">
        <v>41</v>
      </c>
      <c r="E39">
        <v>6</v>
      </c>
      <c r="F39" t="s">
        <v>41</v>
      </c>
      <c r="G39" t="s">
        <v>41</v>
      </c>
      <c r="H39" t="s">
        <v>186</v>
      </c>
      <c r="I39" s="29">
        <v>46313.94358796296</v>
      </c>
      <c r="J39" t="s">
        <v>41</v>
      </c>
      <c r="K39" s="29">
        <v>46313.943310185183</v>
      </c>
      <c r="L39">
        <v>23</v>
      </c>
      <c r="O39" s="29">
        <v>46313.942557870374</v>
      </c>
      <c r="P39" t="s">
        <v>43</v>
      </c>
      <c r="Q39" t="s">
        <v>3007</v>
      </c>
      <c r="R39" t="s">
        <v>188</v>
      </c>
      <c r="S39">
        <v>4247</v>
      </c>
      <c r="T39" t="s">
        <v>41</v>
      </c>
      <c r="U39" s="29">
        <v>46313.947187500002</v>
      </c>
      <c r="V39" s="29">
        <v>46313.947812500002</v>
      </c>
      <c r="W39" t="s">
        <v>189</v>
      </c>
      <c r="X39">
        <v>22411</v>
      </c>
      <c r="Z39">
        <v>0</v>
      </c>
      <c r="AA39" s="30">
        <v>0.94236111111111109</v>
      </c>
      <c r="AB39">
        <v>6</v>
      </c>
      <c r="AC39" t="s">
        <v>41</v>
      </c>
    </row>
    <row r="40" spans="1:29">
      <c r="A40" t="s">
        <v>190</v>
      </c>
      <c r="B40" s="29">
        <v>46313.941701388889</v>
      </c>
      <c r="C40">
        <v>2326</v>
      </c>
      <c r="D40" t="s">
        <v>41</v>
      </c>
      <c r="E40">
        <v>8</v>
      </c>
      <c r="F40" t="s">
        <v>41</v>
      </c>
      <c r="G40" t="s">
        <v>41</v>
      </c>
      <c r="H40" t="s">
        <v>191</v>
      </c>
      <c r="I40" s="29">
        <v>46313.94263888889</v>
      </c>
      <c r="J40" t="s">
        <v>41</v>
      </c>
      <c r="K40" s="29">
        <v>46313.942384259259</v>
      </c>
      <c r="L40">
        <v>21</v>
      </c>
      <c r="O40" s="29">
        <v>46313.94159722222</v>
      </c>
      <c r="P40" t="s">
        <v>43</v>
      </c>
      <c r="Q40" t="s">
        <v>192</v>
      </c>
      <c r="R40" t="s">
        <v>193</v>
      </c>
      <c r="S40">
        <v>4247</v>
      </c>
      <c r="T40" t="s">
        <v>41</v>
      </c>
      <c r="U40" s="29">
        <v>46313.949525462966</v>
      </c>
      <c r="V40" s="29">
        <v>46313.947789351849</v>
      </c>
      <c r="W40" t="s">
        <v>194</v>
      </c>
      <c r="X40">
        <v>22411</v>
      </c>
      <c r="Z40">
        <v>0</v>
      </c>
      <c r="AA40" s="30">
        <v>0.94166666666666676</v>
      </c>
      <c r="AB40">
        <v>7</v>
      </c>
      <c r="AC40" t="s">
        <v>41</v>
      </c>
    </row>
    <row r="41" spans="1:29">
      <c r="A41" t="s">
        <v>93</v>
      </c>
      <c r="B41" s="29">
        <v>46313.94159722222</v>
      </c>
      <c r="C41">
        <v>2653</v>
      </c>
      <c r="D41" t="s">
        <v>41</v>
      </c>
      <c r="E41">
        <v>6</v>
      </c>
      <c r="F41" t="s">
        <v>41</v>
      </c>
      <c r="G41" t="s">
        <v>41</v>
      </c>
      <c r="H41" t="s">
        <v>195</v>
      </c>
      <c r="I41" s="29">
        <v>46313.942465277774</v>
      </c>
      <c r="J41" t="s">
        <v>41</v>
      </c>
      <c r="K41" s="29">
        <v>46313.942118055558</v>
      </c>
      <c r="L41">
        <v>29</v>
      </c>
      <c r="O41" s="29">
        <v>46313.941504629627</v>
      </c>
      <c r="P41" t="s">
        <v>43</v>
      </c>
      <c r="Q41" t="s">
        <v>95</v>
      </c>
      <c r="R41" t="s">
        <v>196</v>
      </c>
      <c r="S41">
        <v>4247</v>
      </c>
      <c r="T41" t="s">
        <v>41</v>
      </c>
      <c r="U41" s="29">
        <v>46313.948333333334</v>
      </c>
      <c r="V41" s="29">
        <v>46313.946585648147</v>
      </c>
      <c r="W41" t="s">
        <v>197</v>
      </c>
      <c r="X41">
        <v>22411</v>
      </c>
      <c r="Z41">
        <v>0</v>
      </c>
      <c r="AA41" s="30">
        <v>0.94097222222222221</v>
      </c>
      <c r="AB41">
        <v>6</v>
      </c>
      <c r="AC41" t="s">
        <v>41</v>
      </c>
    </row>
    <row r="42" spans="1:29">
      <c r="A42" t="s">
        <v>198</v>
      </c>
      <c r="B42" s="29">
        <v>46313.941620370373</v>
      </c>
      <c r="C42">
        <v>1462</v>
      </c>
      <c r="D42" t="s">
        <v>41</v>
      </c>
      <c r="E42">
        <v>6</v>
      </c>
      <c r="F42" t="s">
        <v>41</v>
      </c>
      <c r="G42" t="s">
        <v>41</v>
      </c>
      <c r="H42" t="s">
        <v>199</v>
      </c>
      <c r="I42" s="29">
        <v>46313.943067129629</v>
      </c>
      <c r="J42" t="s">
        <v>41</v>
      </c>
      <c r="K42" s="29">
        <v>46313.942789351851</v>
      </c>
      <c r="L42">
        <v>23</v>
      </c>
      <c r="O42" s="29">
        <v>46313.941099537034</v>
      </c>
      <c r="P42" t="s">
        <v>43</v>
      </c>
      <c r="Q42" t="s">
        <v>3008</v>
      </c>
      <c r="R42" t="s">
        <v>201</v>
      </c>
      <c r="S42">
        <v>4247</v>
      </c>
      <c r="T42" t="s">
        <v>41</v>
      </c>
      <c r="U42" s="29">
        <v>46313.94767361111</v>
      </c>
      <c r="V42" s="29">
        <v>46313.946689814817</v>
      </c>
      <c r="W42" t="s">
        <v>202</v>
      </c>
      <c r="X42">
        <v>22411</v>
      </c>
      <c r="Z42">
        <v>0</v>
      </c>
      <c r="AA42" s="30">
        <v>0.94097222222222221</v>
      </c>
      <c r="AB42">
        <v>5</v>
      </c>
      <c r="AC42" t="s">
        <v>41</v>
      </c>
    </row>
    <row r="43" spans="1:29">
      <c r="A43" t="s">
        <v>52</v>
      </c>
      <c r="B43" s="29">
        <v>46313.940069444441</v>
      </c>
      <c r="C43">
        <v>2036</v>
      </c>
      <c r="D43" t="s">
        <v>41</v>
      </c>
      <c r="E43">
        <v>5</v>
      </c>
      <c r="F43" t="s">
        <v>41</v>
      </c>
      <c r="G43" t="s">
        <v>41</v>
      </c>
      <c r="H43" t="s">
        <v>203</v>
      </c>
      <c r="I43" s="29">
        <v>46313.94121527778</v>
      </c>
      <c r="J43" t="s">
        <v>41</v>
      </c>
      <c r="K43" s="29">
        <v>46313.940567129626</v>
      </c>
      <c r="L43">
        <v>55</v>
      </c>
      <c r="O43" s="29">
        <v>46313.939895833333</v>
      </c>
      <c r="P43" t="s">
        <v>43</v>
      </c>
      <c r="Q43" t="s">
        <v>54</v>
      </c>
      <c r="R43" t="s">
        <v>204</v>
      </c>
      <c r="S43">
        <v>4247</v>
      </c>
      <c r="T43" t="s">
        <v>41</v>
      </c>
      <c r="U43" s="29">
        <v>46313.947615740741</v>
      </c>
      <c r="V43" s="29">
        <v>46313.944201388891</v>
      </c>
      <c r="W43" t="s">
        <v>205</v>
      </c>
      <c r="X43">
        <v>22411</v>
      </c>
      <c r="Z43">
        <v>0</v>
      </c>
      <c r="AA43" s="30">
        <v>0.93958333333333333</v>
      </c>
      <c r="AB43">
        <v>4</v>
      </c>
      <c r="AC43" t="s">
        <v>41</v>
      </c>
    </row>
    <row r="44" spans="1:29">
      <c r="A44" t="s">
        <v>62</v>
      </c>
      <c r="B44" s="29">
        <v>46313.936956018515</v>
      </c>
      <c r="C44">
        <v>3143</v>
      </c>
      <c r="D44" t="s">
        <v>41</v>
      </c>
      <c r="E44">
        <v>9</v>
      </c>
      <c r="F44" t="s">
        <v>41</v>
      </c>
      <c r="G44" t="s">
        <v>41</v>
      </c>
      <c r="H44" t="s">
        <v>206</v>
      </c>
      <c r="I44" s="29">
        <v>46313.938090277778</v>
      </c>
      <c r="J44" t="s">
        <v>41</v>
      </c>
      <c r="K44" s="29">
        <v>46313.9378125</v>
      </c>
      <c r="L44">
        <v>23</v>
      </c>
      <c r="O44" s="29">
        <v>46313.936793981484</v>
      </c>
      <c r="P44" t="s">
        <v>43</v>
      </c>
      <c r="Q44" t="s">
        <v>64</v>
      </c>
      <c r="R44" t="s">
        <v>207</v>
      </c>
      <c r="S44">
        <v>4247</v>
      </c>
      <c r="T44" t="s">
        <v>41</v>
      </c>
      <c r="U44" s="29">
        <v>46313.94604166667</v>
      </c>
      <c r="V44" s="29">
        <v>46313.944293981483</v>
      </c>
      <c r="W44" t="s">
        <v>208</v>
      </c>
      <c r="X44">
        <v>22411</v>
      </c>
      <c r="Z44">
        <v>0</v>
      </c>
      <c r="AA44" s="30">
        <v>0.93680555555555556</v>
      </c>
      <c r="AB44">
        <v>9</v>
      </c>
      <c r="AC44" t="s">
        <v>41</v>
      </c>
    </row>
    <row r="45" spans="1:29">
      <c r="A45" t="s">
        <v>209</v>
      </c>
      <c r="B45" s="29">
        <v>46313.935925925929</v>
      </c>
      <c r="C45">
        <v>2281</v>
      </c>
      <c r="D45" t="s">
        <v>41</v>
      </c>
      <c r="E45">
        <v>8</v>
      </c>
      <c r="F45" t="s">
        <v>41</v>
      </c>
      <c r="G45" t="s">
        <v>41</v>
      </c>
      <c r="H45" t="s">
        <v>210</v>
      </c>
      <c r="I45" s="29">
        <v>46313.936712962961</v>
      </c>
      <c r="J45" t="s">
        <v>41</v>
      </c>
      <c r="K45" s="29">
        <v>46313.936238425929</v>
      </c>
      <c r="L45">
        <v>40</v>
      </c>
      <c r="O45" s="29">
        <v>46313.935439814813</v>
      </c>
      <c r="P45" t="s">
        <v>43</v>
      </c>
      <c r="Q45" t="s">
        <v>211</v>
      </c>
      <c r="R45" t="s">
        <v>212</v>
      </c>
      <c r="S45">
        <v>4247</v>
      </c>
      <c r="T45" t="s">
        <v>41</v>
      </c>
      <c r="U45" s="29">
        <v>46313.941840277781</v>
      </c>
      <c r="V45" s="29">
        <v>46313.941469907404</v>
      </c>
      <c r="W45" t="s">
        <v>213</v>
      </c>
      <c r="X45">
        <v>22411</v>
      </c>
      <c r="Z45">
        <v>0</v>
      </c>
      <c r="AA45" s="30">
        <v>0.93541666666666667</v>
      </c>
      <c r="AB45">
        <v>7</v>
      </c>
      <c r="AC45" t="s">
        <v>41</v>
      </c>
    </row>
    <row r="46" spans="1:29">
      <c r="A46" t="s">
        <v>157</v>
      </c>
      <c r="B46" s="29">
        <v>46313.933206018519</v>
      </c>
      <c r="C46">
        <v>1504</v>
      </c>
      <c r="D46" t="s">
        <v>41</v>
      </c>
      <c r="E46">
        <v>4</v>
      </c>
      <c r="F46" t="s">
        <v>41</v>
      </c>
      <c r="G46" t="s">
        <v>41</v>
      </c>
      <c r="H46" t="s">
        <v>214</v>
      </c>
      <c r="I46" s="29">
        <v>46313.934479166666</v>
      </c>
      <c r="J46" t="s">
        <v>41</v>
      </c>
      <c r="K46" s="29">
        <v>46313.934131944443</v>
      </c>
      <c r="L46">
        <v>29</v>
      </c>
      <c r="O46" s="29">
        <v>46313.932962962965</v>
      </c>
      <c r="P46" t="s">
        <v>43</v>
      </c>
      <c r="Q46" t="s">
        <v>159</v>
      </c>
      <c r="R46" t="s">
        <v>215</v>
      </c>
      <c r="S46">
        <v>4247</v>
      </c>
      <c r="T46" t="s">
        <v>41</v>
      </c>
      <c r="U46" s="29">
        <v>46313.93855324074</v>
      </c>
      <c r="V46" s="29">
        <v>46313.936990740738</v>
      </c>
      <c r="W46" t="s">
        <v>216</v>
      </c>
      <c r="X46">
        <v>22411</v>
      </c>
      <c r="Z46">
        <v>0</v>
      </c>
      <c r="AA46" s="30">
        <v>0.93263888888888891</v>
      </c>
      <c r="AB46">
        <v>4</v>
      </c>
      <c r="AC46" t="s">
        <v>41</v>
      </c>
    </row>
    <row r="47" spans="1:29">
      <c r="A47" t="s">
        <v>106</v>
      </c>
      <c r="B47" s="29">
        <v>46313.931030092594</v>
      </c>
      <c r="C47">
        <v>1914</v>
      </c>
      <c r="D47" t="s">
        <v>41</v>
      </c>
      <c r="E47">
        <v>6</v>
      </c>
      <c r="F47" t="s">
        <v>41</v>
      </c>
      <c r="G47" t="s">
        <v>41</v>
      </c>
      <c r="H47" t="s">
        <v>217</v>
      </c>
      <c r="I47" s="29">
        <v>46313.932500000003</v>
      </c>
      <c r="J47" t="s">
        <v>41</v>
      </c>
      <c r="K47" s="29">
        <v>46313.932222222225</v>
      </c>
      <c r="L47">
        <v>23</v>
      </c>
      <c r="O47" s="29">
        <v>46313.930833333332</v>
      </c>
      <c r="P47" t="s">
        <v>43</v>
      </c>
      <c r="Q47" t="s">
        <v>108</v>
      </c>
      <c r="R47" t="s">
        <v>218</v>
      </c>
      <c r="S47">
        <v>4247</v>
      </c>
      <c r="T47" t="s">
        <v>41</v>
      </c>
      <c r="U47" s="29">
        <v>46313.937025462961</v>
      </c>
      <c r="V47" s="29">
        <v>46313.936215277776</v>
      </c>
      <c r="W47" t="s">
        <v>219</v>
      </c>
      <c r="X47">
        <v>22411</v>
      </c>
      <c r="Z47">
        <v>0</v>
      </c>
      <c r="AA47" s="30">
        <v>0.93055555555555547</v>
      </c>
      <c r="AB47">
        <v>5</v>
      </c>
      <c r="AC47" t="s">
        <v>41</v>
      </c>
    </row>
    <row r="48" spans="1:29">
      <c r="A48" t="s">
        <v>125</v>
      </c>
      <c r="B48" s="29">
        <v>46313.9296875</v>
      </c>
      <c r="C48">
        <v>1186</v>
      </c>
      <c r="D48" t="s">
        <v>41</v>
      </c>
      <c r="E48">
        <v>6</v>
      </c>
      <c r="F48" t="s">
        <v>41</v>
      </c>
      <c r="G48" t="s">
        <v>41</v>
      </c>
      <c r="H48" t="s">
        <v>220</v>
      </c>
      <c r="I48" s="29">
        <v>46313.930763888886</v>
      </c>
      <c r="J48" t="s">
        <v>41</v>
      </c>
      <c r="K48" s="29">
        <v>46313.930567129632</v>
      </c>
      <c r="L48">
        <v>16</v>
      </c>
      <c r="O48" s="29">
        <v>46313.929444444446</v>
      </c>
      <c r="P48" t="s">
        <v>43</v>
      </c>
      <c r="Q48" t="s">
        <v>3006</v>
      </c>
      <c r="R48" t="s">
        <v>221</v>
      </c>
      <c r="S48">
        <v>4247</v>
      </c>
      <c r="T48" t="s">
        <v>41</v>
      </c>
      <c r="U48" s="29">
        <v>46313.935104166667</v>
      </c>
      <c r="V48" s="29">
        <v>46313.934907407405</v>
      </c>
      <c r="W48" t="s">
        <v>222</v>
      </c>
      <c r="X48">
        <v>22411</v>
      </c>
      <c r="Z48">
        <v>0</v>
      </c>
      <c r="AA48" s="30">
        <v>0.9291666666666667</v>
      </c>
      <c r="AB48">
        <v>6</v>
      </c>
      <c r="AC48" t="s">
        <v>41</v>
      </c>
    </row>
    <row r="49" spans="1:29">
      <c r="A49" t="s">
        <v>117</v>
      </c>
      <c r="B49" s="29">
        <v>46313.928923611114</v>
      </c>
      <c r="C49">
        <v>1376</v>
      </c>
      <c r="D49" t="s">
        <v>41</v>
      </c>
      <c r="E49">
        <v>4</v>
      </c>
      <c r="F49" t="s">
        <v>41</v>
      </c>
      <c r="G49" t="s">
        <v>41</v>
      </c>
      <c r="H49" t="s">
        <v>223</v>
      </c>
      <c r="I49" s="29">
        <v>46313.931944444441</v>
      </c>
      <c r="J49" t="s">
        <v>41</v>
      </c>
      <c r="K49" s="29">
        <v>46313.931562500002</v>
      </c>
      <c r="L49">
        <v>32</v>
      </c>
      <c r="O49" s="29">
        <v>46313.928796296299</v>
      </c>
      <c r="P49" t="s">
        <v>43</v>
      </c>
      <c r="Q49" t="s">
        <v>119</v>
      </c>
      <c r="R49" t="s">
        <v>224</v>
      </c>
      <c r="S49">
        <v>4247</v>
      </c>
      <c r="T49" t="s">
        <v>41</v>
      </c>
      <c r="U49" s="29">
        <v>46313.935196759259</v>
      </c>
      <c r="V49" s="29">
        <v>46313.934606481482</v>
      </c>
      <c r="W49" t="s">
        <v>225</v>
      </c>
      <c r="X49">
        <v>22411</v>
      </c>
      <c r="Z49">
        <v>0</v>
      </c>
      <c r="AA49" s="30">
        <v>0.92847222222222225</v>
      </c>
      <c r="AB49">
        <v>4</v>
      </c>
      <c r="AC49" t="s">
        <v>41</v>
      </c>
    </row>
    <row r="50" spans="1:29">
      <c r="A50" t="s">
        <v>57</v>
      </c>
      <c r="B50" s="29">
        <v>46313.928483796299</v>
      </c>
      <c r="C50">
        <v>1384</v>
      </c>
      <c r="D50" t="s">
        <v>41</v>
      </c>
      <c r="E50">
        <v>6</v>
      </c>
      <c r="F50" t="s">
        <v>41</v>
      </c>
      <c r="G50" t="s">
        <v>41</v>
      </c>
      <c r="H50" t="s">
        <v>226</v>
      </c>
      <c r="I50" s="29">
        <v>46313.930335648147</v>
      </c>
      <c r="J50" t="s">
        <v>41</v>
      </c>
      <c r="K50" s="29">
        <v>46313.930138888885</v>
      </c>
      <c r="L50">
        <v>16</v>
      </c>
      <c r="O50" s="29">
        <v>46313.928229166668</v>
      </c>
      <c r="P50" t="s">
        <v>43</v>
      </c>
      <c r="Q50" t="s">
        <v>59</v>
      </c>
      <c r="R50" t="s">
        <v>227</v>
      </c>
      <c r="S50">
        <v>4247</v>
      </c>
      <c r="T50" t="s">
        <v>41</v>
      </c>
      <c r="U50" s="29">
        <v>46313.934120370373</v>
      </c>
      <c r="V50" s="29">
        <v>46313.934131944443</v>
      </c>
      <c r="W50" t="s">
        <v>228</v>
      </c>
      <c r="X50">
        <v>22411</v>
      </c>
      <c r="Z50">
        <v>0</v>
      </c>
      <c r="AA50" s="30">
        <v>0.92847222222222225</v>
      </c>
      <c r="AB50">
        <v>5</v>
      </c>
      <c r="AC50" t="s">
        <v>41</v>
      </c>
    </row>
    <row r="51" spans="1:29">
      <c r="A51" t="s">
        <v>72</v>
      </c>
      <c r="B51" s="29">
        <v>46313.927928240744</v>
      </c>
      <c r="C51">
        <v>3699</v>
      </c>
      <c r="D51" t="s">
        <v>41</v>
      </c>
      <c r="E51">
        <v>12</v>
      </c>
      <c r="F51" t="s">
        <v>41</v>
      </c>
      <c r="G51" t="s">
        <v>41</v>
      </c>
      <c r="H51" t="s">
        <v>229</v>
      </c>
      <c r="I51" s="29">
        <v>46313.930451388886</v>
      </c>
      <c r="J51" t="s">
        <v>41</v>
      </c>
      <c r="K51" s="29">
        <v>46313.929895833331</v>
      </c>
      <c r="L51">
        <v>47</v>
      </c>
      <c r="O51" s="29">
        <v>46313.927754629629</v>
      </c>
      <c r="P51" t="s">
        <v>43</v>
      </c>
      <c r="Q51" t="s">
        <v>74</v>
      </c>
      <c r="R51" t="s">
        <v>230</v>
      </c>
      <c r="S51">
        <v>4247</v>
      </c>
      <c r="T51" t="s">
        <v>41</v>
      </c>
      <c r="U51" s="29">
        <v>46313.939189814817</v>
      </c>
      <c r="V51" s="29">
        <v>46313.938460648147</v>
      </c>
      <c r="W51" t="s">
        <v>231</v>
      </c>
      <c r="X51">
        <v>22411</v>
      </c>
      <c r="Z51">
        <v>0</v>
      </c>
      <c r="AA51" s="30">
        <v>0.9277777777777777</v>
      </c>
      <c r="AB51">
        <v>12</v>
      </c>
      <c r="AC51" t="s">
        <v>41</v>
      </c>
    </row>
    <row r="52" spans="1:29">
      <c r="A52" t="s">
        <v>190</v>
      </c>
      <c r="B52" s="29">
        <v>46313.92596064815</v>
      </c>
      <c r="C52">
        <v>291</v>
      </c>
      <c r="D52" t="s">
        <v>41</v>
      </c>
      <c r="E52">
        <v>0</v>
      </c>
      <c r="F52" t="s">
        <v>41</v>
      </c>
      <c r="G52" t="s">
        <v>41</v>
      </c>
      <c r="H52" t="s">
        <v>232</v>
      </c>
      <c r="I52" s="29">
        <v>46313.927164351851</v>
      </c>
      <c r="J52" t="s">
        <v>41</v>
      </c>
      <c r="K52" s="29">
        <v>46313.927037037036</v>
      </c>
      <c r="L52">
        <v>10</v>
      </c>
      <c r="O52" s="29">
        <v>46313.925798611112</v>
      </c>
      <c r="P52" t="s">
        <v>43</v>
      </c>
      <c r="Q52" t="s">
        <v>192</v>
      </c>
      <c r="R52" t="s">
        <v>233</v>
      </c>
      <c r="S52">
        <v>4247</v>
      </c>
      <c r="T52" t="s">
        <v>41</v>
      </c>
      <c r="U52" s="29">
        <v>46313.928495370368</v>
      </c>
      <c r="V52" s="29">
        <v>46313.927361111113</v>
      </c>
      <c r="W52" t="s">
        <v>234</v>
      </c>
      <c r="X52">
        <v>22411</v>
      </c>
      <c r="Z52">
        <v>0</v>
      </c>
      <c r="AA52" s="30">
        <v>0.92569444444444438</v>
      </c>
      <c r="AB52">
        <v>0</v>
      </c>
      <c r="AC52" t="s">
        <v>41</v>
      </c>
    </row>
    <row r="53" spans="1:29">
      <c r="A53" t="s">
        <v>235</v>
      </c>
      <c r="B53" s="29">
        <v>46313.925185185188</v>
      </c>
      <c r="C53">
        <v>1991</v>
      </c>
      <c r="D53" t="s">
        <v>41</v>
      </c>
      <c r="E53">
        <v>11</v>
      </c>
      <c r="F53" t="s">
        <v>41</v>
      </c>
      <c r="G53" t="s">
        <v>41</v>
      </c>
      <c r="H53" t="s">
        <v>236</v>
      </c>
      <c r="I53" s="29">
        <v>46313.925659722219</v>
      </c>
      <c r="J53" t="s">
        <v>41</v>
      </c>
      <c r="K53" s="29">
        <v>46313.925358796296</v>
      </c>
      <c r="L53">
        <v>25</v>
      </c>
      <c r="O53" s="29">
        <v>46313.924895833334</v>
      </c>
      <c r="P53" t="s">
        <v>43</v>
      </c>
      <c r="Q53" t="s">
        <v>3009</v>
      </c>
      <c r="R53" t="s">
        <v>238</v>
      </c>
      <c r="S53">
        <v>4247</v>
      </c>
      <c r="T53" t="s">
        <v>41</v>
      </c>
      <c r="U53" s="29">
        <v>46313.930856481478</v>
      </c>
      <c r="V53" s="29">
        <v>46313.932789351849</v>
      </c>
      <c r="W53" t="s">
        <v>239</v>
      </c>
      <c r="X53">
        <v>22411</v>
      </c>
      <c r="Z53">
        <v>0</v>
      </c>
      <c r="AA53" s="30">
        <v>0.92499999999999993</v>
      </c>
      <c r="AB53">
        <v>10</v>
      </c>
      <c r="AC53" t="s">
        <v>41</v>
      </c>
    </row>
    <row r="54" spans="1:29">
      <c r="A54" t="s">
        <v>185</v>
      </c>
      <c r="B54" s="29">
        <v>46313.922106481485</v>
      </c>
      <c r="C54">
        <v>1372</v>
      </c>
      <c r="D54" t="s">
        <v>41</v>
      </c>
      <c r="E54">
        <v>5</v>
      </c>
      <c r="F54" t="s">
        <v>41</v>
      </c>
      <c r="G54" t="s">
        <v>41</v>
      </c>
      <c r="H54" t="s">
        <v>240</v>
      </c>
      <c r="I54" s="29">
        <v>46313.923680555556</v>
      </c>
      <c r="J54" t="s">
        <v>41</v>
      </c>
      <c r="K54" s="29">
        <v>46313.923252314817</v>
      </c>
      <c r="L54">
        <v>36</v>
      </c>
      <c r="O54" s="29">
        <v>46313.921701388892</v>
      </c>
      <c r="P54" t="s">
        <v>43</v>
      </c>
      <c r="Q54" t="s">
        <v>3007</v>
      </c>
      <c r="R54" t="s">
        <v>241</v>
      </c>
      <c r="S54">
        <v>4247</v>
      </c>
      <c r="T54" t="s">
        <v>41</v>
      </c>
      <c r="U54" s="29">
        <v>46313.92696759259</v>
      </c>
      <c r="V54" s="29">
        <v>46313.926550925928</v>
      </c>
      <c r="W54" t="s">
        <v>242</v>
      </c>
      <c r="X54">
        <v>22411</v>
      </c>
      <c r="Z54">
        <v>0</v>
      </c>
      <c r="AA54" s="30">
        <v>0.92152777777777783</v>
      </c>
      <c r="AB54">
        <v>4</v>
      </c>
      <c r="AC54" t="s">
        <v>41</v>
      </c>
    </row>
    <row r="55" spans="1:29">
      <c r="A55" t="s">
        <v>82</v>
      </c>
      <c r="B55" s="29">
        <v>46313.921574074076</v>
      </c>
      <c r="C55">
        <v>1890</v>
      </c>
      <c r="D55" t="s">
        <v>41</v>
      </c>
      <c r="E55">
        <v>6</v>
      </c>
      <c r="F55" t="s">
        <v>41</v>
      </c>
      <c r="G55" t="s">
        <v>41</v>
      </c>
      <c r="H55" t="s">
        <v>243</v>
      </c>
      <c r="I55" s="29">
        <v>46313.922581018516</v>
      </c>
      <c r="J55" t="s">
        <v>41</v>
      </c>
      <c r="K55" s="29">
        <v>46313.922361111108</v>
      </c>
      <c r="L55">
        <v>18</v>
      </c>
      <c r="O55" s="29">
        <v>46313.920497685183</v>
      </c>
      <c r="P55" t="s">
        <v>43</v>
      </c>
      <c r="Q55" t="s">
        <v>84</v>
      </c>
      <c r="R55" t="s">
        <v>244</v>
      </c>
      <c r="S55">
        <v>4247</v>
      </c>
      <c r="T55" t="s">
        <v>41</v>
      </c>
      <c r="U55" s="29">
        <v>46313.926990740743</v>
      </c>
      <c r="V55" s="29">
        <v>46313.926516203705</v>
      </c>
      <c r="W55" t="s">
        <v>245</v>
      </c>
      <c r="X55">
        <v>22411</v>
      </c>
      <c r="Z55">
        <v>0</v>
      </c>
      <c r="AA55" s="30">
        <v>0.92152777777777783</v>
      </c>
      <c r="AB55">
        <v>6</v>
      </c>
      <c r="AC55" t="s">
        <v>41</v>
      </c>
    </row>
    <row r="56" spans="1:29">
      <c r="A56" t="s">
        <v>77</v>
      </c>
      <c r="B56" s="29">
        <v>46313.920266203706</v>
      </c>
      <c r="C56">
        <v>2313</v>
      </c>
      <c r="D56" t="s">
        <v>41</v>
      </c>
      <c r="E56">
        <v>6</v>
      </c>
      <c r="F56" t="s">
        <v>41</v>
      </c>
      <c r="G56" t="s">
        <v>41</v>
      </c>
      <c r="H56" t="s">
        <v>246</v>
      </c>
      <c r="I56" s="29">
        <v>46313.920590277776</v>
      </c>
      <c r="J56" t="s">
        <v>41</v>
      </c>
      <c r="K56" s="29">
        <v>46313.91978009259</v>
      </c>
      <c r="L56">
        <v>28</v>
      </c>
      <c r="O56" s="29">
        <v>46313.919004629628</v>
      </c>
      <c r="P56" t="s">
        <v>43</v>
      </c>
      <c r="Q56" t="s">
        <v>79</v>
      </c>
      <c r="R56" t="s">
        <v>247</v>
      </c>
      <c r="S56">
        <v>4247</v>
      </c>
      <c r="T56" t="s">
        <v>41</v>
      </c>
      <c r="U56" s="29">
        <v>46313.92627314815</v>
      </c>
      <c r="V56" s="29">
        <v>46313.924178240741</v>
      </c>
      <c r="W56" t="s">
        <v>248</v>
      </c>
      <c r="X56">
        <v>22411</v>
      </c>
      <c r="Z56">
        <v>0</v>
      </c>
      <c r="AA56" s="30">
        <v>0.92013888888888884</v>
      </c>
      <c r="AB56">
        <v>5</v>
      </c>
      <c r="AC56" t="s">
        <v>41</v>
      </c>
    </row>
    <row r="57" spans="1:29">
      <c r="A57" t="s">
        <v>198</v>
      </c>
      <c r="B57" s="29">
        <v>46313.919224537036</v>
      </c>
      <c r="C57">
        <v>1178</v>
      </c>
      <c r="D57" t="s">
        <v>41</v>
      </c>
      <c r="E57">
        <v>6</v>
      </c>
      <c r="F57" t="s">
        <v>41</v>
      </c>
      <c r="G57" t="s">
        <v>41</v>
      </c>
      <c r="H57" t="s">
        <v>249</v>
      </c>
      <c r="I57" s="29">
        <v>46313.919456018521</v>
      </c>
      <c r="J57" t="s">
        <v>41</v>
      </c>
      <c r="K57" s="29">
        <v>46313.918680555558</v>
      </c>
      <c r="L57">
        <v>20</v>
      </c>
      <c r="O57" s="29">
        <v>46313.917199074072</v>
      </c>
      <c r="P57" t="s">
        <v>43</v>
      </c>
      <c r="Q57" t="s">
        <v>3008</v>
      </c>
      <c r="R57" t="s">
        <v>250</v>
      </c>
      <c r="S57">
        <v>4247</v>
      </c>
      <c r="T57" t="s">
        <v>41</v>
      </c>
      <c r="U57" s="29">
        <v>46313.923020833332</v>
      </c>
      <c r="V57" s="29">
        <v>46313.923194444447</v>
      </c>
      <c r="W57" t="s">
        <v>251</v>
      </c>
      <c r="X57">
        <v>22411</v>
      </c>
      <c r="Z57">
        <v>0</v>
      </c>
      <c r="AA57" s="30">
        <v>0.91875000000000007</v>
      </c>
      <c r="AB57">
        <v>5</v>
      </c>
      <c r="AC57" t="s">
        <v>41</v>
      </c>
    </row>
    <row r="58" spans="1:29">
      <c r="A58" t="s">
        <v>157</v>
      </c>
      <c r="B58" s="29">
        <v>46313.918564814812</v>
      </c>
      <c r="C58">
        <v>918</v>
      </c>
      <c r="D58" t="s">
        <v>41</v>
      </c>
      <c r="E58">
        <v>4</v>
      </c>
      <c r="F58" t="s">
        <v>41</v>
      </c>
      <c r="G58" t="s">
        <v>41</v>
      </c>
      <c r="H58" t="s">
        <v>252</v>
      </c>
      <c r="I58" s="29">
        <v>46313.918981481482</v>
      </c>
      <c r="J58" t="s">
        <v>41</v>
      </c>
      <c r="K58" s="29">
        <v>46313.917939814812</v>
      </c>
      <c r="L58">
        <v>36</v>
      </c>
      <c r="O58" s="29">
        <v>46313.91611111111</v>
      </c>
      <c r="P58" t="s">
        <v>43</v>
      </c>
      <c r="Q58" t="s">
        <v>159</v>
      </c>
      <c r="R58" t="s">
        <v>253</v>
      </c>
      <c r="S58">
        <v>4247</v>
      </c>
      <c r="T58" t="s">
        <v>41</v>
      </c>
      <c r="U58" s="29">
        <v>46313.921759259261</v>
      </c>
      <c r="V58" s="29">
        <v>46313.921018518522</v>
      </c>
      <c r="W58" t="s">
        <v>254</v>
      </c>
      <c r="X58">
        <v>22411</v>
      </c>
      <c r="Z58">
        <v>0</v>
      </c>
      <c r="AA58" s="30">
        <v>0.91805555555555562</v>
      </c>
      <c r="AB58">
        <v>3</v>
      </c>
      <c r="AC58" t="s">
        <v>41</v>
      </c>
    </row>
    <row r="59" spans="1:29">
      <c r="A59" t="s">
        <v>47</v>
      </c>
      <c r="B59" s="29">
        <v>46313.916724537034</v>
      </c>
      <c r="C59">
        <v>2069</v>
      </c>
      <c r="D59" t="s">
        <v>41</v>
      </c>
      <c r="E59">
        <v>7</v>
      </c>
      <c r="F59" t="s">
        <v>41</v>
      </c>
      <c r="G59" t="s">
        <v>41</v>
      </c>
      <c r="H59" t="s">
        <v>255</v>
      </c>
      <c r="I59" s="29">
        <v>46313.917500000003</v>
      </c>
      <c r="J59" t="s">
        <v>41</v>
      </c>
      <c r="K59" s="29">
        <v>46313.917164351849</v>
      </c>
      <c r="L59">
        <v>28</v>
      </c>
      <c r="O59" s="29">
        <v>46313.915416666663</v>
      </c>
      <c r="P59" t="s">
        <v>43</v>
      </c>
      <c r="Q59" t="s">
        <v>49</v>
      </c>
      <c r="R59" t="s">
        <v>256</v>
      </c>
      <c r="S59">
        <v>4247</v>
      </c>
      <c r="T59" t="s">
        <v>41</v>
      </c>
      <c r="U59" s="29">
        <v>46313.922766203701</v>
      </c>
      <c r="V59" s="29">
        <v>46313.922094907408</v>
      </c>
      <c r="W59" t="s">
        <v>257</v>
      </c>
      <c r="X59">
        <v>22411</v>
      </c>
      <c r="Z59">
        <v>0</v>
      </c>
      <c r="AA59" s="30">
        <v>0.91666666666666663</v>
      </c>
      <c r="AB59">
        <v>7</v>
      </c>
      <c r="AC59" t="s">
        <v>41</v>
      </c>
    </row>
    <row r="60" spans="1:29">
      <c r="A60" t="s">
        <v>125</v>
      </c>
      <c r="B60" s="29">
        <v>46313.916446759256</v>
      </c>
      <c r="C60">
        <v>887</v>
      </c>
      <c r="D60" t="s">
        <v>41</v>
      </c>
      <c r="E60">
        <v>4</v>
      </c>
      <c r="F60" t="s">
        <v>41</v>
      </c>
      <c r="G60" t="s">
        <v>41</v>
      </c>
      <c r="H60" t="s">
        <v>258</v>
      </c>
      <c r="I60" s="29">
        <v>46313.917094907411</v>
      </c>
      <c r="J60" t="s">
        <v>41</v>
      </c>
      <c r="K60" s="29">
        <v>46313.916828703703</v>
      </c>
      <c r="L60">
        <v>22</v>
      </c>
      <c r="O60" s="29">
        <v>46313.915173611109</v>
      </c>
      <c r="P60" t="s">
        <v>43</v>
      </c>
      <c r="Q60" t="s">
        <v>3006</v>
      </c>
      <c r="R60" t="s">
        <v>259</v>
      </c>
      <c r="S60">
        <v>4247</v>
      </c>
      <c r="T60" t="s">
        <v>41</v>
      </c>
      <c r="U60" s="29">
        <v>46313.919398148151</v>
      </c>
      <c r="V60" s="29">
        <v>46313.91988425926</v>
      </c>
      <c r="W60" t="s">
        <v>260</v>
      </c>
      <c r="X60">
        <v>22411</v>
      </c>
      <c r="Z60">
        <v>0</v>
      </c>
      <c r="AA60" s="30">
        <v>0.9159722222222223</v>
      </c>
      <c r="AB60">
        <v>4</v>
      </c>
      <c r="AC60" t="s">
        <v>41</v>
      </c>
    </row>
    <row r="61" spans="1:29">
      <c r="A61" t="s">
        <v>93</v>
      </c>
      <c r="B61" s="29">
        <v>46313.916064814817</v>
      </c>
      <c r="C61">
        <v>2829</v>
      </c>
      <c r="D61" t="s">
        <v>41</v>
      </c>
      <c r="E61">
        <v>8</v>
      </c>
      <c r="F61" t="s">
        <v>41</v>
      </c>
      <c r="G61" t="s">
        <v>41</v>
      </c>
      <c r="H61" t="s">
        <v>261</v>
      </c>
      <c r="I61" s="29">
        <v>46313.916817129626</v>
      </c>
      <c r="J61" t="s">
        <v>41</v>
      </c>
      <c r="K61" s="29">
        <v>46313.916388888887</v>
      </c>
      <c r="L61">
        <v>36</v>
      </c>
      <c r="O61" s="29">
        <v>46313.914722222224</v>
      </c>
      <c r="P61" t="s">
        <v>43</v>
      </c>
      <c r="Q61" t="s">
        <v>95</v>
      </c>
      <c r="R61" t="s">
        <v>262</v>
      </c>
      <c r="S61">
        <v>4247</v>
      </c>
      <c r="T61" t="s">
        <v>41</v>
      </c>
      <c r="U61" s="29">
        <v>46313.924502314818</v>
      </c>
      <c r="V61" s="29">
        <v>46313.922060185185</v>
      </c>
      <c r="W61" t="s">
        <v>263</v>
      </c>
      <c r="X61">
        <v>22411</v>
      </c>
      <c r="Z61">
        <v>0</v>
      </c>
      <c r="AA61" s="30">
        <v>0.9159722222222223</v>
      </c>
      <c r="AB61">
        <v>8</v>
      </c>
      <c r="AC61" t="s">
        <v>41</v>
      </c>
    </row>
    <row r="62" spans="1:29">
      <c r="A62" t="s">
        <v>57</v>
      </c>
      <c r="B62" s="29">
        <v>46313.915277777778</v>
      </c>
      <c r="C62">
        <v>1552</v>
      </c>
      <c r="D62" t="s">
        <v>41</v>
      </c>
      <c r="E62">
        <v>5</v>
      </c>
      <c r="F62" t="s">
        <v>41</v>
      </c>
      <c r="G62" t="s">
        <v>41</v>
      </c>
      <c r="H62" t="s">
        <v>264</v>
      </c>
      <c r="I62" s="29">
        <v>46313.916331018518</v>
      </c>
      <c r="J62" t="s">
        <v>41</v>
      </c>
      <c r="K62" s="29">
        <v>46313.916145833333</v>
      </c>
      <c r="L62">
        <v>15</v>
      </c>
      <c r="O62" s="29">
        <v>46313.914421296293</v>
      </c>
      <c r="P62" t="s">
        <v>43</v>
      </c>
      <c r="Q62" t="s">
        <v>59</v>
      </c>
      <c r="R62" t="s">
        <v>265</v>
      </c>
      <c r="S62">
        <v>4247</v>
      </c>
      <c r="T62" t="s">
        <v>41</v>
      </c>
      <c r="U62" s="29">
        <v>46313.921631944446</v>
      </c>
      <c r="V62" s="29">
        <v>46313.919374999998</v>
      </c>
      <c r="W62" t="s">
        <v>266</v>
      </c>
      <c r="X62">
        <v>22411</v>
      </c>
      <c r="Z62">
        <v>0</v>
      </c>
      <c r="AA62" s="30">
        <v>0.9145833333333333</v>
      </c>
      <c r="AB62">
        <v>4</v>
      </c>
      <c r="AC62" t="s">
        <v>41</v>
      </c>
    </row>
    <row r="63" spans="1:29">
      <c r="A63" t="s">
        <v>98</v>
      </c>
      <c r="B63" s="29">
        <v>46313.914479166669</v>
      </c>
      <c r="C63">
        <v>4033</v>
      </c>
      <c r="D63" t="s">
        <v>41</v>
      </c>
      <c r="E63">
        <v>11</v>
      </c>
      <c r="F63" t="s">
        <v>41</v>
      </c>
      <c r="G63" t="s">
        <v>41</v>
      </c>
      <c r="H63" t="s">
        <v>267</v>
      </c>
      <c r="I63" s="29">
        <v>46313.916041666664</v>
      </c>
      <c r="J63" t="s">
        <v>41</v>
      </c>
      <c r="K63" s="29">
        <v>46313.915798611109</v>
      </c>
      <c r="L63">
        <v>20</v>
      </c>
      <c r="O63" s="29">
        <v>46313.912708333337</v>
      </c>
      <c r="P63" t="s">
        <v>43</v>
      </c>
      <c r="Q63" t="s">
        <v>3005</v>
      </c>
      <c r="R63" t="s">
        <v>268</v>
      </c>
      <c r="S63">
        <v>4247</v>
      </c>
      <c r="T63" t="s">
        <v>41</v>
      </c>
      <c r="U63" s="29">
        <v>46313.926041666666</v>
      </c>
      <c r="V63" s="29">
        <v>46313.923252314817</v>
      </c>
      <c r="W63" t="s">
        <v>269</v>
      </c>
      <c r="X63">
        <v>22411</v>
      </c>
      <c r="Z63">
        <v>0</v>
      </c>
      <c r="AA63" s="30">
        <v>0.91388888888888886</v>
      </c>
      <c r="AB63">
        <v>10</v>
      </c>
      <c r="AC63" t="s">
        <v>41</v>
      </c>
    </row>
    <row r="64" spans="1:29">
      <c r="A64" t="s">
        <v>117</v>
      </c>
      <c r="B64" s="29">
        <v>46313.91369212963</v>
      </c>
      <c r="C64">
        <v>1021</v>
      </c>
      <c r="D64" t="s">
        <v>41</v>
      </c>
      <c r="E64">
        <v>5</v>
      </c>
      <c r="F64" t="s">
        <v>41</v>
      </c>
      <c r="G64" t="s">
        <v>41</v>
      </c>
      <c r="H64" t="s">
        <v>270</v>
      </c>
      <c r="I64" s="29">
        <v>46313.915416666663</v>
      </c>
      <c r="J64" t="s">
        <v>41</v>
      </c>
      <c r="K64" s="29">
        <v>46313.915023148147</v>
      </c>
      <c r="L64">
        <v>33</v>
      </c>
      <c r="O64" s="29">
        <v>46313.912592592591</v>
      </c>
      <c r="P64" t="s">
        <v>43</v>
      </c>
      <c r="Q64" t="s">
        <v>119</v>
      </c>
      <c r="R64" t="s">
        <v>271</v>
      </c>
      <c r="S64">
        <v>4247</v>
      </c>
      <c r="T64" t="s">
        <v>41</v>
      </c>
      <c r="U64" s="29">
        <v>46313.918425925927</v>
      </c>
      <c r="V64" s="29">
        <v>46313.91846064815</v>
      </c>
      <c r="W64" t="s">
        <v>272</v>
      </c>
      <c r="X64">
        <v>22411</v>
      </c>
      <c r="Z64">
        <v>0</v>
      </c>
      <c r="AA64" s="30">
        <v>0.91319444444444453</v>
      </c>
      <c r="AB64">
        <v>4</v>
      </c>
      <c r="AC64" t="s">
        <v>41</v>
      </c>
    </row>
    <row r="65" spans="1:29">
      <c r="A65" t="s">
        <v>157</v>
      </c>
      <c r="B65" s="29">
        <v>46313.912430555552</v>
      </c>
      <c r="C65">
        <v>204</v>
      </c>
      <c r="D65" t="s">
        <v>41</v>
      </c>
      <c r="E65">
        <v>0</v>
      </c>
      <c r="F65" t="s">
        <v>41</v>
      </c>
      <c r="G65" t="s">
        <v>41</v>
      </c>
      <c r="H65" t="s">
        <v>273</v>
      </c>
      <c r="I65" s="29">
        <v>46313.913217592592</v>
      </c>
      <c r="J65" t="s">
        <v>41</v>
      </c>
      <c r="K65" s="29">
        <v>46313.912928240738</v>
      </c>
      <c r="L65">
        <v>24</v>
      </c>
      <c r="O65" s="29">
        <v>46313.912291666667</v>
      </c>
      <c r="P65" t="s">
        <v>43</v>
      </c>
      <c r="Q65" t="s">
        <v>159</v>
      </c>
      <c r="R65" t="s">
        <v>274</v>
      </c>
      <c r="S65">
        <v>4247</v>
      </c>
      <c r="T65" t="s">
        <v>41</v>
      </c>
      <c r="U65" s="29">
        <v>46313.914282407408</v>
      </c>
      <c r="V65" s="29">
        <v>46313.913240740738</v>
      </c>
      <c r="W65" t="s">
        <v>275</v>
      </c>
      <c r="X65">
        <v>22411</v>
      </c>
      <c r="Z65">
        <v>0</v>
      </c>
      <c r="AA65" s="30">
        <v>0.91180555555555554</v>
      </c>
      <c r="AB65">
        <v>0</v>
      </c>
      <c r="AC65" t="s">
        <v>41</v>
      </c>
    </row>
    <row r="66" spans="1:29">
      <c r="A66" t="s">
        <v>106</v>
      </c>
      <c r="B66" s="29">
        <v>46313.912129629629</v>
      </c>
      <c r="C66">
        <v>1877</v>
      </c>
      <c r="D66" t="s">
        <v>41</v>
      </c>
      <c r="E66">
        <v>6</v>
      </c>
      <c r="F66" t="s">
        <v>41</v>
      </c>
      <c r="G66" t="s">
        <v>41</v>
      </c>
      <c r="H66" t="s">
        <v>276</v>
      </c>
      <c r="I66" s="29">
        <v>46313.913078703707</v>
      </c>
      <c r="J66" t="s">
        <v>41</v>
      </c>
      <c r="K66" s="29">
        <v>46313.912685185183</v>
      </c>
      <c r="L66">
        <v>33</v>
      </c>
      <c r="O66" s="29">
        <v>46313.91202546296</v>
      </c>
      <c r="P66" t="s">
        <v>43</v>
      </c>
      <c r="Q66" t="s">
        <v>108</v>
      </c>
      <c r="R66" t="s">
        <v>277</v>
      </c>
      <c r="S66">
        <v>4247</v>
      </c>
      <c r="T66" t="s">
        <v>41</v>
      </c>
      <c r="U66" s="29">
        <v>46313.917662037034</v>
      </c>
      <c r="V66" s="29">
        <v>46313.916701388887</v>
      </c>
      <c r="W66" t="s">
        <v>278</v>
      </c>
      <c r="X66">
        <v>22411</v>
      </c>
      <c r="Z66">
        <v>0</v>
      </c>
      <c r="AA66" s="30">
        <v>0.91180555555555554</v>
      </c>
      <c r="AB66">
        <v>5</v>
      </c>
      <c r="AC66" t="s">
        <v>41</v>
      </c>
    </row>
    <row r="67" spans="1:29">
      <c r="A67" t="s">
        <v>77</v>
      </c>
      <c r="B67" s="29">
        <v>46313.911608796298</v>
      </c>
      <c r="C67">
        <v>266</v>
      </c>
      <c r="D67" t="s">
        <v>41</v>
      </c>
      <c r="E67">
        <v>1</v>
      </c>
      <c r="F67" t="s">
        <v>41</v>
      </c>
      <c r="G67" t="s">
        <v>41</v>
      </c>
      <c r="H67" t="s">
        <v>279</v>
      </c>
      <c r="I67" s="29">
        <v>46313.913414351853</v>
      </c>
      <c r="J67" t="s">
        <v>41</v>
      </c>
      <c r="K67" s="29">
        <v>46313.912870370368</v>
      </c>
      <c r="L67">
        <v>46</v>
      </c>
      <c r="O67" s="29">
        <v>46313.911550925928</v>
      </c>
      <c r="P67" t="s">
        <v>43</v>
      </c>
      <c r="Q67" t="s">
        <v>79</v>
      </c>
      <c r="R67" t="s">
        <v>280</v>
      </c>
      <c r="S67">
        <v>4247</v>
      </c>
      <c r="T67" t="s">
        <v>41</v>
      </c>
      <c r="U67" s="29">
        <v>46313.914930555555</v>
      </c>
      <c r="V67" s="29">
        <v>46313.913437499999</v>
      </c>
      <c r="W67" t="s">
        <v>281</v>
      </c>
      <c r="X67">
        <v>22411</v>
      </c>
      <c r="Z67">
        <v>0</v>
      </c>
      <c r="AA67" s="30">
        <v>0.91111111111111109</v>
      </c>
      <c r="AB67">
        <v>0</v>
      </c>
      <c r="AC67" t="s">
        <v>41</v>
      </c>
    </row>
    <row r="68" spans="1:29">
      <c r="A68" t="s">
        <v>125</v>
      </c>
      <c r="B68" s="29">
        <v>46313.910300925927</v>
      </c>
      <c r="C68">
        <v>240</v>
      </c>
      <c r="D68" t="s">
        <v>41</v>
      </c>
      <c r="E68">
        <v>1</v>
      </c>
      <c r="F68" t="s">
        <v>41</v>
      </c>
      <c r="G68" t="s">
        <v>41</v>
      </c>
      <c r="H68" t="s">
        <v>282</v>
      </c>
      <c r="I68" s="29">
        <v>46313.910590277781</v>
      </c>
      <c r="J68" t="s">
        <v>41</v>
      </c>
      <c r="K68" s="29">
        <v>46313.909074074072</v>
      </c>
      <c r="L68">
        <v>26</v>
      </c>
      <c r="O68" s="29">
        <v>46313.908495370371</v>
      </c>
      <c r="P68" t="s">
        <v>43</v>
      </c>
      <c r="Q68" t="s">
        <v>3006</v>
      </c>
      <c r="R68" t="s">
        <v>283</v>
      </c>
      <c r="S68">
        <v>4247</v>
      </c>
      <c r="T68" t="s">
        <v>41</v>
      </c>
      <c r="U68" s="29">
        <v>46313.911990740744</v>
      </c>
      <c r="V68" s="29">
        <v>46313.91064814815</v>
      </c>
      <c r="W68" t="s">
        <v>284</v>
      </c>
      <c r="X68">
        <v>22411</v>
      </c>
      <c r="Z68">
        <v>0</v>
      </c>
      <c r="AA68" s="30">
        <v>0.90972222222222221</v>
      </c>
      <c r="AB68">
        <v>0</v>
      </c>
      <c r="AC68" t="s">
        <v>41</v>
      </c>
    </row>
    <row r="69" spans="1:29">
      <c r="A69" t="s">
        <v>52</v>
      </c>
      <c r="B69" s="29">
        <v>46313.910057870373</v>
      </c>
      <c r="C69">
        <v>2235</v>
      </c>
      <c r="D69" t="s">
        <v>41</v>
      </c>
      <c r="E69">
        <v>7</v>
      </c>
      <c r="F69" t="s">
        <v>41</v>
      </c>
      <c r="G69" t="s">
        <v>41</v>
      </c>
      <c r="H69" t="s">
        <v>285</v>
      </c>
      <c r="I69" s="29">
        <v>46313.910520833335</v>
      </c>
      <c r="J69" t="s">
        <v>41</v>
      </c>
      <c r="K69" s="29">
        <v>46313.909942129627</v>
      </c>
      <c r="L69">
        <v>40</v>
      </c>
      <c r="O69" s="29">
        <v>46313.90792824074</v>
      </c>
      <c r="P69" t="s">
        <v>43</v>
      </c>
      <c r="Q69" t="s">
        <v>54</v>
      </c>
      <c r="R69" t="s">
        <v>286</v>
      </c>
      <c r="S69">
        <v>4247</v>
      </c>
      <c r="T69" t="s">
        <v>41</v>
      </c>
      <c r="U69" s="29">
        <v>46313.916979166665</v>
      </c>
      <c r="V69" s="29">
        <v>46313.914675925924</v>
      </c>
      <c r="W69" t="s">
        <v>287</v>
      </c>
      <c r="X69">
        <v>22411</v>
      </c>
      <c r="Z69">
        <v>0</v>
      </c>
      <c r="AA69" s="30">
        <v>0.90972222222222221</v>
      </c>
      <c r="AB69">
        <v>6</v>
      </c>
      <c r="AC69" t="s">
        <v>41</v>
      </c>
    </row>
    <row r="70" spans="1:29">
      <c r="A70" t="s">
        <v>185</v>
      </c>
      <c r="B70" s="29">
        <v>46313.909409722219</v>
      </c>
      <c r="C70">
        <v>1751</v>
      </c>
      <c r="D70" t="s">
        <v>41</v>
      </c>
      <c r="E70">
        <v>7</v>
      </c>
      <c r="F70" t="s">
        <v>41</v>
      </c>
      <c r="G70" t="s">
        <v>41</v>
      </c>
      <c r="H70" t="s">
        <v>288</v>
      </c>
      <c r="I70" s="29">
        <v>46313.909907407404</v>
      </c>
      <c r="J70" t="s">
        <v>41</v>
      </c>
      <c r="K70" s="29">
        <v>46313.908483796295</v>
      </c>
      <c r="L70">
        <v>43</v>
      </c>
      <c r="O70" s="29">
        <v>46313.90724537037</v>
      </c>
      <c r="P70" t="s">
        <v>43</v>
      </c>
      <c r="Q70" t="s">
        <v>3007</v>
      </c>
      <c r="R70" t="s">
        <v>289</v>
      </c>
      <c r="S70">
        <v>4247</v>
      </c>
      <c r="T70" t="s">
        <v>41</v>
      </c>
      <c r="U70" s="29">
        <v>46313.913900462961</v>
      </c>
      <c r="V70" s="29">
        <v>46313.914479166669</v>
      </c>
      <c r="W70" t="s">
        <v>290</v>
      </c>
      <c r="X70">
        <v>22411</v>
      </c>
      <c r="Z70">
        <v>0</v>
      </c>
      <c r="AA70" s="30">
        <v>0.90902777777777777</v>
      </c>
      <c r="AB70">
        <v>7</v>
      </c>
      <c r="AC70" t="s">
        <v>41</v>
      </c>
    </row>
    <row r="71" spans="1:29">
      <c r="A71" t="s">
        <v>235</v>
      </c>
      <c r="B71" s="29">
        <v>46313.909282407411</v>
      </c>
      <c r="C71">
        <v>1252</v>
      </c>
      <c r="D71" t="s">
        <v>41</v>
      </c>
      <c r="E71">
        <v>9</v>
      </c>
      <c r="F71" t="s">
        <v>41</v>
      </c>
      <c r="G71" t="s">
        <v>41</v>
      </c>
      <c r="H71" t="s">
        <v>291</v>
      </c>
      <c r="I71" s="29">
        <v>46313.909675925926</v>
      </c>
      <c r="J71" t="s">
        <v>41</v>
      </c>
      <c r="K71" s="29">
        <v>46313.909166666665</v>
      </c>
      <c r="L71">
        <v>34</v>
      </c>
      <c r="O71" s="29">
        <v>46313.906388888892</v>
      </c>
      <c r="P71" t="s">
        <v>43</v>
      </c>
      <c r="Q71" t="s">
        <v>3009</v>
      </c>
      <c r="R71" t="s">
        <v>292</v>
      </c>
      <c r="S71">
        <v>4247</v>
      </c>
      <c r="T71" t="s">
        <v>41</v>
      </c>
      <c r="U71" s="29">
        <v>46313.913738425923</v>
      </c>
      <c r="V71" s="29">
        <v>46313.915543981479</v>
      </c>
      <c r="W71" t="s">
        <v>293</v>
      </c>
      <c r="X71">
        <v>22411</v>
      </c>
      <c r="Z71">
        <v>0</v>
      </c>
      <c r="AA71" s="30">
        <v>0.90902777777777777</v>
      </c>
      <c r="AB71">
        <v>8</v>
      </c>
      <c r="AC71" t="s">
        <v>41</v>
      </c>
    </row>
    <row r="72" spans="1:29">
      <c r="A72" t="s">
        <v>47</v>
      </c>
      <c r="B72" s="29">
        <v>46313.908993055556</v>
      </c>
      <c r="C72">
        <v>1210</v>
      </c>
      <c r="D72" t="s">
        <v>41</v>
      </c>
      <c r="E72">
        <v>4</v>
      </c>
      <c r="F72" t="s">
        <v>41</v>
      </c>
      <c r="G72" t="s">
        <v>41</v>
      </c>
      <c r="H72" t="s">
        <v>294</v>
      </c>
      <c r="I72" s="29">
        <v>46313.909282407411</v>
      </c>
      <c r="J72" t="s">
        <v>41</v>
      </c>
      <c r="K72" s="29">
        <v>46313.90724537037</v>
      </c>
      <c r="L72">
        <v>25</v>
      </c>
      <c r="O72" s="29">
        <v>46313.906053240738</v>
      </c>
      <c r="P72" t="s">
        <v>43</v>
      </c>
      <c r="Q72" t="s">
        <v>49</v>
      </c>
      <c r="R72" t="s">
        <v>295</v>
      </c>
      <c r="S72">
        <v>4247</v>
      </c>
      <c r="T72" t="s">
        <v>41</v>
      </c>
      <c r="U72" s="29">
        <v>46313.912222222221</v>
      </c>
      <c r="V72" s="29">
        <v>46313.911585648151</v>
      </c>
      <c r="W72" t="s">
        <v>296</v>
      </c>
      <c r="X72">
        <v>22411</v>
      </c>
      <c r="Z72">
        <v>0</v>
      </c>
      <c r="AA72" s="30">
        <v>0.90833333333333333</v>
      </c>
      <c r="AB72">
        <v>3</v>
      </c>
      <c r="AC72" t="s">
        <v>41</v>
      </c>
    </row>
    <row r="73" spans="1:29">
      <c r="A73" t="s">
        <v>117</v>
      </c>
      <c r="B73" s="29">
        <v>46313.908865740741</v>
      </c>
      <c r="C73">
        <v>288</v>
      </c>
      <c r="D73" t="s">
        <v>41</v>
      </c>
      <c r="E73">
        <v>0</v>
      </c>
      <c r="F73" t="s">
        <v>41</v>
      </c>
      <c r="G73" t="s">
        <v>41</v>
      </c>
      <c r="H73" t="s">
        <v>297</v>
      </c>
      <c r="I73" s="29">
        <v>46313.909166666665</v>
      </c>
      <c r="J73" t="s">
        <v>41</v>
      </c>
      <c r="K73" s="29">
        <v>46313.906678240739</v>
      </c>
      <c r="L73">
        <v>26</v>
      </c>
      <c r="O73" s="29">
        <v>46313.90556712963</v>
      </c>
      <c r="P73" t="s">
        <v>43</v>
      </c>
      <c r="Q73" t="s">
        <v>119</v>
      </c>
      <c r="R73" t="s">
        <v>298</v>
      </c>
      <c r="S73">
        <v>4247</v>
      </c>
      <c r="T73" t="s">
        <v>41</v>
      </c>
      <c r="U73" s="29">
        <v>46313.910567129627</v>
      </c>
      <c r="V73" s="29">
        <v>46313.909201388888</v>
      </c>
      <c r="W73" t="s">
        <v>299</v>
      </c>
      <c r="X73">
        <v>22411</v>
      </c>
      <c r="Z73">
        <v>0</v>
      </c>
      <c r="AA73" s="30">
        <v>0.90833333333333333</v>
      </c>
      <c r="AB73">
        <v>0</v>
      </c>
      <c r="AC73" t="s">
        <v>41</v>
      </c>
    </row>
    <row r="74" spans="1:29">
      <c r="A74" t="s">
        <v>190</v>
      </c>
      <c r="B74" s="29">
        <v>46313.908379629633</v>
      </c>
      <c r="C74">
        <v>1941</v>
      </c>
      <c r="D74" t="s">
        <v>41</v>
      </c>
      <c r="E74">
        <v>9</v>
      </c>
      <c r="F74" t="s">
        <v>41</v>
      </c>
      <c r="G74" t="s">
        <v>41</v>
      </c>
      <c r="H74" t="s">
        <v>300</v>
      </c>
      <c r="I74" s="29">
        <v>46313.908726851849</v>
      </c>
      <c r="J74" t="s">
        <v>41</v>
      </c>
      <c r="K74" s="29">
        <v>46313.905891203707</v>
      </c>
      <c r="L74">
        <v>30</v>
      </c>
      <c r="O74" s="29">
        <v>46313.905162037037</v>
      </c>
      <c r="P74" t="s">
        <v>43</v>
      </c>
      <c r="Q74" t="s">
        <v>192</v>
      </c>
      <c r="R74" t="s">
        <v>301</v>
      </c>
      <c r="S74">
        <v>4247</v>
      </c>
      <c r="T74" t="s">
        <v>41</v>
      </c>
      <c r="U74" s="29">
        <v>46313.913564814815</v>
      </c>
      <c r="V74" s="29">
        <v>46313.914293981485</v>
      </c>
      <c r="W74" t="s">
        <v>302</v>
      </c>
      <c r="X74">
        <v>22411</v>
      </c>
      <c r="Z74">
        <v>0</v>
      </c>
      <c r="AA74" s="30">
        <v>0.90833333333333333</v>
      </c>
      <c r="AB74">
        <v>8</v>
      </c>
      <c r="AC74" t="s">
        <v>41</v>
      </c>
    </row>
    <row r="75" spans="1:29">
      <c r="A75" t="s">
        <v>303</v>
      </c>
      <c r="B75" s="29">
        <v>46313.907696759263</v>
      </c>
      <c r="C75">
        <v>2111</v>
      </c>
      <c r="D75" t="s">
        <v>41</v>
      </c>
      <c r="E75">
        <v>7</v>
      </c>
      <c r="F75" t="s">
        <v>41</v>
      </c>
      <c r="G75" t="s">
        <v>41</v>
      </c>
      <c r="H75" t="s">
        <v>304</v>
      </c>
      <c r="I75" s="29">
        <v>46313.907962962963</v>
      </c>
      <c r="J75" t="s">
        <v>41</v>
      </c>
      <c r="K75" s="29">
        <v>46313.903240740743</v>
      </c>
      <c r="L75">
        <v>23</v>
      </c>
      <c r="O75" s="29">
        <v>46313.902129629627</v>
      </c>
      <c r="P75" t="s">
        <v>43</v>
      </c>
      <c r="Q75" t="s">
        <v>305</v>
      </c>
      <c r="R75" t="s">
        <v>306</v>
      </c>
      <c r="S75">
        <v>4247</v>
      </c>
      <c r="T75" t="s">
        <v>41</v>
      </c>
      <c r="U75" s="29">
        <v>46313.912754629629</v>
      </c>
      <c r="V75" s="29">
        <v>46313.912453703706</v>
      </c>
      <c r="W75" t="s">
        <v>307</v>
      </c>
      <c r="X75">
        <v>22411</v>
      </c>
      <c r="Z75">
        <v>0</v>
      </c>
      <c r="AA75" s="30">
        <v>0.90763888888888899</v>
      </c>
      <c r="AB75">
        <v>6</v>
      </c>
      <c r="AC75" t="s">
        <v>41</v>
      </c>
    </row>
    <row r="76" spans="1:29">
      <c r="A76" t="s">
        <v>93</v>
      </c>
      <c r="B76" s="29">
        <v>46313.907326388886</v>
      </c>
      <c r="C76">
        <v>1880</v>
      </c>
      <c r="D76" t="s">
        <v>41</v>
      </c>
      <c r="E76">
        <v>6</v>
      </c>
      <c r="F76" t="s">
        <v>41</v>
      </c>
      <c r="G76" t="s">
        <v>41</v>
      </c>
      <c r="H76" t="s">
        <v>308</v>
      </c>
      <c r="I76" s="29">
        <v>46313.907581018517</v>
      </c>
      <c r="J76" t="s">
        <v>41</v>
      </c>
      <c r="K76" s="29">
        <v>46313.904074074075</v>
      </c>
      <c r="L76">
        <v>22</v>
      </c>
      <c r="O76" s="29">
        <v>46313.901365740741</v>
      </c>
      <c r="P76" t="s">
        <v>43</v>
      </c>
      <c r="Q76" t="s">
        <v>95</v>
      </c>
      <c r="R76" t="s">
        <v>309</v>
      </c>
      <c r="S76">
        <v>4247</v>
      </c>
      <c r="T76" t="s">
        <v>41</v>
      </c>
      <c r="U76" s="29">
        <v>46313.912268518521</v>
      </c>
      <c r="V76" s="29">
        <v>46313.911527777775</v>
      </c>
      <c r="W76" t="s">
        <v>310</v>
      </c>
      <c r="X76">
        <v>22411</v>
      </c>
      <c r="Z76">
        <v>0</v>
      </c>
      <c r="AA76" s="30">
        <v>0.90694444444444444</v>
      </c>
      <c r="AB76">
        <v>6</v>
      </c>
      <c r="AC76" t="s">
        <v>41</v>
      </c>
    </row>
    <row r="77" spans="1:29">
      <c r="A77" t="s">
        <v>157</v>
      </c>
      <c r="B77" s="29">
        <v>46313.906342592592</v>
      </c>
      <c r="C77">
        <v>440</v>
      </c>
      <c r="D77" t="s">
        <v>41</v>
      </c>
      <c r="E77">
        <v>2</v>
      </c>
      <c r="F77" t="s">
        <v>41</v>
      </c>
      <c r="G77" t="s">
        <v>41</v>
      </c>
      <c r="H77" t="s">
        <v>311</v>
      </c>
      <c r="I77" s="29">
        <v>46313.906724537039</v>
      </c>
      <c r="J77" t="s">
        <v>41</v>
      </c>
      <c r="K77" s="29">
        <v>46313.901666666665</v>
      </c>
      <c r="L77">
        <v>33</v>
      </c>
      <c r="O77" s="29">
        <v>46313.900833333333</v>
      </c>
      <c r="P77" t="s">
        <v>43</v>
      </c>
      <c r="Q77" t="s">
        <v>159</v>
      </c>
      <c r="R77" t="s">
        <v>312</v>
      </c>
      <c r="S77">
        <v>4247</v>
      </c>
      <c r="T77" t="s">
        <v>41</v>
      </c>
      <c r="U77" s="29">
        <v>46313.908865740741</v>
      </c>
      <c r="V77" s="29">
        <v>46313.90766203704</v>
      </c>
      <c r="W77" t="s">
        <v>313</v>
      </c>
      <c r="X77">
        <v>22411</v>
      </c>
      <c r="Z77">
        <v>0</v>
      </c>
      <c r="AA77" s="30">
        <v>0.90625</v>
      </c>
      <c r="AB77">
        <v>1</v>
      </c>
      <c r="AC77" t="s">
        <v>41</v>
      </c>
    </row>
    <row r="78" spans="1:29">
      <c r="A78" t="s">
        <v>82</v>
      </c>
      <c r="B78" s="29">
        <v>46313.905011574076</v>
      </c>
      <c r="C78">
        <v>2133</v>
      </c>
      <c r="D78" t="s">
        <v>41</v>
      </c>
      <c r="E78">
        <v>7</v>
      </c>
      <c r="F78" t="s">
        <v>41</v>
      </c>
      <c r="G78" t="s">
        <v>41</v>
      </c>
      <c r="H78" t="s">
        <v>314</v>
      </c>
      <c r="I78" s="29">
        <v>46313.905219907407</v>
      </c>
      <c r="J78" t="s">
        <v>41</v>
      </c>
      <c r="K78" s="29">
        <v>46313.901250000003</v>
      </c>
      <c r="L78">
        <v>19</v>
      </c>
      <c r="O78" s="29">
        <v>46313.900659722225</v>
      </c>
      <c r="P78" t="s">
        <v>315</v>
      </c>
      <c r="Q78" t="s">
        <v>84</v>
      </c>
      <c r="R78" t="s">
        <v>316</v>
      </c>
      <c r="S78">
        <v>4247</v>
      </c>
      <c r="T78" t="s">
        <v>41</v>
      </c>
      <c r="U78" s="29">
        <v>46313.910439814812</v>
      </c>
      <c r="V78" s="29">
        <v>46313.909942129627</v>
      </c>
      <c r="W78" t="s">
        <v>317</v>
      </c>
      <c r="X78">
        <v>22411</v>
      </c>
      <c r="Y78" s="29">
        <v>46313.915810185186</v>
      </c>
      <c r="Z78">
        <v>0</v>
      </c>
      <c r="AA78" s="30">
        <v>0.90486111111111101</v>
      </c>
      <c r="AB78">
        <v>7</v>
      </c>
      <c r="AC78" t="s">
        <v>41</v>
      </c>
    </row>
    <row r="79" spans="1:29">
      <c r="A79" t="s">
        <v>177</v>
      </c>
      <c r="B79" s="29">
        <v>46313.905057870368</v>
      </c>
      <c r="C79">
        <v>1034</v>
      </c>
      <c r="D79" t="s">
        <v>41</v>
      </c>
      <c r="E79">
        <v>4</v>
      </c>
      <c r="F79" t="s">
        <v>41</v>
      </c>
      <c r="G79" t="s">
        <v>41</v>
      </c>
      <c r="H79" t="s">
        <v>318</v>
      </c>
      <c r="I79" s="29">
        <v>46313.905358796299</v>
      </c>
      <c r="J79" t="s">
        <v>41</v>
      </c>
      <c r="K79" s="29">
        <v>46313.900775462964</v>
      </c>
      <c r="L79">
        <v>26</v>
      </c>
      <c r="O79" s="29">
        <v>46313.900289351855</v>
      </c>
      <c r="P79" t="s">
        <v>43</v>
      </c>
      <c r="Q79" t="s">
        <v>179</v>
      </c>
      <c r="R79" t="s">
        <v>319</v>
      </c>
      <c r="S79">
        <v>4247</v>
      </c>
      <c r="T79" t="s">
        <v>41</v>
      </c>
      <c r="U79" s="29">
        <v>46313.908136574071</v>
      </c>
      <c r="V79" s="29">
        <v>46313.907731481479</v>
      </c>
      <c r="W79" t="s">
        <v>320</v>
      </c>
      <c r="X79">
        <v>22411</v>
      </c>
      <c r="Z79">
        <v>0</v>
      </c>
      <c r="AA79" s="30">
        <v>0.90486111111111101</v>
      </c>
      <c r="AB79">
        <v>3</v>
      </c>
      <c r="AC79" t="s">
        <v>41</v>
      </c>
    </row>
    <row r="80" spans="1:29">
      <c r="A80" t="s">
        <v>57</v>
      </c>
      <c r="B80" s="29">
        <v>46313.904583333337</v>
      </c>
      <c r="C80">
        <v>1097</v>
      </c>
      <c r="D80" t="s">
        <v>41</v>
      </c>
      <c r="E80">
        <v>3</v>
      </c>
      <c r="F80" t="s">
        <v>41</v>
      </c>
      <c r="G80" t="s">
        <v>41</v>
      </c>
      <c r="H80" t="s">
        <v>321</v>
      </c>
      <c r="I80" s="29">
        <v>46313.904756944445</v>
      </c>
      <c r="J80" t="s">
        <v>41</v>
      </c>
      <c r="K80" s="29">
        <v>46313.900659722225</v>
      </c>
      <c r="L80">
        <v>15</v>
      </c>
      <c r="O80" s="29">
        <v>46313.899687500001</v>
      </c>
      <c r="P80" t="s">
        <v>43</v>
      </c>
      <c r="Q80" t="s">
        <v>59</v>
      </c>
      <c r="R80" t="s">
        <v>322</v>
      </c>
      <c r="S80">
        <v>4247</v>
      </c>
      <c r="T80" t="s">
        <v>41</v>
      </c>
      <c r="U80" s="29">
        <v>46313.907476851855</v>
      </c>
      <c r="V80" s="29">
        <v>46313.906828703701</v>
      </c>
      <c r="W80" t="s">
        <v>323</v>
      </c>
      <c r="X80">
        <v>22411</v>
      </c>
      <c r="Z80">
        <v>0</v>
      </c>
      <c r="AA80" s="30">
        <v>0.90416666666666667</v>
      </c>
      <c r="AB80">
        <v>3</v>
      </c>
      <c r="AC80" t="s">
        <v>41</v>
      </c>
    </row>
    <row r="81" spans="1:29">
      <c r="A81" t="s">
        <v>47</v>
      </c>
      <c r="B81" s="29">
        <v>46313.903738425928</v>
      </c>
      <c r="C81">
        <v>136</v>
      </c>
      <c r="D81" t="s">
        <v>41</v>
      </c>
      <c r="E81">
        <v>0</v>
      </c>
      <c r="F81" t="s">
        <v>41</v>
      </c>
      <c r="G81" t="s">
        <v>41</v>
      </c>
      <c r="H81" t="s">
        <v>324</v>
      </c>
      <c r="I81" s="29">
        <v>46313.903854166667</v>
      </c>
      <c r="J81" t="s">
        <v>41</v>
      </c>
      <c r="K81" s="29">
        <v>46313.900023148148</v>
      </c>
      <c r="L81">
        <v>10</v>
      </c>
      <c r="O81" s="29">
        <v>46313.899305555555</v>
      </c>
      <c r="P81" t="s">
        <v>43</v>
      </c>
      <c r="Q81" t="s">
        <v>49</v>
      </c>
      <c r="R81" t="s">
        <v>325</v>
      </c>
      <c r="S81">
        <v>4247</v>
      </c>
      <c r="T81" t="s">
        <v>41</v>
      </c>
      <c r="U81" s="29">
        <v>46313.904814814814</v>
      </c>
      <c r="V81" s="29">
        <v>46313.903912037036</v>
      </c>
      <c r="W81" t="s">
        <v>326</v>
      </c>
      <c r="X81">
        <v>22411</v>
      </c>
      <c r="Z81">
        <v>0</v>
      </c>
      <c r="AA81" s="30">
        <v>0.90347222222222223</v>
      </c>
      <c r="AB81">
        <v>0</v>
      </c>
      <c r="AC81" t="s">
        <v>41</v>
      </c>
    </row>
    <row r="82" spans="1:29">
      <c r="A82" t="s">
        <v>77</v>
      </c>
      <c r="B82" s="29">
        <v>46313.903437499997</v>
      </c>
      <c r="C82">
        <v>852</v>
      </c>
      <c r="D82" t="s">
        <v>41</v>
      </c>
      <c r="E82">
        <v>3</v>
      </c>
      <c r="F82" t="s">
        <v>41</v>
      </c>
      <c r="G82" t="s">
        <v>41</v>
      </c>
      <c r="H82" t="s">
        <v>327</v>
      </c>
      <c r="I82" s="29">
        <v>46313.903703703705</v>
      </c>
      <c r="J82" t="s">
        <v>41</v>
      </c>
      <c r="K82" s="29">
        <v>46313.898900462962</v>
      </c>
      <c r="L82">
        <v>24</v>
      </c>
      <c r="O82" s="29">
        <v>46313.898449074077</v>
      </c>
      <c r="P82" t="s">
        <v>43</v>
      </c>
      <c r="Q82" t="s">
        <v>79</v>
      </c>
      <c r="R82" t="s">
        <v>328</v>
      </c>
      <c r="S82">
        <v>4247</v>
      </c>
      <c r="T82" t="s">
        <v>41</v>
      </c>
      <c r="U82" s="29">
        <v>46313.906504629631</v>
      </c>
      <c r="V82" s="29">
        <v>46313.905798611115</v>
      </c>
      <c r="W82" t="s">
        <v>329</v>
      </c>
      <c r="X82">
        <v>22411</v>
      </c>
      <c r="Z82">
        <v>0</v>
      </c>
      <c r="AA82" s="30">
        <v>0.90277777777777779</v>
      </c>
      <c r="AB82">
        <v>3</v>
      </c>
      <c r="AC82" t="s">
        <v>41</v>
      </c>
    </row>
    <row r="83" spans="1:29">
      <c r="A83" t="s">
        <v>67</v>
      </c>
      <c r="B83" s="29">
        <v>46313.902245370373</v>
      </c>
      <c r="C83">
        <v>1998</v>
      </c>
      <c r="D83" t="s">
        <v>41</v>
      </c>
      <c r="E83">
        <v>8</v>
      </c>
      <c r="F83" t="s">
        <v>41</v>
      </c>
      <c r="G83" t="s">
        <v>41</v>
      </c>
      <c r="H83" t="s">
        <v>330</v>
      </c>
      <c r="I83" s="29">
        <v>46313.902604166666</v>
      </c>
      <c r="J83" t="s">
        <v>41</v>
      </c>
      <c r="K83" s="29">
        <v>46313.898159722223</v>
      </c>
      <c r="L83">
        <v>31</v>
      </c>
      <c r="O83" s="29">
        <v>46313.897141203706</v>
      </c>
      <c r="P83" t="s">
        <v>43</v>
      </c>
      <c r="Q83" t="s">
        <v>69</v>
      </c>
      <c r="R83" t="s">
        <v>331</v>
      </c>
      <c r="S83">
        <v>4247</v>
      </c>
      <c r="T83" t="s">
        <v>41</v>
      </c>
      <c r="U83" s="29">
        <v>46313.908067129632</v>
      </c>
      <c r="V83" s="29">
        <v>46313.907534722224</v>
      </c>
      <c r="W83" t="s">
        <v>332</v>
      </c>
      <c r="X83">
        <v>22411</v>
      </c>
      <c r="Z83">
        <v>0</v>
      </c>
      <c r="AA83" s="30">
        <v>0.90208333333333324</v>
      </c>
      <c r="AB83">
        <v>7</v>
      </c>
      <c r="AC83" t="s">
        <v>41</v>
      </c>
    </row>
    <row r="84" spans="1:29">
      <c r="A84" t="s">
        <v>72</v>
      </c>
      <c r="B84" s="29">
        <v>46313.902118055557</v>
      </c>
      <c r="C84">
        <v>2119</v>
      </c>
      <c r="D84" t="s">
        <v>41</v>
      </c>
      <c r="E84">
        <v>6</v>
      </c>
      <c r="F84" t="s">
        <v>41</v>
      </c>
      <c r="G84" t="s">
        <v>41</v>
      </c>
      <c r="H84" t="s">
        <v>333</v>
      </c>
      <c r="I84" s="29">
        <v>46313.90247685185</v>
      </c>
      <c r="J84" t="s">
        <v>41</v>
      </c>
      <c r="K84" s="29">
        <v>46313.896631944444</v>
      </c>
      <c r="L84">
        <v>31</v>
      </c>
      <c r="O84" s="29">
        <v>46313.895752314813</v>
      </c>
      <c r="P84" t="s">
        <v>43</v>
      </c>
      <c r="Q84" t="s">
        <v>74</v>
      </c>
      <c r="R84" t="s">
        <v>334</v>
      </c>
      <c r="S84">
        <v>4247</v>
      </c>
      <c r="T84" t="s">
        <v>41</v>
      </c>
      <c r="U84" s="29">
        <v>46313.90902777778</v>
      </c>
      <c r="V84" s="29">
        <v>46313.906261574077</v>
      </c>
      <c r="W84" t="s">
        <v>335</v>
      </c>
      <c r="X84">
        <v>22411</v>
      </c>
      <c r="Z84">
        <v>0</v>
      </c>
      <c r="AA84" s="30">
        <v>0.90208333333333324</v>
      </c>
      <c r="AB84">
        <v>5</v>
      </c>
      <c r="AC84" t="s">
        <v>41</v>
      </c>
    </row>
    <row r="85" spans="1:29">
      <c r="A85" t="s">
        <v>40</v>
      </c>
      <c r="B85" s="29">
        <v>46313.901064814818</v>
      </c>
      <c r="C85">
        <v>3697</v>
      </c>
      <c r="D85" t="s">
        <v>41</v>
      </c>
      <c r="E85">
        <v>9</v>
      </c>
      <c r="F85" t="s">
        <v>41</v>
      </c>
      <c r="G85" t="s">
        <v>41</v>
      </c>
      <c r="H85" t="s">
        <v>336</v>
      </c>
      <c r="I85" s="29">
        <v>46313.901388888888</v>
      </c>
      <c r="J85" t="s">
        <v>41</v>
      </c>
      <c r="K85" s="29">
        <v>46313.895844907405</v>
      </c>
      <c r="L85">
        <v>28</v>
      </c>
      <c r="O85" s="29">
        <v>46313.895185185182</v>
      </c>
      <c r="P85" t="s">
        <v>43</v>
      </c>
      <c r="Q85" t="s">
        <v>44</v>
      </c>
      <c r="R85" t="s">
        <v>337</v>
      </c>
      <c r="S85">
        <v>4247</v>
      </c>
      <c r="T85" t="s">
        <v>41</v>
      </c>
      <c r="U85" s="29">
        <v>46313.910162037035</v>
      </c>
      <c r="V85" s="29">
        <v>46313.907083333332</v>
      </c>
      <c r="W85" t="s">
        <v>338</v>
      </c>
      <c r="X85">
        <v>22411</v>
      </c>
      <c r="Z85">
        <v>0</v>
      </c>
      <c r="AA85" s="30">
        <v>0.90069444444444446</v>
      </c>
      <c r="AB85">
        <v>8</v>
      </c>
      <c r="AC85" t="s">
        <v>41</v>
      </c>
    </row>
    <row r="86" spans="1:29">
      <c r="A86" t="s">
        <v>339</v>
      </c>
      <c r="B86" s="29">
        <v>46313.901053240741</v>
      </c>
      <c r="C86">
        <v>837</v>
      </c>
      <c r="D86" t="s">
        <v>41</v>
      </c>
      <c r="E86">
        <v>4</v>
      </c>
      <c r="F86" t="s">
        <v>41</v>
      </c>
      <c r="G86" t="s">
        <v>41</v>
      </c>
      <c r="H86" t="s">
        <v>340</v>
      </c>
      <c r="I86" s="29">
        <v>46313.901388888888</v>
      </c>
      <c r="J86" t="s">
        <v>41</v>
      </c>
      <c r="K86" s="29">
        <v>46313.896458333336</v>
      </c>
      <c r="L86">
        <v>29</v>
      </c>
      <c r="O86" s="29">
        <v>46313.894942129627</v>
      </c>
      <c r="P86" t="s">
        <v>43</v>
      </c>
      <c r="Q86" t="s">
        <v>341</v>
      </c>
      <c r="R86" t="s">
        <v>342</v>
      </c>
      <c r="S86">
        <v>4247</v>
      </c>
      <c r="T86" t="s">
        <v>41</v>
      </c>
      <c r="U86" s="29">
        <v>46313.904074074075</v>
      </c>
      <c r="V86" s="29">
        <v>46313.903541666667</v>
      </c>
      <c r="W86" t="s">
        <v>343</v>
      </c>
      <c r="X86">
        <v>22411</v>
      </c>
      <c r="Z86">
        <v>0</v>
      </c>
      <c r="AA86" s="30">
        <v>0.90069444444444446</v>
      </c>
      <c r="AB86">
        <v>3</v>
      </c>
      <c r="AC86" t="s">
        <v>41</v>
      </c>
    </row>
    <row r="87" spans="1:29">
      <c r="A87" t="s">
        <v>106</v>
      </c>
      <c r="B87" s="29">
        <v>46313.900682870371</v>
      </c>
      <c r="C87">
        <v>1250</v>
      </c>
      <c r="D87" t="s">
        <v>41</v>
      </c>
      <c r="E87">
        <v>6</v>
      </c>
      <c r="F87" t="s">
        <v>41</v>
      </c>
      <c r="G87" t="s">
        <v>41</v>
      </c>
      <c r="H87" t="s">
        <v>344</v>
      </c>
      <c r="I87" s="29">
        <v>46313.900949074072</v>
      </c>
      <c r="J87" t="s">
        <v>41</v>
      </c>
      <c r="K87" s="29">
        <v>46313.895428240743</v>
      </c>
      <c r="L87">
        <v>23</v>
      </c>
      <c r="O87" s="29">
        <v>46313.89466435185</v>
      </c>
      <c r="P87" t="s">
        <v>43</v>
      </c>
      <c r="Q87" t="s">
        <v>108</v>
      </c>
      <c r="R87" t="s">
        <v>345</v>
      </c>
      <c r="S87">
        <v>4247</v>
      </c>
      <c r="T87" t="s">
        <v>41</v>
      </c>
      <c r="U87" s="29">
        <v>46313.905243055553</v>
      </c>
      <c r="V87" s="29">
        <v>46313.904629629629</v>
      </c>
      <c r="W87" t="s">
        <v>346</v>
      </c>
      <c r="X87">
        <v>22411</v>
      </c>
      <c r="Z87">
        <v>0</v>
      </c>
      <c r="AA87" s="30">
        <v>0.9</v>
      </c>
      <c r="AB87">
        <v>5</v>
      </c>
      <c r="AC87" t="s">
        <v>41</v>
      </c>
    </row>
    <row r="88" spans="1:29">
      <c r="A88" t="s">
        <v>347</v>
      </c>
      <c r="B88" s="29">
        <v>46313.9</v>
      </c>
      <c r="C88">
        <v>2735</v>
      </c>
      <c r="D88" t="s">
        <v>41</v>
      </c>
      <c r="E88">
        <v>8</v>
      </c>
      <c r="F88" t="s">
        <v>41</v>
      </c>
      <c r="G88" t="s">
        <v>41</v>
      </c>
      <c r="H88" t="s">
        <v>348</v>
      </c>
      <c r="I88" s="29">
        <v>46313.900185185186</v>
      </c>
      <c r="J88" t="s">
        <v>41</v>
      </c>
      <c r="K88" s="29">
        <v>46313.894872685189</v>
      </c>
      <c r="L88">
        <v>16</v>
      </c>
      <c r="O88" s="29">
        <v>46313.894074074073</v>
      </c>
      <c r="P88" t="s">
        <v>43</v>
      </c>
      <c r="Q88" t="s">
        <v>349</v>
      </c>
      <c r="R88" t="s">
        <v>350</v>
      </c>
      <c r="S88">
        <v>4247</v>
      </c>
      <c r="T88" t="s">
        <v>41</v>
      </c>
      <c r="U88" s="29">
        <v>46313.907592592594</v>
      </c>
      <c r="V88" s="29">
        <v>46313.905659722222</v>
      </c>
      <c r="W88" t="s">
        <v>351</v>
      </c>
      <c r="X88">
        <v>22411</v>
      </c>
      <c r="Z88">
        <v>0</v>
      </c>
      <c r="AA88" s="30">
        <v>0.9</v>
      </c>
      <c r="AB88">
        <v>8</v>
      </c>
      <c r="AC88" t="s">
        <v>41</v>
      </c>
    </row>
    <row r="89" spans="1:29">
      <c r="A89" t="s">
        <v>209</v>
      </c>
      <c r="B89" s="29">
        <v>46313.899363425924</v>
      </c>
      <c r="C89">
        <v>2429</v>
      </c>
      <c r="D89" t="s">
        <v>41</v>
      </c>
      <c r="E89">
        <v>11</v>
      </c>
      <c r="F89" t="s">
        <v>41</v>
      </c>
      <c r="G89" t="s">
        <v>41</v>
      </c>
      <c r="H89" t="s">
        <v>352</v>
      </c>
      <c r="I89" s="29">
        <v>46313.899699074071</v>
      </c>
      <c r="J89" t="s">
        <v>41</v>
      </c>
      <c r="K89" s="29">
        <v>46313.895682870374</v>
      </c>
      <c r="L89">
        <v>29</v>
      </c>
      <c r="O89" s="29">
        <v>46313.893634259257</v>
      </c>
      <c r="P89" t="s">
        <v>43</v>
      </c>
      <c r="Q89" t="s">
        <v>211</v>
      </c>
      <c r="R89" t="s">
        <v>353</v>
      </c>
      <c r="S89">
        <v>4247</v>
      </c>
      <c r="T89" t="s">
        <v>41</v>
      </c>
      <c r="U89" s="29">
        <v>46313.905497685184</v>
      </c>
      <c r="V89" s="29">
        <v>46313.907152777778</v>
      </c>
      <c r="W89" t="s">
        <v>354</v>
      </c>
      <c r="X89">
        <v>22411</v>
      </c>
      <c r="Z89">
        <v>0</v>
      </c>
      <c r="AA89" s="30">
        <v>0.89930555555555547</v>
      </c>
      <c r="AB89">
        <v>11</v>
      </c>
      <c r="AC89" t="s">
        <v>41</v>
      </c>
    </row>
    <row r="90" spans="1:29">
      <c r="A90" t="s">
        <v>117</v>
      </c>
      <c r="B90" s="29">
        <v>46313.898819444446</v>
      </c>
      <c r="C90">
        <v>1498</v>
      </c>
      <c r="D90" t="s">
        <v>41</v>
      </c>
      <c r="E90">
        <v>6</v>
      </c>
      <c r="F90" t="s">
        <v>41</v>
      </c>
      <c r="G90" t="s">
        <v>41</v>
      </c>
      <c r="H90" t="s">
        <v>355</v>
      </c>
      <c r="I90" s="29">
        <v>46313.899097222224</v>
      </c>
      <c r="J90" t="s">
        <v>41</v>
      </c>
      <c r="K90" s="29">
        <v>46313.893275462964</v>
      </c>
      <c r="L90">
        <v>24</v>
      </c>
      <c r="O90" s="29">
        <v>46313.892210648148</v>
      </c>
      <c r="P90" t="s">
        <v>43</v>
      </c>
      <c r="Q90" t="s">
        <v>119</v>
      </c>
      <c r="R90" t="s">
        <v>356</v>
      </c>
      <c r="S90">
        <v>4247</v>
      </c>
      <c r="T90" t="s">
        <v>41</v>
      </c>
      <c r="U90" s="29">
        <v>46313.903483796297</v>
      </c>
      <c r="V90" s="29">
        <v>46313.902974537035</v>
      </c>
      <c r="W90" t="s">
        <v>357</v>
      </c>
      <c r="X90">
        <v>22411</v>
      </c>
      <c r="Z90">
        <v>0</v>
      </c>
      <c r="AA90" s="30">
        <v>0.89861111111111114</v>
      </c>
      <c r="AB90">
        <v>6</v>
      </c>
      <c r="AC90" t="s">
        <v>41</v>
      </c>
    </row>
    <row r="91" spans="1:29">
      <c r="A91" t="s">
        <v>185</v>
      </c>
      <c r="B91" s="29">
        <v>46313.898449074077</v>
      </c>
      <c r="C91">
        <v>1510</v>
      </c>
      <c r="D91" t="s">
        <v>41</v>
      </c>
      <c r="E91">
        <v>6</v>
      </c>
      <c r="F91" t="s">
        <v>41</v>
      </c>
      <c r="G91" t="s">
        <v>41</v>
      </c>
      <c r="H91" t="s">
        <v>358</v>
      </c>
      <c r="I91" s="29">
        <v>46313.898738425924</v>
      </c>
      <c r="J91" t="s">
        <v>41</v>
      </c>
      <c r="K91" s="29">
        <v>46313.893333333333</v>
      </c>
      <c r="L91">
        <v>25</v>
      </c>
      <c r="O91" s="29">
        <v>46313.891273148147</v>
      </c>
      <c r="P91" t="s">
        <v>43</v>
      </c>
      <c r="Q91" t="s">
        <v>3007</v>
      </c>
      <c r="R91" t="s">
        <v>359</v>
      </c>
      <c r="S91">
        <v>4247</v>
      </c>
      <c r="T91" t="s">
        <v>41</v>
      </c>
      <c r="U91" s="29">
        <v>46313.903703703705</v>
      </c>
      <c r="V91" s="29">
        <v>46313.902581018519</v>
      </c>
      <c r="W91" t="s">
        <v>360</v>
      </c>
      <c r="X91">
        <v>22411</v>
      </c>
      <c r="Z91">
        <v>0</v>
      </c>
      <c r="AA91" s="30">
        <v>0.8979166666666667</v>
      </c>
      <c r="AB91">
        <v>6</v>
      </c>
      <c r="AC91" t="s">
        <v>41</v>
      </c>
    </row>
    <row r="92" spans="1:29">
      <c r="A92" t="s">
        <v>52</v>
      </c>
      <c r="B92" s="29">
        <v>46313.897766203707</v>
      </c>
      <c r="C92">
        <v>2366</v>
      </c>
      <c r="D92" t="s">
        <v>41</v>
      </c>
      <c r="E92">
        <v>7</v>
      </c>
      <c r="F92" t="s">
        <v>41</v>
      </c>
      <c r="G92" t="s">
        <v>41</v>
      </c>
      <c r="H92" t="s">
        <v>361</v>
      </c>
      <c r="I92" s="29">
        <v>46313.898148148146</v>
      </c>
      <c r="J92" t="s">
        <v>41</v>
      </c>
      <c r="K92" s="29">
        <v>46313.890347222223</v>
      </c>
      <c r="L92">
        <v>33</v>
      </c>
      <c r="O92" s="29">
        <v>46313.88962962963</v>
      </c>
      <c r="P92" t="s">
        <v>43</v>
      </c>
      <c r="Q92" t="s">
        <v>54</v>
      </c>
      <c r="R92" t="s">
        <v>362</v>
      </c>
      <c r="S92">
        <v>4247</v>
      </c>
      <c r="T92" t="s">
        <v>41</v>
      </c>
      <c r="U92" s="29">
        <v>46313.904131944444</v>
      </c>
      <c r="V92" s="29">
        <v>46313.902951388889</v>
      </c>
      <c r="W92" t="s">
        <v>363</v>
      </c>
      <c r="X92">
        <v>22411</v>
      </c>
      <c r="Z92">
        <v>0</v>
      </c>
      <c r="AA92" s="30">
        <v>0.89722222222222225</v>
      </c>
      <c r="AB92">
        <v>7</v>
      </c>
      <c r="AC92" t="s">
        <v>41</v>
      </c>
    </row>
    <row r="93" spans="1:29">
      <c r="A93" t="s">
        <v>198</v>
      </c>
      <c r="B93" s="29">
        <v>46313.897939814815</v>
      </c>
      <c r="C93">
        <v>1605</v>
      </c>
      <c r="D93" t="s">
        <v>41</v>
      </c>
      <c r="E93">
        <v>5</v>
      </c>
      <c r="F93" t="s">
        <v>41</v>
      </c>
      <c r="G93" t="s">
        <v>41</v>
      </c>
      <c r="H93" t="s">
        <v>364</v>
      </c>
      <c r="I93" s="29">
        <v>46313.898298611108</v>
      </c>
      <c r="J93" t="s">
        <v>41</v>
      </c>
      <c r="K93" s="29">
        <v>46313.890115740738</v>
      </c>
      <c r="L93">
        <v>31</v>
      </c>
      <c r="O93" s="29">
        <v>46313.889270833337</v>
      </c>
      <c r="P93" t="s">
        <v>43</v>
      </c>
      <c r="Q93" t="s">
        <v>3008</v>
      </c>
      <c r="R93" t="s">
        <v>365</v>
      </c>
      <c r="S93">
        <v>4247</v>
      </c>
      <c r="T93" t="s">
        <v>41</v>
      </c>
      <c r="U93" s="29">
        <v>46313.903043981481</v>
      </c>
      <c r="V93" s="29">
        <v>46313.901701388888</v>
      </c>
      <c r="W93" t="s">
        <v>366</v>
      </c>
      <c r="X93">
        <v>22411</v>
      </c>
      <c r="Z93">
        <v>0</v>
      </c>
      <c r="AA93" s="30">
        <v>0.8979166666666667</v>
      </c>
      <c r="AB93">
        <v>5</v>
      </c>
      <c r="AC93" t="s">
        <v>41</v>
      </c>
    </row>
    <row r="94" spans="1:29">
      <c r="A94" t="s">
        <v>72</v>
      </c>
      <c r="B94" s="29">
        <v>46313.897650462961</v>
      </c>
      <c r="C94">
        <v>450</v>
      </c>
      <c r="D94" t="s">
        <v>41</v>
      </c>
      <c r="E94">
        <v>2</v>
      </c>
      <c r="F94" t="s">
        <v>41</v>
      </c>
      <c r="G94" t="s">
        <v>41</v>
      </c>
      <c r="H94" t="s">
        <v>367</v>
      </c>
      <c r="I94" s="29">
        <v>46313.897986111115</v>
      </c>
      <c r="J94" t="s">
        <v>41</v>
      </c>
      <c r="K94" s="29">
        <v>46313.891828703701</v>
      </c>
      <c r="L94">
        <v>29</v>
      </c>
      <c r="O94" s="29">
        <v>46313.889247685183</v>
      </c>
      <c r="P94" t="s">
        <v>43</v>
      </c>
      <c r="Q94" t="s">
        <v>74</v>
      </c>
      <c r="R94" t="s">
        <v>368</v>
      </c>
      <c r="S94">
        <v>4247</v>
      </c>
      <c r="T94" t="s">
        <v>41</v>
      </c>
      <c r="U94" s="29">
        <v>46313.899641203701</v>
      </c>
      <c r="V94" s="29">
        <v>46313.899340277778</v>
      </c>
      <c r="W94" t="s">
        <v>369</v>
      </c>
      <c r="X94">
        <v>22411</v>
      </c>
      <c r="Z94">
        <v>0</v>
      </c>
      <c r="AA94" s="30">
        <v>0.89722222222222225</v>
      </c>
      <c r="AB94">
        <v>2</v>
      </c>
      <c r="AC94" t="s">
        <v>41</v>
      </c>
    </row>
    <row r="95" spans="1:29">
      <c r="A95" t="s">
        <v>190</v>
      </c>
      <c r="B95" s="29">
        <v>46313.89738425926</v>
      </c>
      <c r="C95">
        <v>1433</v>
      </c>
      <c r="D95" t="s">
        <v>41</v>
      </c>
      <c r="E95">
        <v>5</v>
      </c>
      <c r="F95" t="s">
        <v>41</v>
      </c>
      <c r="G95" t="s">
        <v>41</v>
      </c>
      <c r="H95" t="s">
        <v>370</v>
      </c>
      <c r="I95" s="29">
        <v>46313.89770833333</v>
      </c>
      <c r="J95" t="s">
        <v>41</v>
      </c>
      <c r="K95" s="29">
        <v>46313.888877314814</v>
      </c>
      <c r="L95">
        <v>28</v>
      </c>
      <c r="O95" s="29">
        <v>46313.888472222221</v>
      </c>
      <c r="P95" t="s">
        <v>43</v>
      </c>
      <c r="Q95" t="s">
        <v>192</v>
      </c>
      <c r="R95" t="s">
        <v>371</v>
      </c>
      <c r="S95">
        <v>4247</v>
      </c>
      <c r="T95" t="s">
        <v>41</v>
      </c>
      <c r="U95" s="29">
        <v>46313.902002314811</v>
      </c>
      <c r="V95" s="29">
        <v>46313.900555555556</v>
      </c>
      <c r="W95" t="s">
        <v>372</v>
      </c>
      <c r="X95">
        <v>22411</v>
      </c>
      <c r="Z95">
        <v>0</v>
      </c>
      <c r="AA95" s="30">
        <v>0.89722222222222225</v>
      </c>
      <c r="AB95">
        <v>4</v>
      </c>
      <c r="AC95" t="s">
        <v>41</v>
      </c>
    </row>
    <row r="96" spans="1:29">
      <c r="A96" t="s">
        <v>40</v>
      </c>
      <c r="B96" s="29">
        <v>46313.894363425927</v>
      </c>
      <c r="C96">
        <v>207</v>
      </c>
      <c r="D96" t="s">
        <v>41</v>
      </c>
      <c r="E96">
        <v>0</v>
      </c>
      <c r="F96" t="s">
        <v>41</v>
      </c>
      <c r="G96" t="s">
        <v>41</v>
      </c>
      <c r="H96" t="s">
        <v>373</v>
      </c>
      <c r="I96" s="29">
        <v>46313.894618055558</v>
      </c>
      <c r="J96" t="s">
        <v>41</v>
      </c>
      <c r="K96" s="29">
        <v>46313.889409722222</v>
      </c>
      <c r="L96">
        <v>22</v>
      </c>
      <c r="O96" s="29">
        <v>46313.888206018521</v>
      </c>
      <c r="P96" t="s">
        <v>43</v>
      </c>
      <c r="Q96" t="s">
        <v>44</v>
      </c>
      <c r="R96" t="s">
        <v>374</v>
      </c>
      <c r="S96">
        <v>4247</v>
      </c>
      <c r="T96" t="s">
        <v>41</v>
      </c>
      <c r="U96" s="29">
        <v>46313.895787037036</v>
      </c>
      <c r="V96" s="29">
        <v>46313.894629629627</v>
      </c>
      <c r="W96" t="s">
        <v>375</v>
      </c>
      <c r="X96">
        <v>22411</v>
      </c>
      <c r="Z96">
        <v>0</v>
      </c>
      <c r="AA96" s="30">
        <v>0.89374999999999993</v>
      </c>
      <c r="AB96">
        <v>0</v>
      </c>
      <c r="AC96" t="s">
        <v>41</v>
      </c>
    </row>
    <row r="97" spans="1:29">
      <c r="A97" t="s">
        <v>106</v>
      </c>
      <c r="B97" s="29">
        <v>46313.894282407404</v>
      </c>
      <c r="C97">
        <v>825</v>
      </c>
      <c r="D97" t="s">
        <v>41</v>
      </c>
      <c r="E97">
        <v>4</v>
      </c>
      <c r="F97" t="s">
        <v>41</v>
      </c>
      <c r="G97" t="s">
        <v>41</v>
      </c>
      <c r="H97" t="s">
        <v>376</v>
      </c>
      <c r="I97" s="29">
        <v>46313.894594907404</v>
      </c>
      <c r="J97" t="s">
        <v>41</v>
      </c>
      <c r="K97" s="29">
        <v>46313.887962962966</v>
      </c>
      <c r="L97">
        <v>27</v>
      </c>
      <c r="O97" s="29">
        <v>46313.887326388889</v>
      </c>
      <c r="P97" t="s">
        <v>43</v>
      </c>
      <c r="Q97" t="s">
        <v>108</v>
      </c>
      <c r="R97" t="s">
        <v>377</v>
      </c>
      <c r="S97">
        <v>4247</v>
      </c>
      <c r="T97" t="s">
        <v>41</v>
      </c>
      <c r="U97" s="29">
        <v>46313.896979166668</v>
      </c>
      <c r="V97" s="29">
        <v>46313.896747685183</v>
      </c>
      <c r="W97" t="s">
        <v>378</v>
      </c>
      <c r="X97">
        <v>22411</v>
      </c>
      <c r="Z97">
        <v>0</v>
      </c>
      <c r="AA97" s="30">
        <v>0.89374999999999993</v>
      </c>
      <c r="AB97">
        <v>3</v>
      </c>
      <c r="AC97" t="s">
        <v>41</v>
      </c>
    </row>
    <row r="98" spans="1:29">
      <c r="A98" t="s">
        <v>379</v>
      </c>
      <c r="B98" s="29">
        <v>46313.894201388888</v>
      </c>
      <c r="C98">
        <v>3732</v>
      </c>
      <c r="D98" t="s">
        <v>41</v>
      </c>
      <c r="E98">
        <v>12</v>
      </c>
      <c r="F98" t="s">
        <v>41</v>
      </c>
      <c r="G98" t="s">
        <v>41</v>
      </c>
      <c r="H98" t="s">
        <v>380</v>
      </c>
      <c r="I98" s="29">
        <v>46313.894548611112</v>
      </c>
      <c r="J98" t="s">
        <v>41</v>
      </c>
      <c r="K98" s="29">
        <v>46313.886967592596</v>
      </c>
      <c r="L98">
        <v>30</v>
      </c>
      <c r="O98" s="29">
        <v>46313.886377314811</v>
      </c>
      <c r="P98" t="s">
        <v>43</v>
      </c>
      <c r="Q98" t="s">
        <v>381</v>
      </c>
      <c r="R98" t="s">
        <v>382</v>
      </c>
      <c r="S98">
        <v>4247</v>
      </c>
      <c r="T98" t="s">
        <v>41</v>
      </c>
      <c r="U98" s="29">
        <v>46313.903425925928</v>
      </c>
      <c r="V98" s="29">
        <v>46313.902268518519</v>
      </c>
      <c r="W98" t="s">
        <v>383</v>
      </c>
      <c r="X98">
        <v>22411</v>
      </c>
      <c r="Z98">
        <v>0</v>
      </c>
      <c r="AA98" s="30">
        <v>0.89374999999999993</v>
      </c>
      <c r="AB98">
        <v>11</v>
      </c>
      <c r="AC98" t="s">
        <v>41</v>
      </c>
    </row>
    <row r="99" spans="1:29">
      <c r="A99" t="s">
        <v>77</v>
      </c>
      <c r="B99" s="29">
        <v>46313.892256944448</v>
      </c>
      <c r="C99">
        <v>1262</v>
      </c>
      <c r="D99" t="s">
        <v>41</v>
      </c>
      <c r="E99">
        <v>8</v>
      </c>
      <c r="F99" t="s">
        <v>41</v>
      </c>
      <c r="G99" t="s">
        <v>41</v>
      </c>
      <c r="H99" t="s">
        <v>384</v>
      </c>
      <c r="I99" s="29">
        <v>46313.892638888887</v>
      </c>
      <c r="J99" t="s">
        <v>41</v>
      </c>
      <c r="K99" s="29">
        <v>46313.889861111114</v>
      </c>
      <c r="L99">
        <v>33</v>
      </c>
      <c r="O99" s="29">
        <v>46313.886122685188</v>
      </c>
      <c r="P99" t="s">
        <v>43</v>
      </c>
      <c r="Q99" t="s">
        <v>79</v>
      </c>
      <c r="R99" t="s">
        <v>385</v>
      </c>
      <c r="S99">
        <v>4247</v>
      </c>
      <c r="T99" t="s">
        <v>41</v>
      </c>
      <c r="U99" s="29">
        <v>46313.896655092591</v>
      </c>
      <c r="V99" s="29">
        <v>46313.897673611114</v>
      </c>
      <c r="W99" t="s">
        <v>386</v>
      </c>
      <c r="X99">
        <v>22411</v>
      </c>
      <c r="Z99">
        <v>0</v>
      </c>
      <c r="AA99" s="30">
        <v>0.89166666666666661</v>
      </c>
      <c r="AB99">
        <v>7</v>
      </c>
      <c r="AC99" t="s">
        <v>41</v>
      </c>
    </row>
    <row r="100" spans="1:29">
      <c r="A100" t="s">
        <v>185</v>
      </c>
      <c r="B100" s="29">
        <v>46313.89135416667</v>
      </c>
      <c r="C100">
        <v>291</v>
      </c>
      <c r="D100" t="s">
        <v>41</v>
      </c>
      <c r="E100">
        <v>3</v>
      </c>
      <c r="F100" t="s">
        <v>41</v>
      </c>
      <c r="G100" t="s">
        <v>41</v>
      </c>
      <c r="H100" t="s">
        <v>387</v>
      </c>
      <c r="I100" s="29">
        <v>46313.891782407409</v>
      </c>
      <c r="J100" t="s">
        <v>41</v>
      </c>
      <c r="K100" s="29">
        <v>46313.886145833334</v>
      </c>
      <c r="L100">
        <v>37</v>
      </c>
      <c r="O100" s="29">
        <v>46313.885462962964</v>
      </c>
      <c r="P100" t="s">
        <v>43</v>
      </c>
      <c r="Q100" t="s">
        <v>3007</v>
      </c>
      <c r="R100" t="s">
        <v>388</v>
      </c>
      <c r="S100">
        <v>4247</v>
      </c>
      <c r="T100" t="s">
        <v>41</v>
      </c>
      <c r="U100" s="29">
        <v>46313.893101851849</v>
      </c>
      <c r="V100" s="29">
        <v>46313.89335648148</v>
      </c>
      <c r="W100" t="s">
        <v>389</v>
      </c>
      <c r="X100">
        <v>22411</v>
      </c>
      <c r="Z100">
        <v>0</v>
      </c>
      <c r="AA100" s="30">
        <v>0.89097222222222217</v>
      </c>
      <c r="AB100">
        <v>2</v>
      </c>
      <c r="AC100" t="s">
        <v>41</v>
      </c>
    </row>
    <row r="101" spans="1:29">
      <c r="A101" t="s">
        <v>347</v>
      </c>
      <c r="B101" s="29">
        <v>46313.891203703701</v>
      </c>
      <c r="C101">
        <v>999</v>
      </c>
      <c r="D101" t="s">
        <v>41</v>
      </c>
      <c r="E101">
        <v>3</v>
      </c>
      <c r="F101" t="s">
        <v>41</v>
      </c>
      <c r="G101" t="s">
        <v>41</v>
      </c>
      <c r="H101" t="s">
        <v>390</v>
      </c>
      <c r="I101" s="29">
        <v>46313.891388888886</v>
      </c>
      <c r="J101" t="s">
        <v>41</v>
      </c>
      <c r="K101" s="29">
        <v>46313.886192129627</v>
      </c>
      <c r="L101">
        <v>16</v>
      </c>
      <c r="O101" s="29">
        <v>46313.885127314818</v>
      </c>
      <c r="P101" t="s">
        <v>43</v>
      </c>
      <c r="Q101" t="s">
        <v>349</v>
      </c>
      <c r="R101" t="s">
        <v>391</v>
      </c>
      <c r="S101">
        <v>4247</v>
      </c>
      <c r="T101" t="s">
        <v>41</v>
      </c>
      <c r="U101" s="29">
        <v>46313.894166666665</v>
      </c>
      <c r="V101" s="29">
        <v>46313.893587962964</v>
      </c>
      <c r="W101" t="s">
        <v>392</v>
      </c>
      <c r="X101">
        <v>22411</v>
      </c>
      <c r="Z101">
        <v>0</v>
      </c>
      <c r="AA101" s="30">
        <v>0.89097222222222217</v>
      </c>
      <c r="AB101">
        <v>3</v>
      </c>
      <c r="AC101" t="s">
        <v>41</v>
      </c>
    </row>
    <row r="102" spans="1:29">
      <c r="A102" t="s">
        <v>125</v>
      </c>
      <c r="B102" s="29">
        <v>46313.889502314814</v>
      </c>
      <c r="C102">
        <v>2820</v>
      </c>
      <c r="D102" t="s">
        <v>41</v>
      </c>
      <c r="E102">
        <v>9</v>
      </c>
      <c r="F102" t="s">
        <v>41</v>
      </c>
      <c r="G102" t="s">
        <v>41</v>
      </c>
      <c r="H102" t="s">
        <v>393</v>
      </c>
      <c r="I102" s="29">
        <v>46313.889756944445</v>
      </c>
      <c r="J102" t="s">
        <v>41</v>
      </c>
      <c r="K102" s="29">
        <v>46313.884432870371</v>
      </c>
      <c r="L102">
        <v>23</v>
      </c>
      <c r="O102" s="29">
        <v>46313.882581018515</v>
      </c>
      <c r="P102" t="s">
        <v>43</v>
      </c>
      <c r="Q102" t="s">
        <v>3006</v>
      </c>
      <c r="R102" t="s">
        <v>394</v>
      </c>
      <c r="S102">
        <v>4247</v>
      </c>
      <c r="T102" t="s">
        <v>41</v>
      </c>
      <c r="U102" s="29">
        <v>46313.897233796299</v>
      </c>
      <c r="V102" s="29">
        <v>46313.895856481482</v>
      </c>
      <c r="W102" t="s">
        <v>395</v>
      </c>
      <c r="X102">
        <v>22411</v>
      </c>
      <c r="Z102">
        <v>0</v>
      </c>
      <c r="AA102" s="30">
        <v>0.88888888888888884</v>
      </c>
      <c r="AB102">
        <v>9</v>
      </c>
      <c r="AC102" t="s">
        <v>41</v>
      </c>
    </row>
    <row r="103" spans="1:29">
      <c r="A103" t="s">
        <v>67</v>
      </c>
      <c r="B103" s="29">
        <v>46313.889363425929</v>
      </c>
      <c r="C103">
        <v>1576</v>
      </c>
      <c r="D103" t="s">
        <v>41</v>
      </c>
      <c r="E103">
        <v>8</v>
      </c>
      <c r="F103" t="s">
        <v>41</v>
      </c>
      <c r="G103" t="s">
        <v>41</v>
      </c>
      <c r="H103" t="s">
        <v>396</v>
      </c>
      <c r="I103" s="29">
        <v>46313.889791666668</v>
      </c>
      <c r="J103" t="s">
        <v>41</v>
      </c>
      <c r="K103" s="29">
        <v>46313.883009259262</v>
      </c>
      <c r="L103">
        <v>37</v>
      </c>
      <c r="O103" s="29">
        <v>46313.881435185183</v>
      </c>
      <c r="P103" t="s">
        <v>43</v>
      </c>
      <c r="Q103" t="s">
        <v>69</v>
      </c>
      <c r="R103" t="s">
        <v>397</v>
      </c>
      <c r="S103">
        <v>4247</v>
      </c>
      <c r="T103" t="s">
        <v>41</v>
      </c>
      <c r="U103" s="29">
        <v>46313.895243055558</v>
      </c>
      <c r="V103" s="29">
        <v>46313.894930555558</v>
      </c>
      <c r="W103" t="s">
        <v>398</v>
      </c>
      <c r="X103">
        <v>22411</v>
      </c>
      <c r="Z103">
        <v>0</v>
      </c>
      <c r="AA103" s="30">
        <v>0.88888888888888884</v>
      </c>
      <c r="AB103">
        <v>7</v>
      </c>
      <c r="AC103" t="s">
        <v>41</v>
      </c>
    </row>
    <row r="104" spans="1:29">
      <c r="A104" t="s">
        <v>98</v>
      </c>
      <c r="B104" s="29">
        <v>46313.888564814813</v>
      </c>
      <c r="C104">
        <v>3806</v>
      </c>
      <c r="D104" t="s">
        <v>41</v>
      </c>
      <c r="E104">
        <v>10</v>
      </c>
      <c r="F104" t="s">
        <v>41</v>
      </c>
      <c r="G104" t="s">
        <v>41</v>
      </c>
      <c r="H104" t="s">
        <v>399</v>
      </c>
      <c r="I104" s="29">
        <v>46313.888923611114</v>
      </c>
      <c r="J104" t="s">
        <v>41</v>
      </c>
      <c r="K104" s="29">
        <v>46313.882685185185</v>
      </c>
      <c r="L104">
        <v>31</v>
      </c>
      <c r="O104" s="29">
        <v>46313.880289351851</v>
      </c>
      <c r="P104" t="s">
        <v>43</v>
      </c>
      <c r="Q104" t="s">
        <v>3005</v>
      </c>
      <c r="R104" t="s">
        <v>400</v>
      </c>
      <c r="S104">
        <v>4247</v>
      </c>
      <c r="T104" t="s">
        <v>41</v>
      </c>
      <c r="U104" s="29">
        <v>46313.898055555554</v>
      </c>
      <c r="V104" s="29">
        <v>46313.89576388889</v>
      </c>
      <c r="W104" t="s">
        <v>401</v>
      </c>
      <c r="X104">
        <v>22411</v>
      </c>
      <c r="Z104">
        <v>0</v>
      </c>
      <c r="AA104" s="30">
        <v>0.8881944444444444</v>
      </c>
      <c r="AB104">
        <v>10</v>
      </c>
      <c r="AC104" t="s">
        <v>41</v>
      </c>
    </row>
    <row r="105" spans="1:29">
      <c r="A105" t="s">
        <v>47</v>
      </c>
      <c r="B105" s="29">
        <v>46313.88857638889</v>
      </c>
      <c r="C105">
        <v>2438</v>
      </c>
      <c r="D105" t="s">
        <v>41</v>
      </c>
      <c r="E105">
        <v>7</v>
      </c>
      <c r="F105" t="s">
        <v>41</v>
      </c>
      <c r="G105" t="s">
        <v>41</v>
      </c>
      <c r="H105" t="s">
        <v>402</v>
      </c>
      <c r="I105" s="29">
        <v>46313.888796296298</v>
      </c>
      <c r="J105" t="s">
        <v>41</v>
      </c>
      <c r="K105" s="29">
        <v>46313.882314814815</v>
      </c>
      <c r="L105">
        <v>19</v>
      </c>
      <c r="O105" s="29">
        <v>46313.880046296297</v>
      </c>
      <c r="P105" t="s">
        <v>43</v>
      </c>
      <c r="Q105" t="s">
        <v>49</v>
      </c>
      <c r="R105" t="s">
        <v>403</v>
      </c>
      <c r="S105">
        <v>4247</v>
      </c>
      <c r="T105" t="s">
        <v>41</v>
      </c>
      <c r="U105" s="29">
        <v>46313.89472222222</v>
      </c>
      <c r="V105" s="29">
        <v>46313.893148148149</v>
      </c>
      <c r="W105" t="s">
        <v>404</v>
      </c>
      <c r="X105">
        <v>22411</v>
      </c>
      <c r="Z105">
        <v>0</v>
      </c>
      <c r="AA105" s="30">
        <v>0.8881944444444444</v>
      </c>
      <c r="AB105">
        <v>6</v>
      </c>
      <c r="AC105" t="s">
        <v>41</v>
      </c>
    </row>
    <row r="106" spans="1:29">
      <c r="A106" t="s">
        <v>177</v>
      </c>
      <c r="B106" s="29">
        <v>46313.88821759259</v>
      </c>
      <c r="C106">
        <v>2356</v>
      </c>
      <c r="D106" t="s">
        <v>41</v>
      </c>
      <c r="E106">
        <v>9</v>
      </c>
      <c r="F106" t="s">
        <v>41</v>
      </c>
      <c r="G106" t="s">
        <v>41</v>
      </c>
      <c r="H106" t="s">
        <v>402</v>
      </c>
      <c r="I106" s="29">
        <v>46313.888437499998</v>
      </c>
      <c r="J106" t="s">
        <v>41</v>
      </c>
      <c r="K106" s="29">
        <v>46313.882893518516</v>
      </c>
      <c r="L106">
        <v>19</v>
      </c>
      <c r="O106" s="29">
        <v>46313.879965277774</v>
      </c>
      <c r="P106" t="s">
        <v>43</v>
      </c>
      <c r="Q106" t="s">
        <v>179</v>
      </c>
      <c r="R106" t="s">
        <v>405</v>
      </c>
      <c r="S106">
        <v>4247</v>
      </c>
      <c r="T106" t="s">
        <v>41</v>
      </c>
      <c r="U106" s="29">
        <v>46313.895914351851</v>
      </c>
      <c r="V106" s="29">
        <v>46313.89434027778</v>
      </c>
      <c r="W106" t="s">
        <v>406</v>
      </c>
      <c r="X106">
        <v>22411</v>
      </c>
      <c r="Z106">
        <v>0</v>
      </c>
      <c r="AA106" s="30">
        <v>0.8881944444444444</v>
      </c>
      <c r="AB106">
        <v>9</v>
      </c>
      <c r="AC106" t="s">
        <v>41</v>
      </c>
    </row>
    <row r="107" spans="1:29">
      <c r="A107" t="s">
        <v>190</v>
      </c>
      <c r="B107" s="29">
        <v>46313.888067129628</v>
      </c>
      <c r="C107">
        <v>1752</v>
      </c>
      <c r="D107" t="s">
        <v>41</v>
      </c>
      <c r="E107">
        <v>6</v>
      </c>
      <c r="F107" t="s">
        <v>41</v>
      </c>
      <c r="G107" t="s">
        <v>41</v>
      </c>
      <c r="H107" t="s">
        <v>407</v>
      </c>
      <c r="I107" s="29">
        <v>46313.888541666667</v>
      </c>
      <c r="J107" t="s">
        <v>41</v>
      </c>
      <c r="K107" s="29">
        <v>46313.880752314813</v>
      </c>
      <c r="L107">
        <v>41</v>
      </c>
      <c r="O107" s="29">
        <v>46313.879212962966</v>
      </c>
      <c r="P107" t="s">
        <v>43</v>
      </c>
      <c r="Q107" t="s">
        <v>192</v>
      </c>
      <c r="R107" t="s">
        <v>408</v>
      </c>
      <c r="S107">
        <v>4247</v>
      </c>
      <c r="T107" t="s">
        <v>41</v>
      </c>
      <c r="U107" s="29">
        <v>46313.893923611111</v>
      </c>
      <c r="V107" s="29">
        <v>46313.892071759263</v>
      </c>
      <c r="W107" t="s">
        <v>409</v>
      </c>
      <c r="X107">
        <v>22411</v>
      </c>
      <c r="Z107">
        <v>0</v>
      </c>
      <c r="AA107" s="30">
        <v>0.88750000000000007</v>
      </c>
      <c r="AB107">
        <v>5</v>
      </c>
      <c r="AC107" t="s">
        <v>41</v>
      </c>
    </row>
    <row r="108" spans="1:29">
      <c r="A108" t="s">
        <v>82</v>
      </c>
      <c r="B108" s="29">
        <v>46313.88689814815</v>
      </c>
      <c r="C108">
        <v>2072</v>
      </c>
      <c r="D108" t="s">
        <v>41</v>
      </c>
      <c r="E108">
        <v>9</v>
      </c>
      <c r="F108" t="s">
        <v>41</v>
      </c>
      <c r="G108" t="s">
        <v>41</v>
      </c>
      <c r="H108" t="s">
        <v>410</v>
      </c>
      <c r="I108" s="29">
        <v>46313.887256944443</v>
      </c>
      <c r="J108" t="s">
        <v>41</v>
      </c>
      <c r="K108" s="29">
        <v>46313.881122685183</v>
      </c>
      <c r="L108">
        <v>31</v>
      </c>
      <c r="O108" s="29">
        <v>46313.878310185188</v>
      </c>
      <c r="P108" t="s">
        <v>43</v>
      </c>
      <c r="Q108" t="s">
        <v>84</v>
      </c>
      <c r="R108" t="s">
        <v>411</v>
      </c>
      <c r="S108">
        <v>4247</v>
      </c>
      <c r="T108" t="s">
        <v>41</v>
      </c>
      <c r="U108" s="29">
        <v>46313.893020833333</v>
      </c>
      <c r="V108" s="29">
        <v>46313.893240740741</v>
      </c>
      <c r="W108" t="s">
        <v>412</v>
      </c>
      <c r="X108">
        <v>22411</v>
      </c>
      <c r="Z108">
        <v>0</v>
      </c>
      <c r="AA108" s="30">
        <v>0.88680555555555562</v>
      </c>
      <c r="AB108">
        <v>9</v>
      </c>
      <c r="AC108" t="s">
        <v>41</v>
      </c>
    </row>
    <row r="109" spans="1:29">
      <c r="A109" t="s">
        <v>209</v>
      </c>
      <c r="B109" s="29">
        <v>46313.886840277781</v>
      </c>
      <c r="C109">
        <v>1835</v>
      </c>
      <c r="D109" t="s">
        <v>41</v>
      </c>
      <c r="E109">
        <v>9</v>
      </c>
      <c r="F109" t="s">
        <v>41</v>
      </c>
      <c r="G109" t="s">
        <v>41</v>
      </c>
      <c r="H109" t="s">
        <v>413</v>
      </c>
      <c r="I109" s="29">
        <v>46313.887361111112</v>
      </c>
      <c r="J109" t="s">
        <v>41</v>
      </c>
      <c r="K109" s="29">
        <v>46313.879641203705</v>
      </c>
      <c r="L109">
        <v>45</v>
      </c>
      <c r="O109" s="29">
        <v>46313.878171296295</v>
      </c>
      <c r="P109" t="s">
        <v>43</v>
      </c>
      <c r="Q109" t="s">
        <v>211</v>
      </c>
      <c r="R109" t="s">
        <v>414</v>
      </c>
      <c r="S109">
        <v>4247</v>
      </c>
      <c r="T109" t="s">
        <v>41</v>
      </c>
      <c r="U109" s="29">
        <v>46313.892592592594</v>
      </c>
      <c r="V109" s="29">
        <v>46313.892997685187</v>
      </c>
      <c r="W109" t="s">
        <v>415</v>
      </c>
      <c r="X109">
        <v>22411</v>
      </c>
      <c r="Z109">
        <v>0</v>
      </c>
      <c r="AA109" s="30">
        <v>0.88680555555555562</v>
      </c>
      <c r="AB109">
        <v>8</v>
      </c>
      <c r="AC109" t="s">
        <v>41</v>
      </c>
    </row>
    <row r="110" spans="1:29">
      <c r="A110" t="s">
        <v>235</v>
      </c>
      <c r="B110" s="29">
        <v>46313.886331018519</v>
      </c>
      <c r="C110">
        <v>1619</v>
      </c>
      <c r="D110" t="s">
        <v>41</v>
      </c>
      <c r="E110">
        <v>10</v>
      </c>
      <c r="F110" t="s">
        <v>41</v>
      </c>
      <c r="G110" t="s">
        <v>41</v>
      </c>
      <c r="H110" t="s">
        <v>416</v>
      </c>
      <c r="I110" s="29">
        <v>46313.886967592596</v>
      </c>
      <c r="J110" t="s">
        <v>41</v>
      </c>
      <c r="K110" s="29">
        <v>46313.879074074073</v>
      </c>
      <c r="L110">
        <v>55</v>
      </c>
      <c r="O110" s="29">
        <v>46313.877708333333</v>
      </c>
      <c r="P110" t="s">
        <v>43</v>
      </c>
      <c r="Q110" t="s">
        <v>3009</v>
      </c>
      <c r="R110" t="s">
        <v>417</v>
      </c>
      <c r="S110">
        <v>4247</v>
      </c>
      <c r="T110" t="s">
        <v>41</v>
      </c>
      <c r="U110" s="29">
        <v>46313.891863425924</v>
      </c>
      <c r="V110" s="29">
        <v>46313.893437500003</v>
      </c>
      <c r="W110" t="s">
        <v>418</v>
      </c>
      <c r="X110">
        <v>22411</v>
      </c>
      <c r="Z110">
        <v>0</v>
      </c>
      <c r="AA110" s="30">
        <v>0.88611111111111107</v>
      </c>
      <c r="AB110">
        <v>9</v>
      </c>
      <c r="AC110" t="s">
        <v>41</v>
      </c>
    </row>
    <row r="111" spans="1:29">
      <c r="A111" t="s">
        <v>198</v>
      </c>
      <c r="B111" s="29">
        <v>46313.885405092595</v>
      </c>
      <c r="C111">
        <v>2218</v>
      </c>
      <c r="D111" t="s">
        <v>41</v>
      </c>
      <c r="E111">
        <v>8</v>
      </c>
      <c r="F111" t="s">
        <v>41</v>
      </c>
      <c r="G111" t="s">
        <v>41</v>
      </c>
      <c r="H111" t="s">
        <v>419</v>
      </c>
      <c r="I111" s="29">
        <v>46313.885625000003</v>
      </c>
      <c r="J111" t="s">
        <v>41</v>
      </c>
      <c r="K111" s="29">
        <v>46313.878240740742</v>
      </c>
      <c r="L111">
        <v>19</v>
      </c>
      <c r="O111" s="29">
        <v>46313.877326388887</v>
      </c>
      <c r="P111" t="s">
        <v>43</v>
      </c>
      <c r="Q111" t="s">
        <v>3008</v>
      </c>
      <c r="R111" t="s">
        <v>420</v>
      </c>
      <c r="S111">
        <v>4247</v>
      </c>
      <c r="T111" t="s">
        <v>41</v>
      </c>
      <c r="U111" s="29">
        <v>46313.890775462962</v>
      </c>
      <c r="V111" s="29">
        <v>46313.891215277778</v>
      </c>
      <c r="W111" t="s">
        <v>421</v>
      </c>
      <c r="X111">
        <v>22411</v>
      </c>
      <c r="Z111">
        <v>0</v>
      </c>
      <c r="AA111" s="30">
        <v>0.8847222222222223</v>
      </c>
      <c r="AB111">
        <v>8</v>
      </c>
      <c r="AC111" t="s">
        <v>41</v>
      </c>
    </row>
    <row r="112" spans="1:29">
      <c r="A112" t="s">
        <v>303</v>
      </c>
      <c r="B112" s="29">
        <v>46313.88449074074</v>
      </c>
      <c r="C112">
        <v>2978</v>
      </c>
      <c r="D112" t="s">
        <v>41</v>
      </c>
      <c r="E112">
        <v>11</v>
      </c>
      <c r="F112" t="s">
        <v>41</v>
      </c>
      <c r="G112" t="s">
        <v>41</v>
      </c>
      <c r="H112" t="s">
        <v>422</v>
      </c>
      <c r="I112" s="29">
        <v>46313.884756944448</v>
      </c>
      <c r="J112" t="s">
        <v>41</v>
      </c>
      <c r="K112" s="29">
        <v>46313.878564814811</v>
      </c>
      <c r="L112">
        <v>23</v>
      </c>
      <c r="O112" s="29">
        <v>46313.877256944441</v>
      </c>
      <c r="P112" t="s">
        <v>43</v>
      </c>
      <c r="Q112" t="s">
        <v>305</v>
      </c>
      <c r="R112" t="s">
        <v>423</v>
      </c>
      <c r="S112">
        <v>4247</v>
      </c>
      <c r="T112" t="s">
        <v>41</v>
      </c>
      <c r="U112" s="29">
        <v>46313.89303240741</v>
      </c>
      <c r="V112" s="29">
        <v>46313.891979166663</v>
      </c>
      <c r="W112" t="s">
        <v>424</v>
      </c>
      <c r="X112">
        <v>22411</v>
      </c>
      <c r="Z112">
        <v>0</v>
      </c>
      <c r="AA112" s="30">
        <v>0.88402777777777775</v>
      </c>
      <c r="AB112">
        <v>10</v>
      </c>
      <c r="AC112" t="s">
        <v>41</v>
      </c>
    </row>
    <row r="113" spans="1:29">
      <c r="A113" t="s">
        <v>57</v>
      </c>
      <c r="B113" s="29">
        <v>46313.884351851855</v>
      </c>
      <c r="C113">
        <v>3129</v>
      </c>
      <c r="D113" t="s">
        <v>41</v>
      </c>
      <c r="E113">
        <v>12</v>
      </c>
      <c r="F113" t="s">
        <v>41</v>
      </c>
      <c r="G113" t="s">
        <v>41</v>
      </c>
      <c r="H113" t="s">
        <v>425</v>
      </c>
      <c r="I113" s="29">
        <v>46313.884513888886</v>
      </c>
      <c r="J113" t="s">
        <v>41</v>
      </c>
      <c r="K113" s="29">
        <v>46313.879027777781</v>
      </c>
      <c r="L113">
        <v>14</v>
      </c>
      <c r="O113" s="29">
        <v>46313.877025462964</v>
      </c>
      <c r="P113" t="s">
        <v>43</v>
      </c>
      <c r="Q113" t="s">
        <v>59</v>
      </c>
      <c r="R113" t="s">
        <v>426</v>
      </c>
      <c r="S113">
        <v>4247</v>
      </c>
      <c r="T113" t="s">
        <v>41</v>
      </c>
      <c r="U113" s="29">
        <v>46313.893067129633</v>
      </c>
      <c r="V113" s="29">
        <v>46313.892893518518</v>
      </c>
      <c r="W113" t="s">
        <v>427</v>
      </c>
      <c r="X113">
        <v>22411</v>
      </c>
      <c r="Z113">
        <v>0</v>
      </c>
      <c r="AA113" s="30">
        <v>0.88402777777777775</v>
      </c>
      <c r="AB113">
        <v>12</v>
      </c>
      <c r="AC113" t="s">
        <v>41</v>
      </c>
    </row>
    <row r="114" spans="1:29">
      <c r="A114" t="s">
        <v>52</v>
      </c>
      <c r="B114" s="29">
        <v>46313.884085648147</v>
      </c>
      <c r="C114">
        <v>1913</v>
      </c>
      <c r="D114" t="s">
        <v>41</v>
      </c>
      <c r="E114">
        <v>7</v>
      </c>
      <c r="F114" t="s">
        <v>41</v>
      </c>
      <c r="G114" t="s">
        <v>41</v>
      </c>
      <c r="H114" t="s">
        <v>428</v>
      </c>
      <c r="I114" s="29">
        <v>46313.884270833332</v>
      </c>
      <c r="J114" t="s">
        <v>41</v>
      </c>
      <c r="K114" s="29">
        <v>46313.87773148148</v>
      </c>
      <c r="L114">
        <v>16</v>
      </c>
      <c r="O114" s="29">
        <v>46313.876377314817</v>
      </c>
      <c r="P114" t="s">
        <v>43</v>
      </c>
      <c r="Q114" t="s">
        <v>54</v>
      </c>
      <c r="R114" t="s">
        <v>429</v>
      </c>
      <c r="S114">
        <v>4247</v>
      </c>
      <c r="T114" t="s">
        <v>41</v>
      </c>
      <c r="U114" s="29">
        <v>46313.888807870368</v>
      </c>
      <c r="V114" s="29">
        <v>46313.888912037037</v>
      </c>
      <c r="W114" t="s">
        <v>430</v>
      </c>
      <c r="X114">
        <v>22411</v>
      </c>
      <c r="Z114">
        <v>0</v>
      </c>
      <c r="AA114" s="30">
        <v>0.88402777777777775</v>
      </c>
      <c r="AB114">
        <v>7</v>
      </c>
      <c r="AC114" t="s">
        <v>41</v>
      </c>
    </row>
    <row r="115" spans="1:29">
      <c r="A115" t="s">
        <v>117</v>
      </c>
      <c r="B115" s="29">
        <v>46313.883020833331</v>
      </c>
      <c r="C115">
        <v>1985</v>
      </c>
      <c r="D115" t="s">
        <v>41</v>
      </c>
      <c r="E115">
        <v>8</v>
      </c>
      <c r="F115" t="s">
        <v>41</v>
      </c>
      <c r="G115" t="s">
        <v>41</v>
      </c>
      <c r="H115" t="s">
        <v>431</v>
      </c>
      <c r="I115" s="29">
        <v>46313.883437500001</v>
      </c>
      <c r="J115" t="s">
        <v>41</v>
      </c>
      <c r="K115" s="29">
        <v>46313.877060185187</v>
      </c>
      <c r="L115">
        <v>37</v>
      </c>
      <c r="O115" s="29">
        <v>46313.876087962963</v>
      </c>
      <c r="P115" t="s">
        <v>43</v>
      </c>
      <c r="Q115" t="s">
        <v>119</v>
      </c>
      <c r="R115" t="s">
        <v>432</v>
      </c>
      <c r="S115">
        <v>4247</v>
      </c>
      <c r="T115" t="s">
        <v>41</v>
      </c>
      <c r="U115" s="29">
        <v>46313.888981481483</v>
      </c>
      <c r="V115" s="29">
        <v>46313.888680555552</v>
      </c>
      <c r="W115" t="s">
        <v>433</v>
      </c>
      <c r="X115">
        <v>22411</v>
      </c>
      <c r="Z115">
        <v>0</v>
      </c>
      <c r="AA115" s="30">
        <v>0.88263888888888886</v>
      </c>
      <c r="AB115">
        <v>8</v>
      </c>
      <c r="AC115" t="s">
        <v>41</v>
      </c>
    </row>
    <row r="116" spans="1:29">
      <c r="A116" t="s">
        <v>77</v>
      </c>
      <c r="B116" s="29">
        <v>46313.881736111114</v>
      </c>
      <c r="C116">
        <v>2275</v>
      </c>
      <c r="D116" t="s">
        <v>41</v>
      </c>
      <c r="E116">
        <v>6</v>
      </c>
      <c r="F116" t="s">
        <v>41</v>
      </c>
      <c r="G116" t="s">
        <v>41</v>
      </c>
      <c r="H116" t="s">
        <v>434</v>
      </c>
      <c r="I116" s="29">
        <v>46313.882106481484</v>
      </c>
      <c r="J116" t="s">
        <v>41</v>
      </c>
      <c r="K116" s="29">
        <v>46313.875844907408</v>
      </c>
      <c r="L116">
        <v>33</v>
      </c>
      <c r="O116" s="29">
        <v>46313.875254629631</v>
      </c>
      <c r="P116" t="s">
        <v>43</v>
      </c>
      <c r="Q116" t="s">
        <v>79</v>
      </c>
      <c r="R116" t="s">
        <v>435</v>
      </c>
      <c r="S116">
        <v>4247</v>
      </c>
      <c r="T116" t="s">
        <v>41</v>
      </c>
      <c r="U116" s="29">
        <v>46313.887754629628</v>
      </c>
      <c r="V116" s="29">
        <v>46313.88585648148</v>
      </c>
      <c r="W116" t="s">
        <v>436</v>
      </c>
      <c r="X116">
        <v>22411</v>
      </c>
      <c r="Z116">
        <v>0</v>
      </c>
      <c r="AA116" s="30">
        <v>0.88124999999999998</v>
      </c>
      <c r="AB116">
        <v>5</v>
      </c>
      <c r="AC116" t="s">
        <v>41</v>
      </c>
    </row>
    <row r="117" spans="1:29">
      <c r="A117" t="s">
        <v>40</v>
      </c>
      <c r="B117" s="29">
        <v>46313.88076388889</v>
      </c>
      <c r="C117">
        <v>2364</v>
      </c>
      <c r="D117" t="s">
        <v>41</v>
      </c>
      <c r="E117">
        <v>7</v>
      </c>
      <c r="F117" t="s">
        <v>41</v>
      </c>
      <c r="G117" t="s">
        <v>41</v>
      </c>
      <c r="H117" t="s">
        <v>437</v>
      </c>
      <c r="I117" s="29">
        <v>46313.880937499998</v>
      </c>
      <c r="J117" t="s">
        <v>41</v>
      </c>
      <c r="K117" s="29">
        <v>46313.875092592592</v>
      </c>
      <c r="L117">
        <v>15</v>
      </c>
      <c r="O117" s="29">
        <v>46313.874641203707</v>
      </c>
      <c r="P117" t="s">
        <v>43</v>
      </c>
      <c r="Q117" t="s">
        <v>44</v>
      </c>
      <c r="R117" t="s">
        <v>438</v>
      </c>
      <c r="S117">
        <v>4247</v>
      </c>
      <c r="T117" t="s">
        <v>41</v>
      </c>
      <c r="U117" s="29">
        <v>46313.886342592596</v>
      </c>
      <c r="V117" s="29">
        <v>46313.885578703703</v>
      </c>
      <c r="W117" t="s">
        <v>439</v>
      </c>
      <c r="X117">
        <v>22411</v>
      </c>
      <c r="Z117">
        <v>0</v>
      </c>
      <c r="AA117" s="30">
        <v>0.88055555555555554</v>
      </c>
      <c r="AB117">
        <v>7</v>
      </c>
      <c r="AC117" t="s">
        <v>41</v>
      </c>
    </row>
    <row r="118" spans="1:29">
      <c r="A118" t="s">
        <v>125</v>
      </c>
      <c r="B118" s="29">
        <v>46313.880243055559</v>
      </c>
      <c r="C118">
        <v>1025</v>
      </c>
      <c r="D118" t="s">
        <v>41</v>
      </c>
      <c r="E118">
        <v>4</v>
      </c>
      <c r="F118" t="s">
        <v>41</v>
      </c>
      <c r="G118" t="s">
        <v>41</v>
      </c>
      <c r="H118" t="s">
        <v>440</v>
      </c>
      <c r="I118" s="29">
        <v>46313.880462962959</v>
      </c>
      <c r="J118" t="s">
        <v>41</v>
      </c>
      <c r="K118" s="29">
        <v>46313.875625000001</v>
      </c>
      <c r="L118">
        <v>19</v>
      </c>
      <c r="O118" s="29">
        <v>46313.874374999999</v>
      </c>
      <c r="P118" t="s">
        <v>43</v>
      </c>
      <c r="Q118" t="s">
        <v>3006</v>
      </c>
      <c r="R118" t="s">
        <v>441</v>
      </c>
      <c r="S118">
        <v>4247</v>
      </c>
      <c r="T118" t="s">
        <v>41</v>
      </c>
      <c r="U118" s="29">
        <v>46313.883530092593</v>
      </c>
      <c r="V118" s="29">
        <v>46313.883090277777</v>
      </c>
      <c r="W118" t="s">
        <v>442</v>
      </c>
      <c r="X118">
        <v>22411</v>
      </c>
      <c r="Z118">
        <v>0</v>
      </c>
      <c r="AA118" s="30">
        <v>0.87986111111111109</v>
      </c>
      <c r="AB118">
        <v>4</v>
      </c>
      <c r="AC118" t="s">
        <v>41</v>
      </c>
    </row>
    <row r="119" spans="1:29">
      <c r="A119" t="s">
        <v>47</v>
      </c>
      <c r="B119" s="29">
        <v>46313.880243055559</v>
      </c>
      <c r="C119">
        <v>1852</v>
      </c>
      <c r="D119" t="s">
        <v>41</v>
      </c>
      <c r="E119">
        <v>5</v>
      </c>
      <c r="F119" t="s">
        <v>41</v>
      </c>
      <c r="G119" t="s">
        <v>41</v>
      </c>
      <c r="H119" t="s">
        <v>443</v>
      </c>
      <c r="I119" s="29">
        <v>46313.880532407406</v>
      </c>
      <c r="J119" t="s">
        <v>41</v>
      </c>
      <c r="K119" s="29">
        <v>46313.874525462961</v>
      </c>
      <c r="L119">
        <v>25</v>
      </c>
      <c r="O119" s="29">
        <v>46313.872743055559</v>
      </c>
      <c r="P119" t="s">
        <v>43</v>
      </c>
      <c r="Q119" t="s">
        <v>49</v>
      </c>
      <c r="R119" t="s">
        <v>444</v>
      </c>
      <c r="S119">
        <v>4247</v>
      </c>
      <c r="T119" t="s">
        <v>41</v>
      </c>
      <c r="U119" s="29">
        <v>46313.885011574072</v>
      </c>
      <c r="V119" s="29">
        <v>46313.883622685185</v>
      </c>
      <c r="W119" t="s">
        <v>445</v>
      </c>
      <c r="X119">
        <v>22411</v>
      </c>
      <c r="Z119">
        <v>0</v>
      </c>
      <c r="AA119" s="30">
        <v>0.87986111111111109</v>
      </c>
      <c r="AB119">
        <v>4</v>
      </c>
      <c r="AC119" t="s">
        <v>41</v>
      </c>
    </row>
    <row r="120" spans="1:29">
      <c r="A120" t="s">
        <v>67</v>
      </c>
      <c r="B120" s="29">
        <v>46313.880208333336</v>
      </c>
      <c r="C120">
        <v>1189</v>
      </c>
      <c r="D120" t="s">
        <v>41</v>
      </c>
      <c r="E120">
        <v>4</v>
      </c>
      <c r="F120" t="s">
        <v>41</v>
      </c>
      <c r="G120" t="s">
        <v>41</v>
      </c>
      <c r="H120" t="s">
        <v>446</v>
      </c>
      <c r="I120" s="29">
        <v>46313.880497685182</v>
      </c>
      <c r="J120" t="s">
        <v>41</v>
      </c>
      <c r="K120" s="29">
        <v>46313.87358796296</v>
      </c>
      <c r="L120">
        <v>25</v>
      </c>
      <c r="O120" s="29">
        <v>46313.872430555559</v>
      </c>
      <c r="P120" t="s">
        <v>43</v>
      </c>
      <c r="Q120" t="s">
        <v>69</v>
      </c>
      <c r="R120" t="s">
        <v>447</v>
      </c>
      <c r="S120">
        <v>4247</v>
      </c>
      <c r="T120" t="s">
        <v>41</v>
      </c>
      <c r="U120" s="29">
        <v>46313.88486111111</v>
      </c>
      <c r="V120" s="29">
        <v>46313.883321759262</v>
      </c>
      <c r="W120" t="s">
        <v>448</v>
      </c>
      <c r="X120">
        <v>22411</v>
      </c>
      <c r="Z120">
        <v>0</v>
      </c>
      <c r="AA120" s="30">
        <v>0.87986111111111109</v>
      </c>
      <c r="AB120">
        <v>4</v>
      </c>
      <c r="AC120" t="s">
        <v>41</v>
      </c>
    </row>
    <row r="121" spans="1:29">
      <c r="A121" t="s">
        <v>379</v>
      </c>
      <c r="B121" s="29">
        <v>46313.879467592589</v>
      </c>
      <c r="C121">
        <v>1979</v>
      </c>
      <c r="D121" t="s">
        <v>41</v>
      </c>
      <c r="E121">
        <v>9</v>
      </c>
      <c r="F121" t="s">
        <v>41</v>
      </c>
      <c r="G121" t="s">
        <v>41</v>
      </c>
      <c r="H121" t="s">
        <v>449</v>
      </c>
      <c r="I121" s="29">
        <v>46313.879861111112</v>
      </c>
      <c r="J121" t="s">
        <v>41</v>
      </c>
      <c r="K121" s="29">
        <v>46313.876226851855</v>
      </c>
      <c r="L121">
        <v>34</v>
      </c>
      <c r="O121" s="29">
        <v>46313.872048611112</v>
      </c>
      <c r="P121" t="s">
        <v>43</v>
      </c>
      <c r="Q121" t="s">
        <v>381</v>
      </c>
      <c r="R121" t="s">
        <v>450</v>
      </c>
      <c r="S121">
        <v>4247</v>
      </c>
      <c r="T121" t="s">
        <v>41</v>
      </c>
      <c r="U121" s="29">
        <v>46313.886041666665</v>
      </c>
      <c r="V121" s="29">
        <v>46313.885671296295</v>
      </c>
      <c r="W121" t="s">
        <v>451</v>
      </c>
      <c r="X121">
        <v>22411</v>
      </c>
      <c r="Z121">
        <v>0</v>
      </c>
      <c r="AA121" s="30">
        <v>0.87916666666666676</v>
      </c>
      <c r="AB121">
        <v>8</v>
      </c>
      <c r="AC121" t="s">
        <v>41</v>
      </c>
    </row>
    <row r="122" spans="1:29">
      <c r="A122" t="s">
        <v>339</v>
      </c>
      <c r="B122" s="29">
        <v>46313.879467592589</v>
      </c>
      <c r="C122">
        <v>1787</v>
      </c>
      <c r="D122" t="s">
        <v>41</v>
      </c>
      <c r="E122">
        <v>6</v>
      </c>
      <c r="F122" t="s">
        <v>41</v>
      </c>
      <c r="G122" t="s">
        <v>41</v>
      </c>
      <c r="H122" t="s">
        <v>452</v>
      </c>
      <c r="I122" s="29">
        <v>46313.879733796297</v>
      </c>
      <c r="J122" t="s">
        <v>41</v>
      </c>
      <c r="K122" s="29">
        <v>46313.873194444444</v>
      </c>
      <c r="L122">
        <v>23</v>
      </c>
      <c r="O122" s="29">
        <v>46313.871979166666</v>
      </c>
      <c r="P122" t="s">
        <v>43</v>
      </c>
      <c r="Q122" t="s">
        <v>341</v>
      </c>
      <c r="R122" t="s">
        <v>453</v>
      </c>
      <c r="S122">
        <v>4247</v>
      </c>
      <c r="T122" t="s">
        <v>41</v>
      </c>
      <c r="U122" s="29">
        <v>46313.883958333332</v>
      </c>
      <c r="V122" s="29">
        <v>46313.883761574078</v>
      </c>
      <c r="W122" t="s">
        <v>454</v>
      </c>
      <c r="X122">
        <v>22411</v>
      </c>
      <c r="Z122">
        <v>0</v>
      </c>
      <c r="AA122" s="30">
        <v>0.87916666666666676</v>
      </c>
      <c r="AB122">
        <v>6</v>
      </c>
      <c r="AC122" t="s">
        <v>41</v>
      </c>
    </row>
    <row r="123" spans="1:29">
      <c r="A123" t="s">
        <v>185</v>
      </c>
      <c r="B123" s="29">
        <v>46313.879328703704</v>
      </c>
      <c r="C123">
        <v>2053</v>
      </c>
      <c r="D123" t="s">
        <v>41</v>
      </c>
      <c r="E123">
        <v>6</v>
      </c>
      <c r="F123" t="s">
        <v>41</v>
      </c>
      <c r="G123" t="s">
        <v>41</v>
      </c>
      <c r="H123" t="s">
        <v>455</v>
      </c>
      <c r="I123" s="29">
        <v>46313.879618055558</v>
      </c>
      <c r="J123" t="s">
        <v>41</v>
      </c>
      <c r="K123" s="29">
        <v>46313.874189814815</v>
      </c>
      <c r="L123">
        <v>25</v>
      </c>
      <c r="O123" s="29">
        <v>46313.871527777781</v>
      </c>
      <c r="P123" t="s">
        <v>43</v>
      </c>
      <c r="Q123" t="s">
        <v>3007</v>
      </c>
      <c r="R123" t="s">
        <v>456</v>
      </c>
      <c r="S123">
        <v>4247</v>
      </c>
      <c r="T123" t="s">
        <v>41</v>
      </c>
      <c r="U123" s="29">
        <v>46313.885127314818</v>
      </c>
      <c r="V123" s="29">
        <v>46313.883506944447</v>
      </c>
      <c r="W123" t="s">
        <v>457</v>
      </c>
      <c r="X123">
        <v>22411</v>
      </c>
      <c r="Z123">
        <v>0</v>
      </c>
      <c r="AA123" s="30">
        <v>0.87916666666666676</v>
      </c>
      <c r="AB123">
        <v>6</v>
      </c>
      <c r="AC123" t="s">
        <v>41</v>
      </c>
    </row>
    <row r="124" spans="1:29">
      <c r="A124" t="s">
        <v>106</v>
      </c>
      <c r="B124" s="29">
        <v>46313.87909722222</v>
      </c>
      <c r="C124">
        <v>554</v>
      </c>
      <c r="D124" t="s">
        <v>41</v>
      </c>
      <c r="E124">
        <v>5</v>
      </c>
      <c r="F124" t="s">
        <v>41</v>
      </c>
      <c r="G124" t="s">
        <v>41</v>
      </c>
      <c r="H124" t="s">
        <v>458</v>
      </c>
      <c r="I124" s="29">
        <v>46313.879432870373</v>
      </c>
      <c r="J124" t="s">
        <v>41</v>
      </c>
      <c r="K124" s="29">
        <v>46313.87222222222</v>
      </c>
      <c r="L124">
        <v>29</v>
      </c>
      <c r="O124" s="29">
        <v>46313.870844907404</v>
      </c>
      <c r="P124" t="s">
        <v>43</v>
      </c>
      <c r="Q124" t="s">
        <v>108</v>
      </c>
      <c r="R124" t="s">
        <v>459</v>
      </c>
      <c r="S124">
        <v>4247</v>
      </c>
      <c r="T124" t="s">
        <v>41</v>
      </c>
      <c r="U124" s="29">
        <v>46313.881863425922</v>
      </c>
      <c r="V124" s="29">
        <v>46313.882268518515</v>
      </c>
      <c r="W124" t="s">
        <v>460</v>
      </c>
      <c r="X124">
        <v>22411</v>
      </c>
      <c r="Z124">
        <v>0</v>
      </c>
      <c r="AA124" s="30">
        <v>0.87847222222222221</v>
      </c>
      <c r="AB124">
        <v>4</v>
      </c>
      <c r="AC124" t="s">
        <v>41</v>
      </c>
    </row>
    <row r="125" spans="1:29">
      <c r="A125" t="s">
        <v>98</v>
      </c>
      <c r="B125" s="29">
        <v>46313.878923611112</v>
      </c>
      <c r="C125">
        <v>2200</v>
      </c>
      <c r="D125" t="s">
        <v>41</v>
      </c>
      <c r="E125">
        <v>6</v>
      </c>
      <c r="F125" t="s">
        <v>41</v>
      </c>
      <c r="G125" t="s">
        <v>41</v>
      </c>
      <c r="H125" t="s">
        <v>461</v>
      </c>
      <c r="I125" s="29">
        <v>46313.879270833335</v>
      </c>
      <c r="J125" t="s">
        <v>41</v>
      </c>
      <c r="K125" s="29">
        <v>46313.871550925927</v>
      </c>
      <c r="L125">
        <v>30</v>
      </c>
      <c r="O125" s="29">
        <v>46313.870729166665</v>
      </c>
      <c r="P125" t="s">
        <v>43</v>
      </c>
      <c r="Q125" t="s">
        <v>3005</v>
      </c>
      <c r="R125" t="s">
        <v>462</v>
      </c>
      <c r="S125">
        <v>4247</v>
      </c>
      <c r="T125" t="s">
        <v>41</v>
      </c>
      <c r="U125" s="29">
        <v>46313.884664351855</v>
      </c>
      <c r="V125" s="29">
        <v>46313.883298611108</v>
      </c>
      <c r="W125" t="s">
        <v>463</v>
      </c>
      <c r="X125">
        <v>22411</v>
      </c>
      <c r="Z125">
        <v>0</v>
      </c>
      <c r="AA125" s="30">
        <v>0.87847222222222221</v>
      </c>
      <c r="AB125">
        <v>6</v>
      </c>
      <c r="AC125" t="s">
        <v>41</v>
      </c>
    </row>
    <row r="126" spans="1:29">
      <c r="A126" t="s">
        <v>72</v>
      </c>
      <c r="B126" s="29">
        <v>46313.878113425926</v>
      </c>
      <c r="C126">
        <v>2133</v>
      </c>
      <c r="D126" t="s">
        <v>41</v>
      </c>
      <c r="E126">
        <v>7</v>
      </c>
      <c r="F126" t="s">
        <v>41</v>
      </c>
      <c r="G126" t="s">
        <v>41</v>
      </c>
      <c r="H126" t="s">
        <v>464</v>
      </c>
      <c r="I126" s="29">
        <v>46313.878368055557</v>
      </c>
      <c r="J126" t="s">
        <v>41</v>
      </c>
      <c r="K126" s="29">
        <v>46313.871030092596</v>
      </c>
      <c r="L126">
        <v>22</v>
      </c>
      <c r="O126" s="29">
        <v>46313.870555555557</v>
      </c>
      <c r="P126" t="s">
        <v>315</v>
      </c>
      <c r="Q126" t="s">
        <v>74</v>
      </c>
      <c r="R126" t="s">
        <v>465</v>
      </c>
      <c r="S126">
        <v>4247</v>
      </c>
      <c r="T126" t="s">
        <v>41</v>
      </c>
      <c r="U126" s="29">
        <v>46313.88386574074</v>
      </c>
      <c r="V126" s="29">
        <v>46313.882916666669</v>
      </c>
      <c r="W126" t="s">
        <v>466</v>
      </c>
      <c r="X126">
        <v>22411</v>
      </c>
      <c r="Y126" s="29">
        <v>46313.888148148151</v>
      </c>
      <c r="Z126">
        <v>0</v>
      </c>
      <c r="AA126" s="30">
        <v>0.87777777777777777</v>
      </c>
      <c r="AB126">
        <v>7</v>
      </c>
      <c r="AC126" t="s">
        <v>41</v>
      </c>
    </row>
    <row r="127" spans="1:29">
      <c r="A127" t="s">
        <v>57</v>
      </c>
      <c r="B127" s="29">
        <v>46313.87704861111</v>
      </c>
      <c r="C127">
        <v>1664</v>
      </c>
      <c r="D127" t="s">
        <v>41</v>
      </c>
      <c r="E127">
        <v>5</v>
      </c>
      <c r="F127" t="s">
        <v>41</v>
      </c>
      <c r="G127" t="s">
        <v>41</v>
      </c>
      <c r="H127" t="s">
        <v>467</v>
      </c>
      <c r="I127" s="29">
        <v>46313.877233796295</v>
      </c>
      <c r="J127" t="s">
        <v>41</v>
      </c>
      <c r="K127" s="29">
        <v>46313.872384259259</v>
      </c>
      <c r="L127">
        <v>16</v>
      </c>
      <c r="O127" s="29">
        <v>46313.869270833333</v>
      </c>
      <c r="P127" t="s">
        <v>43</v>
      </c>
      <c r="Q127" t="s">
        <v>59</v>
      </c>
      <c r="R127" t="s">
        <v>468</v>
      </c>
      <c r="S127">
        <v>4247</v>
      </c>
      <c r="T127" t="s">
        <v>41</v>
      </c>
      <c r="U127" s="29">
        <v>46313.881458333337</v>
      </c>
      <c r="V127" s="29">
        <v>46313.880381944444</v>
      </c>
      <c r="W127" t="s">
        <v>469</v>
      </c>
      <c r="X127">
        <v>22411</v>
      </c>
      <c r="Z127">
        <v>0</v>
      </c>
      <c r="AA127" s="30">
        <v>0.87638888888888899</v>
      </c>
      <c r="AB127">
        <v>5</v>
      </c>
      <c r="AC127" t="s">
        <v>41</v>
      </c>
    </row>
    <row r="128" spans="1:29">
      <c r="A128" t="s">
        <v>177</v>
      </c>
      <c r="B128" s="29">
        <v>46313.876539351855</v>
      </c>
      <c r="C128">
        <v>1921</v>
      </c>
      <c r="D128" t="s">
        <v>41</v>
      </c>
      <c r="E128">
        <v>5</v>
      </c>
      <c r="F128" t="s">
        <v>41</v>
      </c>
      <c r="G128" t="s">
        <v>41</v>
      </c>
      <c r="H128" t="s">
        <v>470</v>
      </c>
      <c r="I128" s="29">
        <v>46313.876967592594</v>
      </c>
      <c r="J128" t="s">
        <v>41</v>
      </c>
      <c r="K128" s="29">
        <v>46313.867303240739</v>
      </c>
      <c r="L128">
        <v>37</v>
      </c>
      <c r="O128" s="29">
        <v>46313.86645833333</v>
      </c>
      <c r="P128" t="s">
        <v>43</v>
      </c>
      <c r="Q128" t="s">
        <v>179</v>
      </c>
      <c r="R128" t="s">
        <v>471</v>
      </c>
      <c r="S128">
        <v>4247</v>
      </c>
      <c r="T128" t="s">
        <v>41</v>
      </c>
      <c r="U128" s="29">
        <v>46313.881967592592</v>
      </c>
      <c r="V128" s="29">
        <v>46313.880324074074</v>
      </c>
      <c r="W128" t="s">
        <v>472</v>
      </c>
      <c r="X128">
        <v>22411</v>
      </c>
      <c r="Z128">
        <v>0</v>
      </c>
      <c r="AA128" s="30">
        <v>0.87638888888888899</v>
      </c>
      <c r="AB128">
        <v>5</v>
      </c>
      <c r="AC128" t="s">
        <v>41</v>
      </c>
    </row>
    <row r="129" spans="1:29">
      <c r="A129" t="s">
        <v>82</v>
      </c>
      <c r="B129" s="29">
        <v>46313.875578703701</v>
      </c>
      <c r="C129">
        <v>1894</v>
      </c>
      <c r="D129" t="s">
        <v>41</v>
      </c>
      <c r="E129">
        <v>6</v>
      </c>
      <c r="F129" t="s">
        <v>41</v>
      </c>
      <c r="G129" t="s">
        <v>41</v>
      </c>
      <c r="H129" t="s">
        <v>470</v>
      </c>
      <c r="I129" s="29">
        <v>46313.875821759262</v>
      </c>
      <c r="J129" t="s">
        <v>41</v>
      </c>
      <c r="K129" s="29">
        <v>46313.866736111115</v>
      </c>
      <c r="L129">
        <v>21</v>
      </c>
      <c r="O129" s="29">
        <v>46313.866238425922</v>
      </c>
      <c r="P129" t="s">
        <v>43</v>
      </c>
      <c r="Q129" t="s">
        <v>84</v>
      </c>
      <c r="R129" t="s">
        <v>473</v>
      </c>
      <c r="S129">
        <v>4247</v>
      </c>
      <c r="T129" t="s">
        <v>41</v>
      </c>
      <c r="U129" s="29">
        <v>46313.880729166667</v>
      </c>
      <c r="V129" s="29">
        <v>46313.879907407405</v>
      </c>
      <c r="W129" t="s">
        <v>474</v>
      </c>
      <c r="X129">
        <v>22411</v>
      </c>
      <c r="Z129">
        <v>0</v>
      </c>
      <c r="AA129" s="30">
        <v>0.875</v>
      </c>
      <c r="AB129">
        <v>6</v>
      </c>
      <c r="AC129" t="s">
        <v>41</v>
      </c>
    </row>
    <row r="130" spans="1:29">
      <c r="A130" t="s">
        <v>190</v>
      </c>
      <c r="B130" s="29">
        <v>46313.875196759262</v>
      </c>
      <c r="C130">
        <v>2093</v>
      </c>
      <c r="D130" t="s">
        <v>41</v>
      </c>
      <c r="E130">
        <v>7</v>
      </c>
      <c r="F130" t="s">
        <v>41</v>
      </c>
      <c r="G130" t="s">
        <v>41</v>
      </c>
      <c r="H130" t="s">
        <v>475</v>
      </c>
      <c r="I130" s="29">
        <v>46313.875648148147</v>
      </c>
      <c r="J130" t="s">
        <v>41</v>
      </c>
      <c r="K130" s="29">
        <v>46313.868935185186</v>
      </c>
      <c r="L130">
        <v>39</v>
      </c>
      <c r="O130" s="29">
        <v>46313.866215277776</v>
      </c>
      <c r="P130" t="s">
        <v>43</v>
      </c>
      <c r="Q130" t="s">
        <v>192</v>
      </c>
      <c r="R130" t="s">
        <v>476</v>
      </c>
      <c r="S130">
        <v>4247</v>
      </c>
      <c r="T130" t="s">
        <v>41</v>
      </c>
      <c r="U130" s="29">
        <v>46313.881458333337</v>
      </c>
      <c r="V130" s="29">
        <v>46313.880046296297</v>
      </c>
      <c r="W130" t="s">
        <v>477</v>
      </c>
      <c r="X130">
        <v>22411</v>
      </c>
      <c r="Z130">
        <v>0</v>
      </c>
      <c r="AA130" s="30">
        <v>0.875</v>
      </c>
      <c r="AB130">
        <v>6</v>
      </c>
      <c r="AC130" t="s">
        <v>41</v>
      </c>
    </row>
    <row r="131" spans="1:29">
      <c r="A131" t="s">
        <v>67</v>
      </c>
      <c r="B131" s="29">
        <v>46313.872546296298</v>
      </c>
      <c r="C131">
        <v>316</v>
      </c>
      <c r="D131" t="s">
        <v>41</v>
      </c>
      <c r="E131">
        <v>2</v>
      </c>
      <c r="F131" t="s">
        <v>41</v>
      </c>
      <c r="G131" t="s">
        <v>41</v>
      </c>
      <c r="H131" t="s">
        <v>478</v>
      </c>
      <c r="I131" s="29">
        <v>46313.872928240744</v>
      </c>
      <c r="J131" t="s">
        <v>41</v>
      </c>
      <c r="K131" s="29">
        <v>46313.86613425926</v>
      </c>
      <c r="L131">
        <v>33</v>
      </c>
      <c r="O131" s="29">
        <v>46313.865624999999</v>
      </c>
      <c r="P131" t="s">
        <v>43</v>
      </c>
      <c r="Q131" t="s">
        <v>69</v>
      </c>
      <c r="R131" t="s">
        <v>479</v>
      </c>
      <c r="S131">
        <v>4247</v>
      </c>
      <c r="T131" t="s">
        <v>41</v>
      </c>
      <c r="U131" s="29">
        <v>46313.874560185184</v>
      </c>
      <c r="V131" s="29">
        <v>46313.87363425926</v>
      </c>
      <c r="W131" t="s">
        <v>480</v>
      </c>
      <c r="X131">
        <v>22411</v>
      </c>
      <c r="Z131">
        <v>0</v>
      </c>
      <c r="AA131" s="30">
        <v>0.87222222222222223</v>
      </c>
      <c r="AB131">
        <v>1</v>
      </c>
      <c r="AC131" t="s">
        <v>41</v>
      </c>
    </row>
    <row r="132" spans="1:29">
      <c r="A132" t="s">
        <v>40</v>
      </c>
      <c r="B132" s="29">
        <v>46313.871990740743</v>
      </c>
      <c r="C132">
        <v>290</v>
      </c>
      <c r="D132" t="s">
        <v>41</v>
      </c>
      <c r="E132">
        <v>0</v>
      </c>
      <c r="F132" t="s">
        <v>41</v>
      </c>
      <c r="G132" t="s">
        <v>41</v>
      </c>
      <c r="H132" t="s">
        <v>481</v>
      </c>
      <c r="I132" s="29">
        <v>46313.872175925928</v>
      </c>
      <c r="J132" t="s">
        <v>41</v>
      </c>
      <c r="K132" s="29">
        <v>46313.866053240738</v>
      </c>
      <c r="L132">
        <v>17</v>
      </c>
      <c r="O132" s="29">
        <v>46313.865185185183</v>
      </c>
      <c r="P132" t="s">
        <v>43</v>
      </c>
      <c r="Q132" t="s">
        <v>44</v>
      </c>
      <c r="R132" t="s">
        <v>482</v>
      </c>
      <c r="S132">
        <v>4247</v>
      </c>
      <c r="T132" t="s">
        <v>41</v>
      </c>
      <c r="U132" s="29">
        <v>46313.873506944445</v>
      </c>
      <c r="V132" s="29">
        <v>46313.87222222222</v>
      </c>
      <c r="W132" t="s">
        <v>483</v>
      </c>
      <c r="X132">
        <v>22411</v>
      </c>
      <c r="Z132">
        <v>0</v>
      </c>
      <c r="AA132" s="30">
        <v>0.87152777777777779</v>
      </c>
      <c r="AB132">
        <v>0</v>
      </c>
      <c r="AC132" t="s">
        <v>41</v>
      </c>
    </row>
    <row r="133" spans="1:29">
      <c r="A133" t="s">
        <v>347</v>
      </c>
      <c r="B133" s="29">
        <v>46313.871574074074</v>
      </c>
      <c r="C133">
        <v>4039</v>
      </c>
      <c r="D133" t="s">
        <v>41</v>
      </c>
      <c r="E133">
        <v>11</v>
      </c>
      <c r="F133" t="s">
        <v>41</v>
      </c>
      <c r="G133" t="s">
        <v>41</v>
      </c>
      <c r="H133" t="s">
        <v>484</v>
      </c>
      <c r="I133" s="29">
        <v>46313.871782407405</v>
      </c>
      <c r="J133" t="s">
        <v>41</v>
      </c>
      <c r="K133" s="29">
        <v>46313.864675925928</v>
      </c>
      <c r="L133">
        <v>18</v>
      </c>
      <c r="O133" s="29">
        <v>46313.864212962966</v>
      </c>
      <c r="P133" t="s">
        <v>43</v>
      </c>
      <c r="Q133" t="s">
        <v>349</v>
      </c>
      <c r="R133" t="s">
        <v>485</v>
      </c>
      <c r="S133">
        <v>4247</v>
      </c>
      <c r="T133" t="s">
        <v>41</v>
      </c>
      <c r="U133" s="29">
        <v>46313.881886574076</v>
      </c>
      <c r="V133" s="29">
        <v>46313.879421296297</v>
      </c>
      <c r="W133" t="s">
        <v>486</v>
      </c>
      <c r="X133">
        <v>22411</v>
      </c>
      <c r="Z133">
        <v>0</v>
      </c>
      <c r="AA133" s="30">
        <v>0.87152777777777779</v>
      </c>
      <c r="AB133">
        <v>11</v>
      </c>
      <c r="AC133" t="s">
        <v>41</v>
      </c>
    </row>
    <row r="134" spans="1:29">
      <c r="A134" t="s">
        <v>106</v>
      </c>
      <c r="B134" s="29">
        <v>46313.870127314818</v>
      </c>
      <c r="C134">
        <v>1252</v>
      </c>
      <c r="D134" t="s">
        <v>41</v>
      </c>
      <c r="E134">
        <v>6</v>
      </c>
      <c r="F134" t="s">
        <v>41</v>
      </c>
      <c r="G134" t="s">
        <v>41</v>
      </c>
      <c r="H134" t="s">
        <v>487</v>
      </c>
      <c r="I134" s="29">
        <v>46313.870451388888</v>
      </c>
      <c r="J134" t="s">
        <v>41</v>
      </c>
      <c r="K134" s="29">
        <v>46313.865740740737</v>
      </c>
      <c r="L134">
        <v>29</v>
      </c>
      <c r="O134" s="29">
        <v>46313.864155092589</v>
      </c>
      <c r="P134" t="s">
        <v>43</v>
      </c>
      <c r="Q134" t="s">
        <v>108</v>
      </c>
      <c r="R134" t="s">
        <v>488</v>
      </c>
      <c r="S134">
        <v>4247</v>
      </c>
      <c r="T134" t="s">
        <v>41</v>
      </c>
      <c r="U134" s="29">
        <v>46313.874513888892</v>
      </c>
      <c r="V134" s="29">
        <v>46313.874085648145</v>
      </c>
      <c r="W134" t="s">
        <v>489</v>
      </c>
      <c r="X134">
        <v>22411</v>
      </c>
      <c r="Z134">
        <v>0</v>
      </c>
      <c r="AA134" s="30">
        <v>0.86944444444444446</v>
      </c>
      <c r="AB134">
        <v>5</v>
      </c>
      <c r="AC134" t="s">
        <v>41</v>
      </c>
    </row>
    <row r="135" spans="1:29">
      <c r="A135" t="s">
        <v>77</v>
      </c>
      <c r="B135" s="29">
        <v>46313.869467592594</v>
      </c>
      <c r="C135">
        <v>1314</v>
      </c>
      <c r="D135" t="s">
        <v>41</v>
      </c>
      <c r="E135">
        <v>4</v>
      </c>
      <c r="F135" t="s">
        <v>41</v>
      </c>
      <c r="G135" t="s">
        <v>41</v>
      </c>
      <c r="H135" t="s">
        <v>490</v>
      </c>
      <c r="I135" s="29">
        <v>46313.869849537034</v>
      </c>
      <c r="J135" t="s">
        <v>41</v>
      </c>
      <c r="K135" s="29">
        <v>46313.864027777781</v>
      </c>
      <c r="L135">
        <v>33</v>
      </c>
      <c r="O135" s="29">
        <v>46313.863275462965</v>
      </c>
      <c r="P135" t="s">
        <v>43</v>
      </c>
      <c r="Q135" t="s">
        <v>79</v>
      </c>
      <c r="R135" t="s">
        <v>491</v>
      </c>
      <c r="S135">
        <v>4247</v>
      </c>
      <c r="T135" t="s">
        <v>41</v>
      </c>
      <c r="U135" s="29">
        <v>46313.874212962961</v>
      </c>
      <c r="V135" s="29">
        <v>46313.872407407405</v>
      </c>
      <c r="W135" t="s">
        <v>492</v>
      </c>
      <c r="X135">
        <v>22411</v>
      </c>
      <c r="Z135">
        <v>0</v>
      </c>
      <c r="AA135" s="30">
        <v>0.86944444444444446</v>
      </c>
      <c r="AB135">
        <v>4</v>
      </c>
      <c r="AC135" t="s">
        <v>41</v>
      </c>
    </row>
    <row r="136" spans="1:29">
      <c r="A136" t="s">
        <v>125</v>
      </c>
      <c r="B136" s="29">
        <v>46313.869502314818</v>
      </c>
      <c r="C136">
        <v>1665</v>
      </c>
      <c r="D136" t="s">
        <v>41</v>
      </c>
      <c r="E136">
        <v>6</v>
      </c>
      <c r="F136" t="s">
        <v>41</v>
      </c>
      <c r="G136" t="s">
        <v>41</v>
      </c>
      <c r="H136" t="s">
        <v>493</v>
      </c>
      <c r="I136" s="29">
        <v>46313.869791666664</v>
      </c>
      <c r="J136" t="s">
        <v>41</v>
      </c>
      <c r="K136" s="29">
        <v>46313.865266203706</v>
      </c>
      <c r="L136">
        <v>25</v>
      </c>
      <c r="O136" s="29">
        <v>46313.86310185185</v>
      </c>
      <c r="P136" t="s">
        <v>43</v>
      </c>
      <c r="Q136" t="s">
        <v>3006</v>
      </c>
      <c r="R136" t="s">
        <v>494</v>
      </c>
      <c r="S136">
        <v>4247</v>
      </c>
      <c r="T136" t="s">
        <v>41</v>
      </c>
      <c r="U136" s="29">
        <v>46313.874143518522</v>
      </c>
      <c r="V136" s="29">
        <v>46313.873622685183</v>
      </c>
      <c r="W136" t="s">
        <v>495</v>
      </c>
      <c r="X136">
        <v>22411</v>
      </c>
      <c r="Z136">
        <v>0</v>
      </c>
      <c r="AA136" s="30">
        <v>0.86944444444444446</v>
      </c>
      <c r="AB136">
        <v>6</v>
      </c>
      <c r="AC136" t="s">
        <v>41</v>
      </c>
    </row>
    <row r="137" spans="1:29">
      <c r="A137" t="s">
        <v>52</v>
      </c>
      <c r="B137" s="29">
        <v>46313.868125000001</v>
      </c>
      <c r="C137">
        <v>2457</v>
      </c>
      <c r="D137" t="s">
        <v>41</v>
      </c>
      <c r="E137">
        <v>6</v>
      </c>
      <c r="F137" t="s">
        <v>41</v>
      </c>
      <c r="G137" t="s">
        <v>41</v>
      </c>
      <c r="H137" t="s">
        <v>496</v>
      </c>
      <c r="I137" s="29">
        <v>46313.868495370371</v>
      </c>
      <c r="J137" t="s">
        <v>41</v>
      </c>
      <c r="K137" s="29">
        <v>46313.86378472222</v>
      </c>
      <c r="L137">
        <v>32</v>
      </c>
      <c r="O137" s="29">
        <v>46313.862719907411</v>
      </c>
      <c r="P137" t="s">
        <v>43</v>
      </c>
      <c r="Q137" t="s">
        <v>54</v>
      </c>
      <c r="R137" t="s">
        <v>497</v>
      </c>
      <c r="S137">
        <v>4247</v>
      </c>
      <c r="T137" t="s">
        <v>41</v>
      </c>
      <c r="U137" s="29">
        <v>46313.874189814815</v>
      </c>
      <c r="V137" s="29">
        <v>46313.872581018521</v>
      </c>
      <c r="W137" t="s">
        <v>498</v>
      </c>
      <c r="X137">
        <v>22411</v>
      </c>
      <c r="Z137">
        <v>0</v>
      </c>
      <c r="AA137" s="30">
        <v>0.86805555555555547</v>
      </c>
      <c r="AB137">
        <v>6</v>
      </c>
      <c r="AC137" t="s">
        <v>41</v>
      </c>
    </row>
    <row r="138" spans="1:29">
      <c r="A138" t="s">
        <v>98</v>
      </c>
      <c r="B138" s="29">
        <v>46313.86787037037</v>
      </c>
      <c r="C138">
        <v>1604</v>
      </c>
      <c r="D138" t="s">
        <v>41</v>
      </c>
      <c r="E138">
        <v>4</v>
      </c>
      <c r="F138" t="s">
        <v>41</v>
      </c>
      <c r="G138" t="s">
        <v>41</v>
      </c>
      <c r="H138" t="s">
        <v>499</v>
      </c>
      <c r="I138" s="29">
        <v>46313.868159722224</v>
      </c>
      <c r="J138" t="s">
        <v>41</v>
      </c>
      <c r="K138" s="29">
        <v>46313.864282407405</v>
      </c>
      <c r="L138">
        <v>26</v>
      </c>
      <c r="O138" s="29">
        <v>46313.861631944441</v>
      </c>
      <c r="P138" t="s">
        <v>43</v>
      </c>
      <c r="Q138" t="s">
        <v>3005</v>
      </c>
      <c r="R138" t="s">
        <v>500</v>
      </c>
      <c r="S138">
        <v>4247</v>
      </c>
      <c r="T138" t="s">
        <v>41</v>
      </c>
      <c r="U138" s="29">
        <v>46313.873043981483</v>
      </c>
      <c r="V138" s="29">
        <v>46313.870775462965</v>
      </c>
      <c r="W138" t="s">
        <v>501</v>
      </c>
      <c r="X138">
        <v>22411</v>
      </c>
      <c r="Z138">
        <v>0</v>
      </c>
      <c r="AA138" s="30">
        <v>0.86736111111111114</v>
      </c>
      <c r="AB138">
        <v>4</v>
      </c>
      <c r="AC138" t="s">
        <v>41</v>
      </c>
    </row>
    <row r="139" spans="1:29">
      <c r="A139" t="s">
        <v>198</v>
      </c>
      <c r="B139" s="29">
        <v>46313.86619212963</v>
      </c>
      <c r="C139">
        <v>2354</v>
      </c>
      <c r="D139" t="s">
        <v>41</v>
      </c>
      <c r="E139">
        <v>8</v>
      </c>
      <c r="F139" t="s">
        <v>41</v>
      </c>
      <c r="G139" t="s">
        <v>41</v>
      </c>
      <c r="H139" t="s">
        <v>502</v>
      </c>
      <c r="I139" s="29">
        <v>46313.866539351853</v>
      </c>
      <c r="J139" t="s">
        <v>41</v>
      </c>
      <c r="K139" s="29">
        <v>46313.864687499998</v>
      </c>
      <c r="L139">
        <v>30</v>
      </c>
      <c r="O139" s="29">
        <v>46313.861446759256</v>
      </c>
      <c r="P139" t="s">
        <v>43</v>
      </c>
      <c r="Q139" t="s">
        <v>3008</v>
      </c>
      <c r="R139" t="s">
        <v>503</v>
      </c>
      <c r="S139">
        <v>4247</v>
      </c>
      <c r="T139" t="s">
        <v>41</v>
      </c>
      <c r="U139" s="29">
        <v>46313.872303240743</v>
      </c>
      <c r="V139" s="29">
        <v>46313.871712962966</v>
      </c>
      <c r="W139" t="s">
        <v>504</v>
      </c>
      <c r="X139">
        <v>22411</v>
      </c>
      <c r="Z139">
        <v>0</v>
      </c>
      <c r="AA139" s="30">
        <v>0.86597222222222225</v>
      </c>
      <c r="AB139">
        <v>7</v>
      </c>
      <c r="AC139" t="s">
        <v>41</v>
      </c>
    </row>
    <row r="140" spans="1:29">
      <c r="A140" t="s">
        <v>82</v>
      </c>
      <c r="B140" s="29">
        <v>46313.866006944445</v>
      </c>
      <c r="C140">
        <v>1022</v>
      </c>
      <c r="D140" t="s">
        <v>41</v>
      </c>
      <c r="E140">
        <v>3</v>
      </c>
      <c r="F140" t="s">
        <v>41</v>
      </c>
      <c r="G140" t="s">
        <v>41</v>
      </c>
      <c r="H140" t="s">
        <v>505</v>
      </c>
      <c r="I140" s="29">
        <v>46313.866261574076</v>
      </c>
      <c r="J140" t="s">
        <v>41</v>
      </c>
      <c r="K140" s="29">
        <v>46313.862256944441</v>
      </c>
      <c r="L140">
        <v>22</v>
      </c>
      <c r="O140" s="29">
        <v>46313.86142361111</v>
      </c>
      <c r="P140" t="s">
        <v>43</v>
      </c>
      <c r="Q140" t="s">
        <v>84</v>
      </c>
      <c r="R140" t="s">
        <v>506</v>
      </c>
      <c r="S140">
        <v>4247</v>
      </c>
      <c r="T140" t="s">
        <v>41</v>
      </c>
      <c r="U140" s="29">
        <v>46313.868900462963</v>
      </c>
      <c r="V140" s="29">
        <v>46313.868391203701</v>
      </c>
      <c r="W140" t="s">
        <v>507</v>
      </c>
      <c r="X140">
        <v>22411</v>
      </c>
      <c r="Z140">
        <v>0</v>
      </c>
      <c r="AA140" s="30">
        <v>0.86597222222222225</v>
      </c>
      <c r="AB140">
        <v>3</v>
      </c>
      <c r="AC140" t="s">
        <v>41</v>
      </c>
    </row>
    <row r="141" spans="1:29">
      <c r="A141" t="s">
        <v>67</v>
      </c>
      <c r="B141" s="29">
        <v>46313.865752314814</v>
      </c>
      <c r="C141">
        <v>365</v>
      </c>
      <c r="D141" t="s">
        <v>41</v>
      </c>
      <c r="E141">
        <v>3</v>
      </c>
      <c r="F141" t="s">
        <v>41</v>
      </c>
      <c r="G141" t="s">
        <v>41</v>
      </c>
      <c r="H141" t="s">
        <v>508</v>
      </c>
      <c r="I141" s="29">
        <v>46313.86614583333</v>
      </c>
      <c r="J141" t="s">
        <v>41</v>
      </c>
      <c r="K141" s="29">
        <v>46313.863206018519</v>
      </c>
      <c r="L141">
        <v>34</v>
      </c>
      <c r="O141" s="29">
        <v>46313.860381944447</v>
      </c>
      <c r="P141" t="s">
        <v>43</v>
      </c>
      <c r="Q141" t="s">
        <v>69</v>
      </c>
      <c r="R141" t="s">
        <v>509</v>
      </c>
      <c r="S141">
        <v>4247</v>
      </c>
      <c r="T141" t="s">
        <v>41</v>
      </c>
      <c r="U141" s="29">
        <v>46313.867835648147</v>
      </c>
      <c r="V141" s="29">
        <v>46313.86755787037</v>
      </c>
      <c r="W141" t="s">
        <v>510</v>
      </c>
      <c r="X141">
        <v>22411</v>
      </c>
      <c r="Z141">
        <v>0</v>
      </c>
      <c r="AA141" s="30">
        <v>0.8652777777777777</v>
      </c>
      <c r="AB141">
        <v>2</v>
      </c>
      <c r="AC141" t="s">
        <v>41</v>
      </c>
    </row>
    <row r="142" spans="1:29">
      <c r="A142" t="s">
        <v>117</v>
      </c>
      <c r="B142" s="29">
        <v>46313.865601851852</v>
      </c>
      <c r="C142">
        <v>3269</v>
      </c>
      <c r="D142" t="s">
        <v>41</v>
      </c>
      <c r="E142">
        <v>10</v>
      </c>
      <c r="F142" t="s">
        <v>41</v>
      </c>
      <c r="G142" t="s">
        <v>41</v>
      </c>
      <c r="H142" t="s">
        <v>511</v>
      </c>
      <c r="I142" s="29">
        <v>46313.865949074076</v>
      </c>
      <c r="J142" t="s">
        <v>41</v>
      </c>
      <c r="K142" s="29">
        <v>46313.861215277779</v>
      </c>
      <c r="L142">
        <v>30</v>
      </c>
      <c r="O142" s="29">
        <v>46313.860092592593</v>
      </c>
      <c r="P142" t="s">
        <v>43</v>
      </c>
      <c r="Q142" t="s">
        <v>119</v>
      </c>
      <c r="R142" t="s">
        <v>512</v>
      </c>
      <c r="S142">
        <v>4247</v>
      </c>
      <c r="T142" t="s">
        <v>41</v>
      </c>
      <c r="U142" s="29">
        <v>46313.873912037037</v>
      </c>
      <c r="V142" s="29">
        <v>46313.872256944444</v>
      </c>
      <c r="W142" t="s">
        <v>513</v>
      </c>
      <c r="X142">
        <v>22411</v>
      </c>
      <c r="Z142">
        <v>0</v>
      </c>
      <c r="AA142" s="30">
        <v>0.8652777777777777</v>
      </c>
      <c r="AB142">
        <v>9</v>
      </c>
      <c r="AC142" t="s">
        <v>41</v>
      </c>
    </row>
    <row r="143" spans="1:29">
      <c r="A143" t="s">
        <v>157</v>
      </c>
      <c r="B143" s="29">
        <v>46313.864849537036</v>
      </c>
      <c r="C143">
        <v>1911</v>
      </c>
      <c r="D143" t="s">
        <v>41</v>
      </c>
      <c r="E143">
        <v>6</v>
      </c>
      <c r="F143" t="s">
        <v>41</v>
      </c>
      <c r="G143" t="s">
        <v>41</v>
      </c>
      <c r="H143" t="s">
        <v>514</v>
      </c>
      <c r="I143" s="29">
        <v>46313.865312499998</v>
      </c>
      <c r="J143" t="s">
        <v>41</v>
      </c>
      <c r="K143" s="29">
        <v>46313.861574074072</v>
      </c>
      <c r="L143">
        <v>40</v>
      </c>
      <c r="O143" s="29">
        <v>46313.859965277778</v>
      </c>
      <c r="P143" t="s">
        <v>43</v>
      </c>
      <c r="Q143" t="s">
        <v>159</v>
      </c>
      <c r="R143" t="s">
        <v>515</v>
      </c>
      <c r="S143">
        <v>4247</v>
      </c>
      <c r="T143" t="s">
        <v>41</v>
      </c>
      <c r="U143" s="29">
        <v>46313.870381944442</v>
      </c>
      <c r="V143" s="29">
        <v>46313.869305555556</v>
      </c>
      <c r="W143" t="s">
        <v>516</v>
      </c>
      <c r="X143">
        <v>22411</v>
      </c>
      <c r="Z143">
        <v>0</v>
      </c>
      <c r="AA143" s="30">
        <v>0.86458333333333337</v>
      </c>
      <c r="AB143">
        <v>6</v>
      </c>
      <c r="AC143" t="s">
        <v>41</v>
      </c>
    </row>
    <row r="144" spans="1:29">
      <c r="A144" t="s">
        <v>190</v>
      </c>
      <c r="B144" s="29">
        <v>46313.86445601852</v>
      </c>
      <c r="C144">
        <v>2218</v>
      </c>
      <c r="D144" t="s">
        <v>41</v>
      </c>
      <c r="E144">
        <v>7</v>
      </c>
      <c r="F144" t="s">
        <v>41</v>
      </c>
      <c r="G144" t="s">
        <v>41</v>
      </c>
      <c r="H144" t="s">
        <v>517</v>
      </c>
      <c r="I144" s="29">
        <v>46313.864907407406</v>
      </c>
      <c r="J144" t="s">
        <v>41</v>
      </c>
      <c r="K144" s="29">
        <v>46313.860648148147</v>
      </c>
      <c r="L144">
        <v>39</v>
      </c>
      <c r="O144" s="29">
        <v>46313.859375</v>
      </c>
      <c r="P144" t="s">
        <v>43</v>
      </c>
      <c r="Q144" t="s">
        <v>192</v>
      </c>
      <c r="R144" t="s">
        <v>518</v>
      </c>
      <c r="S144">
        <v>4247</v>
      </c>
      <c r="T144" t="s">
        <v>41</v>
      </c>
      <c r="U144" s="29">
        <v>46313.870393518519</v>
      </c>
      <c r="V144" s="29">
        <v>46313.86917824074</v>
      </c>
      <c r="W144" t="s">
        <v>519</v>
      </c>
      <c r="X144">
        <v>22411</v>
      </c>
      <c r="Z144">
        <v>0</v>
      </c>
      <c r="AA144" s="30">
        <v>0.86388888888888893</v>
      </c>
      <c r="AB144">
        <v>6</v>
      </c>
      <c r="AC144" t="s">
        <v>41</v>
      </c>
    </row>
    <row r="145" spans="1:29">
      <c r="A145" t="s">
        <v>303</v>
      </c>
      <c r="B145" s="29">
        <v>46313.864004629628</v>
      </c>
      <c r="C145">
        <v>2311</v>
      </c>
      <c r="D145" t="s">
        <v>41</v>
      </c>
      <c r="E145">
        <v>15</v>
      </c>
      <c r="F145" t="s">
        <v>41</v>
      </c>
      <c r="G145" t="s">
        <v>41</v>
      </c>
      <c r="H145" t="s">
        <v>520</v>
      </c>
      <c r="I145" s="29">
        <v>46313.864317129628</v>
      </c>
      <c r="J145" t="s">
        <v>41</v>
      </c>
      <c r="K145" s="29">
        <v>46313.862233796295</v>
      </c>
      <c r="L145">
        <v>27</v>
      </c>
      <c r="O145" s="29">
        <v>46313.859351851854</v>
      </c>
      <c r="P145" t="s">
        <v>43</v>
      </c>
      <c r="Q145" t="s">
        <v>305</v>
      </c>
      <c r="R145" t="s">
        <v>521</v>
      </c>
      <c r="S145">
        <v>4247</v>
      </c>
      <c r="T145" t="s">
        <v>41</v>
      </c>
      <c r="U145" s="29">
        <v>46313.871574074074</v>
      </c>
      <c r="V145" s="29">
        <v>46313.874571759261</v>
      </c>
      <c r="W145" t="s">
        <v>522</v>
      </c>
      <c r="X145">
        <v>22411</v>
      </c>
      <c r="Z145">
        <v>0</v>
      </c>
      <c r="AA145" s="30">
        <v>0.86388888888888893</v>
      </c>
      <c r="AB145">
        <v>15</v>
      </c>
      <c r="AC145" t="s">
        <v>41</v>
      </c>
    </row>
    <row r="146" spans="1:29">
      <c r="A146" t="s">
        <v>339</v>
      </c>
      <c r="B146" s="29">
        <v>46313.863229166665</v>
      </c>
      <c r="C146">
        <v>3647</v>
      </c>
      <c r="D146" t="s">
        <v>41</v>
      </c>
      <c r="E146">
        <v>10</v>
      </c>
      <c r="F146" t="s">
        <v>41</v>
      </c>
      <c r="G146" t="s">
        <v>41</v>
      </c>
      <c r="H146" t="s">
        <v>523</v>
      </c>
      <c r="I146" s="29">
        <v>46313.863645833335</v>
      </c>
      <c r="J146" t="s">
        <v>41</v>
      </c>
      <c r="K146" s="29">
        <v>46313.860405092593</v>
      </c>
      <c r="L146">
        <v>36</v>
      </c>
      <c r="O146" s="29">
        <v>46313.859340277777</v>
      </c>
      <c r="P146" t="s">
        <v>43</v>
      </c>
      <c r="Q146" t="s">
        <v>341</v>
      </c>
      <c r="R146" t="s">
        <v>524</v>
      </c>
      <c r="S146">
        <v>4247</v>
      </c>
      <c r="T146" t="s">
        <v>41</v>
      </c>
      <c r="U146" s="29">
        <v>46313.872291666667</v>
      </c>
      <c r="V146" s="29">
        <v>46313.870416666665</v>
      </c>
      <c r="W146" t="s">
        <v>525</v>
      </c>
      <c r="X146">
        <v>22411</v>
      </c>
      <c r="Z146">
        <v>0</v>
      </c>
      <c r="AA146" s="30">
        <v>0.86319444444444438</v>
      </c>
      <c r="AB146">
        <v>10</v>
      </c>
      <c r="AC146" t="s">
        <v>41</v>
      </c>
    </row>
    <row r="147" spans="1:29">
      <c r="A147" t="s">
        <v>72</v>
      </c>
      <c r="B147" s="29">
        <v>46313.862523148149</v>
      </c>
      <c r="C147">
        <v>422</v>
      </c>
      <c r="D147" t="s">
        <v>41</v>
      </c>
      <c r="E147">
        <v>2</v>
      </c>
      <c r="F147" t="s">
        <v>41</v>
      </c>
      <c r="G147" t="s">
        <v>41</v>
      </c>
      <c r="H147" t="s">
        <v>526</v>
      </c>
      <c r="I147" s="29">
        <v>46313.86278935185</v>
      </c>
      <c r="J147" t="s">
        <v>41</v>
      </c>
      <c r="K147" s="29">
        <v>46313.860196759262</v>
      </c>
      <c r="L147">
        <v>23</v>
      </c>
      <c r="O147" s="29">
        <v>46313.858773148146</v>
      </c>
      <c r="P147" t="s">
        <v>43</v>
      </c>
      <c r="Q147" t="s">
        <v>74</v>
      </c>
      <c r="R147" t="s">
        <v>527</v>
      </c>
      <c r="S147">
        <v>4247</v>
      </c>
      <c r="T147" t="s">
        <v>41</v>
      </c>
      <c r="U147" s="29">
        <v>46313.864421296297</v>
      </c>
      <c r="V147" s="29">
        <v>46313.86377314815</v>
      </c>
      <c r="W147" t="s">
        <v>528</v>
      </c>
      <c r="X147">
        <v>22411</v>
      </c>
      <c r="Z147">
        <v>0</v>
      </c>
      <c r="AA147" s="30">
        <v>0.86249999999999993</v>
      </c>
      <c r="AB147">
        <v>1</v>
      </c>
      <c r="AC147" t="s">
        <v>41</v>
      </c>
    </row>
    <row r="148" spans="1:29">
      <c r="A148" t="s">
        <v>47</v>
      </c>
      <c r="B148" s="29">
        <v>46313.861064814817</v>
      </c>
      <c r="C148">
        <v>1062</v>
      </c>
      <c r="D148" t="s">
        <v>41</v>
      </c>
      <c r="E148">
        <v>3</v>
      </c>
      <c r="F148" t="s">
        <v>41</v>
      </c>
      <c r="G148" t="s">
        <v>41</v>
      </c>
      <c r="H148" t="s">
        <v>529</v>
      </c>
      <c r="I148" s="29">
        <v>46313.861342592594</v>
      </c>
      <c r="J148" t="s">
        <v>41</v>
      </c>
      <c r="K148" s="29">
        <v>46313.85832175926</v>
      </c>
      <c r="L148">
        <v>24</v>
      </c>
      <c r="O148" s="29">
        <v>46313.85738425926</v>
      </c>
      <c r="P148" t="s">
        <v>43</v>
      </c>
      <c r="Q148" t="s">
        <v>49</v>
      </c>
      <c r="R148" t="s">
        <v>530</v>
      </c>
      <c r="S148">
        <v>4247</v>
      </c>
      <c r="T148" t="s">
        <v>41</v>
      </c>
      <c r="U148" s="29">
        <v>46313.864687499998</v>
      </c>
      <c r="V148" s="29">
        <v>46313.863321759258</v>
      </c>
      <c r="W148" t="s">
        <v>531</v>
      </c>
      <c r="X148">
        <v>22411</v>
      </c>
      <c r="Z148">
        <v>0</v>
      </c>
      <c r="AA148" s="30">
        <v>0.86041666666666661</v>
      </c>
      <c r="AB148">
        <v>3</v>
      </c>
      <c r="AC148" t="s">
        <v>41</v>
      </c>
    </row>
    <row r="149" spans="1:29">
      <c r="A149" t="s">
        <v>52</v>
      </c>
      <c r="B149" s="29">
        <v>46313.860856481479</v>
      </c>
      <c r="C149">
        <v>765</v>
      </c>
      <c r="D149" t="s">
        <v>41</v>
      </c>
      <c r="E149">
        <v>3</v>
      </c>
      <c r="F149" t="s">
        <v>41</v>
      </c>
      <c r="G149" t="s">
        <v>41</v>
      </c>
      <c r="H149" t="s">
        <v>532</v>
      </c>
      <c r="I149" s="29">
        <v>46313.861388888887</v>
      </c>
      <c r="J149" t="s">
        <v>41</v>
      </c>
      <c r="K149" s="29">
        <v>46313.858611111114</v>
      </c>
      <c r="L149">
        <v>46</v>
      </c>
      <c r="O149" s="29">
        <v>46313.857314814813</v>
      </c>
      <c r="P149" t="s">
        <v>43</v>
      </c>
      <c r="Q149" t="s">
        <v>54</v>
      </c>
      <c r="R149" t="s">
        <v>533</v>
      </c>
      <c r="S149">
        <v>4247</v>
      </c>
      <c r="T149" t="s">
        <v>41</v>
      </c>
      <c r="U149" s="29">
        <v>46313.86414351852</v>
      </c>
      <c r="V149" s="29">
        <v>46313.86310185185</v>
      </c>
      <c r="W149" t="s">
        <v>534</v>
      </c>
      <c r="X149">
        <v>22411</v>
      </c>
      <c r="Z149">
        <v>0</v>
      </c>
      <c r="AA149" s="30">
        <v>0.86041666666666661</v>
      </c>
      <c r="AB149">
        <v>2</v>
      </c>
      <c r="AC149" t="s">
        <v>41</v>
      </c>
    </row>
    <row r="150" spans="1:29">
      <c r="A150" t="s">
        <v>198</v>
      </c>
      <c r="B150" s="29">
        <v>46313.860821759263</v>
      </c>
      <c r="C150">
        <v>207</v>
      </c>
      <c r="D150" t="s">
        <v>41</v>
      </c>
      <c r="E150">
        <v>1</v>
      </c>
      <c r="F150" t="s">
        <v>41</v>
      </c>
      <c r="G150" t="s">
        <v>41</v>
      </c>
      <c r="H150" t="s">
        <v>535</v>
      </c>
      <c r="I150" s="29">
        <v>46313.86109953704</v>
      </c>
      <c r="J150" t="s">
        <v>41</v>
      </c>
      <c r="K150" s="29">
        <v>46313.857905092591</v>
      </c>
      <c r="L150">
        <v>24</v>
      </c>
      <c r="O150" s="29">
        <v>46313.857152777775</v>
      </c>
      <c r="P150" t="s">
        <v>43</v>
      </c>
      <c r="Q150" t="s">
        <v>3008</v>
      </c>
      <c r="R150" t="s">
        <v>536</v>
      </c>
      <c r="S150">
        <v>4247</v>
      </c>
      <c r="T150" t="s">
        <v>41</v>
      </c>
      <c r="U150" s="29">
        <v>46313.862268518518</v>
      </c>
      <c r="V150" s="29">
        <v>46313.861226851855</v>
      </c>
      <c r="W150" t="s">
        <v>537</v>
      </c>
      <c r="X150">
        <v>22411</v>
      </c>
      <c r="Z150">
        <v>0</v>
      </c>
      <c r="AA150" s="30">
        <v>0.86041666666666661</v>
      </c>
      <c r="AB150">
        <v>0</v>
      </c>
      <c r="AC150" t="s">
        <v>41</v>
      </c>
    </row>
    <row r="151" spans="1:29">
      <c r="A151" t="s">
        <v>177</v>
      </c>
      <c r="B151" s="29">
        <v>46313.859953703701</v>
      </c>
      <c r="C151">
        <v>813</v>
      </c>
      <c r="D151" t="s">
        <v>41</v>
      </c>
      <c r="E151">
        <v>3</v>
      </c>
      <c r="F151" t="s">
        <v>41</v>
      </c>
      <c r="G151" t="s">
        <v>41</v>
      </c>
      <c r="H151" t="s">
        <v>532</v>
      </c>
      <c r="I151" s="29">
        <v>46313.860335648147</v>
      </c>
      <c r="J151" t="s">
        <v>41</v>
      </c>
      <c r="K151" s="29">
        <v>46313.85765046296</v>
      </c>
      <c r="L151">
        <v>33</v>
      </c>
      <c r="O151" s="29">
        <v>46313.857094907406</v>
      </c>
      <c r="P151" t="s">
        <v>43</v>
      </c>
      <c r="Q151" t="s">
        <v>179</v>
      </c>
      <c r="R151" t="s">
        <v>538</v>
      </c>
      <c r="S151">
        <v>4247</v>
      </c>
      <c r="T151" t="s">
        <v>41</v>
      </c>
      <c r="U151" s="29">
        <v>46313.86309027778</v>
      </c>
      <c r="V151" s="29">
        <v>46313.862037037034</v>
      </c>
      <c r="W151" t="s">
        <v>539</v>
      </c>
      <c r="X151">
        <v>22411</v>
      </c>
      <c r="Z151">
        <v>0</v>
      </c>
      <c r="AA151" s="30">
        <v>0.85972222222222217</v>
      </c>
      <c r="AB151">
        <v>2</v>
      </c>
      <c r="AC151" t="s">
        <v>41</v>
      </c>
    </row>
    <row r="152" spans="1:29">
      <c r="A152" t="s">
        <v>235</v>
      </c>
      <c r="B152" s="29">
        <v>46313.859722222223</v>
      </c>
      <c r="C152">
        <v>2456</v>
      </c>
      <c r="D152" t="s">
        <v>41</v>
      </c>
      <c r="E152">
        <v>18</v>
      </c>
      <c r="F152" t="s">
        <v>41</v>
      </c>
      <c r="G152" t="s">
        <v>41</v>
      </c>
      <c r="H152" t="s">
        <v>540</v>
      </c>
      <c r="I152" s="29">
        <v>46313.860266203701</v>
      </c>
      <c r="J152" t="s">
        <v>41</v>
      </c>
      <c r="K152" s="29">
        <v>46313.857129629629</v>
      </c>
      <c r="L152">
        <v>47</v>
      </c>
      <c r="O152" s="29">
        <v>46313.855706018519</v>
      </c>
      <c r="P152" t="s">
        <v>43</v>
      </c>
      <c r="Q152" t="s">
        <v>3009</v>
      </c>
      <c r="R152" t="s">
        <v>541</v>
      </c>
      <c r="S152">
        <v>4247</v>
      </c>
      <c r="T152" t="s">
        <v>41</v>
      </c>
      <c r="U152" s="29">
        <v>46313.866157407407</v>
      </c>
      <c r="V152" s="29">
        <v>46313.872129629628</v>
      </c>
      <c r="W152" t="s">
        <v>542</v>
      </c>
      <c r="X152">
        <v>22411</v>
      </c>
      <c r="Z152">
        <v>0</v>
      </c>
      <c r="AA152" s="30">
        <v>0.85972222222222217</v>
      </c>
      <c r="AB152">
        <v>17</v>
      </c>
      <c r="AC152" t="s">
        <v>41</v>
      </c>
    </row>
    <row r="153" spans="1:29">
      <c r="A153" t="s">
        <v>209</v>
      </c>
      <c r="B153" s="29">
        <v>46313.858784722222</v>
      </c>
      <c r="C153">
        <v>2232</v>
      </c>
      <c r="D153" t="s">
        <v>41</v>
      </c>
      <c r="E153">
        <v>8</v>
      </c>
      <c r="F153" t="s">
        <v>41</v>
      </c>
      <c r="G153" t="s">
        <v>41</v>
      </c>
      <c r="H153" t="s">
        <v>543</v>
      </c>
      <c r="I153" s="29">
        <v>46313.859363425923</v>
      </c>
      <c r="J153" t="s">
        <v>41</v>
      </c>
      <c r="K153" s="29">
        <v>46313.856874999998</v>
      </c>
      <c r="L153">
        <v>50</v>
      </c>
      <c r="O153" s="29">
        <v>46313.85533564815</v>
      </c>
      <c r="P153" t="s">
        <v>43</v>
      </c>
      <c r="Q153" t="s">
        <v>211</v>
      </c>
      <c r="R153" t="s">
        <v>544</v>
      </c>
      <c r="S153">
        <v>4247</v>
      </c>
      <c r="T153" t="s">
        <v>41</v>
      </c>
      <c r="U153" s="29">
        <v>46313.864930555559</v>
      </c>
      <c r="V153" s="29">
        <v>46313.86445601852</v>
      </c>
      <c r="W153" t="s">
        <v>545</v>
      </c>
      <c r="X153">
        <v>22411</v>
      </c>
      <c r="Z153">
        <v>0</v>
      </c>
      <c r="AA153" s="30">
        <v>0.85833333333333339</v>
      </c>
      <c r="AB153">
        <v>7</v>
      </c>
      <c r="AC153" t="s">
        <v>41</v>
      </c>
    </row>
    <row r="154" spans="1:29">
      <c r="A154" t="s">
        <v>125</v>
      </c>
      <c r="B154" s="29">
        <v>46313.858761574076</v>
      </c>
      <c r="C154">
        <v>1331</v>
      </c>
      <c r="D154" t="s">
        <v>41</v>
      </c>
      <c r="E154">
        <v>6</v>
      </c>
      <c r="F154" t="s">
        <v>41</v>
      </c>
      <c r="G154" t="s">
        <v>41</v>
      </c>
      <c r="H154" t="s">
        <v>546</v>
      </c>
      <c r="I154" s="29">
        <v>46313.8590625</v>
      </c>
      <c r="J154" t="s">
        <v>41</v>
      </c>
      <c r="K154" s="29">
        <v>46313.856666666667</v>
      </c>
      <c r="L154">
        <v>26</v>
      </c>
      <c r="O154" s="29">
        <v>46313.855057870373</v>
      </c>
      <c r="P154" t="s">
        <v>43</v>
      </c>
      <c r="Q154" t="s">
        <v>3006</v>
      </c>
      <c r="R154" t="s">
        <v>547</v>
      </c>
      <c r="S154">
        <v>4247</v>
      </c>
      <c r="T154" t="s">
        <v>41</v>
      </c>
      <c r="U154" s="29">
        <v>46313.862546296295</v>
      </c>
      <c r="V154" s="29">
        <v>46313.862847222219</v>
      </c>
      <c r="W154" t="s">
        <v>548</v>
      </c>
      <c r="X154">
        <v>22411</v>
      </c>
      <c r="Z154">
        <v>0</v>
      </c>
      <c r="AA154" s="30">
        <v>0.85833333333333339</v>
      </c>
      <c r="AB154">
        <v>5</v>
      </c>
      <c r="AC154" t="s">
        <v>41</v>
      </c>
    </row>
    <row r="155" spans="1:29">
      <c r="A155" t="s">
        <v>82</v>
      </c>
      <c r="B155" s="29">
        <v>46313.857453703706</v>
      </c>
      <c r="C155">
        <v>1093</v>
      </c>
      <c r="D155" t="s">
        <v>41</v>
      </c>
      <c r="E155">
        <v>4</v>
      </c>
      <c r="F155" t="s">
        <v>41</v>
      </c>
      <c r="G155" t="s">
        <v>41</v>
      </c>
      <c r="H155" t="s">
        <v>549</v>
      </c>
      <c r="I155" s="29">
        <v>46313.857731481483</v>
      </c>
      <c r="J155" t="s">
        <v>41</v>
      </c>
      <c r="K155" s="29">
        <v>46313.85491898148</v>
      </c>
      <c r="L155">
        <v>24</v>
      </c>
      <c r="O155" s="29">
        <v>46313.853854166664</v>
      </c>
      <c r="P155" t="s">
        <v>43</v>
      </c>
      <c r="Q155" t="s">
        <v>84</v>
      </c>
      <c r="R155" t="s">
        <v>550</v>
      </c>
      <c r="S155">
        <v>4247</v>
      </c>
      <c r="T155" t="s">
        <v>41</v>
      </c>
      <c r="U155" s="29">
        <v>46313.860960648148</v>
      </c>
      <c r="V155" s="29">
        <v>46313.860277777778</v>
      </c>
      <c r="W155" t="s">
        <v>551</v>
      </c>
      <c r="X155">
        <v>22411</v>
      </c>
      <c r="Z155">
        <v>0</v>
      </c>
      <c r="AA155" s="30">
        <v>0.8569444444444444</v>
      </c>
      <c r="AB155">
        <v>4</v>
      </c>
      <c r="AC155" t="s">
        <v>41</v>
      </c>
    </row>
    <row r="156" spans="1:29">
      <c r="A156" t="s">
        <v>98</v>
      </c>
      <c r="B156" s="29">
        <v>46313.857164351852</v>
      </c>
      <c r="C156">
        <v>1130</v>
      </c>
      <c r="D156" t="s">
        <v>41</v>
      </c>
      <c r="E156">
        <v>5</v>
      </c>
      <c r="F156" t="s">
        <v>41</v>
      </c>
      <c r="G156" t="s">
        <v>41</v>
      </c>
      <c r="H156" t="s">
        <v>549</v>
      </c>
      <c r="I156" s="29">
        <v>46313.857430555552</v>
      </c>
      <c r="J156" t="s">
        <v>41</v>
      </c>
      <c r="K156" s="29">
        <v>46313.854432870372</v>
      </c>
      <c r="L156">
        <v>24</v>
      </c>
      <c r="O156" s="29">
        <v>46313.853715277779</v>
      </c>
      <c r="P156" t="s">
        <v>43</v>
      </c>
      <c r="Q156" t="s">
        <v>3005</v>
      </c>
      <c r="R156" t="s">
        <v>552</v>
      </c>
      <c r="S156">
        <v>4247</v>
      </c>
      <c r="T156" t="s">
        <v>41</v>
      </c>
      <c r="U156" s="29">
        <v>46313.861377314817</v>
      </c>
      <c r="V156" s="29">
        <v>46313.860358796293</v>
      </c>
      <c r="W156" t="s">
        <v>553</v>
      </c>
      <c r="X156">
        <v>22411</v>
      </c>
      <c r="Z156">
        <v>0</v>
      </c>
      <c r="AA156" s="30">
        <v>0.8569444444444444</v>
      </c>
      <c r="AB156">
        <v>4</v>
      </c>
      <c r="AC156" t="s">
        <v>41</v>
      </c>
    </row>
    <row r="157" spans="1:29">
      <c r="A157" t="s">
        <v>379</v>
      </c>
      <c r="B157" s="29">
        <v>46313.856377314813</v>
      </c>
      <c r="C157">
        <v>2080</v>
      </c>
      <c r="D157" t="s">
        <v>41</v>
      </c>
      <c r="E157">
        <v>8</v>
      </c>
      <c r="F157" t="s">
        <v>41</v>
      </c>
      <c r="G157" t="s">
        <v>41</v>
      </c>
      <c r="H157" t="s">
        <v>554</v>
      </c>
      <c r="I157" s="29">
        <v>46313.85664351852</v>
      </c>
      <c r="J157" t="s">
        <v>41</v>
      </c>
      <c r="K157" s="29">
        <v>46313.854085648149</v>
      </c>
      <c r="L157">
        <v>23</v>
      </c>
      <c r="O157" s="29">
        <v>46313.853634259256</v>
      </c>
      <c r="P157" t="s">
        <v>315</v>
      </c>
      <c r="Q157" t="s">
        <v>381</v>
      </c>
      <c r="R157" t="s">
        <v>555</v>
      </c>
      <c r="S157">
        <v>4247</v>
      </c>
      <c r="T157" t="s">
        <v>41</v>
      </c>
      <c r="U157" s="29">
        <v>46313.862766203703</v>
      </c>
      <c r="V157" s="29">
        <v>46313.861967592595</v>
      </c>
      <c r="W157" t="s">
        <v>556</v>
      </c>
      <c r="X157">
        <v>22411</v>
      </c>
      <c r="Y157" s="29">
        <v>46313.873819444445</v>
      </c>
      <c r="Z157">
        <v>0</v>
      </c>
      <c r="AA157" s="30">
        <v>0.85625000000000007</v>
      </c>
      <c r="AB157">
        <v>8</v>
      </c>
      <c r="AC157" t="s">
        <v>41</v>
      </c>
    </row>
    <row r="158" spans="1:29">
      <c r="A158" t="s">
        <v>157</v>
      </c>
      <c r="B158" s="29">
        <v>46313.855081018519</v>
      </c>
      <c r="C158">
        <v>1156</v>
      </c>
      <c r="D158" t="s">
        <v>41</v>
      </c>
      <c r="E158">
        <v>5</v>
      </c>
      <c r="F158" t="s">
        <v>41</v>
      </c>
      <c r="G158" t="s">
        <v>41</v>
      </c>
      <c r="H158" t="s">
        <v>557</v>
      </c>
      <c r="I158" s="29">
        <v>46313.855613425927</v>
      </c>
      <c r="J158" t="s">
        <v>41</v>
      </c>
      <c r="K158" s="29">
        <v>46313.851180555554</v>
      </c>
      <c r="L158">
        <v>46</v>
      </c>
      <c r="O158" s="29">
        <v>46313.850254629629</v>
      </c>
      <c r="P158" t="s">
        <v>43</v>
      </c>
      <c r="Q158" t="s">
        <v>159</v>
      </c>
      <c r="R158" t="s">
        <v>558</v>
      </c>
      <c r="S158">
        <v>4247</v>
      </c>
      <c r="T158" t="s">
        <v>41</v>
      </c>
      <c r="U158" s="29">
        <v>46313.859710648147</v>
      </c>
      <c r="V158" s="29">
        <v>46313.858773148146</v>
      </c>
      <c r="W158" t="s">
        <v>559</v>
      </c>
      <c r="X158">
        <v>22411</v>
      </c>
      <c r="Z158">
        <v>0</v>
      </c>
      <c r="AA158" s="30">
        <v>0.85486111111111107</v>
      </c>
      <c r="AB158">
        <v>5</v>
      </c>
      <c r="AC158" t="s">
        <v>41</v>
      </c>
    </row>
    <row r="159" spans="1:29">
      <c r="A159" t="s">
        <v>347</v>
      </c>
      <c r="B159" s="29">
        <v>46313.854745370372</v>
      </c>
      <c r="C159">
        <v>2141</v>
      </c>
      <c r="D159" t="s">
        <v>41</v>
      </c>
      <c r="E159">
        <v>7</v>
      </c>
      <c r="F159" t="s">
        <v>41</v>
      </c>
      <c r="G159" t="s">
        <v>41</v>
      </c>
      <c r="H159" t="s">
        <v>560</v>
      </c>
      <c r="I159" s="29">
        <v>46313.854942129627</v>
      </c>
      <c r="J159" t="s">
        <v>41</v>
      </c>
      <c r="K159" s="29">
        <v>46313.850092592591</v>
      </c>
      <c r="L159">
        <v>17</v>
      </c>
      <c r="O159" s="29">
        <v>46313.849652777775</v>
      </c>
      <c r="P159" t="s">
        <v>43</v>
      </c>
      <c r="Q159" t="s">
        <v>349</v>
      </c>
      <c r="R159" t="s">
        <v>561</v>
      </c>
      <c r="S159">
        <v>4247</v>
      </c>
      <c r="T159" t="s">
        <v>41</v>
      </c>
      <c r="U159" s="29">
        <v>46313.86105324074</v>
      </c>
      <c r="V159" s="29">
        <v>46313.859548611108</v>
      </c>
      <c r="W159" t="s">
        <v>562</v>
      </c>
      <c r="X159">
        <v>22411</v>
      </c>
      <c r="Z159">
        <v>0</v>
      </c>
      <c r="AA159" s="30">
        <v>0.85416666666666663</v>
      </c>
      <c r="AB159">
        <v>7</v>
      </c>
      <c r="AC159" t="s">
        <v>41</v>
      </c>
    </row>
    <row r="160" spans="1:29">
      <c r="A160" t="s">
        <v>40</v>
      </c>
      <c r="B160" s="29">
        <v>46313.85434027778</v>
      </c>
      <c r="C160">
        <v>3896</v>
      </c>
      <c r="D160" t="s">
        <v>41</v>
      </c>
      <c r="E160">
        <v>12</v>
      </c>
      <c r="F160" t="s">
        <v>41</v>
      </c>
      <c r="G160" t="s">
        <v>41</v>
      </c>
      <c r="H160" t="s">
        <v>563</v>
      </c>
      <c r="I160" s="29">
        <v>46313.85465277778</v>
      </c>
      <c r="J160" t="s">
        <v>41</v>
      </c>
      <c r="K160" s="29">
        <v>46313.849861111114</v>
      </c>
      <c r="L160">
        <v>27</v>
      </c>
      <c r="O160" s="29">
        <v>46313.848333333335</v>
      </c>
      <c r="P160" t="s">
        <v>43</v>
      </c>
      <c r="Q160" t="s">
        <v>44</v>
      </c>
      <c r="R160" t="s">
        <v>564</v>
      </c>
      <c r="S160">
        <v>4247</v>
      </c>
      <c r="T160" t="s">
        <v>41</v>
      </c>
      <c r="U160" s="29">
        <v>46313.864178240743</v>
      </c>
      <c r="V160" s="29">
        <v>46313.86246527778</v>
      </c>
      <c r="W160" t="s">
        <v>565</v>
      </c>
      <c r="X160">
        <v>22411</v>
      </c>
      <c r="Z160">
        <v>0</v>
      </c>
      <c r="AA160" s="30">
        <v>0.85416666666666663</v>
      </c>
      <c r="AB160">
        <v>11</v>
      </c>
      <c r="AC160" t="s">
        <v>41</v>
      </c>
    </row>
    <row r="161" spans="1:29">
      <c r="A161" t="s">
        <v>72</v>
      </c>
      <c r="B161" s="29">
        <v>46313.85229166667</v>
      </c>
      <c r="C161">
        <v>1221</v>
      </c>
      <c r="D161" t="s">
        <v>41</v>
      </c>
      <c r="E161">
        <v>4</v>
      </c>
      <c r="F161" t="s">
        <v>41</v>
      </c>
      <c r="G161" t="s">
        <v>41</v>
      </c>
      <c r="H161" t="s">
        <v>566</v>
      </c>
      <c r="I161" s="29">
        <v>46313.852696759262</v>
      </c>
      <c r="J161" t="s">
        <v>41</v>
      </c>
      <c r="K161" s="29">
        <v>46313.849317129629</v>
      </c>
      <c r="L161">
        <v>35</v>
      </c>
      <c r="O161" s="29">
        <v>46313.847986111112</v>
      </c>
      <c r="P161" t="s">
        <v>43</v>
      </c>
      <c r="Q161" t="s">
        <v>74</v>
      </c>
      <c r="R161" t="s">
        <v>567</v>
      </c>
      <c r="S161">
        <v>4247</v>
      </c>
      <c r="T161" t="s">
        <v>41</v>
      </c>
      <c r="U161" s="29">
        <v>46313.855949074074</v>
      </c>
      <c r="V161" s="29">
        <v>46313.854780092595</v>
      </c>
      <c r="W161" t="s">
        <v>568</v>
      </c>
      <c r="X161">
        <v>22411</v>
      </c>
      <c r="Z161">
        <v>0</v>
      </c>
      <c r="AA161" s="30">
        <v>0.8520833333333333</v>
      </c>
      <c r="AB161">
        <v>3</v>
      </c>
      <c r="AC161" t="s">
        <v>41</v>
      </c>
    </row>
    <row r="162" spans="1:29">
      <c r="A162" t="s">
        <v>77</v>
      </c>
      <c r="B162" s="29">
        <v>46313.852083333331</v>
      </c>
      <c r="C162">
        <v>2978</v>
      </c>
      <c r="D162" t="s">
        <v>41</v>
      </c>
      <c r="E162">
        <v>8</v>
      </c>
      <c r="F162" t="s">
        <v>41</v>
      </c>
      <c r="G162" t="s">
        <v>41</v>
      </c>
      <c r="H162" t="s">
        <v>569</v>
      </c>
      <c r="I162" s="29">
        <v>46313.85229166667</v>
      </c>
      <c r="J162" t="s">
        <v>41</v>
      </c>
      <c r="K162" s="29">
        <v>46313.84820601852</v>
      </c>
      <c r="L162">
        <v>18</v>
      </c>
      <c r="O162" s="29">
        <v>46313.847071759257</v>
      </c>
      <c r="P162" t="s">
        <v>43</v>
      </c>
      <c r="Q162" t="s">
        <v>79</v>
      </c>
      <c r="R162" t="s">
        <v>570</v>
      </c>
      <c r="S162">
        <v>4247</v>
      </c>
      <c r="T162" t="s">
        <v>41</v>
      </c>
      <c r="U162" s="29">
        <v>46313.859571759262</v>
      </c>
      <c r="V162" s="29">
        <v>46313.857418981483</v>
      </c>
      <c r="W162" t="s">
        <v>571</v>
      </c>
      <c r="X162">
        <v>22411</v>
      </c>
      <c r="Z162">
        <v>0</v>
      </c>
      <c r="AA162" s="30">
        <v>0.8520833333333333</v>
      </c>
      <c r="AB162">
        <v>7</v>
      </c>
      <c r="AC162" t="s">
        <v>41</v>
      </c>
    </row>
    <row r="163" spans="1:29">
      <c r="A163" t="s">
        <v>47</v>
      </c>
      <c r="B163" s="29">
        <v>46313.851944444446</v>
      </c>
      <c r="C163">
        <v>290</v>
      </c>
      <c r="D163" t="s">
        <v>41</v>
      </c>
      <c r="E163">
        <v>0</v>
      </c>
      <c r="F163" t="s">
        <v>41</v>
      </c>
      <c r="G163" t="s">
        <v>41</v>
      </c>
      <c r="H163" t="s">
        <v>572</v>
      </c>
      <c r="I163" s="29">
        <v>46313.852141203701</v>
      </c>
      <c r="J163" t="s">
        <v>41</v>
      </c>
      <c r="K163" s="29">
        <v>46313.846620370372</v>
      </c>
      <c r="L163">
        <v>17</v>
      </c>
      <c r="O163" s="29">
        <v>46313.844236111108</v>
      </c>
      <c r="P163" t="s">
        <v>43</v>
      </c>
      <c r="Q163" t="s">
        <v>49</v>
      </c>
      <c r="R163" t="s">
        <v>573</v>
      </c>
      <c r="S163">
        <v>4247</v>
      </c>
      <c r="T163" t="s">
        <v>41</v>
      </c>
      <c r="U163" s="29">
        <v>46313.853449074071</v>
      </c>
      <c r="V163" s="29">
        <v>46313.85224537037</v>
      </c>
      <c r="W163" t="s">
        <v>574</v>
      </c>
      <c r="X163">
        <v>22411</v>
      </c>
      <c r="Z163">
        <v>0</v>
      </c>
      <c r="AA163" s="30">
        <v>0.85138888888888886</v>
      </c>
      <c r="AB163">
        <v>0</v>
      </c>
      <c r="AC163" t="s">
        <v>41</v>
      </c>
    </row>
    <row r="164" spans="1:29">
      <c r="A164" t="s">
        <v>117</v>
      </c>
      <c r="B164" s="29">
        <v>46313.851678240739</v>
      </c>
      <c r="C164">
        <v>2044</v>
      </c>
      <c r="D164" t="s">
        <v>41</v>
      </c>
      <c r="E164">
        <v>7</v>
      </c>
      <c r="F164" t="s">
        <v>41</v>
      </c>
      <c r="G164" t="s">
        <v>41</v>
      </c>
      <c r="H164" t="s">
        <v>575</v>
      </c>
      <c r="I164" s="29">
        <v>46313.852129629631</v>
      </c>
      <c r="J164" t="s">
        <v>41</v>
      </c>
      <c r="K164" s="29">
        <v>46313.845254629632</v>
      </c>
      <c r="L164">
        <v>39</v>
      </c>
      <c r="O164" s="29">
        <v>46313.844189814816</v>
      </c>
      <c r="P164" t="s">
        <v>43</v>
      </c>
      <c r="Q164" t="s">
        <v>119</v>
      </c>
      <c r="R164" t="s">
        <v>576</v>
      </c>
      <c r="S164">
        <v>4247</v>
      </c>
      <c r="T164" t="s">
        <v>41</v>
      </c>
      <c r="U164" s="29">
        <v>46313.857638888891</v>
      </c>
      <c r="V164" s="29">
        <v>46313.856249999997</v>
      </c>
      <c r="W164" t="s">
        <v>577</v>
      </c>
      <c r="X164">
        <v>22411</v>
      </c>
      <c r="Z164">
        <v>0</v>
      </c>
      <c r="AA164" s="30">
        <v>0.85138888888888886</v>
      </c>
      <c r="AB164">
        <v>6</v>
      </c>
      <c r="AC164" t="s">
        <v>41</v>
      </c>
    </row>
    <row r="165" spans="1:29">
      <c r="A165" t="s">
        <v>52</v>
      </c>
      <c r="B165" s="29">
        <v>46313.849988425929</v>
      </c>
      <c r="C165">
        <v>1560</v>
      </c>
      <c r="D165" t="s">
        <v>41</v>
      </c>
      <c r="E165">
        <v>6</v>
      </c>
      <c r="F165" t="s">
        <v>41</v>
      </c>
      <c r="G165" t="s">
        <v>41</v>
      </c>
      <c r="H165" t="s">
        <v>578</v>
      </c>
      <c r="I165" s="29">
        <v>46313.850416666668</v>
      </c>
      <c r="J165" t="s">
        <v>41</v>
      </c>
      <c r="K165" s="29">
        <v>46313.846122685187</v>
      </c>
      <c r="L165">
        <v>37</v>
      </c>
      <c r="O165" s="29">
        <v>46313.844131944446</v>
      </c>
      <c r="P165" t="s">
        <v>43</v>
      </c>
      <c r="Q165" t="s">
        <v>54</v>
      </c>
      <c r="R165" t="s">
        <v>579</v>
      </c>
      <c r="S165">
        <v>4247</v>
      </c>
      <c r="T165" t="s">
        <v>41</v>
      </c>
      <c r="U165" s="29">
        <v>46313.855254629627</v>
      </c>
      <c r="V165" s="29">
        <v>46313.853900462964</v>
      </c>
      <c r="W165" t="s">
        <v>580</v>
      </c>
      <c r="X165">
        <v>22411</v>
      </c>
      <c r="Z165">
        <v>0</v>
      </c>
      <c r="AA165" s="30">
        <v>0.84930555555555554</v>
      </c>
      <c r="AB165">
        <v>5</v>
      </c>
      <c r="AC165" t="s">
        <v>41</v>
      </c>
    </row>
    <row r="166" spans="1:29">
      <c r="A166" t="s">
        <v>67</v>
      </c>
      <c r="B166" s="29">
        <v>46313.849374999998</v>
      </c>
      <c r="C166">
        <v>3760</v>
      </c>
      <c r="D166" t="s">
        <v>41</v>
      </c>
      <c r="E166">
        <v>10</v>
      </c>
      <c r="F166" t="s">
        <v>41</v>
      </c>
      <c r="G166" t="s">
        <v>41</v>
      </c>
      <c r="H166" t="s">
        <v>581</v>
      </c>
      <c r="I166" s="29">
        <v>46313.849780092591</v>
      </c>
      <c r="J166" t="s">
        <v>41</v>
      </c>
      <c r="K166" s="29">
        <v>46313.84412037037</v>
      </c>
      <c r="L166">
        <v>35</v>
      </c>
      <c r="O166" s="29">
        <v>46313.843530092592</v>
      </c>
      <c r="P166" t="s">
        <v>43</v>
      </c>
      <c r="Q166" t="s">
        <v>69</v>
      </c>
      <c r="R166" t="s">
        <v>582</v>
      </c>
      <c r="S166">
        <v>4247</v>
      </c>
      <c r="T166" t="s">
        <v>41</v>
      </c>
      <c r="U166" s="29">
        <v>46313.858738425923</v>
      </c>
      <c r="V166" s="29">
        <v>46313.856423611112</v>
      </c>
      <c r="W166" t="s">
        <v>583</v>
      </c>
      <c r="X166">
        <v>22411</v>
      </c>
      <c r="Z166">
        <v>0</v>
      </c>
      <c r="AA166" s="30">
        <v>0.84930555555555554</v>
      </c>
      <c r="AB166">
        <v>10</v>
      </c>
      <c r="AC166" t="s">
        <v>41</v>
      </c>
    </row>
    <row r="167" spans="1:29">
      <c r="A167" t="s">
        <v>177</v>
      </c>
      <c r="B167" s="29">
        <v>46313.84883101852</v>
      </c>
      <c r="C167">
        <v>1838</v>
      </c>
      <c r="D167" t="s">
        <v>41</v>
      </c>
      <c r="E167">
        <v>9</v>
      </c>
      <c r="F167" t="s">
        <v>41</v>
      </c>
      <c r="G167" t="s">
        <v>41</v>
      </c>
      <c r="H167" t="s">
        <v>584</v>
      </c>
      <c r="I167" s="29">
        <v>46313.849224537036</v>
      </c>
      <c r="J167" t="s">
        <v>41</v>
      </c>
      <c r="K167" s="29">
        <v>46313.843738425923</v>
      </c>
      <c r="L167">
        <v>34</v>
      </c>
      <c r="O167" s="29">
        <v>46313.842997685184</v>
      </c>
      <c r="P167" t="s">
        <v>43</v>
      </c>
      <c r="Q167" t="s">
        <v>179</v>
      </c>
      <c r="R167" t="s">
        <v>585</v>
      </c>
      <c r="S167">
        <v>4247</v>
      </c>
      <c r="T167" t="s">
        <v>41</v>
      </c>
      <c r="U167" s="29">
        <v>46313.854085648149</v>
      </c>
      <c r="V167" s="29">
        <v>46313.854780092595</v>
      </c>
      <c r="W167" t="s">
        <v>586</v>
      </c>
      <c r="X167">
        <v>22411</v>
      </c>
      <c r="Z167">
        <v>0</v>
      </c>
      <c r="AA167" s="30">
        <v>0.84861111111111109</v>
      </c>
      <c r="AB167">
        <v>8</v>
      </c>
      <c r="AC167" t="s">
        <v>41</v>
      </c>
    </row>
    <row r="168" spans="1:29">
      <c r="A168" t="s">
        <v>157</v>
      </c>
      <c r="B168" s="29">
        <v>46313.847766203704</v>
      </c>
      <c r="C168">
        <v>1283</v>
      </c>
      <c r="D168" t="s">
        <v>41</v>
      </c>
      <c r="E168">
        <v>6</v>
      </c>
      <c r="F168" t="s">
        <v>41</v>
      </c>
      <c r="G168" t="s">
        <v>41</v>
      </c>
      <c r="H168" t="s">
        <v>587</v>
      </c>
      <c r="I168" s="29">
        <v>46313.848217592589</v>
      </c>
      <c r="J168" t="s">
        <v>41</v>
      </c>
      <c r="K168" s="29">
        <v>46313.843310185184</v>
      </c>
      <c r="L168">
        <v>39</v>
      </c>
      <c r="O168" s="29">
        <v>46313.842673611114</v>
      </c>
      <c r="P168" t="s">
        <v>43</v>
      </c>
      <c r="Q168" t="s">
        <v>159</v>
      </c>
      <c r="R168" t="s">
        <v>588</v>
      </c>
      <c r="S168">
        <v>4247</v>
      </c>
      <c r="T168" t="s">
        <v>41</v>
      </c>
      <c r="U168" s="29">
        <v>46313.852951388886</v>
      </c>
      <c r="V168" s="29">
        <v>46313.851666666669</v>
      </c>
      <c r="W168" t="s">
        <v>589</v>
      </c>
      <c r="X168">
        <v>22411</v>
      </c>
      <c r="Z168">
        <v>0</v>
      </c>
      <c r="AA168" s="30">
        <v>0.84722222222222221</v>
      </c>
      <c r="AB168">
        <v>5</v>
      </c>
      <c r="AC168" t="s">
        <v>41</v>
      </c>
    </row>
    <row r="169" spans="1:29">
      <c r="A169" t="s">
        <v>347</v>
      </c>
      <c r="B169" s="29">
        <v>46313.847199074073</v>
      </c>
      <c r="C169">
        <v>486</v>
      </c>
      <c r="D169" t="s">
        <v>41</v>
      </c>
      <c r="E169">
        <v>2</v>
      </c>
      <c r="F169" t="s">
        <v>41</v>
      </c>
      <c r="G169" t="s">
        <v>41</v>
      </c>
      <c r="H169" t="s">
        <v>590</v>
      </c>
      <c r="I169" s="29">
        <v>46313.847488425927</v>
      </c>
      <c r="J169" t="s">
        <v>41</v>
      </c>
      <c r="K169" s="29">
        <v>46313.842430555553</v>
      </c>
      <c r="L169">
        <v>25</v>
      </c>
      <c r="O169" s="29">
        <v>46313.840497685182</v>
      </c>
      <c r="P169" t="s">
        <v>43</v>
      </c>
      <c r="Q169" t="s">
        <v>349</v>
      </c>
      <c r="R169" t="s">
        <v>591</v>
      </c>
      <c r="S169">
        <v>4247</v>
      </c>
      <c r="T169" t="s">
        <v>41</v>
      </c>
      <c r="U169" s="29">
        <v>46313.849733796298</v>
      </c>
      <c r="V169" s="29">
        <v>46313.848807870374</v>
      </c>
      <c r="W169" t="s">
        <v>592</v>
      </c>
      <c r="X169">
        <v>22411</v>
      </c>
      <c r="Z169">
        <v>0</v>
      </c>
      <c r="AA169" s="30">
        <v>0.84652777777777777</v>
      </c>
      <c r="AB169">
        <v>2</v>
      </c>
      <c r="AC169" t="s">
        <v>41</v>
      </c>
    </row>
    <row r="170" spans="1:29">
      <c r="A170" t="s">
        <v>339</v>
      </c>
      <c r="B170" s="29">
        <v>46313.847210648149</v>
      </c>
      <c r="C170">
        <v>2752</v>
      </c>
      <c r="D170" t="s">
        <v>41</v>
      </c>
      <c r="E170">
        <v>11</v>
      </c>
      <c r="F170" t="s">
        <v>41</v>
      </c>
      <c r="G170" t="s">
        <v>41</v>
      </c>
      <c r="H170" t="s">
        <v>593</v>
      </c>
      <c r="I170" s="29">
        <v>46313.84752314815</v>
      </c>
      <c r="J170" t="s">
        <v>41</v>
      </c>
      <c r="K170" s="29">
        <v>46313.840497685182</v>
      </c>
      <c r="L170">
        <v>27</v>
      </c>
      <c r="O170" s="29">
        <v>46313.838750000003</v>
      </c>
      <c r="P170" t="s">
        <v>43</v>
      </c>
      <c r="Q170" t="s">
        <v>341</v>
      </c>
      <c r="R170" t="s">
        <v>594</v>
      </c>
      <c r="S170">
        <v>4247</v>
      </c>
      <c r="T170" t="s">
        <v>41</v>
      </c>
      <c r="U170" s="29">
        <v>46313.854780092595</v>
      </c>
      <c r="V170" s="29">
        <v>46313.854861111111</v>
      </c>
      <c r="W170" t="s">
        <v>595</v>
      </c>
      <c r="X170">
        <v>22411</v>
      </c>
      <c r="Z170">
        <v>0</v>
      </c>
      <c r="AA170" s="30">
        <v>0.84652777777777777</v>
      </c>
      <c r="AB170">
        <v>11</v>
      </c>
      <c r="AC170" t="s">
        <v>41</v>
      </c>
    </row>
    <row r="171" spans="1:29">
      <c r="A171" t="s">
        <v>106</v>
      </c>
      <c r="B171" s="29">
        <v>46313.84716435185</v>
      </c>
      <c r="C171">
        <v>3128</v>
      </c>
      <c r="D171" t="s">
        <v>41</v>
      </c>
      <c r="E171">
        <v>11</v>
      </c>
      <c r="F171" t="s">
        <v>41</v>
      </c>
      <c r="G171" t="s">
        <v>41</v>
      </c>
      <c r="H171" t="s">
        <v>596</v>
      </c>
      <c r="I171" s="29">
        <v>46313.847349537034</v>
      </c>
      <c r="J171" t="s">
        <v>41</v>
      </c>
      <c r="K171" s="29">
        <v>46313.840879629628</v>
      </c>
      <c r="L171">
        <v>16</v>
      </c>
      <c r="O171" s="29">
        <v>46313.838506944441</v>
      </c>
      <c r="P171" t="s">
        <v>43</v>
      </c>
      <c r="Q171" t="s">
        <v>108</v>
      </c>
      <c r="R171" t="s">
        <v>597</v>
      </c>
      <c r="S171">
        <v>4247</v>
      </c>
      <c r="T171" t="s">
        <v>41</v>
      </c>
      <c r="U171" s="29">
        <v>46313.855416666665</v>
      </c>
      <c r="V171" s="29">
        <v>46313.854710648149</v>
      </c>
      <c r="W171" t="s">
        <v>598</v>
      </c>
      <c r="X171">
        <v>22411</v>
      </c>
      <c r="Z171">
        <v>0</v>
      </c>
      <c r="AA171" s="30">
        <v>0.84652777777777777</v>
      </c>
      <c r="AB171">
        <v>11</v>
      </c>
      <c r="AC171" t="s">
        <v>41</v>
      </c>
    </row>
    <row r="172" spans="1:29">
      <c r="A172" t="s">
        <v>185</v>
      </c>
      <c r="B172" s="29">
        <v>46313.846666666665</v>
      </c>
      <c r="C172">
        <v>1946</v>
      </c>
      <c r="D172" t="s">
        <v>41</v>
      </c>
      <c r="E172">
        <v>9</v>
      </c>
      <c r="F172" t="s">
        <v>41</v>
      </c>
      <c r="G172" t="s">
        <v>41</v>
      </c>
      <c r="H172" t="s">
        <v>599</v>
      </c>
      <c r="I172" s="29">
        <v>46313.84710648148</v>
      </c>
      <c r="J172" t="s">
        <v>41</v>
      </c>
      <c r="K172" s="29">
        <v>46313.841770833336</v>
      </c>
      <c r="L172">
        <v>38</v>
      </c>
      <c r="O172" s="29">
        <v>46313.838333333333</v>
      </c>
      <c r="P172" t="s">
        <v>43</v>
      </c>
      <c r="Q172" t="s">
        <v>3007</v>
      </c>
      <c r="R172" t="s">
        <v>600</v>
      </c>
      <c r="S172">
        <v>4247</v>
      </c>
      <c r="T172" t="s">
        <v>41</v>
      </c>
      <c r="U172" s="29">
        <v>46313.852013888885</v>
      </c>
      <c r="V172" s="29">
        <v>46313.852685185186</v>
      </c>
      <c r="W172" t="s">
        <v>601</v>
      </c>
      <c r="X172">
        <v>22411</v>
      </c>
      <c r="Z172">
        <v>0</v>
      </c>
      <c r="AA172" s="30">
        <v>0.84652777777777777</v>
      </c>
      <c r="AB172">
        <v>8</v>
      </c>
      <c r="AC172" t="s">
        <v>41</v>
      </c>
    </row>
    <row r="173" spans="1:29">
      <c r="A173" t="s">
        <v>98</v>
      </c>
      <c r="B173" s="29">
        <v>46313.846400462964</v>
      </c>
      <c r="C173">
        <v>1095</v>
      </c>
      <c r="D173" t="s">
        <v>41</v>
      </c>
      <c r="E173">
        <v>4</v>
      </c>
      <c r="F173" t="s">
        <v>41</v>
      </c>
      <c r="G173" t="s">
        <v>41</v>
      </c>
      <c r="H173" t="s">
        <v>602</v>
      </c>
      <c r="I173" s="29">
        <v>46313.846608796295</v>
      </c>
      <c r="J173" t="s">
        <v>41</v>
      </c>
      <c r="K173" s="29">
        <v>46313.839409722219</v>
      </c>
      <c r="L173">
        <v>18</v>
      </c>
      <c r="O173" s="29">
        <v>46313.838321759256</v>
      </c>
      <c r="P173" t="s">
        <v>43</v>
      </c>
      <c r="Q173" t="s">
        <v>3005</v>
      </c>
      <c r="R173" t="s">
        <v>603</v>
      </c>
      <c r="S173">
        <v>4247</v>
      </c>
      <c r="T173" t="s">
        <v>41</v>
      </c>
      <c r="U173" s="29">
        <v>46313.850219907406</v>
      </c>
      <c r="V173" s="29">
        <v>46313.849108796298</v>
      </c>
      <c r="W173" t="s">
        <v>604</v>
      </c>
      <c r="X173">
        <v>22411</v>
      </c>
      <c r="Z173">
        <v>0</v>
      </c>
      <c r="AA173" s="30">
        <v>0.84583333333333333</v>
      </c>
      <c r="AB173">
        <v>4</v>
      </c>
      <c r="AC173" t="s">
        <v>41</v>
      </c>
    </row>
    <row r="174" spans="1:29">
      <c r="A174" t="s">
        <v>40</v>
      </c>
      <c r="B174" s="29">
        <v>46313.845717592594</v>
      </c>
      <c r="C174">
        <v>1124</v>
      </c>
      <c r="D174" t="s">
        <v>41</v>
      </c>
      <c r="E174">
        <v>5</v>
      </c>
      <c r="F174" t="s">
        <v>41</v>
      </c>
      <c r="G174" t="s">
        <v>41</v>
      </c>
      <c r="H174" t="s">
        <v>602</v>
      </c>
      <c r="I174" s="29">
        <v>46313.845879629633</v>
      </c>
      <c r="J174" t="s">
        <v>41</v>
      </c>
      <c r="K174" s="29">
        <v>46313.839305555557</v>
      </c>
      <c r="L174">
        <v>14</v>
      </c>
      <c r="O174" s="29">
        <v>46313.83829861111</v>
      </c>
      <c r="P174" t="s">
        <v>43</v>
      </c>
      <c r="Q174" t="s">
        <v>44</v>
      </c>
      <c r="R174" t="s">
        <v>605</v>
      </c>
      <c r="S174">
        <v>4247</v>
      </c>
      <c r="T174" t="s">
        <v>41</v>
      </c>
      <c r="U174" s="29">
        <v>46313.84952546296</v>
      </c>
      <c r="V174" s="29">
        <v>46313.849097222221</v>
      </c>
      <c r="W174" t="s">
        <v>606</v>
      </c>
      <c r="X174">
        <v>22411</v>
      </c>
      <c r="Z174">
        <v>0</v>
      </c>
      <c r="AA174" s="30">
        <v>0.84513888888888899</v>
      </c>
      <c r="AB174">
        <v>5</v>
      </c>
      <c r="AC174" t="s">
        <v>41</v>
      </c>
    </row>
    <row r="175" spans="1:29">
      <c r="A175" t="s">
        <v>209</v>
      </c>
      <c r="B175" s="29">
        <v>46313.843842592592</v>
      </c>
      <c r="C175">
        <v>2093</v>
      </c>
      <c r="D175" t="s">
        <v>41</v>
      </c>
      <c r="E175">
        <v>8</v>
      </c>
      <c r="F175" t="s">
        <v>41</v>
      </c>
      <c r="G175" t="s">
        <v>41</v>
      </c>
      <c r="H175" t="s">
        <v>607</v>
      </c>
      <c r="I175" s="29">
        <v>46313.844085648147</v>
      </c>
      <c r="J175" t="s">
        <v>41</v>
      </c>
      <c r="K175" s="29">
        <v>46313.839687500003</v>
      </c>
      <c r="L175">
        <v>21</v>
      </c>
      <c r="O175" s="29">
        <v>46313.837719907409</v>
      </c>
      <c r="P175" t="s">
        <v>43</v>
      </c>
      <c r="Q175" t="s">
        <v>211</v>
      </c>
      <c r="R175" t="s">
        <v>608</v>
      </c>
      <c r="S175">
        <v>4247</v>
      </c>
      <c r="T175" t="s">
        <v>41</v>
      </c>
      <c r="U175" s="29">
        <v>46313.849988425929</v>
      </c>
      <c r="V175" s="29">
        <v>46313.849710648145</v>
      </c>
      <c r="W175" t="s">
        <v>609</v>
      </c>
      <c r="X175">
        <v>22411</v>
      </c>
      <c r="Z175">
        <v>0</v>
      </c>
      <c r="AA175" s="30">
        <v>0.84375</v>
      </c>
      <c r="AB175">
        <v>8</v>
      </c>
      <c r="AC175" t="s">
        <v>41</v>
      </c>
    </row>
    <row r="176" spans="1:29">
      <c r="A176" t="s">
        <v>198</v>
      </c>
      <c r="B176" s="29">
        <v>46313.843587962961</v>
      </c>
      <c r="C176">
        <v>2387</v>
      </c>
      <c r="D176" t="s">
        <v>41</v>
      </c>
      <c r="E176">
        <v>9</v>
      </c>
      <c r="F176" t="s">
        <v>41</v>
      </c>
      <c r="G176" t="s">
        <v>41</v>
      </c>
      <c r="H176" t="s">
        <v>610</v>
      </c>
      <c r="I176" s="29">
        <v>46313.8440162037</v>
      </c>
      <c r="J176" t="s">
        <v>41</v>
      </c>
      <c r="K176" s="29">
        <v>46313.838564814818</v>
      </c>
      <c r="L176">
        <v>37</v>
      </c>
      <c r="O176" s="29">
        <v>46313.836712962962</v>
      </c>
      <c r="P176" t="s">
        <v>43</v>
      </c>
      <c r="Q176" t="s">
        <v>3008</v>
      </c>
      <c r="R176" t="s">
        <v>611</v>
      </c>
      <c r="S176">
        <v>4247</v>
      </c>
      <c r="T176" t="s">
        <v>41</v>
      </c>
      <c r="U176" s="29">
        <v>46313.850335648145</v>
      </c>
      <c r="V176" s="29">
        <v>46313.850081018521</v>
      </c>
      <c r="W176" t="s">
        <v>612</v>
      </c>
      <c r="X176">
        <v>22411</v>
      </c>
      <c r="Z176">
        <v>0</v>
      </c>
      <c r="AA176" s="30">
        <v>0.84305555555555556</v>
      </c>
      <c r="AB176">
        <v>9</v>
      </c>
      <c r="AC176" t="s">
        <v>41</v>
      </c>
    </row>
    <row r="177" spans="1:29">
      <c r="A177" t="s">
        <v>82</v>
      </c>
      <c r="B177" s="29">
        <v>46313.842928240738</v>
      </c>
      <c r="C177">
        <v>2149</v>
      </c>
      <c r="D177" t="s">
        <v>41</v>
      </c>
      <c r="E177">
        <v>10</v>
      </c>
      <c r="F177" t="s">
        <v>41</v>
      </c>
      <c r="G177" t="s">
        <v>41</v>
      </c>
      <c r="H177" t="s">
        <v>613</v>
      </c>
      <c r="I177" s="29">
        <v>46313.843356481484</v>
      </c>
      <c r="J177" t="s">
        <v>41</v>
      </c>
      <c r="K177" s="29">
        <v>46313.838402777779</v>
      </c>
      <c r="L177">
        <v>37</v>
      </c>
      <c r="O177" s="29">
        <v>46313.836481481485</v>
      </c>
      <c r="P177" t="s">
        <v>43</v>
      </c>
      <c r="Q177" t="s">
        <v>84</v>
      </c>
      <c r="R177" t="s">
        <v>614</v>
      </c>
      <c r="S177">
        <v>4247</v>
      </c>
      <c r="T177" t="s">
        <v>41</v>
      </c>
      <c r="U177" s="29">
        <v>46313.849791666667</v>
      </c>
      <c r="V177" s="29">
        <v>46313.849745370368</v>
      </c>
      <c r="W177" t="s">
        <v>615</v>
      </c>
      <c r="X177">
        <v>22411</v>
      </c>
      <c r="Z177">
        <v>0</v>
      </c>
      <c r="AA177" s="30">
        <v>0.84236111111111101</v>
      </c>
      <c r="AB177">
        <v>9</v>
      </c>
      <c r="AC177" t="s">
        <v>41</v>
      </c>
    </row>
    <row r="178" spans="1:29">
      <c r="A178" t="s">
        <v>235</v>
      </c>
      <c r="B178" s="29">
        <v>46313.842638888891</v>
      </c>
      <c r="C178">
        <v>2246</v>
      </c>
      <c r="D178" t="s">
        <v>41</v>
      </c>
      <c r="E178">
        <v>9</v>
      </c>
      <c r="F178" t="s">
        <v>41</v>
      </c>
      <c r="G178" t="s">
        <v>41</v>
      </c>
      <c r="H178" t="s">
        <v>616</v>
      </c>
      <c r="I178" s="29">
        <v>46313.842997685184</v>
      </c>
      <c r="J178" t="s">
        <v>41</v>
      </c>
      <c r="K178" s="29">
        <v>46313.837743055556</v>
      </c>
      <c r="L178">
        <v>31</v>
      </c>
      <c r="O178" s="29">
        <v>46313.835972222223</v>
      </c>
      <c r="P178" t="s">
        <v>43</v>
      </c>
      <c r="Q178" t="s">
        <v>3009</v>
      </c>
      <c r="R178" t="s">
        <v>617</v>
      </c>
      <c r="S178">
        <v>4247</v>
      </c>
      <c r="T178" t="s">
        <v>41</v>
      </c>
      <c r="U178" s="29">
        <v>46313.849594907406</v>
      </c>
      <c r="V178" s="29">
        <v>46313.84915509259</v>
      </c>
      <c r="W178" t="s">
        <v>618</v>
      </c>
      <c r="X178">
        <v>22411</v>
      </c>
      <c r="Z178">
        <v>0</v>
      </c>
      <c r="AA178" s="30">
        <v>0.84236111111111101</v>
      </c>
      <c r="AB178">
        <v>9</v>
      </c>
      <c r="AC178" t="s">
        <v>41</v>
      </c>
    </row>
    <row r="179" spans="1:29">
      <c r="A179" t="s">
        <v>190</v>
      </c>
      <c r="B179" s="29">
        <v>46313.841504629629</v>
      </c>
      <c r="C179">
        <v>2256</v>
      </c>
      <c r="D179" t="s">
        <v>41</v>
      </c>
      <c r="E179">
        <v>10</v>
      </c>
      <c r="F179" t="s">
        <v>41</v>
      </c>
      <c r="G179" t="s">
        <v>41</v>
      </c>
      <c r="H179" t="s">
        <v>619</v>
      </c>
      <c r="I179" s="29">
        <v>46313.841990740744</v>
      </c>
      <c r="J179" t="s">
        <v>41</v>
      </c>
      <c r="K179" s="29">
        <v>46313.83699074074</v>
      </c>
      <c r="L179">
        <v>43</v>
      </c>
      <c r="O179" s="29">
        <v>46313.835925925923</v>
      </c>
      <c r="P179" t="s">
        <v>43</v>
      </c>
      <c r="Q179" t="s">
        <v>192</v>
      </c>
      <c r="R179" t="s">
        <v>620</v>
      </c>
      <c r="S179">
        <v>4247</v>
      </c>
      <c r="T179" t="s">
        <v>41</v>
      </c>
      <c r="U179" s="29">
        <v>46313.848611111112</v>
      </c>
      <c r="V179" s="29">
        <v>46313.848298611112</v>
      </c>
      <c r="W179" t="s">
        <v>621</v>
      </c>
      <c r="X179">
        <v>22411</v>
      </c>
      <c r="Z179">
        <v>0</v>
      </c>
      <c r="AA179" s="30">
        <v>0.84097222222222223</v>
      </c>
      <c r="AB179">
        <v>9</v>
      </c>
      <c r="AC179" t="s">
        <v>41</v>
      </c>
    </row>
    <row r="180" spans="1:29">
      <c r="A180" t="s">
        <v>77</v>
      </c>
      <c r="B180" s="29">
        <v>46313.841006944444</v>
      </c>
      <c r="C180">
        <v>1380</v>
      </c>
      <c r="D180" t="s">
        <v>41</v>
      </c>
      <c r="E180">
        <v>5</v>
      </c>
      <c r="F180" t="s">
        <v>41</v>
      </c>
      <c r="G180" t="s">
        <v>41</v>
      </c>
      <c r="H180" t="s">
        <v>622</v>
      </c>
      <c r="I180" s="29">
        <v>46313.841249999998</v>
      </c>
      <c r="J180" t="s">
        <v>41</v>
      </c>
      <c r="K180" s="29">
        <v>46313.835879629631</v>
      </c>
      <c r="L180">
        <v>21</v>
      </c>
      <c r="O180" s="29">
        <v>46313.835034722222</v>
      </c>
      <c r="P180" t="s">
        <v>43</v>
      </c>
      <c r="Q180" t="s">
        <v>79</v>
      </c>
      <c r="R180" t="s">
        <v>623</v>
      </c>
      <c r="S180">
        <v>4247</v>
      </c>
      <c r="T180" t="s">
        <v>41</v>
      </c>
      <c r="U180" s="29">
        <v>46313.845439814817</v>
      </c>
      <c r="V180" s="29">
        <v>46313.844212962962</v>
      </c>
      <c r="W180" t="s">
        <v>624</v>
      </c>
      <c r="X180">
        <v>22411</v>
      </c>
      <c r="Z180">
        <v>0</v>
      </c>
      <c r="AA180" s="30">
        <v>0.84097222222222223</v>
      </c>
      <c r="AB180">
        <v>4</v>
      </c>
      <c r="AC180" t="s">
        <v>41</v>
      </c>
    </row>
    <row r="181" spans="1:29">
      <c r="A181" t="s">
        <v>57</v>
      </c>
      <c r="B181" s="29">
        <v>46313.840740740743</v>
      </c>
      <c r="C181">
        <v>2785</v>
      </c>
      <c r="D181" t="s">
        <v>41</v>
      </c>
      <c r="E181">
        <v>9</v>
      </c>
      <c r="F181" t="s">
        <v>41</v>
      </c>
      <c r="G181" t="s">
        <v>41</v>
      </c>
      <c r="H181" t="s">
        <v>625</v>
      </c>
      <c r="I181" s="29">
        <v>46313.840925925928</v>
      </c>
      <c r="J181" t="s">
        <v>41</v>
      </c>
      <c r="K181" s="29">
        <v>46313.836770833332</v>
      </c>
      <c r="L181">
        <v>16</v>
      </c>
      <c r="O181" s="29">
        <v>46313.834872685184</v>
      </c>
      <c r="P181" t="s">
        <v>43</v>
      </c>
      <c r="Q181" t="s">
        <v>59</v>
      </c>
      <c r="R181" t="s">
        <v>626</v>
      </c>
      <c r="S181">
        <v>4247</v>
      </c>
      <c r="T181" t="s">
        <v>41</v>
      </c>
      <c r="U181" s="29">
        <v>46313.849282407406</v>
      </c>
      <c r="V181" s="29">
        <v>46313.846898148149</v>
      </c>
      <c r="W181" t="s">
        <v>627</v>
      </c>
      <c r="X181">
        <v>22411</v>
      </c>
      <c r="Z181">
        <v>0</v>
      </c>
      <c r="AA181" s="30">
        <v>0.84027777777777779</v>
      </c>
      <c r="AB181">
        <v>9</v>
      </c>
      <c r="AC181" t="s">
        <v>41</v>
      </c>
    </row>
    <row r="182" spans="1:29">
      <c r="A182" t="s">
        <v>157</v>
      </c>
      <c r="B182" s="29">
        <v>46313.83971064815</v>
      </c>
      <c r="C182">
        <v>1216</v>
      </c>
      <c r="D182" t="s">
        <v>41</v>
      </c>
      <c r="E182">
        <v>5</v>
      </c>
      <c r="F182" t="s">
        <v>41</v>
      </c>
      <c r="G182" t="s">
        <v>41</v>
      </c>
      <c r="H182" t="s">
        <v>628</v>
      </c>
      <c r="I182" s="29">
        <v>46313.840057870373</v>
      </c>
      <c r="J182" t="s">
        <v>41</v>
      </c>
      <c r="K182" s="29">
        <v>46313.835393518515</v>
      </c>
      <c r="L182">
        <v>30</v>
      </c>
      <c r="O182" s="29">
        <v>46313.834120370368</v>
      </c>
      <c r="P182" t="s">
        <v>43</v>
      </c>
      <c r="Q182" t="s">
        <v>159</v>
      </c>
      <c r="R182" t="s">
        <v>629</v>
      </c>
      <c r="S182">
        <v>4247</v>
      </c>
      <c r="T182" t="s">
        <v>41</v>
      </c>
      <c r="U182" s="29">
        <v>46313.844386574077</v>
      </c>
      <c r="V182" s="29">
        <v>46313.842870370368</v>
      </c>
      <c r="W182" t="s">
        <v>630</v>
      </c>
      <c r="X182">
        <v>22411</v>
      </c>
      <c r="Z182">
        <v>0</v>
      </c>
      <c r="AA182" s="30">
        <v>0.83958333333333324</v>
      </c>
      <c r="AB182">
        <v>4</v>
      </c>
      <c r="AC182" t="s">
        <v>41</v>
      </c>
    </row>
    <row r="183" spans="1:29">
      <c r="A183" t="s">
        <v>117</v>
      </c>
      <c r="B183" s="29">
        <v>46313.838854166665</v>
      </c>
      <c r="C183">
        <v>1910</v>
      </c>
      <c r="D183" t="s">
        <v>41</v>
      </c>
      <c r="E183">
        <v>8</v>
      </c>
      <c r="F183" t="s">
        <v>41</v>
      </c>
      <c r="G183" t="s">
        <v>41</v>
      </c>
      <c r="H183" t="s">
        <v>631</v>
      </c>
      <c r="I183" s="29">
        <v>46313.83898148148</v>
      </c>
      <c r="J183" t="s">
        <v>41</v>
      </c>
      <c r="K183" s="29">
        <v>46313.83556712963</v>
      </c>
      <c r="L183">
        <v>12</v>
      </c>
      <c r="O183" s="29">
        <v>46313.833483796298</v>
      </c>
      <c r="P183" t="s">
        <v>43</v>
      </c>
      <c r="Q183" t="s">
        <v>119</v>
      </c>
      <c r="R183" t="s">
        <v>632</v>
      </c>
      <c r="S183">
        <v>4247</v>
      </c>
      <c r="T183" t="s">
        <v>41</v>
      </c>
      <c r="U183" s="29">
        <v>46313.844039351854</v>
      </c>
      <c r="V183" s="29">
        <v>46313.844328703701</v>
      </c>
      <c r="W183" t="s">
        <v>633</v>
      </c>
      <c r="X183">
        <v>22411</v>
      </c>
      <c r="Z183">
        <v>0</v>
      </c>
      <c r="AA183" s="30">
        <v>0.83819444444444446</v>
      </c>
      <c r="AB183">
        <v>8</v>
      </c>
      <c r="AC183" t="s">
        <v>41</v>
      </c>
    </row>
    <row r="184" spans="1:29">
      <c r="A184" t="s">
        <v>303</v>
      </c>
      <c r="B184" s="29">
        <v>46313.838449074072</v>
      </c>
      <c r="C184">
        <v>3663</v>
      </c>
      <c r="D184" t="s">
        <v>41</v>
      </c>
      <c r="E184">
        <v>11</v>
      </c>
      <c r="F184" t="s">
        <v>41</v>
      </c>
      <c r="G184" t="s">
        <v>41</v>
      </c>
      <c r="H184" t="s">
        <v>634</v>
      </c>
      <c r="I184" s="29">
        <v>46313.838645833333</v>
      </c>
      <c r="J184" t="s">
        <v>41</v>
      </c>
      <c r="K184" s="29">
        <v>46313.834548611114</v>
      </c>
      <c r="L184">
        <v>17</v>
      </c>
      <c r="O184" s="29">
        <v>46313.833437499998</v>
      </c>
      <c r="P184" t="s">
        <v>43</v>
      </c>
      <c r="Q184" t="s">
        <v>305</v>
      </c>
      <c r="R184" t="s">
        <v>635</v>
      </c>
      <c r="S184">
        <v>4247</v>
      </c>
      <c r="T184" t="s">
        <v>41</v>
      </c>
      <c r="U184" s="29">
        <v>46313.847326388888</v>
      </c>
      <c r="V184" s="29">
        <v>46313.846006944441</v>
      </c>
      <c r="W184" t="s">
        <v>636</v>
      </c>
      <c r="X184">
        <v>22411</v>
      </c>
      <c r="Z184">
        <v>0</v>
      </c>
      <c r="AA184" s="30">
        <v>0.83819444444444446</v>
      </c>
      <c r="AB184">
        <v>11</v>
      </c>
      <c r="AC184" t="s">
        <v>41</v>
      </c>
    </row>
    <row r="185" spans="1:29">
      <c r="A185" t="s">
        <v>72</v>
      </c>
      <c r="B185" s="29">
        <v>46313.836712962962</v>
      </c>
      <c r="C185">
        <v>2493</v>
      </c>
      <c r="D185" t="s">
        <v>41</v>
      </c>
      <c r="E185">
        <v>10</v>
      </c>
      <c r="F185" t="s">
        <v>41</v>
      </c>
      <c r="G185" t="s">
        <v>41</v>
      </c>
      <c r="H185" t="s">
        <v>637</v>
      </c>
      <c r="I185" s="29">
        <v>46313.837187500001</v>
      </c>
      <c r="J185" t="s">
        <v>41</v>
      </c>
      <c r="K185" s="29">
        <v>46313.83556712963</v>
      </c>
      <c r="L185">
        <v>41</v>
      </c>
      <c r="O185" s="29">
        <v>46313.833182870374</v>
      </c>
      <c r="P185" t="s">
        <v>43</v>
      </c>
      <c r="Q185" t="s">
        <v>74</v>
      </c>
      <c r="R185" t="s">
        <v>638</v>
      </c>
      <c r="S185">
        <v>4247</v>
      </c>
      <c r="T185" t="s">
        <v>41</v>
      </c>
      <c r="U185" s="29">
        <v>46313.844594907408</v>
      </c>
      <c r="V185" s="29">
        <v>46313.843888888892</v>
      </c>
      <c r="W185" t="s">
        <v>639</v>
      </c>
      <c r="X185">
        <v>22411</v>
      </c>
      <c r="Z185">
        <v>0</v>
      </c>
      <c r="AA185" s="30">
        <v>0.83611111111111114</v>
      </c>
      <c r="AB185">
        <v>10</v>
      </c>
      <c r="AC185" t="s">
        <v>41</v>
      </c>
    </row>
    <row r="186" spans="1:29">
      <c r="A186" t="s">
        <v>347</v>
      </c>
      <c r="B186" s="29">
        <v>46313.836423611108</v>
      </c>
      <c r="C186">
        <v>1911</v>
      </c>
      <c r="D186" t="s">
        <v>41</v>
      </c>
      <c r="E186">
        <v>6</v>
      </c>
      <c r="F186" t="s">
        <v>41</v>
      </c>
      <c r="G186" t="s">
        <v>41</v>
      </c>
      <c r="H186" t="s">
        <v>640</v>
      </c>
      <c r="I186" s="29">
        <v>46313.836597222224</v>
      </c>
      <c r="J186" t="s">
        <v>41</v>
      </c>
      <c r="K186" s="29">
        <v>46313.833668981482</v>
      </c>
      <c r="L186">
        <v>15</v>
      </c>
      <c r="O186" s="29">
        <v>46313.832858796297</v>
      </c>
      <c r="P186" t="s">
        <v>43</v>
      </c>
      <c r="Q186" t="s">
        <v>349</v>
      </c>
      <c r="R186" t="s">
        <v>641</v>
      </c>
      <c r="S186">
        <v>4247</v>
      </c>
      <c r="T186" t="s">
        <v>41</v>
      </c>
      <c r="U186" s="29">
        <v>46313.841782407406</v>
      </c>
      <c r="V186" s="29">
        <v>46313.840636574074</v>
      </c>
      <c r="W186" t="s">
        <v>642</v>
      </c>
      <c r="X186">
        <v>22411</v>
      </c>
      <c r="Z186">
        <v>0</v>
      </c>
      <c r="AA186" s="30">
        <v>0.83611111111111114</v>
      </c>
      <c r="AB186">
        <v>6</v>
      </c>
      <c r="AC186" t="s">
        <v>41</v>
      </c>
    </row>
    <row r="187" spans="1:29">
      <c r="A187" t="s">
        <v>177</v>
      </c>
      <c r="B187" s="29">
        <v>46313.835370370369</v>
      </c>
      <c r="C187">
        <v>2089</v>
      </c>
      <c r="D187" t="s">
        <v>41</v>
      </c>
      <c r="E187">
        <v>10</v>
      </c>
      <c r="F187" t="s">
        <v>41</v>
      </c>
      <c r="G187" t="s">
        <v>41</v>
      </c>
      <c r="H187" t="s">
        <v>643</v>
      </c>
      <c r="I187" s="29">
        <v>46313.8359375</v>
      </c>
      <c r="J187" t="s">
        <v>41</v>
      </c>
      <c r="K187" s="29">
        <v>46313.834247685183</v>
      </c>
      <c r="L187">
        <v>49</v>
      </c>
      <c r="O187" s="29">
        <v>46313.832395833335</v>
      </c>
      <c r="P187" t="s">
        <v>43</v>
      </c>
      <c r="Q187" t="s">
        <v>179</v>
      </c>
      <c r="R187" t="s">
        <v>644</v>
      </c>
      <c r="S187">
        <v>4247</v>
      </c>
      <c r="T187" t="s">
        <v>41</v>
      </c>
      <c r="U187" s="29">
        <v>46313.841747685183</v>
      </c>
      <c r="V187" s="29">
        <v>46313.842442129629</v>
      </c>
      <c r="W187" t="s">
        <v>645</v>
      </c>
      <c r="X187">
        <v>22411</v>
      </c>
      <c r="Z187">
        <v>0</v>
      </c>
      <c r="AA187" s="30">
        <v>0.83472222222222225</v>
      </c>
      <c r="AB187">
        <v>9</v>
      </c>
      <c r="AC187" t="s">
        <v>41</v>
      </c>
    </row>
    <row r="188" spans="1:29">
      <c r="A188" t="s">
        <v>117</v>
      </c>
      <c r="B188" s="29">
        <v>46313.83357638889</v>
      </c>
      <c r="C188">
        <v>576</v>
      </c>
      <c r="D188" t="s">
        <v>41</v>
      </c>
      <c r="E188">
        <v>3</v>
      </c>
      <c r="F188" t="s">
        <v>41</v>
      </c>
      <c r="G188" t="s">
        <v>41</v>
      </c>
      <c r="H188" t="s">
        <v>646</v>
      </c>
      <c r="I188" s="29">
        <v>46313.833877314813</v>
      </c>
      <c r="J188" t="s">
        <v>41</v>
      </c>
      <c r="K188" s="29">
        <v>46313.833634259259</v>
      </c>
      <c r="L188">
        <v>20</v>
      </c>
      <c r="O188" s="29">
        <v>46313.831458333334</v>
      </c>
      <c r="P188" t="s">
        <v>43</v>
      </c>
      <c r="Q188" t="s">
        <v>119</v>
      </c>
      <c r="R188" t="s">
        <v>647</v>
      </c>
      <c r="S188">
        <v>4247</v>
      </c>
      <c r="T188" t="s">
        <v>41</v>
      </c>
      <c r="U188" s="29">
        <v>46313.836377314816</v>
      </c>
      <c r="V188" s="29">
        <v>46313.835393518515</v>
      </c>
      <c r="W188" t="s">
        <v>648</v>
      </c>
      <c r="X188">
        <v>22411</v>
      </c>
      <c r="Z188">
        <v>0</v>
      </c>
      <c r="AA188" s="30">
        <v>0.83333333333333337</v>
      </c>
      <c r="AB188">
        <v>2</v>
      </c>
      <c r="AC188" t="s">
        <v>41</v>
      </c>
    </row>
    <row r="189" spans="1:29">
      <c r="A189" t="s">
        <v>40</v>
      </c>
      <c r="B189" s="29">
        <v>46313.833518518521</v>
      </c>
      <c r="C189">
        <v>1269</v>
      </c>
      <c r="D189" t="s">
        <v>41</v>
      </c>
      <c r="E189">
        <v>5</v>
      </c>
      <c r="F189" t="s">
        <v>41</v>
      </c>
      <c r="G189" t="s">
        <v>41</v>
      </c>
      <c r="H189" t="s">
        <v>649</v>
      </c>
      <c r="I189" s="29">
        <v>46313.835717592592</v>
      </c>
      <c r="J189" t="s">
        <v>41</v>
      </c>
      <c r="K189" s="29">
        <v>46313.835474537038</v>
      </c>
      <c r="L189">
        <v>20</v>
      </c>
      <c r="O189" s="29">
        <v>46313.831388888888</v>
      </c>
      <c r="P189" t="s">
        <v>43</v>
      </c>
      <c r="Q189" t="s">
        <v>44</v>
      </c>
      <c r="R189" t="s">
        <v>650</v>
      </c>
      <c r="S189">
        <v>4247</v>
      </c>
      <c r="T189" t="s">
        <v>41</v>
      </c>
      <c r="U189" s="29">
        <v>46313.839756944442</v>
      </c>
      <c r="V189" s="29">
        <v>46313.839108796295</v>
      </c>
      <c r="W189" t="s">
        <v>651</v>
      </c>
      <c r="X189">
        <v>22411</v>
      </c>
      <c r="Z189">
        <v>0</v>
      </c>
      <c r="AA189" s="30">
        <v>0.83333333333333337</v>
      </c>
      <c r="AB189">
        <v>5</v>
      </c>
      <c r="AC189" t="s">
        <v>41</v>
      </c>
    </row>
    <row r="190" spans="1:29">
      <c r="A190" t="s">
        <v>379</v>
      </c>
      <c r="B190" s="29">
        <v>46313.83320601852</v>
      </c>
      <c r="C190">
        <v>2244</v>
      </c>
      <c r="D190" t="s">
        <v>41</v>
      </c>
      <c r="E190">
        <v>9</v>
      </c>
      <c r="F190" t="s">
        <v>41</v>
      </c>
      <c r="G190" t="s">
        <v>41</v>
      </c>
      <c r="H190" t="s">
        <v>652</v>
      </c>
      <c r="I190" s="29">
        <v>46313.833472222221</v>
      </c>
      <c r="J190" t="s">
        <v>41</v>
      </c>
      <c r="K190" s="29">
        <v>46313.832638888889</v>
      </c>
      <c r="L190">
        <v>23</v>
      </c>
      <c r="O190" s="29">
        <v>46313.830868055556</v>
      </c>
      <c r="P190" t="s">
        <v>43</v>
      </c>
      <c r="Q190" t="s">
        <v>381</v>
      </c>
      <c r="R190" t="s">
        <v>653</v>
      </c>
      <c r="S190">
        <v>4247</v>
      </c>
      <c r="T190" t="s">
        <v>41</v>
      </c>
      <c r="U190" s="29">
        <v>46313.84065972222</v>
      </c>
      <c r="V190" s="29">
        <v>46313.839212962965</v>
      </c>
      <c r="W190" t="s">
        <v>654</v>
      </c>
      <c r="X190">
        <v>22411</v>
      </c>
      <c r="Z190">
        <v>0</v>
      </c>
      <c r="AA190" s="30">
        <v>0.83263888888888893</v>
      </c>
      <c r="AB190">
        <v>8</v>
      </c>
      <c r="AC190" t="s">
        <v>41</v>
      </c>
    </row>
    <row r="191" spans="1:29">
      <c r="A191" t="s">
        <v>655</v>
      </c>
      <c r="B191" s="29">
        <v>46313.832604166666</v>
      </c>
      <c r="C191">
        <v>1342</v>
      </c>
      <c r="D191" t="s">
        <v>41</v>
      </c>
      <c r="E191">
        <v>5</v>
      </c>
      <c r="F191" t="s">
        <v>41</v>
      </c>
      <c r="G191" t="s">
        <v>41</v>
      </c>
      <c r="H191" t="s">
        <v>656</v>
      </c>
      <c r="I191" s="29">
        <v>46313.832962962966</v>
      </c>
      <c r="J191" t="s">
        <v>41</v>
      </c>
      <c r="K191" s="29">
        <v>46313.831863425927</v>
      </c>
      <c r="L191">
        <v>31</v>
      </c>
      <c r="O191" s="29">
        <v>46313.829768518517</v>
      </c>
      <c r="P191" t="s">
        <v>43</v>
      </c>
      <c r="Q191" t="s">
        <v>657</v>
      </c>
      <c r="R191" t="s">
        <v>658</v>
      </c>
      <c r="S191">
        <v>4247</v>
      </c>
      <c r="T191" t="s">
        <v>41</v>
      </c>
      <c r="U191" s="29">
        <v>46313.83766203704</v>
      </c>
      <c r="V191" s="29">
        <v>46313.835949074077</v>
      </c>
      <c r="W191" t="s">
        <v>659</v>
      </c>
      <c r="X191">
        <v>22411</v>
      </c>
      <c r="Z191">
        <v>0</v>
      </c>
      <c r="AA191" s="30">
        <v>0.83194444444444438</v>
      </c>
      <c r="AB191">
        <v>4</v>
      </c>
      <c r="AC191" t="s">
        <v>41</v>
      </c>
    </row>
    <row r="192" spans="1:29">
      <c r="A192" t="s">
        <v>57</v>
      </c>
      <c r="B192" s="29">
        <v>46313.832488425927</v>
      </c>
      <c r="C192">
        <v>1363</v>
      </c>
      <c r="D192" t="s">
        <v>41</v>
      </c>
      <c r="E192">
        <v>4</v>
      </c>
      <c r="F192" t="s">
        <v>41</v>
      </c>
      <c r="G192" t="s">
        <v>41</v>
      </c>
      <c r="H192" t="s">
        <v>660</v>
      </c>
      <c r="I192" s="29">
        <v>46313.832650462966</v>
      </c>
      <c r="J192" t="s">
        <v>41</v>
      </c>
      <c r="K192" s="29">
        <v>46313.831574074073</v>
      </c>
      <c r="L192">
        <v>14</v>
      </c>
      <c r="O192" s="29">
        <v>46313.829189814816</v>
      </c>
      <c r="P192" t="s">
        <v>43</v>
      </c>
      <c r="Q192" t="s">
        <v>59</v>
      </c>
      <c r="R192" t="s">
        <v>661</v>
      </c>
      <c r="S192">
        <v>4247</v>
      </c>
      <c r="T192" t="s">
        <v>41</v>
      </c>
      <c r="U192" s="29">
        <v>46313.836446759262</v>
      </c>
      <c r="V192" s="29">
        <v>46313.835266203707</v>
      </c>
      <c r="W192" t="s">
        <v>662</v>
      </c>
      <c r="X192">
        <v>22411</v>
      </c>
      <c r="Z192">
        <v>0</v>
      </c>
      <c r="AA192" s="30">
        <v>0.83194444444444438</v>
      </c>
      <c r="AB192">
        <v>4</v>
      </c>
      <c r="AC192" t="s">
        <v>41</v>
      </c>
    </row>
    <row r="193" spans="1:29">
      <c r="A193" t="s">
        <v>125</v>
      </c>
      <c r="B193" s="29">
        <v>46313.831678240742</v>
      </c>
      <c r="C193">
        <v>2300</v>
      </c>
      <c r="D193" t="s">
        <v>41</v>
      </c>
      <c r="E193">
        <v>10</v>
      </c>
      <c r="F193" t="s">
        <v>41</v>
      </c>
      <c r="G193" t="s">
        <v>41</v>
      </c>
      <c r="H193" t="s">
        <v>663</v>
      </c>
      <c r="I193" s="29">
        <v>46313.832118055558</v>
      </c>
      <c r="J193" t="s">
        <v>41</v>
      </c>
      <c r="K193" s="29">
        <v>46313.831863425927</v>
      </c>
      <c r="L193">
        <v>21</v>
      </c>
      <c r="O193" s="29">
        <v>46313.828055555554</v>
      </c>
      <c r="P193" t="s">
        <v>43</v>
      </c>
      <c r="Q193" t="s">
        <v>3006</v>
      </c>
      <c r="R193" t="s">
        <v>664</v>
      </c>
      <c r="S193">
        <v>4247</v>
      </c>
      <c r="T193" t="s">
        <v>41</v>
      </c>
      <c r="U193" s="29">
        <v>46313.83965277778</v>
      </c>
      <c r="V193" s="29">
        <v>46313.839039351849</v>
      </c>
      <c r="W193" t="s">
        <v>665</v>
      </c>
      <c r="X193">
        <v>22411</v>
      </c>
      <c r="Z193">
        <v>0</v>
      </c>
      <c r="AA193" s="30">
        <v>0.83124999999999993</v>
      </c>
      <c r="AB193">
        <v>10</v>
      </c>
      <c r="AC193" t="s">
        <v>41</v>
      </c>
    </row>
    <row r="194" spans="1:29">
      <c r="A194" t="s">
        <v>98</v>
      </c>
      <c r="B194" s="29">
        <v>46313.831400462965</v>
      </c>
      <c r="C194">
        <v>2575</v>
      </c>
      <c r="D194" t="s">
        <v>41</v>
      </c>
      <c r="E194">
        <v>9</v>
      </c>
      <c r="F194" t="s">
        <v>41</v>
      </c>
      <c r="G194" t="s">
        <v>41</v>
      </c>
      <c r="H194" t="s">
        <v>666</v>
      </c>
      <c r="I194" s="29">
        <v>46313.831666666665</v>
      </c>
      <c r="J194" t="s">
        <v>41</v>
      </c>
      <c r="K194" s="29">
        <v>46313.831458333334</v>
      </c>
      <c r="L194">
        <v>17</v>
      </c>
      <c r="O194" s="29">
        <v>46313.828020833331</v>
      </c>
      <c r="P194" t="s">
        <v>43</v>
      </c>
      <c r="Q194" t="s">
        <v>3005</v>
      </c>
      <c r="R194" t="s">
        <v>667</v>
      </c>
      <c r="S194">
        <v>4247</v>
      </c>
      <c r="T194" t="s">
        <v>41</v>
      </c>
      <c r="U194" s="29">
        <v>46313.839398148149</v>
      </c>
      <c r="V194" s="29">
        <v>46313.837847222225</v>
      </c>
      <c r="W194" t="s">
        <v>668</v>
      </c>
      <c r="X194">
        <v>22411</v>
      </c>
      <c r="Z194">
        <v>0</v>
      </c>
      <c r="AA194" s="30">
        <v>0.83124999999999993</v>
      </c>
      <c r="AB194">
        <v>9</v>
      </c>
      <c r="AC194" t="s">
        <v>41</v>
      </c>
    </row>
    <row r="195" spans="1:29">
      <c r="A195" t="s">
        <v>339</v>
      </c>
      <c r="B195" s="29">
        <v>46313.831412037034</v>
      </c>
      <c r="C195">
        <v>2268</v>
      </c>
      <c r="D195" t="s">
        <v>41</v>
      </c>
      <c r="E195">
        <v>12</v>
      </c>
      <c r="F195" t="s">
        <v>41</v>
      </c>
      <c r="G195" t="s">
        <v>41</v>
      </c>
      <c r="H195" t="s">
        <v>669</v>
      </c>
      <c r="I195" s="29">
        <v>46313.831585648149</v>
      </c>
      <c r="J195" t="s">
        <v>41</v>
      </c>
      <c r="K195" s="29">
        <v>46313.830810185187</v>
      </c>
      <c r="L195">
        <v>15</v>
      </c>
      <c r="O195" s="29">
        <v>46313.827731481484</v>
      </c>
      <c r="P195" t="s">
        <v>43</v>
      </c>
      <c r="Q195" t="s">
        <v>341</v>
      </c>
      <c r="R195" t="s">
        <v>670</v>
      </c>
      <c r="S195">
        <v>4247</v>
      </c>
      <c r="T195" t="s">
        <v>41</v>
      </c>
      <c r="U195" s="29">
        <v>46313.838865740741</v>
      </c>
      <c r="V195" s="29">
        <v>46313.839490740742</v>
      </c>
      <c r="W195" t="s">
        <v>671</v>
      </c>
      <c r="X195">
        <v>22411</v>
      </c>
      <c r="Z195">
        <v>0</v>
      </c>
      <c r="AA195" s="30">
        <v>0.83124999999999993</v>
      </c>
      <c r="AB195">
        <v>11</v>
      </c>
      <c r="AC195" t="s">
        <v>41</v>
      </c>
    </row>
    <row r="196" spans="1:29">
      <c r="A196" t="s">
        <v>157</v>
      </c>
      <c r="B196" s="29">
        <v>46313.831087962964</v>
      </c>
      <c r="C196">
        <v>591</v>
      </c>
      <c r="D196" t="s">
        <v>41</v>
      </c>
      <c r="E196">
        <v>3</v>
      </c>
      <c r="F196" t="s">
        <v>41</v>
      </c>
      <c r="G196" t="s">
        <v>41</v>
      </c>
      <c r="H196" t="s">
        <v>672</v>
      </c>
      <c r="I196" s="29">
        <v>46313.831458333334</v>
      </c>
      <c r="J196" t="s">
        <v>41</v>
      </c>
      <c r="K196" s="29">
        <v>46313.830138888887</v>
      </c>
      <c r="L196">
        <v>32</v>
      </c>
      <c r="O196" s="29">
        <v>46313.827638888892</v>
      </c>
      <c r="P196" t="s">
        <v>43</v>
      </c>
      <c r="Q196" t="s">
        <v>159</v>
      </c>
      <c r="R196" t="s">
        <v>673</v>
      </c>
      <c r="S196">
        <v>4247</v>
      </c>
      <c r="T196" t="s">
        <v>41</v>
      </c>
      <c r="U196" s="29">
        <v>46313.833703703705</v>
      </c>
      <c r="V196" s="29">
        <v>46313.833136574074</v>
      </c>
      <c r="W196" t="s">
        <v>674</v>
      </c>
      <c r="X196">
        <v>22411</v>
      </c>
      <c r="Z196">
        <v>0</v>
      </c>
      <c r="AA196" s="30">
        <v>0.8305555555555556</v>
      </c>
      <c r="AB196">
        <v>2</v>
      </c>
      <c r="AC196" t="s">
        <v>41</v>
      </c>
    </row>
    <row r="197" spans="1:29">
      <c r="A197" t="s">
        <v>52</v>
      </c>
      <c r="B197" s="29">
        <v>46313.83053240741</v>
      </c>
      <c r="C197">
        <v>2358</v>
      </c>
      <c r="D197" t="s">
        <v>41</v>
      </c>
      <c r="E197">
        <v>8</v>
      </c>
      <c r="F197" t="s">
        <v>41</v>
      </c>
      <c r="G197" t="s">
        <v>41</v>
      </c>
      <c r="H197" t="s">
        <v>675</v>
      </c>
      <c r="I197" s="29">
        <v>46313.83085648148</v>
      </c>
      <c r="J197" t="s">
        <v>41</v>
      </c>
      <c r="K197" s="29">
        <v>46313.83017361111</v>
      </c>
      <c r="L197">
        <v>28</v>
      </c>
      <c r="O197" s="29">
        <v>46313.827106481483</v>
      </c>
      <c r="P197" t="s">
        <v>43</v>
      </c>
      <c r="Q197" t="s">
        <v>54</v>
      </c>
      <c r="R197" t="s">
        <v>676</v>
      </c>
      <c r="S197">
        <v>4247</v>
      </c>
      <c r="T197" t="s">
        <v>41</v>
      </c>
      <c r="U197" s="29">
        <v>46313.837870370371</v>
      </c>
      <c r="V197" s="29">
        <v>46313.835787037038</v>
      </c>
      <c r="W197" t="s">
        <v>677</v>
      </c>
      <c r="X197">
        <v>22411</v>
      </c>
      <c r="Z197">
        <v>0</v>
      </c>
      <c r="AA197" s="30">
        <v>0.82986111111111116</v>
      </c>
      <c r="AB197">
        <v>7</v>
      </c>
      <c r="AC197" t="s">
        <v>41</v>
      </c>
    </row>
    <row r="198" spans="1:29">
      <c r="A198" t="s">
        <v>77</v>
      </c>
      <c r="B198" s="29">
        <v>46313.829641203702</v>
      </c>
      <c r="C198">
        <v>1724</v>
      </c>
      <c r="D198" t="s">
        <v>41</v>
      </c>
      <c r="E198">
        <v>5</v>
      </c>
      <c r="F198" t="s">
        <v>41</v>
      </c>
      <c r="G198" t="s">
        <v>41</v>
      </c>
      <c r="H198" t="s">
        <v>678</v>
      </c>
      <c r="I198" s="29">
        <v>46313.831030092595</v>
      </c>
      <c r="J198" t="s">
        <v>41</v>
      </c>
      <c r="K198" s="29">
        <v>46313.830775462964</v>
      </c>
      <c r="L198">
        <v>21</v>
      </c>
      <c r="O198" s="29">
        <v>46313.825960648152</v>
      </c>
      <c r="P198" t="s">
        <v>43</v>
      </c>
      <c r="Q198" t="s">
        <v>79</v>
      </c>
      <c r="R198" t="s">
        <v>679</v>
      </c>
      <c r="S198">
        <v>4247</v>
      </c>
      <c r="T198" t="s">
        <v>41</v>
      </c>
      <c r="U198" s="29">
        <v>46313.836608796293</v>
      </c>
      <c r="V198" s="29">
        <v>46313.83452546296</v>
      </c>
      <c r="W198" t="s">
        <v>680</v>
      </c>
      <c r="X198">
        <v>22411</v>
      </c>
      <c r="Z198">
        <v>0</v>
      </c>
      <c r="AA198" s="30">
        <v>0.82916666666666661</v>
      </c>
      <c r="AB198">
        <v>5</v>
      </c>
      <c r="AC198" t="s">
        <v>41</v>
      </c>
    </row>
    <row r="199" spans="1:29">
      <c r="A199" t="s">
        <v>185</v>
      </c>
      <c r="B199" s="29">
        <v>46313.82949074074</v>
      </c>
      <c r="C199">
        <v>2218</v>
      </c>
      <c r="D199" t="s">
        <v>41</v>
      </c>
      <c r="E199">
        <v>12</v>
      </c>
      <c r="F199" t="s">
        <v>41</v>
      </c>
      <c r="G199" t="s">
        <v>41</v>
      </c>
      <c r="H199" t="s">
        <v>681</v>
      </c>
      <c r="I199" s="29">
        <v>46313.829930555556</v>
      </c>
      <c r="J199" t="s">
        <v>41</v>
      </c>
      <c r="K199" s="29">
        <v>46313.828750000001</v>
      </c>
      <c r="L199">
        <v>38</v>
      </c>
      <c r="O199" s="29">
        <v>46313.825358796297</v>
      </c>
      <c r="P199" t="s">
        <v>43</v>
      </c>
      <c r="Q199" t="s">
        <v>3007</v>
      </c>
      <c r="R199" t="s">
        <v>682</v>
      </c>
      <c r="S199">
        <v>4247</v>
      </c>
      <c r="T199" t="s">
        <v>41</v>
      </c>
      <c r="U199" s="29">
        <v>46313.8362037037</v>
      </c>
      <c r="V199" s="29">
        <v>46313.837916666664</v>
      </c>
      <c r="W199" t="s">
        <v>683</v>
      </c>
      <c r="X199">
        <v>22411</v>
      </c>
      <c r="Z199">
        <v>0</v>
      </c>
      <c r="AA199" s="30">
        <v>0.82916666666666661</v>
      </c>
      <c r="AB199">
        <v>12</v>
      </c>
      <c r="AC199" t="s">
        <v>41</v>
      </c>
    </row>
    <row r="200" spans="1:29">
      <c r="A200" t="s">
        <v>47</v>
      </c>
      <c r="B200" s="29">
        <v>46313.828425925924</v>
      </c>
      <c r="C200">
        <v>3935</v>
      </c>
      <c r="D200" t="s">
        <v>41</v>
      </c>
      <c r="E200">
        <v>11</v>
      </c>
      <c r="F200" t="s">
        <v>41</v>
      </c>
      <c r="G200" t="s">
        <v>41</v>
      </c>
      <c r="H200" t="s">
        <v>684</v>
      </c>
      <c r="I200" s="29">
        <v>46313.828819444447</v>
      </c>
      <c r="J200" t="s">
        <v>41</v>
      </c>
      <c r="K200" s="29">
        <v>46313.827673611115</v>
      </c>
      <c r="L200">
        <v>34</v>
      </c>
      <c r="O200" s="29">
        <v>46313.825023148151</v>
      </c>
      <c r="P200" t="s">
        <v>43</v>
      </c>
      <c r="Q200" t="s">
        <v>49</v>
      </c>
      <c r="R200" t="s">
        <v>685</v>
      </c>
      <c r="S200">
        <v>4247</v>
      </c>
      <c r="T200" t="s">
        <v>41</v>
      </c>
      <c r="U200" s="29">
        <v>46313.838472222225</v>
      </c>
      <c r="V200" s="29">
        <v>46313.835879629631</v>
      </c>
      <c r="W200" t="s">
        <v>686</v>
      </c>
      <c r="X200">
        <v>22411</v>
      </c>
      <c r="Z200">
        <v>0</v>
      </c>
      <c r="AA200" s="30">
        <v>0.82777777777777783</v>
      </c>
      <c r="AB200">
        <v>10</v>
      </c>
      <c r="AC200" t="s">
        <v>41</v>
      </c>
    </row>
    <row r="201" spans="1:29">
      <c r="A201" t="s">
        <v>177</v>
      </c>
      <c r="B201" s="29">
        <v>46313.827349537038</v>
      </c>
      <c r="C201">
        <v>721</v>
      </c>
      <c r="D201" t="s">
        <v>41</v>
      </c>
      <c r="E201">
        <v>5</v>
      </c>
      <c r="F201" t="s">
        <v>41</v>
      </c>
      <c r="G201" t="s">
        <v>41</v>
      </c>
      <c r="H201" t="s">
        <v>687</v>
      </c>
      <c r="I201" s="29">
        <v>46313.829479166663</v>
      </c>
      <c r="J201" t="s">
        <v>41</v>
      </c>
      <c r="K201" s="29">
        <v>46313.828229166669</v>
      </c>
      <c r="L201">
        <v>107</v>
      </c>
      <c r="O201" s="29">
        <v>46313.824988425928</v>
      </c>
      <c r="P201" t="s">
        <v>43</v>
      </c>
      <c r="Q201" t="s">
        <v>179</v>
      </c>
      <c r="R201" t="s">
        <v>688</v>
      </c>
      <c r="S201">
        <v>4247</v>
      </c>
      <c r="T201" t="s">
        <v>41</v>
      </c>
      <c r="U201" s="29">
        <v>46313.832094907404</v>
      </c>
      <c r="V201" s="29">
        <v>46313.831875000003</v>
      </c>
      <c r="W201" t="s">
        <v>689</v>
      </c>
      <c r="X201">
        <v>22411</v>
      </c>
      <c r="Z201">
        <v>0</v>
      </c>
      <c r="AA201" s="30">
        <v>0.82708333333333339</v>
      </c>
      <c r="AB201">
        <v>3</v>
      </c>
      <c r="AC201" t="s">
        <v>41</v>
      </c>
    </row>
    <row r="202" spans="1:29">
      <c r="A202" t="s">
        <v>106</v>
      </c>
      <c r="B202" s="29">
        <v>46313.82571759259</v>
      </c>
      <c r="C202">
        <v>1334</v>
      </c>
      <c r="D202" t="s">
        <v>41</v>
      </c>
      <c r="E202">
        <v>6</v>
      </c>
      <c r="F202" t="s">
        <v>41</v>
      </c>
      <c r="G202" t="s">
        <v>41</v>
      </c>
      <c r="H202" t="s">
        <v>690</v>
      </c>
      <c r="I202" s="29">
        <v>46313.827245370368</v>
      </c>
      <c r="J202" t="s">
        <v>41</v>
      </c>
      <c r="K202" s="29">
        <v>46313.827013888891</v>
      </c>
      <c r="L202">
        <v>19</v>
      </c>
      <c r="O202" s="29">
        <v>46313.824548611112</v>
      </c>
      <c r="P202" t="s">
        <v>43</v>
      </c>
      <c r="Q202" t="s">
        <v>108</v>
      </c>
      <c r="R202" t="s">
        <v>691</v>
      </c>
      <c r="S202">
        <v>4247</v>
      </c>
      <c r="T202" t="s">
        <v>41</v>
      </c>
      <c r="U202" s="29">
        <v>46313.831608796296</v>
      </c>
      <c r="V202" s="29">
        <v>46313.83148148148</v>
      </c>
      <c r="W202" t="s">
        <v>692</v>
      </c>
      <c r="X202">
        <v>22411</v>
      </c>
      <c r="Z202">
        <v>0</v>
      </c>
      <c r="AA202" s="30">
        <v>0.8256944444444444</v>
      </c>
      <c r="AB202">
        <v>6</v>
      </c>
      <c r="AC202" t="s">
        <v>41</v>
      </c>
    </row>
    <row r="203" spans="1:29">
      <c r="A203" t="s">
        <v>72</v>
      </c>
      <c r="B203" s="29">
        <v>46313.824791666666</v>
      </c>
      <c r="C203">
        <v>791</v>
      </c>
      <c r="D203" t="s">
        <v>41</v>
      </c>
      <c r="E203">
        <v>7</v>
      </c>
      <c r="F203" t="s">
        <v>41</v>
      </c>
      <c r="G203" t="s">
        <v>41</v>
      </c>
      <c r="H203" t="s">
        <v>693</v>
      </c>
      <c r="I203" s="29">
        <v>46313.827025462961</v>
      </c>
      <c r="J203" t="s">
        <v>41</v>
      </c>
      <c r="K203" s="29">
        <v>46313.826701388891</v>
      </c>
      <c r="L203">
        <v>27</v>
      </c>
      <c r="O203" s="29">
        <v>46313.821539351855</v>
      </c>
      <c r="P203" t="s">
        <v>43</v>
      </c>
      <c r="Q203" t="s">
        <v>74</v>
      </c>
      <c r="R203" t="s">
        <v>694</v>
      </c>
      <c r="S203">
        <v>4247</v>
      </c>
      <c r="T203" t="s">
        <v>41</v>
      </c>
      <c r="U203" s="29">
        <v>46313.829629629632</v>
      </c>
      <c r="V203" s="29">
        <v>46313.831736111111</v>
      </c>
      <c r="W203" t="s">
        <v>695</v>
      </c>
      <c r="X203">
        <v>22411</v>
      </c>
      <c r="Z203">
        <v>0</v>
      </c>
      <c r="AA203" s="30">
        <v>0.82430555555555562</v>
      </c>
      <c r="AB203">
        <v>7</v>
      </c>
      <c r="AC203" t="s">
        <v>41</v>
      </c>
    </row>
    <row r="204" spans="1:29">
      <c r="A204" t="s">
        <v>235</v>
      </c>
      <c r="B204" s="29">
        <v>46313.824745370373</v>
      </c>
      <c r="C204">
        <v>1337</v>
      </c>
      <c r="D204" t="s">
        <v>41</v>
      </c>
      <c r="E204">
        <v>12</v>
      </c>
      <c r="F204" t="s">
        <v>41</v>
      </c>
      <c r="G204" t="s">
        <v>41</v>
      </c>
      <c r="H204" t="s">
        <v>696</v>
      </c>
      <c r="I204" s="29">
        <v>46313.825208333335</v>
      </c>
      <c r="J204" t="s">
        <v>41</v>
      </c>
      <c r="K204" s="29">
        <v>46313.822916666664</v>
      </c>
      <c r="L204">
        <v>40</v>
      </c>
      <c r="O204" s="29">
        <v>46313.820914351854</v>
      </c>
      <c r="P204" t="s">
        <v>43</v>
      </c>
      <c r="Q204" t="s">
        <v>3009</v>
      </c>
      <c r="R204" t="s">
        <v>697</v>
      </c>
      <c r="S204">
        <v>4247</v>
      </c>
      <c r="T204" t="s">
        <v>41</v>
      </c>
      <c r="U204" s="29">
        <v>46313.830300925925</v>
      </c>
      <c r="V204" s="29">
        <v>46313.832974537036</v>
      </c>
      <c r="W204" t="s">
        <v>698</v>
      </c>
      <c r="X204">
        <v>22411</v>
      </c>
      <c r="Z204">
        <v>0</v>
      </c>
      <c r="AA204" s="30">
        <v>0.82430555555555562</v>
      </c>
      <c r="AB204">
        <v>11</v>
      </c>
      <c r="AC204" t="s">
        <v>41</v>
      </c>
    </row>
    <row r="205" spans="1:29">
      <c r="A205" t="s">
        <v>157</v>
      </c>
      <c r="B205" s="29">
        <v>46313.823969907404</v>
      </c>
      <c r="C205">
        <v>1148</v>
      </c>
      <c r="D205" t="s">
        <v>41</v>
      </c>
      <c r="E205">
        <v>4</v>
      </c>
      <c r="F205" t="s">
        <v>41</v>
      </c>
      <c r="G205" t="s">
        <v>41</v>
      </c>
      <c r="H205" t="s">
        <v>699</v>
      </c>
      <c r="I205" s="29">
        <v>46313.824444444443</v>
      </c>
      <c r="J205" t="s">
        <v>41</v>
      </c>
      <c r="K205" s="29">
        <v>46313.821608796294</v>
      </c>
      <c r="L205">
        <v>42</v>
      </c>
      <c r="O205" s="29">
        <v>46313.820648148147</v>
      </c>
      <c r="P205" t="s">
        <v>43</v>
      </c>
      <c r="Q205" t="s">
        <v>159</v>
      </c>
      <c r="R205" t="s">
        <v>700</v>
      </c>
      <c r="S205">
        <v>4247</v>
      </c>
      <c r="T205" t="s">
        <v>41</v>
      </c>
      <c r="U205" s="29">
        <v>46313.827534722222</v>
      </c>
      <c r="V205" s="29">
        <v>46313.826666666668</v>
      </c>
      <c r="W205" t="s">
        <v>701</v>
      </c>
      <c r="X205">
        <v>22411</v>
      </c>
      <c r="Z205">
        <v>0</v>
      </c>
      <c r="AA205" s="30">
        <v>0.82361111111111107</v>
      </c>
      <c r="AB205">
        <v>3</v>
      </c>
      <c r="AC205" t="s">
        <v>41</v>
      </c>
    </row>
    <row r="206" spans="1:29">
      <c r="A206" t="s">
        <v>98</v>
      </c>
      <c r="B206" s="29">
        <v>46313.823391203703</v>
      </c>
      <c r="C206">
        <v>1346</v>
      </c>
      <c r="D206" t="s">
        <v>41</v>
      </c>
      <c r="E206">
        <v>3</v>
      </c>
      <c r="F206" t="s">
        <v>41</v>
      </c>
      <c r="G206" t="s">
        <v>41</v>
      </c>
      <c r="H206" t="s">
        <v>702</v>
      </c>
      <c r="I206" s="29">
        <v>46313.823518518519</v>
      </c>
      <c r="J206" t="s">
        <v>41</v>
      </c>
      <c r="K206" s="29">
        <v>46313.820486111108</v>
      </c>
      <c r="L206">
        <v>11</v>
      </c>
      <c r="O206" s="29">
        <v>46313.819988425923</v>
      </c>
      <c r="P206" t="s">
        <v>43</v>
      </c>
      <c r="Q206" t="s">
        <v>3005</v>
      </c>
      <c r="R206" t="s">
        <v>703</v>
      </c>
      <c r="S206">
        <v>4247</v>
      </c>
      <c r="T206" t="s">
        <v>41</v>
      </c>
      <c r="U206" s="29">
        <v>46313.827303240738</v>
      </c>
      <c r="V206" s="29">
        <v>46313.825798611113</v>
      </c>
      <c r="W206" t="s">
        <v>704</v>
      </c>
      <c r="X206">
        <v>22411</v>
      </c>
      <c r="Z206">
        <v>0</v>
      </c>
      <c r="AA206" s="30">
        <v>0.82291666666666663</v>
      </c>
      <c r="AB206">
        <v>3</v>
      </c>
      <c r="AC206" t="s">
        <v>41</v>
      </c>
    </row>
    <row r="207" spans="1:29">
      <c r="A207" t="s">
        <v>82</v>
      </c>
      <c r="B207" s="29">
        <v>46313.822997685187</v>
      </c>
      <c r="C207">
        <v>2817</v>
      </c>
      <c r="D207" t="s">
        <v>41</v>
      </c>
      <c r="E207">
        <v>14</v>
      </c>
      <c r="F207" t="s">
        <v>41</v>
      </c>
      <c r="G207" t="s">
        <v>41</v>
      </c>
      <c r="H207" t="s">
        <v>705</v>
      </c>
      <c r="I207" s="29">
        <v>46313.823310185187</v>
      </c>
      <c r="J207" t="s">
        <v>41</v>
      </c>
      <c r="K207" s="29">
        <v>46313.821180555555</v>
      </c>
      <c r="L207">
        <v>27</v>
      </c>
      <c r="O207" s="29">
        <v>46313.819756944446</v>
      </c>
      <c r="P207" t="s">
        <v>43</v>
      </c>
      <c r="Q207" t="s">
        <v>84</v>
      </c>
      <c r="R207" t="s">
        <v>706</v>
      </c>
      <c r="S207">
        <v>4247</v>
      </c>
      <c r="T207" t="s">
        <v>41</v>
      </c>
      <c r="U207" s="29">
        <v>46313.831666666665</v>
      </c>
      <c r="V207" s="29">
        <v>46313.83253472222</v>
      </c>
      <c r="W207" t="s">
        <v>707</v>
      </c>
      <c r="X207">
        <v>22411</v>
      </c>
      <c r="Z207">
        <v>0</v>
      </c>
      <c r="AA207" s="30">
        <v>0.82291666666666663</v>
      </c>
      <c r="AB207">
        <v>13</v>
      </c>
      <c r="AC207" t="s">
        <v>41</v>
      </c>
    </row>
    <row r="208" spans="1:29">
      <c r="A208" t="s">
        <v>347</v>
      </c>
      <c r="B208" s="29">
        <v>46313.821898148148</v>
      </c>
      <c r="C208">
        <v>1941</v>
      </c>
      <c r="D208" t="s">
        <v>41</v>
      </c>
      <c r="E208">
        <v>8</v>
      </c>
      <c r="F208" t="s">
        <v>41</v>
      </c>
      <c r="G208" t="s">
        <v>41</v>
      </c>
      <c r="H208" t="s">
        <v>708</v>
      </c>
      <c r="I208" s="29">
        <v>46313.82230324074</v>
      </c>
      <c r="J208" t="s">
        <v>41</v>
      </c>
      <c r="K208" s="29">
        <v>46313.819791666669</v>
      </c>
      <c r="L208">
        <v>36</v>
      </c>
      <c r="O208" s="29">
        <v>46313.819120370368</v>
      </c>
      <c r="P208" t="s">
        <v>43</v>
      </c>
      <c r="Q208" t="s">
        <v>349</v>
      </c>
      <c r="R208" t="s">
        <v>709</v>
      </c>
      <c r="S208">
        <v>4247</v>
      </c>
      <c r="T208" t="s">
        <v>41</v>
      </c>
      <c r="U208" s="29">
        <v>46313.828298611108</v>
      </c>
      <c r="V208" s="29">
        <v>46313.827511574076</v>
      </c>
      <c r="W208" t="s">
        <v>710</v>
      </c>
      <c r="X208">
        <v>22411</v>
      </c>
      <c r="Z208">
        <v>0</v>
      </c>
      <c r="AA208" s="30">
        <v>0.82152777777777775</v>
      </c>
      <c r="AB208">
        <v>8</v>
      </c>
      <c r="AC208" t="s">
        <v>41</v>
      </c>
    </row>
    <row r="209" spans="1:29">
      <c r="A209" t="s">
        <v>711</v>
      </c>
      <c r="B209" s="29">
        <v>46313.82135416667</v>
      </c>
      <c r="C209">
        <v>2187</v>
      </c>
      <c r="D209" t="s">
        <v>41</v>
      </c>
      <c r="E209">
        <v>7</v>
      </c>
      <c r="F209" t="s">
        <v>41</v>
      </c>
      <c r="G209" t="s">
        <v>41</v>
      </c>
      <c r="H209" t="s">
        <v>712</v>
      </c>
      <c r="I209" s="29">
        <v>46313.821655092594</v>
      </c>
      <c r="J209" t="s">
        <v>41</v>
      </c>
      <c r="K209" s="29">
        <v>46313.819050925929</v>
      </c>
      <c r="L209">
        <v>26</v>
      </c>
      <c r="O209" s="29">
        <v>46313.818124999998</v>
      </c>
      <c r="P209" t="s">
        <v>43</v>
      </c>
      <c r="Q209" t="s">
        <v>713</v>
      </c>
      <c r="R209" t="s">
        <v>714</v>
      </c>
      <c r="S209">
        <v>4247</v>
      </c>
      <c r="T209" t="s">
        <v>41</v>
      </c>
      <c r="U209" s="29">
        <v>46313.827777777777</v>
      </c>
      <c r="V209" s="29">
        <v>46313.826319444444</v>
      </c>
      <c r="W209" t="s">
        <v>715</v>
      </c>
      <c r="X209">
        <v>22411</v>
      </c>
      <c r="Z209">
        <v>0</v>
      </c>
      <c r="AA209" s="30">
        <v>0.8208333333333333</v>
      </c>
      <c r="AB209">
        <v>7</v>
      </c>
      <c r="AC209" t="s">
        <v>41</v>
      </c>
    </row>
    <row r="210" spans="1:29">
      <c r="A210" t="s">
        <v>379</v>
      </c>
      <c r="B210" s="29">
        <v>46313.821180555555</v>
      </c>
      <c r="C210">
        <v>1411</v>
      </c>
      <c r="D210" t="s">
        <v>41</v>
      </c>
      <c r="E210">
        <v>4</v>
      </c>
      <c r="F210" t="s">
        <v>41</v>
      </c>
      <c r="G210" t="s">
        <v>41</v>
      </c>
      <c r="H210" t="s">
        <v>716</v>
      </c>
      <c r="I210" s="29">
        <v>46313.821481481478</v>
      </c>
      <c r="J210" t="s">
        <v>41</v>
      </c>
      <c r="K210" s="29">
        <v>46313.818368055552</v>
      </c>
      <c r="L210">
        <v>26</v>
      </c>
      <c r="O210" s="29">
        <v>46313.817442129628</v>
      </c>
      <c r="P210" t="s">
        <v>43</v>
      </c>
      <c r="Q210" t="s">
        <v>381</v>
      </c>
      <c r="R210" t="s">
        <v>717</v>
      </c>
      <c r="S210">
        <v>4247</v>
      </c>
      <c r="T210" t="s">
        <v>41</v>
      </c>
      <c r="U210" s="29">
        <v>46313.826006944444</v>
      </c>
      <c r="V210" s="29">
        <v>46313.824259259258</v>
      </c>
      <c r="W210" t="s">
        <v>718</v>
      </c>
      <c r="X210">
        <v>22411</v>
      </c>
      <c r="Z210">
        <v>0</v>
      </c>
      <c r="AA210" s="30">
        <v>0.8208333333333333</v>
      </c>
      <c r="AB210">
        <v>4</v>
      </c>
      <c r="AC210" t="s">
        <v>41</v>
      </c>
    </row>
    <row r="211" spans="1:29">
      <c r="A211" t="s">
        <v>209</v>
      </c>
      <c r="B211" s="29">
        <v>46313.820810185185</v>
      </c>
      <c r="C211">
        <v>2210</v>
      </c>
      <c r="D211" t="s">
        <v>41</v>
      </c>
      <c r="E211">
        <v>16</v>
      </c>
      <c r="F211" t="s">
        <v>41</v>
      </c>
      <c r="G211" t="s">
        <v>41</v>
      </c>
      <c r="H211" t="s">
        <v>719</v>
      </c>
      <c r="I211" s="29">
        <v>46313.821273148147</v>
      </c>
      <c r="J211" t="s">
        <v>41</v>
      </c>
      <c r="K211" s="29">
        <v>46313.817349537036</v>
      </c>
      <c r="L211">
        <v>40</v>
      </c>
      <c r="O211" s="29">
        <v>46313.816620370373</v>
      </c>
      <c r="P211" t="s">
        <v>43</v>
      </c>
      <c r="Q211" t="s">
        <v>211</v>
      </c>
      <c r="R211" t="s">
        <v>720</v>
      </c>
      <c r="S211">
        <v>4247</v>
      </c>
      <c r="T211" t="s">
        <v>41</v>
      </c>
      <c r="U211" s="29">
        <v>46313.82739583333</v>
      </c>
      <c r="V211" s="29">
        <v>46313.831886574073</v>
      </c>
      <c r="W211" t="s">
        <v>721</v>
      </c>
      <c r="X211">
        <v>22411</v>
      </c>
      <c r="Z211">
        <v>0</v>
      </c>
      <c r="AA211" s="30">
        <v>0.82013888888888886</v>
      </c>
      <c r="AB211">
        <v>15</v>
      </c>
      <c r="AC211" t="s">
        <v>41</v>
      </c>
    </row>
    <row r="212" spans="1:29">
      <c r="A212" t="s">
        <v>125</v>
      </c>
      <c r="B212" s="29">
        <v>46313.819618055553</v>
      </c>
      <c r="C212">
        <v>1496</v>
      </c>
      <c r="D212" t="s">
        <v>41</v>
      </c>
      <c r="E212">
        <v>9</v>
      </c>
      <c r="F212" t="s">
        <v>41</v>
      </c>
      <c r="G212" t="s">
        <v>41</v>
      </c>
      <c r="H212" t="s">
        <v>722</v>
      </c>
      <c r="I212" s="29">
        <v>46313.819826388892</v>
      </c>
      <c r="J212" t="s">
        <v>41</v>
      </c>
      <c r="K212" s="29">
        <v>46313.816666666666</v>
      </c>
      <c r="L212">
        <v>18</v>
      </c>
      <c r="O212" s="29">
        <v>46313.816099537034</v>
      </c>
      <c r="P212" t="s">
        <v>43</v>
      </c>
      <c r="Q212" t="s">
        <v>3006</v>
      </c>
      <c r="R212" t="s">
        <v>723</v>
      </c>
      <c r="S212">
        <v>4247</v>
      </c>
      <c r="T212" t="s">
        <v>41</v>
      </c>
      <c r="U212" s="29">
        <v>46313.824675925927</v>
      </c>
      <c r="V212" s="29">
        <v>46313.82603009259</v>
      </c>
      <c r="W212" t="s">
        <v>724</v>
      </c>
      <c r="X212">
        <v>22411</v>
      </c>
      <c r="Z212">
        <v>0</v>
      </c>
      <c r="AA212" s="30">
        <v>0.81944444444444453</v>
      </c>
      <c r="AB212">
        <v>9</v>
      </c>
      <c r="AC212" t="s">
        <v>41</v>
      </c>
    </row>
    <row r="213" spans="1:29">
      <c r="A213" t="s">
        <v>198</v>
      </c>
      <c r="B213" s="29">
        <v>46313.819108796299</v>
      </c>
      <c r="C213">
        <v>3117</v>
      </c>
      <c r="D213" t="s">
        <v>41</v>
      </c>
      <c r="E213">
        <v>15</v>
      </c>
      <c r="F213" t="s">
        <v>41</v>
      </c>
      <c r="G213" t="s">
        <v>41</v>
      </c>
      <c r="H213" t="s">
        <v>725</v>
      </c>
      <c r="I213" s="29">
        <v>46313.819456018522</v>
      </c>
      <c r="J213" t="s">
        <v>41</v>
      </c>
      <c r="K213" s="29">
        <v>46313.816504629627</v>
      </c>
      <c r="L213">
        <v>30</v>
      </c>
      <c r="O213" s="29">
        <v>46313.815891203703</v>
      </c>
      <c r="P213" t="s">
        <v>43</v>
      </c>
      <c r="Q213" t="s">
        <v>3008</v>
      </c>
      <c r="R213" t="s">
        <v>726</v>
      </c>
      <c r="S213">
        <v>4247</v>
      </c>
      <c r="T213" t="s">
        <v>41</v>
      </c>
      <c r="U213" s="29">
        <v>46313.827476851853</v>
      </c>
      <c r="V213" s="29">
        <v>46313.829560185186</v>
      </c>
      <c r="W213" t="s">
        <v>727</v>
      </c>
      <c r="X213">
        <v>22411</v>
      </c>
      <c r="Z213">
        <v>0</v>
      </c>
      <c r="AA213" s="30">
        <v>0.81874999999999998</v>
      </c>
      <c r="AB213">
        <v>15</v>
      </c>
      <c r="AC213" t="s">
        <v>41</v>
      </c>
    </row>
    <row r="214" spans="1:29">
      <c r="A214" t="s">
        <v>190</v>
      </c>
      <c r="B214" s="29">
        <v>46313.818402777775</v>
      </c>
      <c r="C214">
        <v>2770</v>
      </c>
      <c r="D214" t="s">
        <v>41</v>
      </c>
      <c r="E214">
        <v>17</v>
      </c>
      <c r="F214" t="s">
        <v>41</v>
      </c>
      <c r="G214" t="s">
        <v>41</v>
      </c>
      <c r="H214" t="s">
        <v>728</v>
      </c>
      <c r="I214" s="29">
        <v>46313.819062499999</v>
      </c>
      <c r="J214" t="s">
        <v>41</v>
      </c>
      <c r="K214" s="29">
        <v>46313.818564814814</v>
      </c>
      <c r="L214">
        <v>42</v>
      </c>
      <c r="O214" s="29">
        <v>46313.815729166665</v>
      </c>
      <c r="P214" t="s">
        <v>43</v>
      </c>
      <c r="Q214" t="s">
        <v>192</v>
      </c>
      <c r="R214" t="s">
        <v>729</v>
      </c>
      <c r="S214">
        <v>4247</v>
      </c>
      <c r="T214" t="s">
        <v>41</v>
      </c>
      <c r="U214" s="29">
        <v>46313.827731481484</v>
      </c>
      <c r="V214" s="29">
        <v>46313.830706018518</v>
      </c>
      <c r="W214" t="s">
        <v>730</v>
      </c>
      <c r="X214">
        <v>22411</v>
      </c>
      <c r="Z214">
        <v>0</v>
      </c>
      <c r="AA214" s="30">
        <v>0.81805555555555554</v>
      </c>
      <c r="AB214">
        <v>17</v>
      </c>
      <c r="AC214" t="s">
        <v>41</v>
      </c>
    </row>
    <row r="215" spans="1:29">
      <c r="A215" t="s">
        <v>98</v>
      </c>
      <c r="B215" s="29">
        <v>46313.818124999998</v>
      </c>
      <c r="C215">
        <v>260</v>
      </c>
      <c r="D215" t="s">
        <v>41</v>
      </c>
      <c r="E215">
        <v>1</v>
      </c>
      <c r="F215" t="s">
        <v>41</v>
      </c>
      <c r="G215" t="s">
        <v>41</v>
      </c>
      <c r="H215" t="s">
        <v>731</v>
      </c>
      <c r="I215" s="29">
        <v>46313.818414351852</v>
      </c>
      <c r="J215" t="s">
        <v>41</v>
      </c>
      <c r="K215" s="29">
        <v>46313.81322916667</v>
      </c>
      <c r="L215">
        <v>25</v>
      </c>
      <c r="O215" s="29">
        <v>46313.812442129631</v>
      </c>
      <c r="P215" t="s">
        <v>43</v>
      </c>
      <c r="Q215" t="s">
        <v>3005</v>
      </c>
      <c r="R215" t="s">
        <v>732</v>
      </c>
      <c r="S215">
        <v>4247</v>
      </c>
      <c r="T215" t="s">
        <v>41</v>
      </c>
      <c r="U215" s="29">
        <v>46313.819780092592</v>
      </c>
      <c r="V215" s="29">
        <v>46313.819143518522</v>
      </c>
      <c r="W215" t="s">
        <v>733</v>
      </c>
      <c r="X215">
        <v>22411</v>
      </c>
      <c r="Z215">
        <v>0</v>
      </c>
      <c r="AA215" s="30">
        <v>0.81805555555555554</v>
      </c>
      <c r="AB215">
        <v>1</v>
      </c>
      <c r="AC215" t="s">
        <v>41</v>
      </c>
    </row>
    <row r="216" spans="1:29">
      <c r="A216" t="s">
        <v>734</v>
      </c>
      <c r="B216" s="29">
        <v>46313.818159722221</v>
      </c>
      <c r="C216">
        <v>1741</v>
      </c>
      <c r="D216" t="s">
        <v>41</v>
      </c>
      <c r="E216">
        <v>8</v>
      </c>
      <c r="F216" t="s">
        <v>41</v>
      </c>
      <c r="G216" t="s">
        <v>41</v>
      </c>
      <c r="H216" t="s">
        <v>735</v>
      </c>
      <c r="I216" s="29">
        <v>46313.818495370368</v>
      </c>
      <c r="J216" t="s">
        <v>41</v>
      </c>
      <c r="K216" s="29">
        <v>46313.812511574077</v>
      </c>
      <c r="L216">
        <v>29</v>
      </c>
      <c r="O216" s="29">
        <v>46313.811516203707</v>
      </c>
      <c r="P216" t="s">
        <v>43</v>
      </c>
      <c r="Q216" t="s">
        <v>736</v>
      </c>
      <c r="R216" t="s">
        <v>737</v>
      </c>
      <c r="S216">
        <v>4247</v>
      </c>
      <c r="T216" t="s">
        <v>41</v>
      </c>
      <c r="U216" s="29">
        <v>46313.823761574073</v>
      </c>
      <c r="V216" s="29">
        <v>46313.82403935185</v>
      </c>
      <c r="W216" t="s">
        <v>738</v>
      </c>
      <c r="X216">
        <v>22411</v>
      </c>
      <c r="Z216">
        <v>0</v>
      </c>
      <c r="AA216" s="30">
        <v>0.81805555555555554</v>
      </c>
      <c r="AB216">
        <v>8</v>
      </c>
      <c r="AC216" t="s">
        <v>41</v>
      </c>
    </row>
    <row r="217" spans="1:29">
      <c r="A217" t="s">
        <v>655</v>
      </c>
      <c r="B217" s="29">
        <v>46313.817210648151</v>
      </c>
      <c r="C217">
        <v>1891</v>
      </c>
      <c r="D217" t="s">
        <v>41</v>
      </c>
      <c r="E217">
        <v>9</v>
      </c>
      <c r="F217" t="s">
        <v>41</v>
      </c>
      <c r="G217" t="s">
        <v>41</v>
      </c>
      <c r="H217" t="s">
        <v>739</v>
      </c>
      <c r="I217" s="29">
        <v>46313.81759259259</v>
      </c>
      <c r="J217" t="s">
        <v>41</v>
      </c>
      <c r="K217" s="29">
        <v>46313.814409722225</v>
      </c>
      <c r="L217">
        <v>33</v>
      </c>
      <c r="O217" s="29">
        <v>46313.811342592591</v>
      </c>
      <c r="P217" t="s">
        <v>43</v>
      </c>
      <c r="Q217" t="s">
        <v>657</v>
      </c>
      <c r="R217" t="s">
        <v>740</v>
      </c>
      <c r="S217">
        <v>4247</v>
      </c>
      <c r="T217" t="s">
        <v>41</v>
      </c>
      <c r="U217" s="29">
        <v>46313.823182870372</v>
      </c>
      <c r="V217" s="29">
        <v>46313.823657407411</v>
      </c>
      <c r="W217" t="s">
        <v>741</v>
      </c>
      <c r="X217">
        <v>22411</v>
      </c>
      <c r="Z217">
        <v>0</v>
      </c>
      <c r="AA217" s="30">
        <v>0.81666666666666676</v>
      </c>
      <c r="AB217">
        <v>9</v>
      </c>
      <c r="AC217" t="s">
        <v>41</v>
      </c>
    </row>
    <row r="218" spans="1:29">
      <c r="A218" t="s">
        <v>40</v>
      </c>
      <c r="B218" s="29">
        <v>46313.816377314812</v>
      </c>
      <c r="C218">
        <v>2238</v>
      </c>
      <c r="D218" t="s">
        <v>41</v>
      </c>
      <c r="E218">
        <v>10</v>
      </c>
      <c r="F218" t="s">
        <v>41</v>
      </c>
      <c r="G218" t="s">
        <v>41</v>
      </c>
      <c r="H218" t="s">
        <v>742</v>
      </c>
      <c r="I218" s="29">
        <v>46313.816643518519</v>
      </c>
      <c r="J218" t="s">
        <v>41</v>
      </c>
      <c r="K218" s="29">
        <v>46313.812106481484</v>
      </c>
      <c r="L218">
        <v>23</v>
      </c>
      <c r="O218" s="29">
        <v>46313.811168981483</v>
      </c>
      <c r="P218" t="s">
        <v>43</v>
      </c>
      <c r="Q218" t="s">
        <v>44</v>
      </c>
      <c r="R218" t="s">
        <v>743</v>
      </c>
      <c r="S218">
        <v>4247</v>
      </c>
      <c r="T218" t="s">
        <v>41</v>
      </c>
      <c r="U218" s="29">
        <v>46313.823842592596</v>
      </c>
      <c r="V218" s="29">
        <v>46313.82335648148</v>
      </c>
      <c r="W218" t="s">
        <v>744</v>
      </c>
      <c r="X218">
        <v>22411</v>
      </c>
      <c r="Z218">
        <v>0</v>
      </c>
      <c r="AA218" s="30">
        <v>0.81597222222222221</v>
      </c>
      <c r="AB218">
        <v>10</v>
      </c>
      <c r="AC218" t="s">
        <v>41</v>
      </c>
    </row>
    <row r="219" spans="1:29">
      <c r="A219" t="s">
        <v>57</v>
      </c>
      <c r="B219" s="29">
        <v>46313.816087962965</v>
      </c>
      <c r="C219">
        <v>1918</v>
      </c>
      <c r="D219" t="s">
        <v>41</v>
      </c>
      <c r="E219">
        <v>7</v>
      </c>
      <c r="F219" t="s">
        <v>41</v>
      </c>
      <c r="G219" t="s">
        <v>41</v>
      </c>
      <c r="H219" t="s">
        <v>745</v>
      </c>
      <c r="I219" s="29">
        <v>46313.816284722219</v>
      </c>
      <c r="J219" t="s">
        <v>41</v>
      </c>
      <c r="K219" s="29">
        <v>46313.813321759262</v>
      </c>
      <c r="L219">
        <v>17</v>
      </c>
      <c r="O219" s="29">
        <v>46313.810983796298</v>
      </c>
      <c r="P219" t="s">
        <v>43</v>
      </c>
      <c r="Q219" t="s">
        <v>59</v>
      </c>
      <c r="R219" t="s">
        <v>746</v>
      </c>
      <c r="S219">
        <v>4247</v>
      </c>
      <c r="T219" t="s">
        <v>41</v>
      </c>
      <c r="U219" s="29">
        <v>46313.821631944447</v>
      </c>
      <c r="V219" s="29">
        <v>46313.820891203701</v>
      </c>
      <c r="W219" t="s">
        <v>747</v>
      </c>
      <c r="X219">
        <v>22411</v>
      </c>
      <c r="Z219">
        <v>0</v>
      </c>
      <c r="AA219" s="30">
        <v>0.81597222222222221</v>
      </c>
      <c r="AB219">
        <v>7</v>
      </c>
      <c r="AC219" t="s">
        <v>41</v>
      </c>
    </row>
    <row r="220" spans="1:29">
      <c r="A220" t="s">
        <v>339</v>
      </c>
      <c r="B220" s="29">
        <v>46313.815740740742</v>
      </c>
      <c r="C220">
        <v>2240</v>
      </c>
      <c r="D220" t="s">
        <v>41</v>
      </c>
      <c r="E220">
        <v>11</v>
      </c>
      <c r="F220" t="s">
        <v>41</v>
      </c>
      <c r="G220" t="s">
        <v>41</v>
      </c>
      <c r="H220" t="s">
        <v>748</v>
      </c>
      <c r="I220" s="29">
        <v>46313.81590277778</v>
      </c>
      <c r="J220" t="s">
        <v>41</v>
      </c>
      <c r="K220" s="29">
        <v>46313.811469907407</v>
      </c>
      <c r="L220">
        <v>14</v>
      </c>
      <c r="O220" s="29">
        <v>46313.810486111113</v>
      </c>
      <c r="P220" t="s">
        <v>43</v>
      </c>
      <c r="Q220" t="s">
        <v>341</v>
      </c>
      <c r="R220" t="s">
        <v>749</v>
      </c>
      <c r="S220">
        <v>4247</v>
      </c>
      <c r="T220" t="s">
        <v>41</v>
      </c>
      <c r="U220" s="29">
        <v>46313.822118055556</v>
      </c>
      <c r="V220" s="29">
        <v>46313.823460648149</v>
      </c>
      <c r="W220" t="s">
        <v>750</v>
      </c>
      <c r="X220">
        <v>22411</v>
      </c>
      <c r="Z220">
        <v>0</v>
      </c>
      <c r="AA220" s="30">
        <v>0.81527777777777777</v>
      </c>
      <c r="AB220">
        <v>11</v>
      </c>
      <c r="AC220" t="s">
        <v>41</v>
      </c>
    </row>
    <row r="221" spans="1:29">
      <c r="A221" t="s">
        <v>52</v>
      </c>
      <c r="B221" s="29">
        <v>46313.813726851855</v>
      </c>
      <c r="C221">
        <v>2021</v>
      </c>
      <c r="D221" t="s">
        <v>41</v>
      </c>
      <c r="E221">
        <v>9</v>
      </c>
      <c r="F221" t="s">
        <v>41</v>
      </c>
      <c r="G221" t="s">
        <v>41</v>
      </c>
      <c r="H221" t="s">
        <v>751</v>
      </c>
      <c r="I221" s="29">
        <v>46313.814027777778</v>
      </c>
      <c r="J221" t="s">
        <v>41</v>
      </c>
      <c r="K221" s="29">
        <v>46313.811365740738</v>
      </c>
      <c r="L221">
        <v>26</v>
      </c>
      <c r="O221" s="29">
        <v>46313.810231481482</v>
      </c>
      <c r="P221" t="s">
        <v>43</v>
      </c>
      <c r="Q221" t="s">
        <v>54</v>
      </c>
      <c r="R221" t="s">
        <v>752</v>
      </c>
      <c r="S221">
        <v>4247</v>
      </c>
      <c r="T221" t="s">
        <v>41</v>
      </c>
      <c r="U221" s="29">
        <v>46313.820393518516</v>
      </c>
      <c r="V221" s="29">
        <v>46313.819733796299</v>
      </c>
      <c r="W221" t="s">
        <v>753</v>
      </c>
      <c r="X221">
        <v>22411</v>
      </c>
      <c r="Z221">
        <v>0</v>
      </c>
      <c r="AA221" s="30">
        <v>0.81319444444444444</v>
      </c>
      <c r="AB221">
        <v>8</v>
      </c>
      <c r="AC221" t="s">
        <v>41</v>
      </c>
    </row>
    <row r="222" spans="1:29">
      <c r="A222" t="s">
        <v>754</v>
      </c>
      <c r="B222" s="29">
        <v>46313.813576388886</v>
      </c>
      <c r="C222">
        <v>3055</v>
      </c>
      <c r="D222" t="s">
        <v>41</v>
      </c>
      <c r="E222">
        <v>13</v>
      </c>
      <c r="F222" t="s">
        <v>41</v>
      </c>
      <c r="G222" t="s">
        <v>41</v>
      </c>
      <c r="H222" t="s">
        <v>755</v>
      </c>
      <c r="I222" s="29">
        <v>46313.813888888886</v>
      </c>
      <c r="J222" t="s">
        <v>41</v>
      </c>
      <c r="K222" s="29">
        <v>46313.811238425929</v>
      </c>
      <c r="L222">
        <v>27</v>
      </c>
      <c r="O222" s="29">
        <v>46313.810057870367</v>
      </c>
      <c r="P222" t="s">
        <v>43</v>
      </c>
      <c r="Q222" t="s">
        <v>3010</v>
      </c>
      <c r="R222" t="s">
        <v>757</v>
      </c>
      <c r="S222">
        <v>4247</v>
      </c>
      <c r="T222" t="s">
        <v>41</v>
      </c>
      <c r="U222" s="29">
        <v>46313.821550925924</v>
      </c>
      <c r="V222" s="29">
        <v>46313.822627314818</v>
      </c>
      <c r="W222" t="s">
        <v>758</v>
      </c>
      <c r="X222">
        <v>22411</v>
      </c>
      <c r="Z222">
        <v>0</v>
      </c>
      <c r="AA222" s="30">
        <v>0.81319444444444444</v>
      </c>
      <c r="AB222">
        <v>13</v>
      </c>
      <c r="AC222" t="s">
        <v>41</v>
      </c>
    </row>
    <row r="223" spans="1:29">
      <c r="A223" t="s">
        <v>185</v>
      </c>
      <c r="B223" s="29">
        <v>46313.812581018516</v>
      </c>
      <c r="C223">
        <v>2728</v>
      </c>
      <c r="D223" t="s">
        <v>41</v>
      </c>
      <c r="E223">
        <v>10</v>
      </c>
      <c r="F223" t="s">
        <v>41</v>
      </c>
      <c r="G223" t="s">
        <v>41</v>
      </c>
      <c r="H223" t="s">
        <v>759</v>
      </c>
      <c r="I223" s="29">
        <v>46313.813043981485</v>
      </c>
      <c r="J223" t="s">
        <v>41</v>
      </c>
      <c r="K223" s="29">
        <v>46313.810856481483</v>
      </c>
      <c r="L223">
        <v>40</v>
      </c>
      <c r="O223" s="29">
        <v>46313.808541666665</v>
      </c>
      <c r="P223" t="s">
        <v>43</v>
      </c>
      <c r="Q223" t="s">
        <v>3007</v>
      </c>
      <c r="R223" t="s">
        <v>760</v>
      </c>
      <c r="S223">
        <v>4247</v>
      </c>
      <c r="T223" t="s">
        <v>41</v>
      </c>
      <c r="U223" s="29">
        <v>46313.820671296293</v>
      </c>
      <c r="V223" s="29">
        <v>46313.819571759261</v>
      </c>
      <c r="W223" t="s">
        <v>761</v>
      </c>
      <c r="X223">
        <v>22411</v>
      </c>
      <c r="Z223">
        <v>0</v>
      </c>
      <c r="AA223" s="30">
        <v>0.8125</v>
      </c>
      <c r="AB223">
        <v>9</v>
      </c>
      <c r="AC223" t="s">
        <v>41</v>
      </c>
    </row>
    <row r="224" spans="1:29">
      <c r="A224" t="s">
        <v>72</v>
      </c>
      <c r="B224" s="29">
        <v>46313.812569444446</v>
      </c>
      <c r="C224">
        <v>2164</v>
      </c>
      <c r="D224" t="s">
        <v>41</v>
      </c>
      <c r="E224">
        <v>8</v>
      </c>
      <c r="F224" t="s">
        <v>41</v>
      </c>
      <c r="G224" t="s">
        <v>41</v>
      </c>
      <c r="H224" t="s">
        <v>762</v>
      </c>
      <c r="I224" s="29">
        <v>46313.812986111108</v>
      </c>
      <c r="J224" t="s">
        <v>41</v>
      </c>
      <c r="K224" s="29">
        <v>46313.809108796297</v>
      </c>
      <c r="L224">
        <v>36</v>
      </c>
      <c r="O224" s="29">
        <v>46313.808229166665</v>
      </c>
      <c r="P224" t="s">
        <v>43</v>
      </c>
      <c r="Q224" t="s">
        <v>74</v>
      </c>
      <c r="R224" t="s">
        <v>763</v>
      </c>
      <c r="S224">
        <v>4247</v>
      </c>
      <c r="T224" t="s">
        <v>41</v>
      </c>
      <c r="U224" s="29">
        <v>46313.819791666669</v>
      </c>
      <c r="V224" s="29">
        <v>46313.818229166667</v>
      </c>
      <c r="W224" t="s">
        <v>764</v>
      </c>
      <c r="X224">
        <v>22411</v>
      </c>
      <c r="Z224">
        <v>0</v>
      </c>
      <c r="AA224" s="30">
        <v>0.8125</v>
      </c>
      <c r="AB224">
        <v>8</v>
      </c>
      <c r="AC224" t="s">
        <v>41</v>
      </c>
    </row>
    <row r="225" spans="1:29">
      <c r="A225" t="s">
        <v>177</v>
      </c>
      <c r="B225" s="29">
        <v>46313.812326388892</v>
      </c>
      <c r="C225">
        <v>2165</v>
      </c>
      <c r="D225" t="s">
        <v>41</v>
      </c>
      <c r="E225">
        <v>10</v>
      </c>
      <c r="F225" t="s">
        <v>41</v>
      </c>
      <c r="G225" t="s">
        <v>41</v>
      </c>
      <c r="H225" t="s">
        <v>765</v>
      </c>
      <c r="I225" s="29">
        <v>46313.812858796293</v>
      </c>
      <c r="J225" t="s">
        <v>41</v>
      </c>
      <c r="K225" s="29">
        <v>46313.809467592589</v>
      </c>
      <c r="L225">
        <v>46</v>
      </c>
      <c r="O225" s="29">
        <v>46313.807615740741</v>
      </c>
      <c r="P225" t="s">
        <v>43</v>
      </c>
      <c r="Q225" t="s">
        <v>179</v>
      </c>
      <c r="R225" t="s">
        <v>766</v>
      </c>
      <c r="S225">
        <v>4247</v>
      </c>
      <c r="T225" t="s">
        <v>41</v>
      </c>
      <c r="U225" s="29">
        <v>46313.819155092591</v>
      </c>
      <c r="V225" s="29">
        <v>46313.819178240738</v>
      </c>
      <c r="W225" t="s">
        <v>767</v>
      </c>
      <c r="X225">
        <v>22411</v>
      </c>
      <c r="Z225">
        <v>0</v>
      </c>
      <c r="AA225" s="30">
        <v>0.81180555555555556</v>
      </c>
      <c r="AB225">
        <v>9</v>
      </c>
      <c r="AC225" t="s">
        <v>41</v>
      </c>
    </row>
    <row r="226" spans="1:29">
      <c r="A226" t="s">
        <v>77</v>
      </c>
      <c r="B226" s="29">
        <v>46313.812164351853</v>
      </c>
      <c r="C226">
        <v>2094</v>
      </c>
      <c r="D226" t="s">
        <v>41</v>
      </c>
      <c r="E226">
        <v>10</v>
      </c>
      <c r="F226" t="s">
        <v>41</v>
      </c>
      <c r="G226" t="s">
        <v>41</v>
      </c>
      <c r="H226" t="s">
        <v>768</v>
      </c>
      <c r="I226" s="29">
        <v>46313.812418981484</v>
      </c>
      <c r="J226" t="s">
        <v>41</v>
      </c>
      <c r="K226" s="29">
        <v>46313.809259259258</v>
      </c>
      <c r="L226">
        <v>22</v>
      </c>
      <c r="O226" s="29">
        <v>46313.807037037041</v>
      </c>
      <c r="P226" t="s">
        <v>43</v>
      </c>
      <c r="Q226" t="s">
        <v>79</v>
      </c>
      <c r="R226" t="s">
        <v>769</v>
      </c>
      <c r="S226">
        <v>4247</v>
      </c>
      <c r="T226" t="s">
        <v>41</v>
      </c>
      <c r="U226" s="29">
        <v>46313.818541666667</v>
      </c>
      <c r="V226" s="29">
        <v>46313.819050925929</v>
      </c>
      <c r="W226" t="s">
        <v>770</v>
      </c>
      <c r="X226">
        <v>22411</v>
      </c>
      <c r="Z226">
        <v>0</v>
      </c>
      <c r="AA226" s="30">
        <v>0.81180555555555556</v>
      </c>
      <c r="AB226">
        <v>10</v>
      </c>
      <c r="AC226" t="s">
        <v>41</v>
      </c>
    </row>
    <row r="227" spans="1:29">
      <c r="A227" t="s">
        <v>157</v>
      </c>
      <c r="B227" s="29">
        <v>46313.811527777776</v>
      </c>
      <c r="C227">
        <v>2138</v>
      </c>
      <c r="D227" t="s">
        <v>41</v>
      </c>
      <c r="E227">
        <v>8</v>
      </c>
      <c r="F227" t="s">
        <v>41</v>
      </c>
      <c r="G227" t="s">
        <v>41</v>
      </c>
      <c r="H227" t="s">
        <v>771</v>
      </c>
      <c r="I227" s="29">
        <v>46313.811874999999</v>
      </c>
      <c r="J227" t="s">
        <v>41</v>
      </c>
      <c r="K227" s="29">
        <v>46313.809560185182</v>
      </c>
      <c r="L227">
        <v>31</v>
      </c>
      <c r="O227" s="29">
        <v>46313.806932870371</v>
      </c>
      <c r="P227" t="s">
        <v>43</v>
      </c>
      <c r="Q227" t="s">
        <v>159</v>
      </c>
      <c r="R227" t="s">
        <v>772</v>
      </c>
      <c r="S227">
        <v>4247</v>
      </c>
      <c r="T227" t="s">
        <v>41</v>
      </c>
      <c r="U227" s="29">
        <v>46313.817789351851</v>
      </c>
      <c r="V227" s="29">
        <v>46313.816944444443</v>
      </c>
      <c r="W227" t="s">
        <v>773</v>
      </c>
      <c r="X227">
        <v>22411</v>
      </c>
      <c r="Z227">
        <v>0</v>
      </c>
      <c r="AA227" s="30">
        <v>0.81111111111111101</v>
      </c>
      <c r="AB227">
        <v>7</v>
      </c>
      <c r="AC227" t="s">
        <v>41</v>
      </c>
    </row>
    <row r="228" spans="1:29">
      <c r="A228" t="s">
        <v>209</v>
      </c>
      <c r="B228" s="29">
        <v>46313.81040509259</v>
      </c>
      <c r="C228">
        <v>1661</v>
      </c>
      <c r="D228" t="s">
        <v>41</v>
      </c>
      <c r="E228">
        <v>6</v>
      </c>
      <c r="F228" t="s">
        <v>41</v>
      </c>
      <c r="G228" t="s">
        <v>41</v>
      </c>
      <c r="H228" t="s">
        <v>774</v>
      </c>
      <c r="I228" s="29">
        <v>46313.810798611114</v>
      </c>
      <c r="J228" t="s">
        <v>41</v>
      </c>
      <c r="K228" s="29">
        <v>46313.807534722226</v>
      </c>
      <c r="L228">
        <v>34</v>
      </c>
      <c r="O228" s="29">
        <v>46313.80678240741</v>
      </c>
      <c r="P228" t="s">
        <v>43</v>
      </c>
      <c r="Q228" t="s">
        <v>211</v>
      </c>
      <c r="R228" t="s">
        <v>775</v>
      </c>
      <c r="S228">
        <v>4247</v>
      </c>
      <c r="T228" t="s">
        <v>41</v>
      </c>
      <c r="U228" s="29">
        <v>46313.815729166665</v>
      </c>
      <c r="V228" s="29">
        <v>46313.814282407409</v>
      </c>
      <c r="W228" t="s">
        <v>776</v>
      </c>
      <c r="X228">
        <v>22411</v>
      </c>
      <c r="Z228">
        <v>0</v>
      </c>
      <c r="AA228" s="30">
        <v>0.80972222222222223</v>
      </c>
      <c r="AB228">
        <v>5</v>
      </c>
      <c r="AC228" t="s">
        <v>41</v>
      </c>
    </row>
    <row r="229" spans="1:29">
      <c r="A229" t="s">
        <v>347</v>
      </c>
      <c r="B229" s="29">
        <v>46313.809988425928</v>
      </c>
      <c r="C229">
        <v>1498</v>
      </c>
      <c r="D229" t="s">
        <v>41</v>
      </c>
      <c r="E229">
        <v>6</v>
      </c>
      <c r="F229" t="s">
        <v>41</v>
      </c>
      <c r="G229" t="s">
        <v>41</v>
      </c>
      <c r="H229" t="s">
        <v>777</v>
      </c>
      <c r="I229" s="29">
        <v>46313.810173611113</v>
      </c>
      <c r="J229" t="s">
        <v>41</v>
      </c>
      <c r="K229" s="29">
        <v>46313.808321759258</v>
      </c>
      <c r="L229">
        <v>16</v>
      </c>
      <c r="O229" s="29">
        <v>46313.806585648148</v>
      </c>
      <c r="P229" t="s">
        <v>43</v>
      </c>
      <c r="Q229" t="s">
        <v>349</v>
      </c>
      <c r="R229" t="s">
        <v>778</v>
      </c>
      <c r="S229">
        <v>4247</v>
      </c>
      <c r="T229" t="s">
        <v>41</v>
      </c>
      <c r="U229" s="29">
        <v>46313.815011574072</v>
      </c>
      <c r="V229" s="29">
        <v>46313.813946759263</v>
      </c>
      <c r="W229" t="s">
        <v>779</v>
      </c>
      <c r="X229">
        <v>22411</v>
      </c>
      <c r="Z229">
        <v>0</v>
      </c>
      <c r="AA229" s="30">
        <v>0.80972222222222223</v>
      </c>
      <c r="AB229">
        <v>5</v>
      </c>
      <c r="AC229" t="s">
        <v>41</v>
      </c>
    </row>
    <row r="230" spans="1:29">
      <c r="A230" t="s">
        <v>82</v>
      </c>
      <c r="B230" s="29">
        <v>46313.809594907405</v>
      </c>
      <c r="C230">
        <v>1533</v>
      </c>
      <c r="D230" t="s">
        <v>41</v>
      </c>
      <c r="E230">
        <v>6</v>
      </c>
      <c r="F230" t="s">
        <v>41</v>
      </c>
      <c r="G230" t="s">
        <v>41</v>
      </c>
      <c r="H230" t="s">
        <v>777</v>
      </c>
      <c r="I230" s="29">
        <v>46313.809791666667</v>
      </c>
      <c r="J230" t="s">
        <v>41</v>
      </c>
      <c r="K230" s="29">
        <v>46313.808981481481</v>
      </c>
      <c r="L230">
        <v>18</v>
      </c>
      <c r="O230" s="29">
        <v>46313.806550925925</v>
      </c>
      <c r="P230" t="s">
        <v>43</v>
      </c>
      <c r="Q230" t="s">
        <v>84</v>
      </c>
      <c r="R230" t="s">
        <v>780</v>
      </c>
      <c r="S230">
        <v>4247</v>
      </c>
      <c r="T230" t="s">
        <v>41</v>
      </c>
      <c r="U230" s="29">
        <v>46313.814351851855</v>
      </c>
      <c r="V230" s="29">
        <v>46313.813449074078</v>
      </c>
      <c r="W230" t="s">
        <v>781</v>
      </c>
      <c r="X230">
        <v>22411</v>
      </c>
      <c r="Z230">
        <v>0</v>
      </c>
      <c r="AA230" s="30">
        <v>0.80902777777777779</v>
      </c>
      <c r="AB230">
        <v>5</v>
      </c>
      <c r="AC230" t="s">
        <v>41</v>
      </c>
    </row>
    <row r="231" spans="1:29">
      <c r="A231" t="s">
        <v>47</v>
      </c>
      <c r="B231" s="29">
        <v>46313.809247685182</v>
      </c>
      <c r="C231">
        <v>2725</v>
      </c>
      <c r="D231" t="s">
        <v>41</v>
      </c>
      <c r="E231">
        <v>8</v>
      </c>
      <c r="F231" t="s">
        <v>41</v>
      </c>
      <c r="G231" t="s">
        <v>41</v>
      </c>
      <c r="H231" t="s">
        <v>782</v>
      </c>
      <c r="I231" s="29">
        <v>46313.809513888889</v>
      </c>
      <c r="J231" t="s">
        <v>41</v>
      </c>
      <c r="K231" s="29">
        <v>46313.808333333334</v>
      </c>
      <c r="L231">
        <v>24</v>
      </c>
      <c r="O231" s="29">
        <v>46313.805972222224</v>
      </c>
      <c r="P231" t="s">
        <v>43</v>
      </c>
      <c r="Q231" t="s">
        <v>49</v>
      </c>
      <c r="R231" t="s">
        <v>783</v>
      </c>
      <c r="S231">
        <v>4247</v>
      </c>
      <c r="T231" t="s">
        <v>41</v>
      </c>
      <c r="U231" s="29">
        <v>46313.817557870374</v>
      </c>
      <c r="V231" s="29">
        <v>46313.814803240741</v>
      </c>
      <c r="W231" t="s">
        <v>784</v>
      </c>
      <c r="X231">
        <v>22411</v>
      </c>
      <c r="Z231">
        <v>0</v>
      </c>
      <c r="AA231" s="30">
        <v>0.80902777777777779</v>
      </c>
      <c r="AB231">
        <v>8</v>
      </c>
      <c r="AC231" t="s">
        <v>41</v>
      </c>
    </row>
    <row r="232" spans="1:29">
      <c r="A232" t="s">
        <v>106</v>
      </c>
      <c r="B232" s="29">
        <v>46313.808761574073</v>
      </c>
      <c r="C232">
        <v>2209</v>
      </c>
      <c r="D232" t="s">
        <v>41</v>
      </c>
      <c r="E232">
        <v>9</v>
      </c>
      <c r="F232" t="s">
        <v>41</v>
      </c>
      <c r="G232" t="s">
        <v>41</v>
      </c>
      <c r="H232" t="s">
        <v>785</v>
      </c>
      <c r="I232" s="29">
        <v>46313.809108796297</v>
      </c>
      <c r="J232" t="s">
        <v>41</v>
      </c>
      <c r="K232" s="29">
        <v>46313.808391203704</v>
      </c>
      <c r="L232">
        <v>30</v>
      </c>
      <c r="O232" s="29">
        <v>46313.805775462963</v>
      </c>
      <c r="P232" t="s">
        <v>43</v>
      </c>
      <c r="Q232" t="s">
        <v>108</v>
      </c>
      <c r="R232" t="s">
        <v>786</v>
      </c>
      <c r="S232">
        <v>4247</v>
      </c>
      <c r="T232" t="s">
        <v>41</v>
      </c>
      <c r="U232" s="29">
        <v>46313.815185185187</v>
      </c>
      <c r="V232" s="29">
        <v>46313.81523148148</v>
      </c>
      <c r="W232" t="s">
        <v>787</v>
      </c>
      <c r="X232">
        <v>22411</v>
      </c>
      <c r="Z232">
        <v>0</v>
      </c>
      <c r="AA232" s="30">
        <v>0.80833333333333324</v>
      </c>
      <c r="AB232">
        <v>9</v>
      </c>
      <c r="AC232" t="s">
        <v>41</v>
      </c>
    </row>
    <row r="233" spans="1:29">
      <c r="A233" t="s">
        <v>190</v>
      </c>
      <c r="B233" s="29">
        <v>46313.808125000003</v>
      </c>
      <c r="C233">
        <v>1736</v>
      </c>
      <c r="D233" t="s">
        <v>41</v>
      </c>
      <c r="E233">
        <v>5</v>
      </c>
      <c r="F233" t="s">
        <v>41</v>
      </c>
      <c r="G233" t="s">
        <v>41</v>
      </c>
      <c r="H233" t="s">
        <v>788</v>
      </c>
      <c r="I233" s="29">
        <v>46313.808749999997</v>
      </c>
      <c r="J233" t="s">
        <v>41</v>
      </c>
      <c r="K233" s="29">
        <v>46313.806979166664</v>
      </c>
      <c r="L233">
        <v>54</v>
      </c>
      <c r="O233" s="29">
        <v>46313.805497685185</v>
      </c>
      <c r="P233" t="s">
        <v>43</v>
      </c>
      <c r="Q233" t="s">
        <v>192</v>
      </c>
      <c r="R233" t="s">
        <v>789</v>
      </c>
      <c r="S233">
        <v>4247</v>
      </c>
      <c r="T233" t="s">
        <v>41</v>
      </c>
      <c r="U233" s="29">
        <v>46313.815081018518</v>
      </c>
      <c r="V233" s="29">
        <v>46313.811365740738</v>
      </c>
      <c r="W233" t="s">
        <v>790</v>
      </c>
      <c r="X233">
        <v>22411</v>
      </c>
      <c r="Z233">
        <v>0</v>
      </c>
      <c r="AA233" s="30">
        <v>0.80763888888888891</v>
      </c>
      <c r="AB233">
        <v>4</v>
      </c>
      <c r="AC233" t="s">
        <v>41</v>
      </c>
    </row>
    <row r="234" spans="1:29">
      <c r="A234" t="s">
        <v>339</v>
      </c>
      <c r="B234" s="29">
        <v>46313.806793981479</v>
      </c>
      <c r="C234">
        <v>968</v>
      </c>
      <c r="D234" t="s">
        <v>41</v>
      </c>
      <c r="E234">
        <v>4</v>
      </c>
      <c r="F234" t="s">
        <v>41</v>
      </c>
      <c r="G234" t="s">
        <v>41</v>
      </c>
      <c r="H234" t="s">
        <v>791</v>
      </c>
      <c r="I234" s="29">
        <v>46313.807719907411</v>
      </c>
      <c r="J234" t="s">
        <v>41</v>
      </c>
      <c r="K234" s="29">
        <v>46313.807256944441</v>
      </c>
      <c r="L234">
        <v>39</v>
      </c>
      <c r="O234" s="29">
        <v>46313.805081018516</v>
      </c>
      <c r="P234" t="s">
        <v>43</v>
      </c>
      <c r="Q234" t="s">
        <v>341</v>
      </c>
      <c r="R234" t="s">
        <v>792</v>
      </c>
      <c r="S234">
        <v>4247</v>
      </c>
      <c r="T234" t="s">
        <v>41</v>
      </c>
      <c r="U234" s="29">
        <v>46313.81145833333</v>
      </c>
      <c r="V234" s="29">
        <v>46313.810011574074</v>
      </c>
      <c r="W234" t="s">
        <v>793</v>
      </c>
      <c r="X234">
        <v>22411</v>
      </c>
      <c r="Z234">
        <v>0</v>
      </c>
      <c r="AA234" s="30">
        <v>0.80625000000000002</v>
      </c>
      <c r="AB234">
        <v>3</v>
      </c>
      <c r="AC234" t="s">
        <v>41</v>
      </c>
    </row>
    <row r="235" spans="1:29">
      <c r="A235" t="s">
        <v>754</v>
      </c>
      <c r="B235" s="29">
        <v>46313.805798611109</v>
      </c>
      <c r="C235">
        <v>1227</v>
      </c>
      <c r="D235" t="s">
        <v>41</v>
      </c>
      <c r="E235">
        <v>5</v>
      </c>
      <c r="F235" t="s">
        <v>41</v>
      </c>
      <c r="G235" t="s">
        <v>41</v>
      </c>
      <c r="H235" t="s">
        <v>794</v>
      </c>
      <c r="I235" s="29">
        <v>46313.806145833332</v>
      </c>
      <c r="J235" t="s">
        <v>41</v>
      </c>
      <c r="K235" s="29">
        <v>46313.805844907409</v>
      </c>
      <c r="L235">
        <v>25</v>
      </c>
      <c r="O235" s="29">
        <v>46313.804872685185</v>
      </c>
      <c r="P235" t="s">
        <v>43</v>
      </c>
      <c r="Q235" t="s">
        <v>3010</v>
      </c>
      <c r="R235" t="s">
        <v>795</v>
      </c>
      <c r="S235">
        <v>4247</v>
      </c>
      <c r="T235" t="s">
        <v>41</v>
      </c>
      <c r="U235" s="29">
        <v>46313.809756944444</v>
      </c>
      <c r="V235" s="29">
        <v>46313.809502314813</v>
      </c>
      <c r="W235" t="s">
        <v>796</v>
      </c>
      <c r="X235">
        <v>22411</v>
      </c>
      <c r="Z235">
        <v>0</v>
      </c>
      <c r="AA235" s="30">
        <v>0.80555555555555547</v>
      </c>
      <c r="AB235">
        <v>5</v>
      </c>
      <c r="AC235" t="s">
        <v>41</v>
      </c>
    </row>
    <row r="236" spans="1:29">
      <c r="A236" t="s">
        <v>303</v>
      </c>
      <c r="B236" s="29">
        <v>46313.805659722224</v>
      </c>
      <c r="C236">
        <v>2298</v>
      </c>
      <c r="D236" t="s">
        <v>41</v>
      </c>
      <c r="E236">
        <v>9</v>
      </c>
      <c r="F236" t="s">
        <v>41</v>
      </c>
      <c r="G236" t="s">
        <v>41</v>
      </c>
      <c r="H236" t="s">
        <v>797</v>
      </c>
      <c r="I236" s="29">
        <v>46313.806759259256</v>
      </c>
      <c r="J236" t="s">
        <v>41</v>
      </c>
      <c r="K236" s="29">
        <v>46313.806446759256</v>
      </c>
      <c r="L236">
        <v>26</v>
      </c>
      <c r="O236" s="29">
        <v>46313.8046875</v>
      </c>
      <c r="P236" t="s">
        <v>43</v>
      </c>
      <c r="Q236" t="s">
        <v>305</v>
      </c>
      <c r="R236" t="s">
        <v>798</v>
      </c>
      <c r="S236">
        <v>4247</v>
      </c>
      <c r="T236" t="s">
        <v>41</v>
      </c>
      <c r="U236" s="29">
        <v>46313.813194444447</v>
      </c>
      <c r="V236" s="29">
        <v>46313.812662037039</v>
      </c>
      <c r="W236" t="s">
        <v>799</v>
      </c>
      <c r="X236">
        <v>22411</v>
      </c>
      <c r="Z236">
        <v>0</v>
      </c>
      <c r="AA236" s="30">
        <v>0.80555555555555547</v>
      </c>
      <c r="AB236">
        <v>9</v>
      </c>
      <c r="AC236" t="s">
        <v>41</v>
      </c>
    </row>
    <row r="237" spans="1:29">
      <c r="A237" t="s">
        <v>734</v>
      </c>
      <c r="B237" s="29">
        <v>46313.805451388886</v>
      </c>
      <c r="C237">
        <v>1664</v>
      </c>
      <c r="D237" t="s">
        <v>41</v>
      </c>
      <c r="E237">
        <v>6</v>
      </c>
      <c r="F237" t="s">
        <v>41</v>
      </c>
      <c r="G237" t="s">
        <v>41</v>
      </c>
      <c r="H237" t="s">
        <v>800</v>
      </c>
      <c r="I237" s="29">
        <v>46313.806006944447</v>
      </c>
      <c r="J237" t="s">
        <v>41</v>
      </c>
      <c r="K237" s="29">
        <v>46313.805590277778</v>
      </c>
      <c r="L237">
        <v>35</v>
      </c>
      <c r="O237" s="29">
        <v>46313.804571759261</v>
      </c>
      <c r="P237" t="s">
        <v>43</v>
      </c>
      <c r="Q237" t="s">
        <v>736</v>
      </c>
      <c r="R237" t="s">
        <v>801</v>
      </c>
      <c r="S237">
        <v>4247</v>
      </c>
      <c r="T237" t="s">
        <v>41</v>
      </c>
      <c r="U237" s="29">
        <v>46313.811168981483</v>
      </c>
      <c r="V237" s="29">
        <v>46313.809953703705</v>
      </c>
      <c r="W237" t="s">
        <v>802</v>
      </c>
      <c r="X237">
        <v>22411</v>
      </c>
      <c r="Z237">
        <v>0</v>
      </c>
      <c r="AA237" s="30">
        <v>0.80486111111111114</v>
      </c>
      <c r="AB237">
        <v>6</v>
      </c>
      <c r="AC237" t="s">
        <v>41</v>
      </c>
    </row>
    <row r="238" spans="1:29">
      <c r="A238" t="s">
        <v>711</v>
      </c>
      <c r="B238" s="29">
        <v>46313.805335648147</v>
      </c>
      <c r="C238">
        <v>1729</v>
      </c>
      <c r="D238" t="s">
        <v>41</v>
      </c>
      <c r="E238">
        <v>7</v>
      </c>
      <c r="F238" t="s">
        <v>41</v>
      </c>
      <c r="G238" t="s">
        <v>41</v>
      </c>
      <c r="H238" t="s">
        <v>803</v>
      </c>
      <c r="I238" s="29">
        <v>46313.807789351849</v>
      </c>
      <c r="J238" t="s">
        <v>41</v>
      </c>
      <c r="K238" s="29">
        <v>46313.807453703703</v>
      </c>
      <c r="L238">
        <v>28</v>
      </c>
      <c r="O238" s="29">
        <v>46313.803472222222</v>
      </c>
      <c r="P238" t="s">
        <v>43</v>
      </c>
      <c r="Q238" t="s">
        <v>713</v>
      </c>
      <c r="R238" t="s">
        <v>804</v>
      </c>
      <c r="S238">
        <v>4247</v>
      </c>
      <c r="T238" t="s">
        <v>41</v>
      </c>
      <c r="U238" s="29">
        <v>46313.812407407408</v>
      </c>
      <c r="V238" s="29">
        <v>46313.812152777777</v>
      </c>
      <c r="W238" t="s">
        <v>805</v>
      </c>
      <c r="X238">
        <v>22411</v>
      </c>
      <c r="Z238">
        <v>0</v>
      </c>
      <c r="AA238" s="30">
        <v>0.80486111111111114</v>
      </c>
      <c r="AB238">
        <v>6</v>
      </c>
      <c r="AC238" t="s">
        <v>41</v>
      </c>
    </row>
    <row r="239" spans="1:29">
      <c r="A239" t="s">
        <v>52</v>
      </c>
      <c r="B239" s="29">
        <v>46313.804074074076</v>
      </c>
      <c r="C239">
        <v>956</v>
      </c>
      <c r="D239" t="s">
        <v>41</v>
      </c>
      <c r="E239">
        <v>4</v>
      </c>
      <c r="F239" t="s">
        <v>41</v>
      </c>
      <c r="G239" t="s">
        <v>41</v>
      </c>
      <c r="H239" t="s">
        <v>806</v>
      </c>
      <c r="I239" s="29">
        <v>46313.804872685185</v>
      </c>
      <c r="J239" t="s">
        <v>41</v>
      </c>
      <c r="K239" s="29">
        <v>46313.804328703707</v>
      </c>
      <c r="L239">
        <v>46</v>
      </c>
      <c r="O239" s="29">
        <v>46313.803414351853</v>
      </c>
      <c r="P239" t="s">
        <v>43</v>
      </c>
      <c r="Q239" t="s">
        <v>54</v>
      </c>
      <c r="R239" t="s">
        <v>807</v>
      </c>
      <c r="S239">
        <v>4247</v>
      </c>
      <c r="T239" t="s">
        <v>41</v>
      </c>
      <c r="U239" s="29">
        <v>46313.808009259257</v>
      </c>
      <c r="V239" s="29">
        <v>46313.807071759256</v>
      </c>
      <c r="W239" t="s">
        <v>808</v>
      </c>
      <c r="X239">
        <v>22411</v>
      </c>
      <c r="Z239">
        <v>0</v>
      </c>
      <c r="AA239" s="30">
        <v>0.80347222222222225</v>
      </c>
      <c r="AB239">
        <v>3</v>
      </c>
      <c r="AC239" t="s">
        <v>41</v>
      </c>
    </row>
    <row r="240" spans="1:29">
      <c r="A240" t="s">
        <v>77</v>
      </c>
      <c r="B240" s="29">
        <v>46313.804224537038</v>
      </c>
      <c r="C240">
        <v>1353</v>
      </c>
      <c r="D240" t="s">
        <v>41</v>
      </c>
      <c r="E240">
        <v>5</v>
      </c>
      <c r="F240" t="s">
        <v>41</v>
      </c>
      <c r="G240" t="s">
        <v>41</v>
      </c>
      <c r="H240" t="s">
        <v>809</v>
      </c>
      <c r="I240" s="29">
        <v>46313.804675925923</v>
      </c>
      <c r="J240" t="s">
        <v>41</v>
      </c>
      <c r="K240" s="29">
        <v>46313.804444444446</v>
      </c>
      <c r="L240">
        <v>19</v>
      </c>
      <c r="O240" s="29">
        <v>46313.802789351852</v>
      </c>
      <c r="P240" t="s">
        <v>43</v>
      </c>
      <c r="Q240" t="s">
        <v>79</v>
      </c>
      <c r="R240" t="s">
        <v>810</v>
      </c>
      <c r="S240">
        <v>4247</v>
      </c>
      <c r="T240" t="s">
        <v>41</v>
      </c>
      <c r="U240" s="29">
        <v>46313.808923611112</v>
      </c>
      <c r="V240" s="29">
        <v>46313.807708333334</v>
      </c>
      <c r="W240" t="s">
        <v>811</v>
      </c>
      <c r="X240">
        <v>22411</v>
      </c>
      <c r="Z240">
        <v>0</v>
      </c>
      <c r="AA240" s="30">
        <v>0.8041666666666667</v>
      </c>
      <c r="AB240">
        <v>4</v>
      </c>
      <c r="AC240" t="s">
        <v>41</v>
      </c>
    </row>
    <row r="241" spans="1:29">
      <c r="A241" t="s">
        <v>40</v>
      </c>
      <c r="B241" s="29">
        <v>46313.802974537037</v>
      </c>
      <c r="C241">
        <v>1270</v>
      </c>
      <c r="D241" t="s">
        <v>41</v>
      </c>
      <c r="E241">
        <v>5</v>
      </c>
      <c r="F241" t="s">
        <v>41</v>
      </c>
      <c r="G241" t="s">
        <v>41</v>
      </c>
      <c r="H241" t="s">
        <v>812</v>
      </c>
      <c r="I241" s="29">
        <v>46313.80363425926</v>
      </c>
      <c r="J241" t="s">
        <v>41</v>
      </c>
      <c r="K241" s="29">
        <v>46313.803344907406</v>
      </c>
      <c r="L241">
        <v>24</v>
      </c>
      <c r="O241" s="29">
        <v>46313.802743055552</v>
      </c>
      <c r="P241" t="s">
        <v>43</v>
      </c>
      <c r="Q241" t="s">
        <v>44</v>
      </c>
      <c r="R241" t="s">
        <v>813</v>
      </c>
      <c r="S241">
        <v>4247</v>
      </c>
      <c r="T241" t="s">
        <v>41</v>
      </c>
      <c r="U241" s="29">
        <v>46313.808275462965</v>
      </c>
      <c r="V241" s="29">
        <v>46313.806817129633</v>
      </c>
      <c r="W241" t="s">
        <v>814</v>
      </c>
      <c r="X241">
        <v>22411</v>
      </c>
      <c r="Z241">
        <v>0</v>
      </c>
      <c r="AA241" s="30">
        <v>0.8027777777777777</v>
      </c>
      <c r="AB241">
        <v>5</v>
      </c>
      <c r="AC241" t="s">
        <v>41</v>
      </c>
    </row>
    <row r="242" spans="1:29">
      <c r="A242" t="s">
        <v>47</v>
      </c>
      <c r="B242" s="29">
        <v>46313.802881944444</v>
      </c>
      <c r="C242">
        <v>367</v>
      </c>
      <c r="D242" t="s">
        <v>41</v>
      </c>
      <c r="E242">
        <v>1</v>
      </c>
      <c r="F242" t="s">
        <v>41</v>
      </c>
      <c r="G242" t="s">
        <v>41</v>
      </c>
      <c r="H242" t="s">
        <v>815</v>
      </c>
      <c r="I242" s="29">
        <v>46313.803842592592</v>
      </c>
      <c r="J242" t="s">
        <v>41</v>
      </c>
      <c r="K242" s="29">
        <v>46313.803587962961</v>
      </c>
      <c r="L242">
        <v>21</v>
      </c>
      <c r="O242" s="29">
        <v>46313.802395833336</v>
      </c>
      <c r="P242" t="s">
        <v>43</v>
      </c>
      <c r="Q242" t="s">
        <v>49</v>
      </c>
      <c r="R242" t="s">
        <v>816</v>
      </c>
      <c r="S242">
        <v>4247</v>
      </c>
      <c r="T242" t="s">
        <v>41</v>
      </c>
      <c r="U242" s="29">
        <v>46313.805335648147</v>
      </c>
      <c r="V242" s="29">
        <v>46313.804560185185</v>
      </c>
      <c r="W242" t="s">
        <v>817</v>
      </c>
      <c r="X242">
        <v>22411</v>
      </c>
      <c r="Z242">
        <v>0</v>
      </c>
      <c r="AA242" s="30">
        <v>0.8027777777777777</v>
      </c>
      <c r="AB242">
        <v>1</v>
      </c>
      <c r="AC242" t="s">
        <v>41</v>
      </c>
    </row>
    <row r="243" spans="1:29">
      <c r="A243" t="s">
        <v>157</v>
      </c>
      <c r="B243" s="29">
        <v>46313.802905092591</v>
      </c>
      <c r="C243">
        <v>1250</v>
      </c>
      <c r="D243" t="s">
        <v>41</v>
      </c>
      <c r="E243">
        <v>5</v>
      </c>
      <c r="F243" t="s">
        <v>41</v>
      </c>
      <c r="G243" t="s">
        <v>41</v>
      </c>
      <c r="H243" t="s">
        <v>818</v>
      </c>
      <c r="I243" s="29">
        <v>46313.803263888891</v>
      </c>
      <c r="J243" t="s">
        <v>41</v>
      </c>
      <c r="K243" s="29">
        <v>46313.801215277781</v>
      </c>
      <c r="L243">
        <v>31</v>
      </c>
      <c r="O243" s="29">
        <v>46313.800856481481</v>
      </c>
      <c r="P243" t="s">
        <v>43</v>
      </c>
      <c r="Q243" t="s">
        <v>159</v>
      </c>
      <c r="R243" t="s">
        <v>819</v>
      </c>
      <c r="S243">
        <v>4247</v>
      </c>
      <c r="T243" t="s">
        <v>41</v>
      </c>
      <c r="U243" s="29">
        <v>46313.807847222219</v>
      </c>
      <c r="V243" s="29">
        <v>46313.806203703702</v>
      </c>
      <c r="W243" t="s">
        <v>820</v>
      </c>
      <c r="X243">
        <v>22411</v>
      </c>
      <c r="Z243">
        <v>0</v>
      </c>
      <c r="AA243" s="30">
        <v>0.8027777777777777</v>
      </c>
      <c r="AB243">
        <v>4</v>
      </c>
      <c r="AC243" t="s">
        <v>41</v>
      </c>
    </row>
    <row r="244" spans="1:29">
      <c r="A244" t="s">
        <v>77</v>
      </c>
      <c r="B244" s="29">
        <v>46313.802152777775</v>
      </c>
      <c r="C244">
        <v>12</v>
      </c>
      <c r="D244" t="s">
        <v>41</v>
      </c>
      <c r="E244">
        <v>0</v>
      </c>
      <c r="F244" t="s">
        <v>41</v>
      </c>
      <c r="G244" t="s">
        <v>41</v>
      </c>
      <c r="H244" t="s">
        <v>821</v>
      </c>
      <c r="I244" s="29">
        <v>46313.802349537036</v>
      </c>
      <c r="J244" t="s">
        <v>41</v>
      </c>
      <c r="K244" s="29">
        <v>46313.800474537034</v>
      </c>
      <c r="L244">
        <v>18</v>
      </c>
      <c r="O244" s="29">
        <v>46313.798344907409</v>
      </c>
      <c r="P244" t="s">
        <v>43</v>
      </c>
      <c r="Q244" t="s">
        <v>79</v>
      </c>
      <c r="R244" t="s">
        <v>822</v>
      </c>
      <c r="S244">
        <v>4247</v>
      </c>
      <c r="T244" t="s">
        <v>41</v>
      </c>
      <c r="U244" s="29">
        <v>46313.802395833336</v>
      </c>
      <c r="V244" s="29">
        <v>46313.802384259259</v>
      </c>
      <c r="W244" t="s">
        <v>823</v>
      </c>
      <c r="X244">
        <v>22411</v>
      </c>
      <c r="Z244">
        <v>0</v>
      </c>
      <c r="AA244" s="30">
        <v>0.80208333333333337</v>
      </c>
      <c r="AB244">
        <v>0</v>
      </c>
      <c r="AC244" t="s">
        <v>41</v>
      </c>
    </row>
    <row r="245" spans="1:29">
      <c r="A245" t="s">
        <v>72</v>
      </c>
      <c r="B245" s="29">
        <v>46313.800127314818</v>
      </c>
      <c r="C245">
        <v>1894</v>
      </c>
      <c r="D245" t="s">
        <v>41</v>
      </c>
      <c r="E245">
        <v>7</v>
      </c>
      <c r="F245" t="s">
        <v>41</v>
      </c>
      <c r="G245" t="s">
        <v>41</v>
      </c>
      <c r="H245" t="s">
        <v>824</v>
      </c>
      <c r="I245" s="29">
        <v>46313.800613425927</v>
      </c>
      <c r="J245" t="s">
        <v>41</v>
      </c>
      <c r="K245" s="29">
        <v>46313.799398148149</v>
      </c>
      <c r="L245">
        <v>42</v>
      </c>
      <c r="O245" s="29">
        <v>46313.79787037037</v>
      </c>
      <c r="P245" t="s">
        <v>43</v>
      </c>
      <c r="Q245" t="s">
        <v>74</v>
      </c>
      <c r="R245" t="s">
        <v>825</v>
      </c>
      <c r="S245">
        <v>4247</v>
      </c>
      <c r="T245" t="s">
        <v>41</v>
      </c>
      <c r="U245" s="29">
        <v>46313.807129629633</v>
      </c>
      <c r="V245" s="29">
        <v>46313.804976851854</v>
      </c>
      <c r="W245" t="s">
        <v>826</v>
      </c>
      <c r="X245">
        <v>22411</v>
      </c>
      <c r="Z245">
        <v>0</v>
      </c>
      <c r="AA245" s="30">
        <v>0.79999999999999993</v>
      </c>
      <c r="AB245">
        <v>6</v>
      </c>
      <c r="AC245" t="s">
        <v>41</v>
      </c>
    </row>
    <row r="246" spans="1:29">
      <c r="A246" t="s">
        <v>235</v>
      </c>
      <c r="B246" s="29">
        <v>46313.79959490741</v>
      </c>
      <c r="C246">
        <v>1956</v>
      </c>
      <c r="D246" t="s">
        <v>41</v>
      </c>
      <c r="E246">
        <v>7</v>
      </c>
      <c r="F246" t="s">
        <v>41</v>
      </c>
      <c r="G246" t="s">
        <v>41</v>
      </c>
      <c r="H246" t="s">
        <v>827</v>
      </c>
      <c r="I246" s="29">
        <v>46313.801724537036</v>
      </c>
      <c r="J246" t="s">
        <v>41</v>
      </c>
      <c r="K246" s="29">
        <v>46313.801249999997</v>
      </c>
      <c r="L246">
        <v>40</v>
      </c>
      <c r="O246" s="29">
        <v>46313.797638888886</v>
      </c>
      <c r="P246" t="s">
        <v>43</v>
      </c>
      <c r="Q246" t="s">
        <v>3009</v>
      </c>
      <c r="R246" t="s">
        <v>828</v>
      </c>
      <c r="S246">
        <v>4247</v>
      </c>
      <c r="T246" t="s">
        <v>41</v>
      </c>
      <c r="U246" s="29">
        <v>46313.807037037041</v>
      </c>
      <c r="V246" s="29">
        <v>46313.806307870371</v>
      </c>
      <c r="W246" t="s">
        <v>829</v>
      </c>
      <c r="X246">
        <v>22411</v>
      </c>
      <c r="Z246">
        <v>0</v>
      </c>
      <c r="AA246" s="30">
        <v>0.7993055555555556</v>
      </c>
      <c r="AB246">
        <v>7</v>
      </c>
      <c r="AC246" t="s">
        <v>41</v>
      </c>
    </row>
    <row r="247" spans="1:29">
      <c r="A247" t="s">
        <v>347</v>
      </c>
      <c r="B247" s="29">
        <v>46313.799178240741</v>
      </c>
      <c r="C247">
        <v>1217</v>
      </c>
      <c r="D247" t="s">
        <v>41</v>
      </c>
      <c r="E247">
        <v>5</v>
      </c>
      <c r="F247" t="s">
        <v>41</v>
      </c>
      <c r="G247" t="s">
        <v>41</v>
      </c>
      <c r="H247" t="s">
        <v>830</v>
      </c>
      <c r="I247" s="29">
        <v>46313.799386574072</v>
      </c>
      <c r="J247" t="s">
        <v>41</v>
      </c>
      <c r="K247" s="29">
        <v>46313.798009259262</v>
      </c>
      <c r="L247">
        <v>18</v>
      </c>
      <c r="O247" s="29">
        <v>46313.79724537037</v>
      </c>
      <c r="P247" t="s">
        <v>43</v>
      </c>
      <c r="Q247" t="s">
        <v>349</v>
      </c>
      <c r="R247" t="s">
        <v>831</v>
      </c>
      <c r="S247">
        <v>4247</v>
      </c>
      <c r="T247" t="s">
        <v>41</v>
      </c>
      <c r="U247" s="29">
        <v>46313.803807870368</v>
      </c>
      <c r="V247" s="29">
        <v>46313.802858796298</v>
      </c>
      <c r="W247" t="s">
        <v>832</v>
      </c>
      <c r="X247">
        <v>22411</v>
      </c>
      <c r="Z247">
        <v>0</v>
      </c>
      <c r="AA247" s="30">
        <v>0.79861111111111116</v>
      </c>
      <c r="AB247">
        <v>5</v>
      </c>
      <c r="AC247" t="s">
        <v>41</v>
      </c>
    </row>
    <row r="248" spans="1:29">
      <c r="A248" t="s">
        <v>339</v>
      </c>
      <c r="B248" s="29">
        <v>46313.79855324074</v>
      </c>
      <c r="C248">
        <v>1262</v>
      </c>
      <c r="D248" t="s">
        <v>41</v>
      </c>
      <c r="E248">
        <v>5</v>
      </c>
      <c r="F248" t="s">
        <v>41</v>
      </c>
      <c r="G248" t="s">
        <v>41</v>
      </c>
      <c r="H248" t="s">
        <v>833</v>
      </c>
      <c r="I248" s="29">
        <v>46313.798888888887</v>
      </c>
      <c r="J248" t="s">
        <v>41</v>
      </c>
      <c r="K248" s="29">
        <v>46313.798263888886</v>
      </c>
      <c r="L248">
        <v>30</v>
      </c>
      <c r="O248" s="29">
        <v>46313.797094907408</v>
      </c>
      <c r="P248" t="s">
        <v>43</v>
      </c>
      <c r="Q248" t="s">
        <v>341</v>
      </c>
      <c r="R248" t="s">
        <v>834</v>
      </c>
      <c r="S248">
        <v>4247</v>
      </c>
      <c r="T248" t="s">
        <v>41</v>
      </c>
      <c r="U248" s="29">
        <v>46313.802916666667</v>
      </c>
      <c r="V248" s="29">
        <v>46313.802025462966</v>
      </c>
      <c r="W248" t="s">
        <v>835</v>
      </c>
      <c r="X248">
        <v>22411</v>
      </c>
      <c r="Z248">
        <v>0</v>
      </c>
      <c r="AA248" s="30">
        <v>0.79791666666666661</v>
      </c>
      <c r="AB248">
        <v>5</v>
      </c>
      <c r="AC248" t="s">
        <v>41</v>
      </c>
    </row>
    <row r="249" spans="1:29">
      <c r="A249" t="s">
        <v>177</v>
      </c>
      <c r="B249" s="29">
        <v>46313.796643518515</v>
      </c>
      <c r="C249">
        <v>2341</v>
      </c>
      <c r="D249" t="s">
        <v>41</v>
      </c>
      <c r="E249">
        <v>8</v>
      </c>
      <c r="F249" t="s">
        <v>41</v>
      </c>
      <c r="G249" t="s">
        <v>41</v>
      </c>
      <c r="H249" t="s">
        <v>836</v>
      </c>
      <c r="I249" s="29">
        <v>46313.801111111112</v>
      </c>
      <c r="J249" t="s">
        <v>41</v>
      </c>
      <c r="K249" s="29">
        <v>46313.80064814815</v>
      </c>
      <c r="L249">
        <v>39</v>
      </c>
      <c r="O249" s="29">
        <v>46313.7965625</v>
      </c>
      <c r="P249" t="s">
        <v>43</v>
      </c>
      <c r="Q249" t="s">
        <v>179</v>
      </c>
      <c r="R249" t="s">
        <v>837</v>
      </c>
      <c r="S249">
        <v>4247</v>
      </c>
      <c r="T249" t="s">
        <v>41</v>
      </c>
      <c r="U249" s="29">
        <v>46313.80810185185</v>
      </c>
      <c r="V249" s="29">
        <v>46313.805891203701</v>
      </c>
      <c r="W249" t="s">
        <v>838</v>
      </c>
      <c r="X249">
        <v>22411</v>
      </c>
      <c r="Z249">
        <v>0</v>
      </c>
      <c r="AA249" s="30">
        <v>0.79652777777777783</v>
      </c>
      <c r="AB249">
        <v>7</v>
      </c>
      <c r="AC249" t="s">
        <v>41</v>
      </c>
    </row>
    <row r="250" spans="1:29">
      <c r="A250" t="s">
        <v>57</v>
      </c>
      <c r="B250" s="29">
        <v>46313.796527777777</v>
      </c>
      <c r="C250">
        <v>1833</v>
      </c>
      <c r="D250" t="s">
        <v>41</v>
      </c>
      <c r="E250">
        <v>6</v>
      </c>
      <c r="F250" t="s">
        <v>41</v>
      </c>
      <c r="G250" t="s">
        <v>41</v>
      </c>
      <c r="H250" t="s">
        <v>839</v>
      </c>
      <c r="I250" s="29">
        <v>46313.797511574077</v>
      </c>
      <c r="J250" t="s">
        <v>41</v>
      </c>
      <c r="K250" s="29">
        <v>46313.797291666669</v>
      </c>
      <c r="L250">
        <v>18</v>
      </c>
      <c r="O250" s="29">
        <v>46313.796307870369</v>
      </c>
      <c r="P250" t="s">
        <v>43</v>
      </c>
      <c r="Q250" t="s">
        <v>59</v>
      </c>
      <c r="R250" t="s">
        <v>840</v>
      </c>
      <c r="S250">
        <v>4247</v>
      </c>
      <c r="T250" t="s">
        <v>41</v>
      </c>
      <c r="U250" s="29">
        <v>46313.80296296296</v>
      </c>
      <c r="V250" s="29">
        <v>46313.801388888889</v>
      </c>
      <c r="W250" t="s">
        <v>841</v>
      </c>
      <c r="X250">
        <v>22411</v>
      </c>
      <c r="Z250">
        <v>0</v>
      </c>
      <c r="AA250" s="30">
        <v>0.79583333333333339</v>
      </c>
      <c r="AB250">
        <v>6</v>
      </c>
      <c r="AC250" t="s">
        <v>41</v>
      </c>
    </row>
    <row r="251" spans="1:29">
      <c r="A251" t="s">
        <v>339</v>
      </c>
      <c r="B251" s="29">
        <v>46313.795011574075</v>
      </c>
      <c r="C251">
        <v>286</v>
      </c>
      <c r="D251" t="s">
        <v>41</v>
      </c>
      <c r="E251">
        <v>1</v>
      </c>
      <c r="F251" t="s">
        <v>41</v>
      </c>
      <c r="G251" t="s">
        <v>41</v>
      </c>
      <c r="H251" t="s">
        <v>842</v>
      </c>
      <c r="I251" s="29">
        <v>46313.795740740738</v>
      </c>
      <c r="J251" t="s">
        <v>41</v>
      </c>
      <c r="K251" s="29">
        <v>46313.795520833337</v>
      </c>
      <c r="L251">
        <v>18</v>
      </c>
      <c r="O251" s="29">
        <v>46313.794895833336</v>
      </c>
      <c r="P251" t="s">
        <v>43</v>
      </c>
      <c r="Q251" t="s">
        <v>341</v>
      </c>
      <c r="R251" t="s">
        <v>843</v>
      </c>
      <c r="S251">
        <v>4247</v>
      </c>
      <c r="T251" t="s">
        <v>41</v>
      </c>
      <c r="U251" s="29">
        <v>46313.797291666669</v>
      </c>
      <c r="V251" s="29">
        <v>46313.795960648145</v>
      </c>
      <c r="W251" t="s">
        <v>844</v>
      </c>
      <c r="X251">
        <v>22411</v>
      </c>
      <c r="Z251">
        <v>0</v>
      </c>
      <c r="AA251" s="30">
        <v>0.7944444444444444</v>
      </c>
      <c r="AB251">
        <v>0</v>
      </c>
      <c r="AC251" t="s">
        <v>41</v>
      </c>
    </row>
    <row r="252" spans="1:29">
      <c r="A252" t="s">
        <v>209</v>
      </c>
      <c r="B252" s="29">
        <v>46313.794317129628</v>
      </c>
      <c r="C252">
        <v>1830</v>
      </c>
      <c r="D252" t="s">
        <v>41</v>
      </c>
      <c r="E252">
        <v>8</v>
      </c>
      <c r="F252" t="s">
        <v>41</v>
      </c>
      <c r="G252" t="s">
        <v>41</v>
      </c>
      <c r="H252" t="s">
        <v>845</v>
      </c>
      <c r="I252" s="29">
        <v>46313.796956018516</v>
      </c>
      <c r="J252" t="s">
        <v>41</v>
      </c>
      <c r="K252" s="29">
        <v>46313.796597222223</v>
      </c>
      <c r="L252">
        <v>30</v>
      </c>
      <c r="O252" s="29">
        <v>46313.79414351852</v>
      </c>
      <c r="P252" t="s">
        <v>43</v>
      </c>
      <c r="Q252" t="s">
        <v>211</v>
      </c>
      <c r="R252" t="s">
        <v>846</v>
      </c>
      <c r="S252">
        <v>4247</v>
      </c>
      <c r="T252" t="s">
        <v>41</v>
      </c>
      <c r="U252" s="29">
        <v>46313.802754629629</v>
      </c>
      <c r="V252" s="29">
        <v>46313.802407407406</v>
      </c>
      <c r="W252" t="s">
        <v>847</v>
      </c>
      <c r="X252">
        <v>22411</v>
      </c>
      <c r="Z252">
        <v>0</v>
      </c>
      <c r="AA252" s="30">
        <v>0.79375000000000007</v>
      </c>
      <c r="AB252">
        <v>8</v>
      </c>
      <c r="AC252" t="s">
        <v>41</v>
      </c>
    </row>
    <row r="253" spans="1:29">
      <c r="A253" t="s">
        <v>734</v>
      </c>
      <c r="B253" s="29">
        <v>46313.794050925928</v>
      </c>
      <c r="C253">
        <v>1308</v>
      </c>
      <c r="D253" t="s">
        <v>41</v>
      </c>
      <c r="E253">
        <v>5</v>
      </c>
      <c r="F253" t="s">
        <v>41</v>
      </c>
      <c r="G253" t="s">
        <v>41</v>
      </c>
      <c r="H253" t="s">
        <v>848</v>
      </c>
      <c r="I253" s="29">
        <v>46313.795914351853</v>
      </c>
      <c r="J253" t="s">
        <v>41</v>
      </c>
      <c r="K253" s="29">
        <v>46313.795555555553</v>
      </c>
      <c r="L253">
        <v>30</v>
      </c>
      <c r="O253" s="29">
        <v>46313.793958333335</v>
      </c>
      <c r="P253" t="s">
        <v>43</v>
      </c>
      <c r="Q253" t="s">
        <v>736</v>
      </c>
      <c r="R253" t="s">
        <v>849</v>
      </c>
      <c r="S253">
        <v>4247</v>
      </c>
      <c r="T253" t="s">
        <v>41</v>
      </c>
      <c r="U253" s="29">
        <v>46313.800196759257</v>
      </c>
      <c r="V253" s="29">
        <v>46313.799340277779</v>
      </c>
      <c r="W253" t="s">
        <v>850</v>
      </c>
      <c r="X253">
        <v>22411</v>
      </c>
      <c r="Z253">
        <v>0</v>
      </c>
      <c r="AA253" s="30">
        <v>0.79375000000000007</v>
      </c>
      <c r="AB253">
        <v>5</v>
      </c>
      <c r="AC253" t="s">
        <v>41</v>
      </c>
    </row>
    <row r="254" spans="1:29">
      <c r="A254" t="s">
        <v>157</v>
      </c>
      <c r="B254" s="29">
        <v>46313.793587962966</v>
      </c>
      <c r="C254">
        <v>1895</v>
      </c>
      <c r="D254" t="s">
        <v>41</v>
      </c>
      <c r="E254">
        <v>6</v>
      </c>
      <c r="F254" t="s">
        <v>41</v>
      </c>
      <c r="G254" t="s">
        <v>41</v>
      </c>
      <c r="H254" t="s">
        <v>851</v>
      </c>
      <c r="I254" s="29">
        <v>46313.794409722221</v>
      </c>
      <c r="J254" t="s">
        <v>41</v>
      </c>
      <c r="K254" s="29">
        <v>46313.794178240743</v>
      </c>
      <c r="L254">
        <v>19</v>
      </c>
      <c r="O254" s="29">
        <v>46313.792974537035</v>
      </c>
      <c r="P254" t="s">
        <v>43</v>
      </c>
      <c r="Q254" t="s">
        <v>159</v>
      </c>
      <c r="R254" t="s">
        <v>852</v>
      </c>
      <c r="S254">
        <v>4247</v>
      </c>
      <c r="T254" t="s">
        <v>41</v>
      </c>
      <c r="U254" s="29">
        <v>46313.799664351849</v>
      </c>
      <c r="V254" s="29">
        <v>46313.798530092594</v>
      </c>
      <c r="W254" t="s">
        <v>853</v>
      </c>
      <c r="X254">
        <v>22411</v>
      </c>
      <c r="Z254">
        <v>0</v>
      </c>
      <c r="AA254" s="30">
        <v>0.79305555555555562</v>
      </c>
      <c r="AB254">
        <v>6</v>
      </c>
      <c r="AC254" t="s">
        <v>41</v>
      </c>
    </row>
    <row r="255" spans="1:29">
      <c r="A255" t="s">
        <v>655</v>
      </c>
      <c r="B255" s="29">
        <v>46313.792962962965</v>
      </c>
      <c r="C255">
        <v>3044</v>
      </c>
      <c r="D255" t="s">
        <v>41</v>
      </c>
      <c r="E255">
        <v>11</v>
      </c>
      <c r="F255" t="s">
        <v>41</v>
      </c>
      <c r="G255" t="s">
        <v>41</v>
      </c>
      <c r="H255" t="s">
        <v>854</v>
      </c>
      <c r="I255" s="29">
        <v>46313.79488425926</v>
      </c>
      <c r="J255" t="s">
        <v>41</v>
      </c>
      <c r="K255" s="29">
        <v>46313.794548611113</v>
      </c>
      <c r="L255">
        <v>28</v>
      </c>
      <c r="O255" s="29">
        <v>46313.792858796296</v>
      </c>
      <c r="P255" t="s">
        <v>43</v>
      </c>
      <c r="Q255" t="s">
        <v>657</v>
      </c>
      <c r="R255" t="s">
        <v>855</v>
      </c>
      <c r="S255">
        <v>4247</v>
      </c>
      <c r="T255" t="s">
        <v>41</v>
      </c>
      <c r="U255" s="29">
        <v>46313.803854166668</v>
      </c>
      <c r="V255" s="29">
        <v>46313.802384259259</v>
      </c>
      <c r="W255" t="s">
        <v>856</v>
      </c>
      <c r="X255">
        <v>22411</v>
      </c>
      <c r="Z255">
        <v>0</v>
      </c>
      <c r="AA255" s="30">
        <v>0.79236111111111107</v>
      </c>
      <c r="AB255">
        <v>11</v>
      </c>
      <c r="AC255" t="s">
        <v>41</v>
      </c>
    </row>
    <row r="256" spans="1:29">
      <c r="A256" t="s">
        <v>185</v>
      </c>
      <c r="B256" s="29">
        <v>46313.790729166663</v>
      </c>
      <c r="C256">
        <v>2124</v>
      </c>
      <c r="D256" t="s">
        <v>41</v>
      </c>
      <c r="E256">
        <v>9</v>
      </c>
      <c r="F256" t="s">
        <v>41</v>
      </c>
      <c r="G256" t="s">
        <v>41</v>
      </c>
      <c r="H256" t="s">
        <v>857</v>
      </c>
      <c r="I256" s="29">
        <v>46313.791608796295</v>
      </c>
      <c r="J256" t="s">
        <v>41</v>
      </c>
      <c r="K256" s="29">
        <v>46313.79115740741</v>
      </c>
      <c r="L256">
        <v>38</v>
      </c>
      <c r="O256" s="29">
        <v>46313.790590277778</v>
      </c>
      <c r="P256" t="s">
        <v>43</v>
      </c>
      <c r="Q256" t="s">
        <v>3007</v>
      </c>
      <c r="R256" t="s">
        <v>858</v>
      </c>
      <c r="S256">
        <v>4247</v>
      </c>
      <c r="T256" t="s">
        <v>41</v>
      </c>
      <c r="U256" s="29">
        <v>46313.797881944447</v>
      </c>
      <c r="V256" s="29">
        <v>46313.797326388885</v>
      </c>
      <c r="W256" t="s">
        <v>859</v>
      </c>
      <c r="X256">
        <v>22411</v>
      </c>
      <c r="Z256">
        <v>0</v>
      </c>
      <c r="AA256" s="30">
        <v>0.79027777777777775</v>
      </c>
      <c r="AB256">
        <v>8</v>
      </c>
      <c r="AC256" t="s">
        <v>41</v>
      </c>
    </row>
    <row r="257" spans="1:29">
      <c r="A257" t="s">
        <v>98</v>
      </c>
      <c r="B257" s="29">
        <v>46313.790243055555</v>
      </c>
      <c r="C257">
        <v>2085</v>
      </c>
      <c r="D257" t="s">
        <v>41</v>
      </c>
      <c r="E257">
        <v>7</v>
      </c>
      <c r="F257" t="s">
        <v>41</v>
      </c>
      <c r="G257" t="s">
        <v>41</v>
      </c>
      <c r="H257" t="s">
        <v>860</v>
      </c>
      <c r="I257" s="29">
        <v>46313.791550925926</v>
      </c>
      <c r="J257" t="s">
        <v>41</v>
      </c>
      <c r="K257" s="29">
        <v>46313.791203703702</v>
      </c>
      <c r="L257">
        <v>29</v>
      </c>
      <c r="O257" s="29">
        <v>46313.790081018517</v>
      </c>
      <c r="P257" t="s">
        <v>43</v>
      </c>
      <c r="Q257" t="s">
        <v>3005</v>
      </c>
      <c r="R257" t="s">
        <v>861</v>
      </c>
      <c r="S257">
        <v>4247</v>
      </c>
      <c r="T257" t="s">
        <v>41</v>
      </c>
      <c r="U257" s="29">
        <v>46313.797164351854</v>
      </c>
      <c r="V257" s="29">
        <v>46313.795856481483</v>
      </c>
      <c r="W257" t="s">
        <v>862</v>
      </c>
      <c r="X257">
        <v>22411</v>
      </c>
      <c r="Z257">
        <v>0</v>
      </c>
      <c r="AA257" s="30">
        <v>0.7895833333333333</v>
      </c>
      <c r="AB257">
        <v>6</v>
      </c>
      <c r="AC257" t="s">
        <v>41</v>
      </c>
    </row>
    <row r="258" spans="1:29">
      <c r="A258" t="s">
        <v>190</v>
      </c>
      <c r="B258" s="29">
        <v>46313.789571759262</v>
      </c>
      <c r="C258">
        <v>2568</v>
      </c>
      <c r="D258" t="s">
        <v>41</v>
      </c>
      <c r="E258">
        <v>9</v>
      </c>
      <c r="F258" t="s">
        <v>41</v>
      </c>
      <c r="G258" t="s">
        <v>41</v>
      </c>
      <c r="H258" t="s">
        <v>863</v>
      </c>
      <c r="I258" s="29">
        <v>46313.792222222219</v>
      </c>
      <c r="J258" t="s">
        <v>41</v>
      </c>
      <c r="K258" s="29">
        <v>46313.791817129626</v>
      </c>
      <c r="L258">
        <v>34</v>
      </c>
      <c r="O258" s="29">
        <v>46313.789398148147</v>
      </c>
      <c r="P258" t="s">
        <v>43</v>
      </c>
      <c r="Q258" t="s">
        <v>192</v>
      </c>
      <c r="R258" t="s">
        <v>864</v>
      </c>
      <c r="S258">
        <v>4247</v>
      </c>
      <c r="T258" t="s">
        <v>41</v>
      </c>
      <c r="U258" s="29">
        <v>46313.800173611111</v>
      </c>
      <c r="V258" s="29">
        <v>46313.798020833332</v>
      </c>
      <c r="W258" t="s">
        <v>865</v>
      </c>
      <c r="X258">
        <v>22411</v>
      </c>
      <c r="Z258">
        <v>0</v>
      </c>
      <c r="AA258" s="30">
        <v>0.78888888888888886</v>
      </c>
      <c r="AB258">
        <v>8</v>
      </c>
      <c r="AC258" t="s">
        <v>41</v>
      </c>
    </row>
    <row r="259" spans="1:29">
      <c r="A259" t="s">
        <v>303</v>
      </c>
      <c r="B259" s="29">
        <v>46313.788483796299</v>
      </c>
      <c r="C259">
        <v>2342</v>
      </c>
      <c r="D259" t="s">
        <v>41</v>
      </c>
      <c r="E259">
        <v>10</v>
      </c>
      <c r="F259" t="s">
        <v>41</v>
      </c>
      <c r="G259" t="s">
        <v>41</v>
      </c>
      <c r="H259" t="s">
        <v>866</v>
      </c>
      <c r="I259" s="29">
        <v>46313.788807870369</v>
      </c>
      <c r="J259" t="s">
        <v>41</v>
      </c>
      <c r="K259" s="29">
        <v>46313.786886574075</v>
      </c>
      <c r="L259">
        <v>28</v>
      </c>
      <c r="O259" s="29">
        <v>46313.78628472222</v>
      </c>
      <c r="P259" t="s">
        <v>43</v>
      </c>
      <c r="Q259" t="s">
        <v>305</v>
      </c>
      <c r="R259" t="s">
        <v>867</v>
      </c>
      <c r="S259">
        <v>4247</v>
      </c>
      <c r="T259" t="s">
        <v>41</v>
      </c>
      <c r="U259" s="29">
        <v>46313.79582175926</v>
      </c>
      <c r="V259" s="29">
        <v>46313.795717592591</v>
      </c>
      <c r="W259" t="s">
        <v>868</v>
      </c>
      <c r="X259">
        <v>22411</v>
      </c>
      <c r="Z259">
        <v>0</v>
      </c>
      <c r="AA259" s="30">
        <v>0.78819444444444453</v>
      </c>
      <c r="AB259">
        <v>10</v>
      </c>
      <c r="AC259" t="s">
        <v>41</v>
      </c>
    </row>
    <row r="260" spans="1:29">
      <c r="A260" t="s">
        <v>82</v>
      </c>
      <c r="B260" s="29">
        <v>46313.788101851853</v>
      </c>
      <c r="C260">
        <v>2430</v>
      </c>
      <c r="D260" t="s">
        <v>41</v>
      </c>
      <c r="E260">
        <v>11</v>
      </c>
      <c r="F260" t="s">
        <v>41</v>
      </c>
      <c r="G260" t="s">
        <v>41</v>
      </c>
      <c r="H260" t="s">
        <v>869</v>
      </c>
      <c r="I260" s="29">
        <v>46313.788472222222</v>
      </c>
      <c r="J260" t="s">
        <v>41</v>
      </c>
      <c r="K260" s="29">
        <v>46313.787916666668</v>
      </c>
      <c r="L260">
        <v>33</v>
      </c>
      <c r="O260" s="29">
        <v>46313.786180555559</v>
      </c>
      <c r="P260" t="s">
        <v>43</v>
      </c>
      <c r="Q260" t="s">
        <v>84</v>
      </c>
      <c r="R260" t="s">
        <v>870</v>
      </c>
      <c r="S260">
        <v>4247</v>
      </c>
      <c r="T260" t="s">
        <v>41</v>
      </c>
      <c r="U260" s="29">
        <v>46313.795497685183</v>
      </c>
      <c r="V260" s="29">
        <v>46313.795659722222</v>
      </c>
      <c r="W260" t="s">
        <v>871</v>
      </c>
      <c r="X260">
        <v>22411</v>
      </c>
      <c r="Z260">
        <v>0</v>
      </c>
      <c r="AA260" s="30">
        <v>0.78749999999999998</v>
      </c>
      <c r="AB260">
        <v>10</v>
      </c>
      <c r="AC260" t="s">
        <v>41</v>
      </c>
    </row>
    <row r="261" spans="1:29">
      <c r="A261" t="s">
        <v>52</v>
      </c>
      <c r="B261" s="29">
        <v>46313.787141203706</v>
      </c>
      <c r="C261">
        <v>1956</v>
      </c>
      <c r="D261" t="s">
        <v>41</v>
      </c>
      <c r="E261">
        <v>7</v>
      </c>
      <c r="F261" t="s">
        <v>41</v>
      </c>
      <c r="G261" t="s">
        <v>41</v>
      </c>
      <c r="H261" t="s">
        <v>872</v>
      </c>
      <c r="I261" s="29">
        <v>46313.792037037034</v>
      </c>
      <c r="J261" t="s">
        <v>41</v>
      </c>
      <c r="K261" s="29">
        <v>46313.791701388887</v>
      </c>
      <c r="L261">
        <v>28</v>
      </c>
      <c r="O261" s="29">
        <v>46313.786145833335</v>
      </c>
      <c r="P261" t="s">
        <v>43</v>
      </c>
      <c r="Q261" t="s">
        <v>54</v>
      </c>
      <c r="R261" t="s">
        <v>873</v>
      </c>
      <c r="S261">
        <v>4247</v>
      </c>
      <c r="T261" t="s">
        <v>41</v>
      </c>
      <c r="U261" s="29">
        <v>46313.798495370371</v>
      </c>
      <c r="V261" s="29">
        <v>46313.796597222223</v>
      </c>
      <c r="W261" t="s">
        <v>874</v>
      </c>
      <c r="X261">
        <v>22411</v>
      </c>
      <c r="Z261">
        <v>0</v>
      </c>
      <c r="AA261" s="30">
        <v>0.78680555555555554</v>
      </c>
      <c r="AB261">
        <v>7</v>
      </c>
      <c r="AC261" t="s">
        <v>41</v>
      </c>
    </row>
    <row r="262" spans="1:29">
      <c r="A262" t="s">
        <v>347</v>
      </c>
      <c r="B262" s="29">
        <v>46313.787002314813</v>
      </c>
      <c r="C262">
        <v>1285</v>
      </c>
      <c r="D262" t="s">
        <v>41</v>
      </c>
      <c r="E262">
        <v>5</v>
      </c>
      <c r="F262" t="s">
        <v>41</v>
      </c>
      <c r="G262" t="s">
        <v>41</v>
      </c>
      <c r="H262" t="s">
        <v>875</v>
      </c>
      <c r="I262" s="29">
        <v>46313.787268518521</v>
      </c>
      <c r="J262" t="s">
        <v>41</v>
      </c>
      <c r="K262" s="29">
        <v>46313.786782407406</v>
      </c>
      <c r="L262">
        <v>23</v>
      </c>
      <c r="O262" s="29">
        <v>46313.785798611112</v>
      </c>
      <c r="P262" t="s">
        <v>43</v>
      </c>
      <c r="Q262" t="s">
        <v>349</v>
      </c>
      <c r="R262" t="s">
        <v>876</v>
      </c>
      <c r="S262">
        <v>4247</v>
      </c>
      <c r="T262" t="s">
        <v>41</v>
      </c>
      <c r="U262" s="29">
        <v>46313.791504629633</v>
      </c>
      <c r="V262" s="29">
        <v>46313.790625000001</v>
      </c>
      <c r="W262" t="s">
        <v>877</v>
      </c>
      <c r="X262">
        <v>22411</v>
      </c>
      <c r="Z262">
        <v>0</v>
      </c>
      <c r="AA262" s="30">
        <v>0.78680555555555554</v>
      </c>
      <c r="AB262">
        <v>5</v>
      </c>
      <c r="AC262" t="s">
        <v>41</v>
      </c>
    </row>
    <row r="263" spans="1:29">
      <c r="A263" t="s">
        <v>711</v>
      </c>
      <c r="B263" s="29">
        <v>46313.786585648151</v>
      </c>
      <c r="C263">
        <v>2710</v>
      </c>
      <c r="D263" t="s">
        <v>41</v>
      </c>
      <c r="E263">
        <v>10</v>
      </c>
      <c r="F263" t="s">
        <v>41</v>
      </c>
      <c r="G263" t="s">
        <v>41</v>
      </c>
      <c r="H263" t="s">
        <v>878</v>
      </c>
      <c r="I263" s="29">
        <v>46313.786898148152</v>
      </c>
      <c r="J263" t="s">
        <v>41</v>
      </c>
      <c r="K263" s="29">
        <v>46313.785671296297</v>
      </c>
      <c r="L263">
        <v>27</v>
      </c>
      <c r="O263" s="29">
        <v>46313.785011574073</v>
      </c>
      <c r="P263" t="s">
        <v>43</v>
      </c>
      <c r="Q263" t="s">
        <v>713</v>
      </c>
      <c r="R263" t="s">
        <v>879</v>
      </c>
      <c r="S263">
        <v>4247</v>
      </c>
      <c r="T263" t="s">
        <v>41</v>
      </c>
      <c r="U263" s="29">
        <v>46313.795034722221</v>
      </c>
      <c r="V263" s="29">
        <v>46313.793275462966</v>
      </c>
      <c r="W263" t="s">
        <v>880</v>
      </c>
      <c r="X263">
        <v>22411</v>
      </c>
      <c r="Z263">
        <v>0</v>
      </c>
      <c r="AA263" s="30">
        <v>0.78611111111111109</v>
      </c>
      <c r="AB263">
        <v>9</v>
      </c>
      <c r="AC263" t="s">
        <v>41</v>
      </c>
    </row>
    <row r="264" spans="1:29">
      <c r="A264" t="s">
        <v>47</v>
      </c>
      <c r="B264" s="29">
        <v>46313.786400462966</v>
      </c>
      <c r="C264">
        <v>2183</v>
      </c>
      <c r="D264" t="s">
        <v>41</v>
      </c>
      <c r="E264">
        <v>9</v>
      </c>
      <c r="F264" t="s">
        <v>41</v>
      </c>
      <c r="G264" t="s">
        <v>41</v>
      </c>
      <c r="H264" t="s">
        <v>881</v>
      </c>
      <c r="I264" s="29">
        <v>46313.786712962959</v>
      </c>
      <c r="J264" t="s">
        <v>41</v>
      </c>
      <c r="K264" s="29">
        <v>46313.785983796297</v>
      </c>
      <c r="L264">
        <v>27</v>
      </c>
      <c r="O264" s="29">
        <v>46313.784502314818</v>
      </c>
      <c r="P264" t="s">
        <v>43</v>
      </c>
      <c r="Q264" t="s">
        <v>49</v>
      </c>
      <c r="R264" t="s">
        <v>882</v>
      </c>
      <c r="S264">
        <v>4247</v>
      </c>
      <c r="T264" t="s">
        <v>41</v>
      </c>
      <c r="U264" s="29">
        <v>46313.794016203705</v>
      </c>
      <c r="V264" s="29">
        <v>46313.792824074073</v>
      </c>
      <c r="W264" t="s">
        <v>883</v>
      </c>
      <c r="X264">
        <v>22411</v>
      </c>
      <c r="Z264">
        <v>0</v>
      </c>
      <c r="AA264" s="30">
        <v>0.78611111111111109</v>
      </c>
      <c r="AB264">
        <v>9</v>
      </c>
      <c r="AC264" t="s">
        <v>41</v>
      </c>
    </row>
    <row r="265" spans="1:29">
      <c r="A265" t="s">
        <v>40</v>
      </c>
      <c r="B265" s="29">
        <v>46313.786041666666</v>
      </c>
      <c r="C265">
        <v>2346</v>
      </c>
      <c r="D265" t="s">
        <v>41</v>
      </c>
      <c r="E265">
        <v>11</v>
      </c>
      <c r="F265" t="s">
        <v>41</v>
      </c>
      <c r="G265" t="s">
        <v>41</v>
      </c>
      <c r="H265" t="s">
        <v>884</v>
      </c>
      <c r="I265" s="29">
        <v>46313.786458333336</v>
      </c>
      <c r="J265" t="s">
        <v>41</v>
      </c>
      <c r="K265" s="29">
        <v>46313.785775462966</v>
      </c>
      <c r="L265">
        <v>36</v>
      </c>
      <c r="O265" s="29">
        <v>46313.784108796295</v>
      </c>
      <c r="P265" t="s">
        <v>43</v>
      </c>
      <c r="Q265" t="s">
        <v>44</v>
      </c>
      <c r="R265" t="s">
        <v>885</v>
      </c>
      <c r="S265">
        <v>4247</v>
      </c>
      <c r="T265" t="s">
        <v>41</v>
      </c>
      <c r="U265" s="29">
        <v>46313.793032407404</v>
      </c>
      <c r="V265" s="29">
        <v>46313.793425925927</v>
      </c>
      <c r="W265" t="s">
        <v>886</v>
      </c>
      <c r="X265">
        <v>22411</v>
      </c>
      <c r="Z265">
        <v>0</v>
      </c>
      <c r="AA265" s="30">
        <v>0.78541666666666676</v>
      </c>
      <c r="AB265">
        <v>10</v>
      </c>
      <c r="AC265" t="s">
        <v>41</v>
      </c>
    </row>
    <row r="266" spans="1:29">
      <c r="A266" t="s">
        <v>106</v>
      </c>
      <c r="B266" s="29">
        <v>46313.785740740743</v>
      </c>
      <c r="C266">
        <v>2949</v>
      </c>
      <c r="D266" t="s">
        <v>41</v>
      </c>
      <c r="E266">
        <v>13</v>
      </c>
      <c r="F266" t="s">
        <v>41</v>
      </c>
      <c r="G266" t="s">
        <v>41</v>
      </c>
      <c r="H266" t="s">
        <v>887</v>
      </c>
      <c r="I266" s="29">
        <v>46313.786168981482</v>
      </c>
      <c r="J266" t="s">
        <v>41</v>
      </c>
      <c r="K266" s="29">
        <v>46313.784907407404</v>
      </c>
      <c r="L266">
        <v>37</v>
      </c>
      <c r="O266" s="29">
        <v>46313.783726851849</v>
      </c>
      <c r="P266" t="s">
        <v>43</v>
      </c>
      <c r="Q266" t="s">
        <v>108</v>
      </c>
      <c r="R266" t="s">
        <v>888</v>
      </c>
      <c r="S266">
        <v>4247</v>
      </c>
      <c r="T266" t="s">
        <v>41</v>
      </c>
      <c r="U266" s="29">
        <v>46313.79420138889</v>
      </c>
      <c r="V266" s="29">
        <v>46313.794814814813</v>
      </c>
      <c r="W266" t="s">
        <v>889</v>
      </c>
      <c r="X266">
        <v>22411</v>
      </c>
      <c r="Z266">
        <v>0</v>
      </c>
      <c r="AA266" s="30">
        <v>0.78541666666666676</v>
      </c>
      <c r="AB266">
        <v>12</v>
      </c>
      <c r="AC266" t="s">
        <v>41</v>
      </c>
    </row>
    <row r="267" spans="1:29">
      <c r="A267" t="s">
        <v>754</v>
      </c>
      <c r="B267" s="29">
        <v>46313.785509259258</v>
      </c>
      <c r="C267">
        <v>3056</v>
      </c>
      <c r="D267" t="s">
        <v>41</v>
      </c>
      <c r="E267">
        <v>10</v>
      </c>
      <c r="F267" t="s">
        <v>41</v>
      </c>
      <c r="G267" t="s">
        <v>41</v>
      </c>
      <c r="H267" t="s">
        <v>890</v>
      </c>
      <c r="I267" s="29">
        <v>46313.785775462966</v>
      </c>
      <c r="J267" t="s">
        <v>41</v>
      </c>
      <c r="K267" s="29">
        <v>46313.784155092595</v>
      </c>
      <c r="L267">
        <v>23</v>
      </c>
      <c r="O267" s="29">
        <v>46313.782650462963</v>
      </c>
      <c r="P267" t="s">
        <v>43</v>
      </c>
      <c r="Q267" t="s">
        <v>3010</v>
      </c>
      <c r="R267" t="s">
        <v>891</v>
      </c>
      <c r="S267">
        <v>4247</v>
      </c>
      <c r="T267" t="s">
        <v>41</v>
      </c>
      <c r="U267" s="29">
        <v>46313.793900462966</v>
      </c>
      <c r="V267" s="29">
        <v>46313.792407407411</v>
      </c>
      <c r="W267" t="s">
        <v>892</v>
      </c>
      <c r="X267">
        <v>22411</v>
      </c>
      <c r="Z267">
        <v>0</v>
      </c>
      <c r="AA267" s="30">
        <v>0.78541666666666676</v>
      </c>
      <c r="AB267">
        <v>10</v>
      </c>
      <c r="AC267" t="s">
        <v>41</v>
      </c>
    </row>
    <row r="268" spans="1:29">
      <c r="A268" t="s">
        <v>198</v>
      </c>
      <c r="B268" s="29">
        <v>46313.78564814815</v>
      </c>
      <c r="C268">
        <v>2802</v>
      </c>
      <c r="D268" t="s">
        <v>41</v>
      </c>
      <c r="E268">
        <v>9</v>
      </c>
      <c r="F268" t="s">
        <v>41</v>
      </c>
      <c r="G268" t="s">
        <v>41</v>
      </c>
      <c r="H268" t="s">
        <v>893</v>
      </c>
      <c r="I268" s="29">
        <v>46313.785902777781</v>
      </c>
      <c r="J268" t="s">
        <v>41</v>
      </c>
      <c r="K268" s="29">
        <v>46313.783113425925</v>
      </c>
      <c r="L268">
        <v>22</v>
      </c>
      <c r="O268" s="29">
        <v>46313.782592592594</v>
      </c>
      <c r="P268" t="s">
        <v>43</v>
      </c>
      <c r="Q268" t="s">
        <v>3008</v>
      </c>
      <c r="R268" t="s">
        <v>894</v>
      </c>
      <c r="S268">
        <v>4247</v>
      </c>
      <c r="T268" t="s">
        <v>41</v>
      </c>
      <c r="U268" s="29">
        <v>46313.793912037036</v>
      </c>
      <c r="V268" s="29">
        <v>46313.791689814818</v>
      </c>
      <c r="W268" t="s">
        <v>895</v>
      </c>
      <c r="X268">
        <v>22411</v>
      </c>
      <c r="Z268">
        <v>0</v>
      </c>
      <c r="AA268" s="30">
        <v>0.78541666666666676</v>
      </c>
      <c r="AB268">
        <v>8</v>
      </c>
      <c r="AC268" t="s">
        <v>41</v>
      </c>
    </row>
    <row r="269" spans="1:29">
      <c r="A269" t="s">
        <v>339</v>
      </c>
      <c r="B269" s="29">
        <v>46313.785381944443</v>
      </c>
      <c r="C269">
        <v>1041</v>
      </c>
      <c r="D269" t="s">
        <v>41</v>
      </c>
      <c r="E269">
        <v>7</v>
      </c>
      <c r="F269" t="s">
        <v>41</v>
      </c>
      <c r="G269" t="s">
        <v>41</v>
      </c>
      <c r="H269" t="s">
        <v>896</v>
      </c>
      <c r="I269" s="29">
        <v>46313.785590277781</v>
      </c>
      <c r="J269" t="s">
        <v>41</v>
      </c>
      <c r="K269" s="29">
        <v>46313.783333333333</v>
      </c>
      <c r="L269">
        <v>18</v>
      </c>
      <c r="O269" s="29">
        <v>46313.782534722224</v>
      </c>
      <c r="P269" t="s">
        <v>43</v>
      </c>
      <c r="Q269" t="s">
        <v>341</v>
      </c>
      <c r="R269" t="s">
        <v>897</v>
      </c>
      <c r="S269">
        <v>4247</v>
      </c>
      <c r="T269" t="s">
        <v>41</v>
      </c>
      <c r="U269" s="29">
        <v>46313.78943287037</v>
      </c>
      <c r="V269" s="29">
        <v>46313.789907407408</v>
      </c>
      <c r="W269" t="s">
        <v>898</v>
      </c>
      <c r="X269">
        <v>22411</v>
      </c>
      <c r="Z269">
        <v>0</v>
      </c>
      <c r="AA269" s="30">
        <v>0.78472222222222221</v>
      </c>
      <c r="AB269">
        <v>6</v>
      </c>
      <c r="AC269" t="s">
        <v>41</v>
      </c>
    </row>
    <row r="270" spans="1:29">
      <c r="A270" t="s">
        <v>77</v>
      </c>
      <c r="B270" s="29">
        <v>46313.784560185188</v>
      </c>
      <c r="C270">
        <v>2447</v>
      </c>
      <c r="D270" t="s">
        <v>41</v>
      </c>
      <c r="E270">
        <v>8</v>
      </c>
      <c r="F270" t="s">
        <v>41</v>
      </c>
      <c r="G270" t="s">
        <v>41</v>
      </c>
      <c r="H270" t="s">
        <v>899</v>
      </c>
      <c r="I270" s="29">
        <v>46313.784884259258</v>
      </c>
      <c r="J270" t="s">
        <v>41</v>
      </c>
      <c r="K270" s="29">
        <v>46313.781886574077</v>
      </c>
      <c r="L270">
        <v>28</v>
      </c>
      <c r="O270" s="29">
        <v>46313.781412037039</v>
      </c>
      <c r="P270" t="s">
        <v>43</v>
      </c>
      <c r="Q270" t="s">
        <v>79</v>
      </c>
      <c r="R270" t="s">
        <v>900</v>
      </c>
      <c r="S270">
        <v>4247</v>
      </c>
      <c r="T270" t="s">
        <v>41</v>
      </c>
      <c r="U270" s="29">
        <v>46313.791620370372</v>
      </c>
      <c r="V270" s="29">
        <v>46313.789884259262</v>
      </c>
      <c r="W270" t="s">
        <v>901</v>
      </c>
      <c r="X270">
        <v>22411</v>
      </c>
      <c r="Z270">
        <v>0</v>
      </c>
      <c r="AA270" s="30">
        <v>0.78402777777777777</v>
      </c>
      <c r="AB270">
        <v>7</v>
      </c>
      <c r="AC270" t="s">
        <v>41</v>
      </c>
    </row>
    <row r="271" spans="1:29">
      <c r="A271" t="s">
        <v>72</v>
      </c>
      <c r="B271" s="29">
        <v>46313.78402777778</v>
      </c>
      <c r="C271">
        <v>2348</v>
      </c>
      <c r="D271" t="s">
        <v>41</v>
      </c>
      <c r="E271">
        <v>8</v>
      </c>
      <c r="F271" t="s">
        <v>41</v>
      </c>
      <c r="G271" t="s">
        <v>41</v>
      </c>
      <c r="H271" t="s">
        <v>902</v>
      </c>
      <c r="I271" s="29">
        <v>46313.784432870372</v>
      </c>
      <c r="J271" t="s">
        <v>41</v>
      </c>
      <c r="K271" s="29">
        <v>46313.780995370369</v>
      </c>
      <c r="L271">
        <v>35</v>
      </c>
      <c r="O271" s="29">
        <v>46313.78019675926</v>
      </c>
      <c r="P271" t="s">
        <v>43</v>
      </c>
      <c r="Q271" t="s">
        <v>74</v>
      </c>
      <c r="R271" t="s">
        <v>903</v>
      </c>
      <c r="S271">
        <v>4247</v>
      </c>
      <c r="T271" t="s">
        <v>41</v>
      </c>
      <c r="U271" s="29">
        <v>46313.790983796294</v>
      </c>
      <c r="V271" s="29">
        <v>46313.789918981478</v>
      </c>
      <c r="W271" t="s">
        <v>904</v>
      </c>
      <c r="X271">
        <v>22411</v>
      </c>
      <c r="Z271">
        <v>0</v>
      </c>
      <c r="AA271" s="30">
        <v>0.78402777777777777</v>
      </c>
      <c r="AB271">
        <v>8</v>
      </c>
      <c r="AC271" t="s">
        <v>41</v>
      </c>
    </row>
    <row r="272" spans="1:29">
      <c r="A272" t="s">
        <v>734</v>
      </c>
      <c r="B272" s="29">
        <v>46313.782708333332</v>
      </c>
      <c r="C272">
        <v>1530</v>
      </c>
      <c r="D272" t="s">
        <v>41</v>
      </c>
      <c r="E272">
        <v>6</v>
      </c>
      <c r="F272" t="s">
        <v>41</v>
      </c>
      <c r="G272" t="s">
        <v>41</v>
      </c>
      <c r="H272" t="s">
        <v>905</v>
      </c>
      <c r="I272" s="29">
        <v>46313.783194444448</v>
      </c>
      <c r="J272" t="s">
        <v>41</v>
      </c>
      <c r="K272" s="29">
        <v>46313.781747685185</v>
      </c>
      <c r="L272">
        <v>42</v>
      </c>
      <c r="O272" s="29">
        <v>46313.780081018522</v>
      </c>
      <c r="P272" t="s">
        <v>43</v>
      </c>
      <c r="Q272" t="s">
        <v>736</v>
      </c>
      <c r="R272" t="s">
        <v>906</v>
      </c>
      <c r="S272">
        <v>4247</v>
      </c>
      <c r="T272" t="s">
        <v>41</v>
      </c>
      <c r="U272" s="29">
        <v>46313.787731481483</v>
      </c>
      <c r="V272" s="29">
        <v>46313.786759259259</v>
      </c>
      <c r="W272" t="s">
        <v>907</v>
      </c>
      <c r="X272">
        <v>22411</v>
      </c>
      <c r="Z272">
        <v>0</v>
      </c>
      <c r="AA272" s="30">
        <v>0.78263888888888899</v>
      </c>
      <c r="AB272">
        <v>5</v>
      </c>
      <c r="AC272" t="s">
        <v>41</v>
      </c>
    </row>
    <row r="273" spans="1:29">
      <c r="A273" t="s">
        <v>177</v>
      </c>
      <c r="B273" s="29">
        <v>46313.781863425924</v>
      </c>
      <c r="C273">
        <v>2594</v>
      </c>
      <c r="D273" t="s">
        <v>41</v>
      </c>
      <c r="E273">
        <v>11</v>
      </c>
      <c r="F273" t="s">
        <v>41</v>
      </c>
      <c r="G273" t="s">
        <v>41</v>
      </c>
      <c r="H273" t="s">
        <v>908</v>
      </c>
      <c r="I273" s="29">
        <v>46313.782256944447</v>
      </c>
      <c r="J273" t="s">
        <v>41</v>
      </c>
      <c r="K273" s="29">
        <v>46313.781087962961</v>
      </c>
      <c r="L273">
        <v>34</v>
      </c>
      <c r="O273" s="29">
        <v>46313.780081018522</v>
      </c>
      <c r="P273" t="s">
        <v>43</v>
      </c>
      <c r="Q273" t="s">
        <v>179</v>
      </c>
      <c r="R273" t="s">
        <v>909</v>
      </c>
      <c r="S273">
        <v>4247</v>
      </c>
      <c r="T273" t="s">
        <v>41</v>
      </c>
      <c r="U273" s="29">
        <v>46313.789305555554</v>
      </c>
      <c r="V273" s="29">
        <v>46313.789189814815</v>
      </c>
      <c r="W273" t="s">
        <v>910</v>
      </c>
      <c r="X273">
        <v>22411</v>
      </c>
      <c r="Z273">
        <v>0</v>
      </c>
      <c r="AA273" s="30">
        <v>0.78125</v>
      </c>
      <c r="AB273">
        <v>10</v>
      </c>
      <c r="AC273" t="s">
        <v>41</v>
      </c>
    </row>
    <row r="274" spans="1:29">
      <c r="A274" t="s">
        <v>198</v>
      </c>
      <c r="B274" s="29">
        <v>46313.781631944446</v>
      </c>
      <c r="C274">
        <v>154</v>
      </c>
      <c r="D274" t="s">
        <v>41</v>
      </c>
      <c r="E274">
        <v>0</v>
      </c>
      <c r="F274" t="s">
        <v>41</v>
      </c>
      <c r="G274" t="s">
        <v>41</v>
      </c>
      <c r="H274" t="s">
        <v>911</v>
      </c>
      <c r="I274" s="29">
        <v>46313.781909722224</v>
      </c>
      <c r="J274" t="s">
        <v>41</v>
      </c>
      <c r="K274" s="29">
        <v>46313.780682870369</v>
      </c>
      <c r="L274">
        <v>24</v>
      </c>
      <c r="O274" s="29">
        <v>46313.778946759259</v>
      </c>
      <c r="P274" t="s">
        <v>43</v>
      </c>
      <c r="Q274" t="s">
        <v>3008</v>
      </c>
      <c r="R274" t="s">
        <v>912</v>
      </c>
      <c r="S274">
        <v>4247</v>
      </c>
      <c r="T274" t="s">
        <v>41</v>
      </c>
      <c r="U274" s="29">
        <v>46313.782824074071</v>
      </c>
      <c r="V274" s="29">
        <v>46313.781921296293</v>
      </c>
      <c r="W274" t="s">
        <v>913</v>
      </c>
      <c r="X274">
        <v>22411</v>
      </c>
      <c r="Z274">
        <v>0</v>
      </c>
      <c r="AA274" s="30">
        <v>0.78125</v>
      </c>
      <c r="AB274">
        <v>0</v>
      </c>
      <c r="AC274" t="s">
        <v>41</v>
      </c>
    </row>
    <row r="275" spans="1:29">
      <c r="A275" t="s">
        <v>98</v>
      </c>
      <c r="B275" s="29">
        <v>46313.780601851853</v>
      </c>
      <c r="C275">
        <v>1259</v>
      </c>
      <c r="D275" t="s">
        <v>41</v>
      </c>
      <c r="E275">
        <v>6</v>
      </c>
      <c r="F275" t="s">
        <v>41</v>
      </c>
      <c r="G275" t="s">
        <v>41</v>
      </c>
      <c r="H275" t="s">
        <v>914</v>
      </c>
      <c r="I275" s="29">
        <v>46313.7815625</v>
      </c>
      <c r="J275" t="s">
        <v>41</v>
      </c>
      <c r="K275" s="29">
        <v>46313.78125</v>
      </c>
      <c r="L275">
        <v>26</v>
      </c>
      <c r="O275" s="29">
        <v>46313.777858796297</v>
      </c>
      <c r="P275" t="s">
        <v>43</v>
      </c>
      <c r="Q275" t="s">
        <v>3005</v>
      </c>
      <c r="R275" t="s">
        <v>915</v>
      </c>
      <c r="S275">
        <v>4247</v>
      </c>
      <c r="T275" t="s">
        <v>41</v>
      </c>
      <c r="U275" s="29">
        <v>46313.785613425927</v>
      </c>
      <c r="V275" s="29">
        <v>46313.78533564815</v>
      </c>
      <c r="W275" t="s">
        <v>916</v>
      </c>
      <c r="X275">
        <v>22411</v>
      </c>
      <c r="Z275">
        <v>0</v>
      </c>
      <c r="AA275" s="30">
        <v>0.78055555555555556</v>
      </c>
      <c r="AB275">
        <v>5</v>
      </c>
      <c r="AC275" t="s">
        <v>41</v>
      </c>
    </row>
    <row r="276" spans="1:29">
      <c r="A276" t="s">
        <v>379</v>
      </c>
      <c r="B276" s="29">
        <v>46313.779895833337</v>
      </c>
      <c r="C276">
        <v>2328</v>
      </c>
      <c r="D276" t="s">
        <v>41</v>
      </c>
      <c r="E276">
        <v>9</v>
      </c>
      <c r="F276" t="s">
        <v>41</v>
      </c>
      <c r="G276" t="s">
        <v>41</v>
      </c>
      <c r="H276" t="s">
        <v>917</v>
      </c>
      <c r="I276" s="29">
        <v>46313.780138888891</v>
      </c>
      <c r="J276" t="s">
        <v>41</v>
      </c>
      <c r="K276" s="29">
        <v>46313.778865740744</v>
      </c>
      <c r="L276">
        <v>21</v>
      </c>
      <c r="O276" s="29">
        <v>46313.777824074074</v>
      </c>
      <c r="P276" t="s">
        <v>43</v>
      </c>
      <c r="Q276" t="s">
        <v>381</v>
      </c>
      <c r="R276" t="s">
        <v>918</v>
      </c>
      <c r="S276">
        <v>4247</v>
      </c>
      <c r="T276" t="s">
        <v>41</v>
      </c>
      <c r="U276" s="29">
        <v>46313.786481481482</v>
      </c>
      <c r="V276" s="29">
        <v>46313.786307870374</v>
      </c>
      <c r="W276" t="s">
        <v>919</v>
      </c>
      <c r="X276">
        <v>22411</v>
      </c>
      <c r="Z276">
        <v>0</v>
      </c>
      <c r="AA276" s="30">
        <v>0.77986111111111101</v>
      </c>
      <c r="AB276">
        <v>9</v>
      </c>
      <c r="AC276" t="s">
        <v>41</v>
      </c>
    </row>
    <row r="277" spans="1:29">
      <c r="A277" t="s">
        <v>40</v>
      </c>
      <c r="B277" s="29">
        <v>46313.777465277781</v>
      </c>
      <c r="C277">
        <v>421</v>
      </c>
      <c r="D277" t="s">
        <v>41</v>
      </c>
      <c r="E277">
        <v>3</v>
      </c>
      <c r="F277" t="s">
        <v>41</v>
      </c>
      <c r="G277" t="s">
        <v>41</v>
      </c>
      <c r="H277" t="s">
        <v>920</v>
      </c>
      <c r="I277" s="29">
        <v>46313.777673611112</v>
      </c>
      <c r="J277" t="s">
        <v>41</v>
      </c>
      <c r="K277" s="29">
        <v>46313.777175925927</v>
      </c>
      <c r="L277">
        <v>18</v>
      </c>
      <c r="O277" s="29">
        <v>46313.775717592594</v>
      </c>
      <c r="P277" t="s">
        <v>43</v>
      </c>
      <c r="Q277" t="s">
        <v>44</v>
      </c>
      <c r="R277" t="s">
        <v>921</v>
      </c>
      <c r="S277">
        <v>4247</v>
      </c>
      <c r="T277" t="s">
        <v>41</v>
      </c>
      <c r="U277" s="29">
        <v>46313.779629629629</v>
      </c>
      <c r="V277" s="29">
        <v>46313.779305555552</v>
      </c>
      <c r="W277" t="s">
        <v>922</v>
      </c>
      <c r="X277">
        <v>22411</v>
      </c>
      <c r="Z277">
        <v>0</v>
      </c>
      <c r="AA277" s="30">
        <v>0.77708333333333324</v>
      </c>
      <c r="AB277">
        <v>2</v>
      </c>
      <c r="AC277" t="s">
        <v>41</v>
      </c>
    </row>
    <row r="278" spans="1:29">
      <c r="A278" t="s">
        <v>157</v>
      </c>
      <c r="B278" s="29">
        <v>46313.776886574073</v>
      </c>
      <c r="C278">
        <v>3879</v>
      </c>
      <c r="D278" t="s">
        <v>41</v>
      </c>
      <c r="E278">
        <v>11</v>
      </c>
      <c r="F278" t="s">
        <v>41</v>
      </c>
      <c r="G278" t="s">
        <v>41</v>
      </c>
      <c r="H278" t="s">
        <v>923</v>
      </c>
      <c r="I278" s="29">
        <v>46313.777326388888</v>
      </c>
      <c r="J278" t="s">
        <v>41</v>
      </c>
      <c r="K278" s="29">
        <v>46313.776226851849</v>
      </c>
      <c r="L278">
        <v>38</v>
      </c>
      <c r="O278" s="29">
        <v>46313.775567129633</v>
      </c>
      <c r="P278" t="s">
        <v>43</v>
      </c>
      <c r="Q278" t="s">
        <v>159</v>
      </c>
      <c r="R278" t="s">
        <v>924</v>
      </c>
      <c r="S278">
        <v>4247</v>
      </c>
      <c r="T278" t="s">
        <v>41</v>
      </c>
      <c r="U278" s="29">
        <v>46313.786666666667</v>
      </c>
      <c r="V278" s="29">
        <v>46313.784201388888</v>
      </c>
      <c r="W278" t="s">
        <v>925</v>
      </c>
      <c r="X278">
        <v>22411</v>
      </c>
      <c r="Z278">
        <v>0</v>
      </c>
      <c r="AA278" s="30">
        <v>0.77638888888888891</v>
      </c>
      <c r="AB278">
        <v>10</v>
      </c>
      <c r="AC278" t="s">
        <v>41</v>
      </c>
    </row>
    <row r="279" spans="1:29">
      <c r="A279" t="s">
        <v>209</v>
      </c>
      <c r="B279" s="29">
        <v>46313.776666666665</v>
      </c>
      <c r="C279">
        <v>2124</v>
      </c>
      <c r="D279" t="s">
        <v>41</v>
      </c>
      <c r="E279">
        <v>13</v>
      </c>
      <c r="F279" t="s">
        <v>41</v>
      </c>
      <c r="G279" t="s">
        <v>41</v>
      </c>
      <c r="H279" t="s">
        <v>926</v>
      </c>
      <c r="I279" s="29">
        <v>46313.77721064815</v>
      </c>
      <c r="J279" t="s">
        <v>41</v>
      </c>
      <c r="K279" s="29">
        <v>46313.775879629633</v>
      </c>
      <c r="L279">
        <v>47</v>
      </c>
      <c r="O279" s="29">
        <v>46313.775289351855</v>
      </c>
      <c r="P279" t="s">
        <v>43</v>
      </c>
      <c r="Q279" t="s">
        <v>211</v>
      </c>
      <c r="R279" t="s">
        <v>927</v>
      </c>
      <c r="S279">
        <v>4247</v>
      </c>
      <c r="T279" t="s">
        <v>41</v>
      </c>
      <c r="U279" s="29">
        <v>46313.783483796295</v>
      </c>
      <c r="V279" s="29">
        <v>46313.785798611112</v>
      </c>
      <c r="W279" t="s">
        <v>928</v>
      </c>
      <c r="X279">
        <v>22411</v>
      </c>
      <c r="Z279">
        <v>0</v>
      </c>
      <c r="AA279" s="30">
        <v>0.77638888888888891</v>
      </c>
      <c r="AB279">
        <v>12</v>
      </c>
      <c r="AC279" t="s">
        <v>41</v>
      </c>
    </row>
    <row r="280" spans="1:29">
      <c r="A280" t="s">
        <v>57</v>
      </c>
      <c r="B280" s="29">
        <v>46313.776377314818</v>
      </c>
      <c r="C280">
        <v>1488</v>
      </c>
      <c r="D280" t="s">
        <v>41</v>
      </c>
      <c r="E280">
        <v>7</v>
      </c>
      <c r="F280" t="s">
        <v>41</v>
      </c>
      <c r="G280" t="s">
        <v>41</v>
      </c>
      <c r="H280" t="s">
        <v>929</v>
      </c>
      <c r="I280" s="29">
        <v>46313.776574074072</v>
      </c>
      <c r="J280" t="s">
        <v>41</v>
      </c>
      <c r="K280" s="29">
        <v>46313.774212962962</v>
      </c>
      <c r="L280">
        <v>17</v>
      </c>
      <c r="O280" s="29">
        <v>46313.773680555554</v>
      </c>
      <c r="P280" t="s">
        <v>43</v>
      </c>
      <c r="Q280" t="s">
        <v>59</v>
      </c>
      <c r="R280" t="s">
        <v>930</v>
      </c>
      <c r="S280">
        <v>4247</v>
      </c>
      <c r="T280" t="s">
        <v>41</v>
      </c>
      <c r="U280" s="29">
        <v>46313.782210648147</v>
      </c>
      <c r="V280" s="29">
        <v>46313.781377314815</v>
      </c>
      <c r="W280" t="s">
        <v>931</v>
      </c>
      <c r="X280">
        <v>22411</v>
      </c>
      <c r="Z280">
        <v>0</v>
      </c>
      <c r="AA280" s="30">
        <v>0.77569444444444446</v>
      </c>
      <c r="AB280">
        <v>7</v>
      </c>
      <c r="AC280" t="s">
        <v>41</v>
      </c>
    </row>
    <row r="281" spans="1:29">
      <c r="A281" t="s">
        <v>347</v>
      </c>
      <c r="B281" s="29">
        <v>46313.775960648149</v>
      </c>
      <c r="C281">
        <v>1074</v>
      </c>
      <c r="D281" t="s">
        <v>41</v>
      </c>
      <c r="E281">
        <v>4</v>
      </c>
      <c r="F281" t="s">
        <v>41</v>
      </c>
      <c r="G281" t="s">
        <v>41</v>
      </c>
      <c r="H281" t="s">
        <v>932</v>
      </c>
      <c r="I281" s="29">
        <v>46313.776250000003</v>
      </c>
      <c r="J281" t="s">
        <v>41</v>
      </c>
      <c r="K281" s="29">
        <v>46313.776018518518</v>
      </c>
      <c r="L281">
        <v>19</v>
      </c>
      <c r="O281" s="29">
        <v>46313.772812499999</v>
      </c>
      <c r="P281" t="s">
        <v>43</v>
      </c>
      <c r="Q281" t="s">
        <v>349</v>
      </c>
      <c r="R281" t="s">
        <v>933</v>
      </c>
      <c r="S281">
        <v>4247</v>
      </c>
      <c r="T281" t="s">
        <v>41</v>
      </c>
      <c r="U281" s="29">
        <v>46313.779270833336</v>
      </c>
      <c r="V281" s="29">
        <v>46313.778703703705</v>
      </c>
      <c r="W281" t="s">
        <v>934</v>
      </c>
      <c r="X281">
        <v>22411</v>
      </c>
      <c r="Z281">
        <v>0</v>
      </c>
      <c r="AA281" s="30">
        <v>0.77569444444444446</v>
      </c>
      <c r="AB281">
        <v>4</v>
      </c>
      <c r="AC281" t="s">
        <v>41</v>
      </c>
    </row>
    <row r="282" spans="1:29">
      <c r="A282" t="s">
        <v>303</v>
      </c>
      <c r="B282" s="29">
        <v>46313.774884259263</v>
      </c>
      <c r="C282">
        <v>1211</v>
      </c>
      <c r="D282" t="s">
        <v>41</v>
      </c>
      <c r="E282">
        <v>7</v>
      </c>
      <c r="F282" t="s">
        <v>41</v>
      </c>
      <c r="G282" t="s">
        <v>41</v>
      </c>
      <c r="H282" t="s">
        <v>935</v>
      </c>
      <c r="I282" s="29">
        <v>46313.775613425925</v>
      </c>
      <c r="J282" t="s">
        <v>41</v>
      </c>
      <c r="K282" s="29">
        <v>46313.775347222225</v>
      </c>
      <c r="L282">
        <v>22</v>
      </c>
      <c r="O282" s="29">
        <v>46313.772696759261</v>
      </c>
      <c r="P282" t="s">
        <v>43</v>
      </c>
      <c r="Q282" t="s">
        <v>305</v>
      </c>
      <c r="R282" t="s">
        <v>936</v>
      </c>
      <c r="S282">
        <v>4247</v>
      </c>
      <c r="T282" t="s">
        <v>41</v>
      </c>
      <c r="U282" s="29">
        <v>46313.77988425926</v>
      </c>
      <c r="V282" s="29">
        <v>46313.780115740738</v>
      </c>
      <c r="W282" t="s">
        <v>937</v>
      </c>
      <c r="X282">
        <v>22411</v>
      </c>
      <c r="Z282">
        <v>0</v>
      </c>
      <c r="AA282" s="30">
        <v>0.77430555555555547</v>
      </c>
      <c r="AB282">
        <v>6</v>
      </c>
      <c r="AC282" t="s">
        <v>41</v>
      </c>
    </row>
    <row r="283" spans="1:29">
      <c r="A283" t="s">
        <v>47</v>
      </c>
      <c r="B283" s="29">
        <v>46313.774756944447</v>
      </c>
      <c r="C283">
        <v>2346</v>
      </c>
      <c r="D283" t="s">
        <v>41</v>
      </c>
      <c r="E283">
        <v>7</v>
      </c>
      <c r="F283" t="s">
        <v>41</v>
      </c>
      <c r="G283" t="s">
        <v>41</v>
      </c>
      <c r="H283" t="s">
        <v>938</v>
      </c>
      <c r="I283" s="29">
        <v>46313.775000000001</v>
      </c>
      <c r="J283" t="s">
        <v>41</v>
      </c>
      <c r="K283" s="29">
        <v>46313.774236111109</v>
      </c>
      <c r="L283">
        <v>21</v>
      </c>
      <c r="O283" s="29">
        <v>46313.772465277776</v>
      </c>
      <c r="P283" t="s">
        <v>43</v>
      </c>
      <c r="Q283" t="s">
        <v>49</v>
      </c>
      <c r="R283" t="s">
        <v>939</v>
      </c>
      <c r="S283">
        <v>4247</v>
      </c>
      <c r="T283" t="s">
        <v>41</v>
      </c>
      <c r="U283" s="29">
        <v>46313.781458333331</v>
      </c>
      <c r="V283" s="29">
        <v>46313.779872685183</v>
      </c>
      <c r="W283" t="s">
        <v>940</v>
      </c>
      <c r="X283">
        <v>22411</v>
      </c>
      <c r="Z283">
        <v>0</v>
      </c>
      <c r="AA283" s="30">
        <v>0.77430555555555547</v>
      </c>
      <c r="AB283">
        <v>7</v>
      </c>
      <c r="AC283" t="s">
        <v>41</v>
      </c>
    </row>
    <row r="284" spans="1:29">
      <c r="A284" t="s">
        <v>82</v>
      </c>
      <c r="B284" s="29">
        <v>46313.77449074074</v>
      </c>
      <c r="C284">
        <v>1667</v>
      </c>
      <c r="D284" t="s">
        <v>41</v>
      </c>
      <c r="E284">
        <v>8</v>
      </c>
      <c r="F284" t="s">
        <v>41</v>
      </c>
      <c r="G284" t="s">
        <v>41</v>
      </c>
      <c r="H284" t="s">
        <v>941</v>
      </c>
      <c r="I284" s="29">
        <v>46313.774976851855</v>
      </c>
      <c r="J284" t="s">
        <v>41</v>
      </c>
      <c r="K284" s="29">
        <v>46313.773888888885</v>
      </c>
      <c r="L284">
        <v>42</v>
      </c>
      <c r="O284" s="29">
        <v>46313.772291666668</v>
      </c>
      <c r="P284" t="s">
        <v>43</v>
      </c>
      <c r="Q284" t="s">
        <v>84</v>
      </c>
      <c r="R284" t="s">
        <v>942</v>
      </c>
      <c r="S284">
        <v>4247</v>
      </c>
      <c r="T284" t="s">
        <v>41</v>
      </c>
      <c r="U284" s="29">
        <v>46313.780798611115</v>
      </c>
      <c r="V284" s="29">
        <v>46313.779988425929</v>
      </c>
      <c r="W284" t="s">
        <v>943</v>
      </c>
      <c r="X284">
        <v>22411</v>
      </c>
      <c r="Z284">
        <v>0</v>
      </c>
      <c r="AA284" s="30">
        <v>0.77430555555555547</v>
      </c>
      <c r="AB284">
        <v>7</v>
      </c>
      <c r="AC284" t="s">
        <v>41</v>
      </c>
    </row>
    <row r="285" spans="1:29">
      <c r="A285" t="s">
        <v>190</v>
      </c>
      <c r="B285" s="29">
        <v>46313.773680555554</v>
      </c>
      <c r="C285">
        <v>1955</v>
      </c>
      <c r="D285" t="s">
        <v>41</v>
      </c>
      <c r="E285">
        <v>6</v>
      </c>
      <c r="F285" t="s">
        <v>41</v>
      </c>
      <c r="G285" t="s">
        <v>41</v>
      </c>
      <c r="H285" t="s">
        <v>944</v>
      </c>
      <c r="I285" s="29">
        <v>46313.774641203701</v>
      </c>
      <c r="J285" t="s">
        <v>41</v>
      </c>
      <c r="K285" s="29">
        <v>46313.774363425924</v>
      </c>
      <c r="L285">
        <v>23</v>
      </c>
      <c r="O285" s="29">
        <v>46313.772233796299</v>
      </c>
      <c r="P285" t="s">
        <v>43</v>
      </c>
      <c r="Q285" t="s">
        <v>192</v>
      </c>
      <c r="R285" t="s">
        <v>945</v>
      </c>
      <c r="S285">
        <v>4247</v>
      </c>
      <c r="T285" t="s">
        <v>41</v>
      </c>
      <c r="U285" s="29">
        <v>46313.780347222222</v>
      </c>
      <c r="V285" s="29">
        <v>46313.778506944444</v>
      </c>
      <c r="W285" t="s">
        <v>946</v>
      </c>
      <c r="X285">
        <v>22411</v>
      </c>
      <c r="Z285">
        <v>0</v>
      </c>
      <c r="AA285" s="30">
        <v>0.77361111111111114</v>
      </c>
      <c r="AB285">
        <v>6</v>
      </c>
      <c r="AC285" t="s">
        <v>41</v>
      </c>
    </row>
    <row r="286" spans="1:29">
      <c r="A286" t="s">
        <v>106</v>
      </c>
      <c r="B286" s="29">
        <v>46313.773402777777</v>
      </c>
      <c r="C286">
        <v>1336</v>
      </c>
      <c r="D286" t="s">
        <v>41</v>
      </c>
      <c r="E286">
        <v>5</v>
      </c>
      <c r="F286" t="s">
        <v>41</v>
      </c>
      <c r="G286" t="s">
        <v>41</v>
      </c>
      <c r="H286" t="s">
        <v>947</v>
      </c>
      <c r="I286" s="29">
        <v>46313.773831018516</v>
      </c>
      <c r="J286" t="s">
        <v>41</v>
      </c>
      <c r="K286" s="29">
        <v>46313.772916666669</v>
      </c>
      <c r="L286">
        <v>37</v>
      </c>
      <c r="O286" s="29">
        <v>46313.771840277775</v>
      </c>
      <c r="P286" t="s">
        <v>43</v>
      </c>
      <c r="Q286" t="s">
        <v>108</v>
      </c>
      <c r="R286" t="s">
        <v>948</v>
      </c>
      <c r="S286">
        <v>4247</v>
      </c>
      <c r="T286" t="s">
        <v>41</v>
      </c>
      <c r="U286" s="29">
        <v>46313.777604166666</v>
      </c>
      <c r="V286" s="29">
        <v>46313.776979166665</v>
      </c>
      <c r="W286" t="s">
        <v>949</v>
      </c>
      <c r="X286">
        <v>22411</v>
      </c>
      <c r="Z286">
        <v>0</v>
      </c>
      <c r="AA286" s="30">
        <v>0.7729166666666667</v>
      </c>
      <c r="AB286">
        <v>5</v>
      </c>
      <c r="AC286" t="s">
        <v>41</v>
      </c>
    </row>
    <row r="287" spans="1:29">
      <c r="A287" t="s">
        <v>655</v>
      </c>
      <c r="B287" s="29">
        <v>46313.771921296298</v>
      </c>
      <c r="C287">
        <v>3788</v>
      </c>
      <c r="D287" t="s">
        <v>41</v>
      </c>
      <c r="E287">
        <v>10</v>
      </c>
      <c r="F287" t="s">
        <v>41</v>
      </c>
      <c r="G287" t="s">
        <v>41</v>
      </c>
      <c r="H287" t="s">
        <v>950</v>
      </c>
      <c r="I287" s="29">
        <v>46313.773159722223</v>
      </c>
      <c r="J287" t="s">
        <v>41</v>
      </c>
      <c r="K287" s="29">
        <v>46313.772916666669</v>
      </c>
      <c r="L287">
        <v>21</v>
      </c>
      <c r="O287" s="29">
        <v>46313.77171296296</v>
      </c>
      <c r="P287" t="s">
        <v>43</v>
      </c>
      <c r="Q287" t="s">
        <v>657</v>
      </c>
      <c r="R287" t="s">
        <v>951</v>
      </c>
      <c r="S287">
        <v>4247</v>
      </c>
      <c r="T287" t="s">
        <v>41</v>
      </c>
      <c r="U287" s="29">
        <v>46313.78229166667</v>
      </c>
      <c r="V287" s="29">
        <v>46313.780092592591</v>
      </c>
      <c r="W287" t="s">
        <v>952</v>
      </c>
      <c r="X287">
        <v>22411</v>
      </c>
      <c r="Z287">
        <v>0</v>
      </c>
      <c r="AA287" s="30">
        <v>0.7715277777777777</v>
      </c>
      <c r="AB287">
        <v>10</v>
      </c>
      <c r="AC287" t="s">
        <v>41</v>
      </c>
    </row>
    <row r="288" spans="1:29">
      <c r="A288" t="s">
        <v>754</v>
      </c>
      <c r="B288" s="29">
        <v>46313.771504629629</v>
      </c>
      <c r="C288">
        <v>862</v>
      </c>
      <c r="D288" t="s">
        <v>41</v>
      </c>
      <c r="E288">
        <v>4</v>
      </c>
      <c r="F288" t="s">
        <v>41</v>
      </c>
      <c r="G288" t="s">
        <v>41</v>
      </c>
      <c r="H288" t="s">
        <v>953</v>
      </c>
      <c r="I288" s="29">
        <v>46313.772569444445</v>
      </c>
      <c r="J288" t="s">
        <v>41</v>
      </c>
      <c r="K288" s="29">
        <v>46313.772291666668</v>
      </c>
      <c r="L288">
        <v>23</v>
      </c>
      <c r="O288" s="29">
        <v>46313.771469907406</v>
      </c>
      <c r="P288" t="s">
        <v>43</v>
      </c>
      <c r="Q288" t="s">
        <v>3010</v>
      </c>
      <c r="R288" t="s">
        <v>954</v>
      </c>
      <c r="S288">
        <v>4247</v>
      </c>
      <c r="T288" t="s">
        <v>41</v>
      </c>
      <c r="U288" s="29">
        <v>46313.775451388887</v>
      </c>
      <c r="V288" s="29">
        <v>46313.774884259263</v>
      </c>
      <c r="W288" t="s">
        <v>955</v>
      </c>
      <c r="X288">
        <v>22411</v>
      </c>
      <c r="Z288">
        <v>0</v>
      </c>
      <c r="AA288" s="30">
        <v>0.77083333333333337</v>
      </c>
      <c r="AB288">
        <v>3</v>
      </c>
      <c r="AC288" t="s">
        <v>41</v>
      </c>
    </row>
    <row r="289" spans="1:29">
      <c r="A289" t="s">
        <v>77</v>
      </c>
      <c r="B289" s="29">
        <v>46313.771249999998</v>
      </c>
      <c r="C289">
        <v>2270</v>
      </c>
      <c r="D289" t="s">
        <v>41</v>
      </c>
      <c r="E289">
        <v>7</v>
      </c>
      <c r="F289" t="s">
        <v>41</v>
      </c>
      <c r="G289" t="s">
        <v>41</v>
      </c>
      <c r="H289" t="s">
        <v>956</v>
      </c>
      <c r="I289" s="29">
        <v>46313.773912037039</v>
      </c>
      <c r="J289" t="s">
        <v>41</v>
      </c>
      <c r="K289" s="29">
        <v>46313.7737037037</v>
      </c>
      <c r="L289">
        <v>17</v>
      </c>
      <c r="O289" s="29">
        <v>46313.771099537036</v>
      </c>
      <c r="P289" t="s">
        <v>43</v>
      </c>
      <c r="Q289" t="s">
        <v>79</v>
      </c>
      <c r="R289" t="s">
        <v>957</v>
      </c>
      <c r="S289">
        <v>4247</v>
      </c>
      <c r="T289" t="s">
        <v>41</v>
      </c>
      <c r="U289" s="29">
        <v>46313.780381944445</v>
      </c>
      <c r="V289" s="29">
        <v>46313.778321759259</v>
      </c>
      <c r="W289" t="s">
        <v>958</v>
      </c>
      <c r="X289">
        <v>22411</v>
      </c>
      <c r="Z289">
        <v>0</v>
      </c>
      <c r="AA289" s="30">
        <v>0.77083333333333337</v>
      </c>
      <c r="AB289">
        <v>6</v>
      </c>
      <c r="AC289" t="s">
        <v>41</v>
      </c>
    </row>
    <row r="290" spans="1:29">
      <c r="A290" t="s">
        <v>198</v>
      </c>
      <c r="B290" s="29">
        <v>46313.770601851851</v>
      </c>
      <c r="C290">
        <v>1908</v>
      </c>
      <c r="D290" t="s">
        <v>41</v>
      </c>
      <c r="E290">
        <v>5</v>
      </c>
      <c r="F290" t="s">
        <v>41</v>
      </c>
      <c r="G290" t="s">
        <v>41</v>
      </c>
      <c r="H290" t="s">
        <v>959</v>
      </c>
      <c r="I290" s="29">
        <v>46313.771817129629</v>
      </c>
      <c r="J290" t="s">
        <v>41</v>
      </c>
      <c r="K290" s="29">
        <v>46313.771562499998</v>
      </c>
      <c r="L290">
        <v>21</v>
      </c>
      <c r="O290" s="29">
        <v>46313.770462962966</v>
      </c>
      <c r="P290" t="s">
        <v>43</v>
      </c>
      <c r="Q290" t="s">
        <v>3008</v>
      </c>
      <c r="R290" t="s">
        <v>960</v>
      </c>
      <c r="S290">
        <v>4247</v>
      </c>
      <c r="T290" t="s">
        <v>41</v>
      </c>
      <c r="U290" s="29">
        <v>46313.777048611111</v>
      </c>
      <c r="V290" s="29">
        <v>46313.775335648148</v>
      </c>
      <c r="W290" t="s">
        <v>961</v>
      </c>
      <c r="X290">
        <v>22411</v>
      </c>
      <c r="Z290">
        <v>0</v>
      </c>
      <c r="AA290" s="30">
        <v>0.77013888888888893</v>
      </c>
      <c r="AB290">
        <v>5</v>
      </c>
      <c r="AC290" t="s">
        <v>41</v>
      </c>
    </row>
    <row r="291" spans="1:29">
      <c r="A291" t="s">
        <v>52</v>
      </c>
      <c r="B291" s="29">
        <v>46313.770497685182</v>
      </c>
      <c r="C291">
        <v>2049</v>
      </c>
      <c r="D291" t="s">
        <v>41</v>
      </c>
      <c r="E291">
        <v>7</v>
      </c>
      <c r="F291" t="s">
        <v>41</v>
      </c>
      <c r="G291" t="s">
        <v>41</v>
      </c>
      <c r="H291" t="s">
        <v>962</v>
      </c>
      <c r="I291" s="29">
        <v>46313.77270833333</v>
      </c>
      <c r="J291" t="s">
        <v>41</v>
      </c>
      <c r="K291" s="29">
        <v>46313.772233796299</v>
      </c>
      <c r="L291">
        <v>40</v>
      </c>
      <c r="O291" s="29">
        <v>46313.770381944443</v>
      </c>
      <c r="P291" t="s">
        <v>43</v>
      </c>
      <c r="Q291" t="s">
        <v>54</v>
      </c>
      <c r="R291" t="s">
        <v>963</v>
      </c>
      <c r="S291">
        <v>4247</v>
      </c>
      <c r="T291" t="s">
        <v>41</v>
      </c>
      <c r="U291" s="29">
        <v>46313.778263888889</v>
      </c>
      <c r="V291" s="29">
        <v>46313.777222222219</v>
      </c>
      <c r="W291" t="s">
        <v>964</v>
      </c>
      <c r="X291">
        <v>22411</v>
      </c>
      <c r="Z291">
        <v>0</v>
      </c>
      <c r="AA291" s="30">
        <v>0.77013888888888893</v>
      </c>
      <c r="AB291">
        <v>7</v>
      </c>
      <c r="AC291" t="s">
        <v>41</v>
      </c>
    </row>
    <row r="292" spans="1:29">
      <c r="A292" t="s">
        <v>734</v>
      </c>
      <c r="B292" s="29">
        <v>46313.769629629627</v>
      </c>
      <c r="C292">
        <v>2082</v>
      </c>
      <c r="D292" t="s">
        <v>41</v>
      </c>
      <c r="E292">
        <v>7</v>
      </c>
      <c r="F292" t="s">
        <v>41</v>
      </c>
      <c r="G292" t="s">
        <v>41</v>
      </c>
      <c r="H292" t="s">
        <v>965</v>
      </c>
      <c r="I292" s="29">
        <v>46313.77034722222</v>
      </c>
      <c r="J292" t="s">
        <v>41</v>
      </c>
      <c r="K292" s="29">
        <v>46313.769976851851</v>
      </c>
      <c r="L292">
        <v>31</v>
      </c>
      <c r="O292" s="29">
        <v>46313.769467592596</v>
      </c>
      <c r="P292" t="s">
        <v>43</v>
      </c>
      <c r="Q292" t="s">
        <v>736</v>
      </c>
      <c r="R292" t="s">
        <v>966</v>
      </c>
      <c r="S292">
        <v>4247</v>
      </c>
      <c r="T292" t="s">
        <v>41</v>
      </c>
      <c r="U292" s="29">
        <v>46313.775787037041</v>
      </c>
      <c r="V292" s="29">
        <v>46313.775138888886</v>
      </c>
      <c r="W292" t="s">
        <v>967</v>
      </c>
      <c r="X292">
        <v>22411</v>
      </c>
      <c r="Z292">
        <v>0</v>
      </c>
      <c r="AA292" s="30">
        <v>0.76944444444444438</v>
      </c>
      <c r="AB292">
        <v>7</v>
      </c>
      <c r="AC292" t="s">
        <v>41</v>
      </c>
    </row>
    <row r="293" spans="1:29">
      <c r="A293" t="s">
        <v>157</v>
      </c>
      <c r="B293" s="29">
        <v>46313.767928240741</v>
      </c>
      <c r="C293">
        <v>1636</v>
      </c>
      <c r="D293" t="s">
        <v>41</v>
      </c>
      <c r="E293">
        <v>5</v>
      </c>
      <c r="F293" t="s">
        <v>41</v>
      </c>
      <c r="G293" t="s">
        <v>41</v>
      </c>
      <c r="H293" t="s">
        <v>968</v>
      </c>
      <c r="I293" s="29">
        <v>46313.768564814818</v>
      </c>
      <c r="J293" t="s">
        <v>41</v>
      </c>
      <c r="K293" s="29">
        <v>46313.768229166664</v>
      </c>
      <c r="L293">
        <v>28</v>
      </c>
      <c r="O293" s="29">
        <v>46313.767754629633</v>
      </c>
      <c r="P293" t="s">
        <v>43</v>
      </c>
      <c r="Q293" t="s">
        <v>159</v>
      </c>
      <c r="R293" t="s">
        <v>969</v>
      </c>
      <c r="S293">
        <v>4247</v>
      </c>
      <c r="T293" t="s">
        <v>41</v>
      </c>
      <c r="U293" s="29">
        <v>46313.772800925923</v>
      </c>
      <c r="V293" s="29">
        <v>46313.771747685183</v>
      </c>
      <c r="W293" t="s">
        <v>970</v>
      </c>
      <c r="X293">
        <v>22411</v>
      </c>
      <c r="Z293">
        <v>0</v>
      </c>
      <c r="AA293" s="30">
        <v>0.76736111111111116</v>
      </c>
      <c r="AB293">
        <v>5</v>
      </c>
      <c r="AC293" t="s">
        <v>41</v>
      </c>
    </row>
    <row r="294" spans="1:29">
      <c r="A294" t="s">
        <v>379</v>
      </c>
      <c r="B294" s="29">
        <v>46313.767187500001</v>
      </c>
      <c r="C294">
        <v>1376</v>
      </c>
      <c r="D294" t="s">
        <v>41</v>
      </c>
      <c r="E294">
        <v>6</v>
      </c>
      <c r="F294" t="s">
        <v>41</v>
      </c>
      <c r="G294" t="s">
        <v>41</v>
      </c>
      <c r="H294" t="s">
        <v>971</v>
      </c>
      <c r="I294" s="29">
        <v>46313.768576388888</v>
      </c>
      <c r="J294" t="s">
        <v>41</v>
      </c>
      <c r="K294" s="29">
        <v>46313.76835648148</v>
      </c>
      <c r="L294">
        <v>18</v>
      </c>
      <c r="O294" s="29">
        <v>46313.766944444447</v>
      </c>
      <c r="P294" t="s">
        <v>43</v>
      </c>
      <c r="Q294" t="s">
        <v>381</v>
      </c>
      <c r="R294" t="s">
        <v>972</v>
      </c>
      <c r="S294">
        <v>4247</v>
      </c>
      <c r="T294" t="s">
        <v>41</v>
      </c>
      <c r="U294" s="29">
        <v>46313.772893518515</v>
      </c>
      <c r="V294" s="29">
        <v>46313.772453703707</v>
      </c>
      <c r="W294" t="s">
        <v>973</v>
      </c>
      <c r="X294">
        <v>22411</v>
      </c>
      <c r="Z294">
        <v>0</v>
      </c>
      <c r="AA294" s="30">
        <v>0.76666666666666661</v>
      </c>
      <c r="AB294">
        <v>6</v>
      </c>
      <c r="AC294" t="s">
        <v>41</v>
      </c>
    </row>
    <row r="295" spans="1:29">
      <c r="A295" t="s">
        <v>72</v>
      </c>
      <c r="B295" s="29">
        <v>46313.765196759261</v>
      </c>
      <c r="C295">
        <v>1383</v>
      </c>
      <c r="D295" t="s">
        <v>41</v>
      </c>
      <c r="E295">
        <v>6</v>
      </c>
      <c r="F295" t="s">
        <v>41</v>
      </c>
      <c r="G295" t="s">
        <v>41</v>
      </c>
      <c r="H295" t="s">
        <v>974</v>
      </c>
      <c r="I295" s="29">
        <v>46313.766516203701</v>
      </c>
      <c r="J295" t="s">
        <v>41</v>
      </c>
      <c r="K295" s="29">
        <v>46313.766284722224</v>
      </c>
      <c r="L295">
        <v>19</v>
      </c>
      <c r="O295" s="29">
        <v>46313.765011574076</v>
      </c>
      <c r="P295" t="s">
        <v>43</v>
      </c>
      <c r="Q295" t="s">
        <v>74</v>
      </c>
      <c r="R295" t="s">
        <v>975</v>
      </c>
      <c r="S295">
        <v>4247</v>
      </c>
      <c r="T295" t="s">
        <v>41</v>
      </c>
      <c r="U295" s="29">
        <v>46313.771041666667</v>
      </c>
      <c r="V295" s="29">
        <v>46313.770254629628</v>
      </c>
      <c r="W295" t="s">
        <v>976</v>
      </c>
      <c r="X295">
        <v>22411</v>
      </c>
      <c r="Z295">
        <v>0</v>
      </c>
      <c r="AA295" s="30">
        <v>0.76458333333333339</v>
      </c>
      <c r="AB295">
        <v>5</v>
      </c>
      <c r="AC295" t="s">
        <v>41</v>
      </c>
    </row>
    <row r="296" spans="1:29">
      <c r="A296" t="s">
        <v>347</v>
      </c>
      <c r="B296" s="29">
        <v>46313.764513888891</v>
      </c>
      <c r="C296">
        <v>1284</v>
      </c>
      <c r="D296" t="s">
        <v>41</v>
      </c>
      <c r="E296">
        <v>5</v>
      </c>
      <c r="F296" t="s">
        <v>41</v>
      </c>
      <c r="G296" t="s">
        <v>41</v>
      </c>
      <c r="H296" t="s">
        <v>977</v>
      </c>
      <c r="I296" s="29">
        <v>46313.764780092592</v>
      </c>
      <c r="J296" t="s">
        <v>41</v>
      </c>
      <c r="K296" s="29">
        <v>46313.762627314813</v>
      </c>
      <c r="L296">
        <v>23</v>
      </c>
      <c r="O296" s="29">
        <v>46313.761770833335</v>
      </c>
      <c r="P296" t="s">
        <v>43</v>
      </c>
      <c r="Q296" t="s">
        <v>349</v>
      </c>
      <c r="R296" t="s">
        <v>978</v>
      </c>
      <c r="S296">
        <v>4247</v>
      </c>
      <c r="T296" t="s">
        <v>41</v>
      </c>
      <c r="U296" s="29">
        <v>46313.769525462965</v>
      </c>
      <c r="V296" s="29">
        <v>46313.768125000002</v>
      </c>
      <c r="W296" t="s">
        <v>979</v>
      </c>
      <c r="X296">
        <v>22411</v>
      </c>
      <c r="Z296">
        <v>0</v>
      </c>
      <c r="AA296" s="30">
        <v>0.76388888888888884</v>
      </c>
      <c r="AB296">
        <v>5</v>
      </c>
      <c r="AC296" t="s">
        <v>41</v>
      </c>
    </row>
    <row r="297" spans="1:29">
      <c r="A297" t="s">
        <v>190</v>
      </c>
      <c r="B297" s="29">
        <v>46313.763993055552</v>
      </c>
      <c r="C297">
        <v>1521</v>
      </c>
      <c r="D297" t="s">
        <v>41</v>
      </c>
      <c r="E297">
        <v>5</v>
      </c>
      <c r="F297" t="s">
        <v>41</v>
      </c>
      <c r="G297" t="s">
        <v>41</v>
      </c>
      <c r="H297" t="s">
        <v>980</v>
      </c>
      <c r="I297" s="29">
        <v>46313.764224537037</v>
      </c>
      <c r="J297" t="s">
        <v>41</v>
      </c>
      <c r="K297" s="29">
        <v>46313.761770833335</v>
      </c>
      <c r="L297">
        <v>20</v>
      </c>
      <c r="O297" s="29">
        <v>46313.760717592595</v>
      </c>
      <c r="P297" t="s">
        <v>43</v>
      </c>
      <c r="Q297" t="s">
        <v>192</v>
      </c>
      <c r="R297" t="s">
        <v>981</v>
      </c>
      <c r="S297">
        <v>4247</v>
      </c>
      <c r="T297" t="s">
        <v>41</v>
      </c>
      <c r="U297" s="29">
        <v>46313.768865740742</v>
      </c>
      <c r="V297" s="29">
        <v>46313.767337962963</v>
      </c>
      <c r="W297" t="s">
        <v>982</v>
      </c>
      <c r="X297">
        <v>22411</v>
      </c>
      <c r="Z297">
        <v>0</v>
      </c>
      <c r="AA297" s="30">
        <v>0.76388888888888884</v>
      </c>
      <c r="AB297">
        <v>4</v>
      </c>
      <c r="AC297" t="s">
        <v>41</v>
      </c>
    </row>
    <row r="298" spans="1:29">
      <c r="A298" t="s">
        <v>98</v>
      </c>
      <c r="B298" s="29">
        <v>46313.763715277775</v>
      </c>
      <c r="C298">
        <v>1531</v>
      </c>
      <c r="D298" t="s">
        <v>41</v>
      </c>
      <c r="E298">
        <v>8</v>
      </c>
      <c r="F298" t="s">
        <v>41</v>
      </c>
      <c r="G298" t="s">
        <v>41</v>
      </c>
      <c r="H298" t="s">
        <v>980</v>
      </c>
      <c r="I298" s="29">
        <v>46313.76394675926</v>
      </c>
      <c r="J298" t="s">
        <v>41</v>
      </c>
      <c r="K298" s="29">
        <v>46313.760972222219</v>
      </c>
      <c r="L298">
        <v>20</v>
      </c>
      <c r="O298" s="29">
        <v>46313.76053240741</v>
      </c>
      <c r="P298" t="s">
        <v>43</v>
      </c>
      <c r="Q298" t="s">
        <v>3005</v>
      </c>
      <c r="R298" t="s">
        <v>983</v>
      </c>
      <c r="S298">
        <v>4247</v>
      </c>
      <c r="T298" t="s">
        <v>41</v>
      </c>
      <c r="U298" s="29">
        <v>46313.768541666665</v>
      </c>
      <c r="V298" s="29">
        <v>46313.769143518519</v>
      </c>
      <c r="W298" t="s">
        <v>984</v>
      </c>
      <c r="X298">
        <v>22411</v>
      </c>
      <c r="Z298">
        <v>0</v>
      </c>
      <c r="AA298" s="30">
        <v>0.7631944444444444</v>
      </c>
      <c r="AB298">
        <v>7</v>
      </c>
      <c r="AC298" t="s">
        <v>41</v>
      </c>
    </row>
    <row r="299" spans="1:29">
      <c r="A299" t="s">
        <v>209</v>
      </c>
      <c r="B299" s="29">
        <v>46313.763067129628</v>
      </c>
      <c r="C299">
        <v>2346</v>
      </c>
      <c r="D299" t="s">
        <v>41</v>
      </c>
      <c r="E299">
        <v>8</v>
      </c>
      <c r="F299" t="s">
        <v>41</v>
      </c>
      <c r="G299" t="s">
        <v>41</v>
      </c>
      <c r="H299" t="s">
        <v>985</v>
      </c>
      <c r="I299" s="29">
        <v>46313.76353009259</v>
      </c>
      <c r="J299" t="s">
        <v>41</v>
      </c>
      <c r="K299" s="29">
        <v>46313.761493055557</v>
      </c>
      <c r="L299">
        <v>41</v>
      </c>
      <c r="O299" s="29">
        <v>46313.760520833333</v>
      </c>
      <c r="P299" t="s">
        <v>43</v>
      </c>
      <c r="Q299" t="s">
        <v>211</v>
      </c>
      <c r="R299" t="s">
        <v>986</v>
      </c>
      <c r="S299">
        <v>4247</v>
      </c>
      <c r="T299" t="s">
        <v>41</v>
      </c>
      <c r="U299" s="29">
        <v>46313.769965277781</v>
      </c>
      <c r="V299" s="29">
        <v>46313.768645833334</v>
      </c>
      <c r="W299" t="s">
        <v>987</v>
      </c>
      <c r="X299">
        <v>22411</v>
      </c>
      <c r="Z299">
        <v>0</v>
      </c>
      <c r="AA299" s="30">
        <v>0.76250000000000007</v>
      </c>
      <c r="AB299">
        <v>7</v>
      </c>
      <c r="AC299" t="s">
        <v>41</v>
      </c>
    </row>
    <row r="300" spans="1:29">
      <c r="A300" t="s">
        <v>177</v>
      </c>
      <c r="B300" s="29">
        <v>46313.763055555559</v>
      </c>
      <c r="C300">
        <v>3937</v>
      </c>
      <c r="D300" t="s">
        <v>41</v>
      </c>
      <c r="E300">
        <v>12</v>
      </c>
      <c r="F300" t="s">
        <v>41</v>
      </c>
      <c r="G300" t="s">
        <v>41</v>
      </c>
      <c r="H300" t="s">
        <v>988</v>
      </c>
      <c r="I300" s="29">
        <v>46313.763449074075</v>
      </c>
      <c r="J300" t="s">
        <v>41</v>
      </c>
      <c r="K300" s="29">
        <v>46313.76090277778</v>
      </c>
      <c r="L300">
        <v>34</v>
      </c>
      <c r="O300" s="29">
        <v>46313.760416666664</v>
      </c>
      <c r="P300" t="s">
        <v>43</v>
      </c>
      <c r="Q300" t="s">
        <v>179</v>
      </c>
      <c r="R300" t="s">
        <v>989</v>
      </c>
      <c r="S300">
        <v>4247</v>
      </c>
      <c r="T300" t="s">
        <v>41</v>
      </c>
      <c r="U300" s="29">
        <v>46313.773113425923</v>
      </c>
      <c r="V300" s="29">
        <v>46313.771064814813</v>
      </c>
      <c r="W300" t="s">
        <v>990</v>
      </c>
      <c r="X300">
        <v>22411</v>
      </c>
      <c r="Z300">
        <v>0</v>
      </c>
      <c r="AA300" s="30">
        <v>0.76250000000000007</v>
      </c>
      <c r="AB300">
        <v>11</v>
      </c>
      <c r="AC300" t="s">
        <v>41</v>
      </c>
    </row>
    <row r="301" spans="1:29">
      <c r="A301" t="s">
        <v>655</v>
      </c>
      <c r="B301" s="29">
        <v>46313.762928240743</v>
      </c>
      <c r="C301">
        <v>1628</v>
      </c>
      <c r="D301" t="s">
        <v>41</v>
      </c>
      <c r="E301">
        <v>5</v>
      </c>
      <c r="F301" t="s">
        <v>41</v>
      </c>
      <c r="G301" t="s">
        <v>41</v>
      </c>
      <c r="H301" t="s">
        <v>991</v>
      </c>
      <c r="I301" s="29">
        <v>46313.763379629629</v>
      </c>
      <c r="J301" t="s">
        <v>41</v>
      </c>
      <c r="K301" s="29">
        <v>46313.759479166663</v>
      </c>
      <c r="L301">
        <v>39</v>
      </c>
      <c r="O301" s="29">
        <v>46313.758090277777</v>
      </c>
      <c r="P301" t="s">
        <v>43</v>
      </c>
      <c r="Q301" t="s">
        <v>657</v>
      </c>
      <c r="R301" t="s">
        <v>992</v>
      </c>
      <c r="S301">
        <v>4247</v>
      </c>
      <c r="T301" t="s">
        <v>41</v>
      </c>
      <c r="U301" s="29">
        <v>46313.768553240741</v>
      </c>
      <c r="V301" s="29">
        <v>46313.766053240739</v>
      </c>
      <c r="W301" t="s">
        <v>993</v>
      </c>
      <c r="X301">
        <v>22411</v>
      </c>
      <c r="Z301">
        <v>0</v>
      </c>
      <c r="AA301" s="30">
        <v>0.76250000000000007</v>
      </c>
      <c r="AB301">
        <v>4</v>
      </c>
      <c r="AC301" t="s">
        <v>41</v>
      </c>
    </row>
    <row r="302" spans="1:29">
      <c r="A302" t="s">
        <v>339</v>
      </c>
      <c r="B302" s="29">
        <v>46313.761319444442</v>
      </c>
      <c r="C302">
        <v>2155</v>
      </c>
      <c r="D302" t="s">
        <v>41</v>
      </c>
      <c r="E302">
        <v>9</v>
      </c>
      <c r="F302" t="s">
        <v>41</v>
      </c>
      <c r="G302" t="s">
        <v>41</v>
      </c>
      <c r="H302" t="s">
        <v>994</v>
      </c>
      <c r="I302" s="29">
        <v>46313.761516203704</v>
      </c>
      <c r="J302" t="s">
        <v>41</v>
      </c>
      <c r="K302" s="29">
        <v>46313.759259259263</v>
      </c>
      <c r="L302">
        <v>17</v>
      </c>
      <c r="O302" s="29">
        <v>46313.757604166669</v>
      </c>
      <c r="P302" t="s">
        <v>43</v>
      </c>
      <c r="Q302" t="s">
        <v>341</v>
      </c>
      <c r="R302" t="s">
        <v>995</v>
      </c>
      <c r="S302">
        <v>4247</v>
      </c>
      <c r="T302" t="s">
        <v>41</v>
      </c>
      <c r="U302" s="29">
        <v>46313.767870370371</v>
      </c>
      <c r="V302" s="29">
        <v>46313.767523148148</v>
      </c>
      <c r="W302" t="s">
        <v>996</v>
      </c>
      <c r="X302">
        <v>22411</v>
      </c>
      <c r="Z302">
        <v>0</v>
      </c>
      <c r="AA302" s="30">
        <v>0.76111111111111107</v>
      </c>
      <c r="AB302">
        <v>9</v>
      </c>
      <c r="AC302" t="s">
        <v>41</v>
      </c>
    </row>
    <row r="303" spans="1:29">
      <c r="A303" t="s">
        <v>303</v>
      </c>
      <c r="B303" s="29">
        <v>46313.760347222225</v>
      </c>
      <c r="C303">
        <v>2128</v>
      </c>
      <c r="D303" t="s">
        <v>41</v>
      </c>
      <c r="E303">
        <v>8</v>
      </c>
      <c r="F303" t="s">
        <v>41</v>
      </c>
      <c r="G303" t="s">
        <v>41</v>
      </c>
      <c r="H303" t="s">
        <v>997</v>
      </c>
      <c r="I303" s="29">
        <v>46313.760509259257</v>
      </c>
      <c r="J303" t="s">
        <v>41</v>
      </c>
      <c r="K303" s="29">
        <v>46313.757210648146</v>
      </c>
      <c r="L303">
        <v>14</v>
      </c>
      <c r="O303" s="29">
        <v>46313.756747685184</v>
      </c>
      <c r="P303" t="s">
        <v>43</v>
      </c>
      <c r="Q303" t="s">
        <v>305</v>
      </c>
      <c r="R303" t="s">
        <v>998</v>
      </c>
      <c r="S303">
        <v>4247</v>
      </c>
      <c r="T303" t="s">
        <v>41</v>
      </c>
      <c r="U303" s="29">
        <v>46313.76630787037</v>
      </c>
      <c r="V303" s="29">
        <v>46313.765625</v>
      </c>
      <c r="W303" t="s">
        <v>999</v>
      </c>
      <c r="X303">
        <v>22411</v>
      </c>
      <c r="Z303">
        <v>0</v>
      </c>
      <c r="AA303" s="30">
        <v>0.7597222222222223</v>
      </c>
      <c r="AB303">
        <v>7</v>
      </c>
      <c r="AC303" t="s">
        <v>41</v>
      </c>
    </row>
    <row r="304" spans="1:29">
      <c r="A304" t="s">
        <v>52</v>
      </c>
      <c r="B304" s="29">
        <v>46313.760162037041</v>
      </c>
      <c r="C304">
        <v>1244</v>
      </c>
      <c r="D304" t="s">
        <v>41</v>
      </c>
      <c r="E304">
        <v>4</v>
      </c>
      <c r="F304" t="s">
        <v>41</v>
      </c>
      <c r="G304" t="s">
        <v>41</v>
      </c>
      <c r="H304" t="s">
        <v>1000</v>
      </c>
      <c r="I304" s="29">
        <v>46313.760833333334</v>
      </c>
      <c r="J304" t="s">
        <v>41</v>
      </c>
      <c r="K304" s="29">
        <v>46313.757199074076</v>
      </c>
      <c r="L304">
        <v>58</v>
      </c>
      <c r="O304" s="29">
        <v>46313.755520833336</v>
      </c>
      <c r="P304" t="s">
        <v>43</v>
      </c>
      <c r="Q304" t="s">
        <v>54</v>
      </c>
      <c r="R304" t="s">
        <v>1001</v>
      </c>
      <c r="S304">
        <v>4247</v>
      </c>
      <c r="T304" t="s">
        <v>41</v>
      </c>
      <c r="U304" s="29">
        <v>46313.764189814814</v>
      </c>
      <c r="V304" s="29">
        <v>46313.762986111113</v>
      </c>
      <c r="W304" t="s">
        <v>1002</v>
      </c>
      <c r="X304">
        <v>22411</v>
      </c>
      <c r="Z304">
        <v>0</v>
      </c>
      <c r="AA304" s="30">
        <v>0.7597222222222223</v>
      </c>
      <c r="AB304">
        <v>3</v>
      </c>
      <c r="AC304" t="s">
        <v>41</v>
      </c>
    </row>
    <row r="305" spans="1:29">
      <c r="A305" t="s">
        <v>72</v>
      </c>
      <c r="B305" s="29">
        <v>46313.759953703702</v>
      </c>
      <c r="C305">
        <v>623</v>
      </c>
      <c r="D305" t="s">
        <v>41</v>
      </c>
      <c r="E305">
        <v>2</v>
      </c>
      <c r="F305" t="s">
        <v>41</v>
      </c>
      <c r="G305" t="s">
        <v>41</v>
      </c>
      <c r="H305" t="s">
        <v>1003</v>
      </c>
      <c r="I305" s="29">
        <v>46313.760266203702</v>
      </c>
      <c r="J305" t="s">
        <v>41</v>
      </c>
      <c r="K305" s="29">
        <v>46313.755891203706</v>
      </c>
      <c r="L305">
        <v>28</v>
      </c>
      <c r="O305" s="29">
        <v>46313.755115740743</v>
      </c>
      <c r="P305" t="s">
        <v>43</v>
      </c>
      <c r="Q305" t="s">
        <v>74</v>
      </c>
      <c r="R305" t="s">
        <v>1004</v>
      </c>
      <c r="S305">
        <v>4247</v>
      </c>
      <c r="T305" t="s">
        <v>41</v>
      </c>
      <c r="U305" s="29">
        <v>46313.762523148151</v>
      </c>
      <c r="V305" s="29">
        <v>46313.761273148149</v>
      </c>
      <c r="W305" t="s">
        <v>1005</v>
      </c>
      <c r="X305">
        <v>22411</v>
      </c>
      <c r="Z305">
        <v>0</v>
      </c>
      <c r="AA305" s="30">
        <v>0.7597222222222223</v>
      </c>
      <c r="AB305">
        <v>1</v>
      </c>
      <c r="AC305" t="s">
        <v>41</v>
      </c>
    </row>
    <row r="306" spans="1:29">
      <c r="A306" t="s">
        <v>198</v>
      </c>
      <c r="B306" s="29">
        <v>46313.759780092594</v>
      </c>
      <c r="C306">
        <v>1260</v>
      </c>
      <c r="D306" t="s">
        <v>41</v>
      </c>
      <c r="E306">
        <v>4</v>
      </c>
      <c r="F306" t="s">
        <v>41</v>
      </c>
      <c r="G306" t="s">
        <v>41</v>
      </c>
      <c r="H306" t="s">
        <v>1006</v>
      </c>
      <c r="I306" s="29">
        <v>46313.760092592594</v>
      </c>
      <c r="J306" t="s">
        <v>41</v>
      </c>
      <c r="K306" s="29">
        <v>46313.757013888891</v>
      </c>
      <c r="L306">
        <v>27</v>
      </c>
      <c r="O306" s="29">
        <v>46313.754756944443</v>
      </c>
      <c r="P306" t="s">
        <v>43</v>
      </c>
      <c r="Q306" t="s">
        <v>3008</v>
      </c>
      <c r="R306" t="s">
        <v>1007</v>
      </c>
      <c r="S306">
        <v>4247</v>
      </c>
      <c r="T306" t="s">
        <v>41</v>
      </c>
      <c r="U306" s="29">
        <v>46313.763773148145</v>
      </c>
      <c r="V306" s="29">
        <v>46313.762523148151</v>
      </c>
      <c r="W306" t="s">
        <v>1008</v>
      </c>
      <c r="X306">
        <v>22411</v>
      </c>
      <c r="Z306">
        <v>0</v>
      </c>
      <c r="AA306" s="30">
        <v>0.7597222222222223</v>
      </c>
      <c r="AB306">
        <v>4</v>
      </c>
      <c r="AC306" t="s">
        <v>41</v>
      </c>
    </row>
    <row r="307" spans="1:29">
      <c r="A307" t="s">
        <v>98</v>
      </c>
      <c r="B307" s="29">
        <v>46313.756990740738</v>
      </c>
      <c r="C307">
        <v>959</v>
      </c>
      <c r="D307" t="s">
        <v>41</v>
      </c>
      <c r="E307">
        <v>3</v>
      </c>
      <c r="F307" t="s">
        <v>41</v>
      </c>
      <c r="G307" t="s">
        <v>41</v>
      </c>
      <c r="H307" t="s">
        <v>1009</v>
      </c>
      <c r="I307" s="29">
        <v>46313.757326388892</v>
      </c>
      <c r="J307" t="s">
        <v>41</v>
      </c>
      <c r="K307" s="29">
        <v>46313.755879629629</v>
      </c>
      <c r="L307">
        <v>29</v>
      </c>
      <c r="O307" s="29">
        <v>46313.753993055558</v>
      </c>
      <c r="P307" t="s">
        <v>43</v>
      </c>
      <c r="Q307" t="s">
        <v>3005</v>
      </c>
      <c r="R307" t="s">
        <v>1010</v>
      </c>
      <c r="S307">
        <v>4247</v>
      </c>
      <c r="T307" t="s">
        <v>41</v>
      </c>
      <c r="U307" s="29">
        <v>46313.760023148148</v>
      </c>
      <c r="V307" s="29">
        <v>46313.759085648147</v>
      </c>
      <c r="W307" t="s">
        <v>1011</v>
      </c>
      <c r="X307">
        <v>22411</v>
      </c>
      <c r="Z307">
        <v>0</v>
      </c>
      <c r="AA307" s="30">
        <v>0.75694444444444453</v>
      </c>
      <c r="AB307">
        <v>3</v>
      </c>
      <c r="AC307" t="s">
        <v>41</v>
      </c>
    </row>
    <row r="308" spans="1:29">
      <c r="A308" t="s">
        <v>57</v>
      </c>
      <c r="B308" s="29">
        <v>46313.756469907406</v>
      </c>
      <c r="C308">
        <v>2164</v>
      </c>
      <c r="D308" t="s">
        <v>41</v>
      </c>
      <c r="E308">
        <v>7</v>
      </c>
      <c r="F308" t="s">
        <v>41</v>
      </c>
      <c r="G308" t="s">
        <v>41</v>
      </c>
      <c r="H308" t="s">
        <v>1012</v>
      </c>
      <c r="I308" s="29">
        <v>46313.756678240738</v>
      </c>
      <c r="J308" t="s">
        <v>41</v>
      </c>
      <c r="K308" s="29">
        <v>46313.753969907404</v>
      </c>
      <c r="L308">
        <v>18</v>
      </c>
      <c r="O308" s="29">
        <v>46313.753182870372</v>
      </c>
      <c r="P308" t="s">
        <v>43</v>
      </c>
      <c r="Q308" t="s">
        <v>59</v>
      </c>
      <c r="R308" t="s">
        <v>1013</v>
      </c>
      <c r="S308">
        <v>4247</v>
      </c>
      <c r="T308" t="s">
        <v>41</v>
      </c>
      <c r="U308" s="29">
        <v>46313.763090277775</v>
      </c>
      <c r="V308" s="29">
        <v>46313.761550925927</v>
      </c>
      <c r="W308" t="s">
        <v>1014</v>
      </c>
      <c r="X308">
        <v>22411</v>
      </c>
      <c r="Z308">
        <v>0</v>
      </c>
      <c r="AA308" s="30">
        <v>0.75624999999999998</v>
      </c>
      <c r="AB308">
        <v>7</v>
      </c>
      <c r="AC308" t="s">
        <v>41</v>
      </c>
    </row>
    <row r="309" spans="1:29">
      <c r="A309" t="s">
        <v>106</v>
      </c>
      <c r="B309" s="29">
        <v>46313.756550925929</v>
      </c>
      <c r="C309">
        <v>1625</v>
      </c>
      <c r="D309" t="s">
        <v>41</v>
      </c>
      <c r="E309">
        <v>9</v>
      </c>
      <c r="F309" t="s">
        <v>41</v>
      </c>
      <c r="G309" t="s">
        <v>41</v>
      </c>
      <c r="H309" t="s">
        <v>1015</v>
      </c>
      <c r="I309" s="29">
        <v>46313.756990740738</v>
      </c>
      <c r="J309" t="s">
        <v>41</v>
      </c>
      <c r="K309" s="29">
        <v>46313.753449074073</v>
      </c>
      <c r="L309">
        <v>38</v>
      </c>
      <c r="O309" s="29">
        <v>46313.752465277779</v>
      </c>
      <c r="P309" t="s">
        <v>43</v>
      </c>
      <c r="Q309" t="s">
        <v>108</v>
      </c>
      <c r="R309" t="s">
        <v>1016</v>
      </c>
      <c r="S309">
        <v>4247</v>
      </c>
      <c r="T309" t="s">
        <v>41</v>
      </c>
      <c r="U309" s="29">
        <v>46313.762060185189</v>
      </c>
      <c r="V309" s="29">
        <v>46313.762488425928</v>
      </c>
      <c r="W309" t="s">
        <v>1017</v>
      </c>
      <c r="X309">
        <v>22411</v>
      </c>
      <c r="Z309">
        <v>0</v>
      </c>
      <c r="AA309" s="30">
        <v>0.75624999999999998</v>
      </c>
      <c r="AB309">
        <v>8</v>
      </c>
      <c r="AC309" t="s">
        <v>41</v>
      </c>
    </row>
    <row r="310" spans="1:29">
      <c r="A310" t="s">
        <v>125</v>
      </c>
      <c r="B310" s="29">
        <v>46313.75472222222</v>
      </c>
      <c r="C310">
        <v>2433</v>
      </c>
      <c r="D310" t="s">
        <v>41</v>
      </c>
      <c r="E310">
        <v>10</v>
      </c>
      <c r="F310" t="s">
        <v>41</v>
      </c>
      <c r="G310" t="s">
        <v>41</v>
      </c>
      <c r="H310" t="s">
        <v>1018</v>
      </c>
      <c r="I310" s="29">
        <v>46313.754988425928</v>
      </c>
      <c r="J310" t="s">
        <v>41</v>
      </c>
      <c r="K310" s="29">
        <v>46313.753449074073</v>
      </c>
      <c r="L310">
        <v>23</v>
      </c>
      <c r="O310" s="29">
        <v>46313.75236111111</v>
      </c>
      <c r="P310" t="s">
        <v>43</v>
      </c>
      <c r="Q310" t="s">
        <v>3006</v>
      </c>
      <c r="R310" t="s">
        <v>1019</v>
      </c>
      <c r="S310">
        <v>4247</v>
      </c>
      <c r="T310" t="s">
        <v>41</v>
      </c>
      <c r="U310" s="29">
        <v>46313.761805555558</v>
      </c>
      <c r="V310" s="29">
        <v>46313.761932870373</v>
      </c>
      <c r="W310" t="s">
        <v>1020</v>
      </c>
      <c r="X310">
        <v>22411</v>
      </c>
      <c r="Z310">
        <v>0</v>
      </c>
      <c r="AA310" s="30">
        <v>0.75416666666666676</v>
      </c>
      <c r="AB310">
        <v>10</v>
      </c>
      <c r="AC310" t="s">
        <v>41</v>
      </c>
    </row>
    <row r="311" spans="1:29">
      <c r="A311" t="s">
        <v>734</v>
      </c>
      <c r="B311" s="29">
        <v>46313.754189814812</v>
      </c>
      <c r="C311">
        <v>2424</v>
      </c>
      <c r="D311" t="s">
        <v>41</v>
      </c>
      <c r="E311">
        <v>9</v>
      </c>
      <c r="F311" t="s">
        <v>41</v>
      </c>
      <c r="G311" t="s">
        <v>41</v>
      </c>
      <c r="H311" t="s">
        <v>1021</v>
      </c>
      <c r="I311" s="29">
        <v>46313.754641203705</v>
      </c>
      <c r="J311" t="s">
        <v>41</v>
      </c>
      <c r="K311" s="29">
        <v>46313.750520833331</v>
      </c>
      <c r="L311">
        <v>39</v>
      </c>
      <c r="O311" s="29">
        <v>46313.750173611108</v>
      </c>
      <c r="P311" t="s">
        <v>43</v>
      </c>
      <c r="Q311" t="s">
        <v>736</v>
      </c>
      <c r="R311" t="s">
        <v>1022</v>
      </c>
      <c r="S311">
        <v>4247</v>
      </c>
      <c r="T311" t="s">
        <v>41</v>
      </c>
      <c r="U311" s="29">
        <v>46313.761412037034</v>
      </c>
      <c r="V311" s="29">
        <v>46313.760729166665</v>
      </c>
      <c r="W311" t="s">
        <v>1023</v>
      </c>
      <c r="X311">
        <v>22411</v>
      </c>
      <c r="Z311">
        <v>0</v>
      </c>
      <c r="AA311" s="30">
        <v>0.75416666666666676</v>
      </c>
      <c r="AB311">
        <v>9</v>
      </c>
      <c r="AC311" t="s">
        <v>41</v>
      </c>
    </row>
    <row r="312" spans="1:29">
      <c r="A312" t="s">
        <v>347</v>
      </c>
      <c r="B312" s="29">
        <v>46313.753657407404</v>
      </c>
      <c r="C312">
        <v>1257</v>
      </c>
      <c r="D312" t="s">
        <v>41</v>
      </c>
      <c r="E312">
        <v>5</v>
      </c>
      <c r="F312" t="s">
        <v>41</v>
      </c>
      <c r="G312" t="s">
        <v>41</v>
      </c>
      <c r="H312" t="s">
        <v>1024</v>
      </c>
      <c r="I312" s="29">
        <v>46313.753888888888</v>
      </c>
      <c r="J312" t="s">
        <v>41</v>
      </c>
      <c r="K312" s="29">
        <v>46313.750023148146</v>
      </c>
      <c r="L312">
        <v>21</v>
      </c>
      <c r="O312" s="29">
        <v>46313.749212962961</v>
      </c>
      <c r="P312" t="s">
        <v>43</v>
      </c>
      <c r="Q312" t="s">
        <v>349</v>
      </c>
      <c r="R312" t="s">
        <v>1025</v>
      </c>
      <c r="S312">
        <v>4247</v>
      </c>
      <c r="T312" t="s">
        <v>41</v>
      </c>
      <c r="U312" s="29">
        <v>46313.758460648147</v>
      </c>
      <c r="V312" s="29">
        <v>46313.757118055553</v>
      </c>
      <c r="W312" t="s">
        <v>1026</v>
      </c>
      <c r="X312">
        <v>22411</v>
      </c>
      <c r="Z312">
        <v>0</v>
      </c>
      <c r="AA312" s="30">
        <v>0.75347222222222221</v>
      </c>
      <c r="AB312">
        <v>5</v>
      </c>
      <c r="AC312" t="s">
        <v>41</v>
      </c>
    </row>
    <row r="313" spans="1:29">
      <c r="A313" t="s">
        <v>177</v>
      </c>
      <c r="B313" s="29">
        <v>46313.753576388888</v>
      </c>
      <c r="C313">
        <v>998</v>
      </c>
      <c r="D313" t="s">
        <v>41</v>
      </c>
      <c r="E313">
        <v>4</v>
      </c>
      <c r="F313" t="s">
        <v>41</v>
      </c>
      <c r="G313" t="s">
        <v>41</v>
      </c>
      <c r="H313" t="s">
        <v>1027</v>
      </c>
      <c r="I313" s="29">
        <v>46313.754004629627</v>
      </c>
      <c r="J313" t="s">
        <v>41</v>
      </c>
      <c r="K313" s="29">
        <v>46313.748252314814</v>
      </c>
      <c r="L313">
        <v>37</v>
      </c>
      <c r="O313" s="29">
        <v>46313.747673611113</v>
      </c>
      <c r="P313" t="s">
        <v>43</v>
      </c>
      <c r="Q313" t="s">
        <v>179</v>
      </c>
      <c r="R313" t="s">
        <v>1028</v>
      </c>
      <c r="S313">
        <v>4247</v>
      </c>
      <c r="T313" t="s">
        <v>41</v>
      </c>
      <c r="U313" s="29">
        <v>46313.757187499999</v>
      </c>
      <c r="V313" s="29">
        <v>46313.756597222222</v>
      </c>
      <c r="W313" t="s">
        <v>1029</v>
      </c>
      <c r="X313">
        <v>22411</v>
      </c>
      <c r="Z313">
        <v>0</v>
      </c>
      <c r="AA313" s="30">
        <v>0.75347222222222221</v>
      </c>
      <c r="AB313">
        <v>4</v>
      </c>
      <c r="AC313" t="s">
        <v>41</v>
      </c>
    </row>
    <row r="314" spans="1:29">
      <c r="A314" t="s">
        <v>339</v>
      </c>
      <c r="B314" s="29">
        <v>46313.753009259257</v>
      </c>
      <c r="C314">
        <v>2159</v>
      </c>
      <c r="D314" t="s">
        <v>41</v>
      </c>
      <c r="E314">
        <v>6</v>
      </c>
      <c r="F314" t="s">
        <v>41</v>
      </c>
      <c r="G314" t="s">
        <v>41</v>
      </c>
      <c r="H314" t="s">
        <v>1030</v>
      </c>
      <c r="I314" s="29">
        <v>46313.753495370373</v>
      </c>
      <c r="J314" t="s">
        <v>41</v>
      </c>
      <c r="K314" s="29">
        <v>46313.748252314814</v>
      </c>
      <c r="L314">
        <v>43</v>
      </c>
      <c r="O314" s="29">
        <v>46313.747314814813</v>
      </c>
      <c r="P314" t="s">
        <v>43</v>
      </c>
      <c r="Q314" t="s">
        <v>341</v>
      </c>
      <c r="R314" t="s">
        <v>1031</v>
      </c>
      <c r="S314">
        <v>4247</v>
      </c>
      <c r="T314" t="s">
        <v>41</v>
      </c>
      <c r="U314" s="29">
        <v>46313.75880787037</v>
      </c>
      <c r="V314" s="29">
        <v>46313.757233796299</v>
      </c>
      <c r="W314" t="s">
        <v>1032</v>
      </c>
      <c r="X314">
        <v>22411</v>
      </c>
      <c r="Z314">
        <v>0</v>
      </c>
      <c r="AA314" s="30">
        <v>0.75277777777777777</v>
      </c>
      <c r="AB314">
        <v>5</v>
      </c>
      <c r="AC314" t="s">
        <v>41</v>
      </c>
    </row>
    <row r="315" spans="1:29">
      <c r="A315" t="s">
        <v>198</v>
      </c>
      <c r="B315" s="29">
        <v>46313.75271990741</v>
      </c>
      <c r="C315">
        <v>1486</v>
      </c>
      <c r="D315" t="s">
        <v>41</v>
      </c>
      <c r="E315">
        <v>5</v>
      </c>
      <c r="F315" t="s">
        <v>41</v>
      </c>
      <c r="G315" t="s">
        <v>41</v>
      </c>
      <c r="H315" t="s">
        <v>1033</v>
      </c>
      <c r="I315" s="29">
        <v>46313.75304398148</v>
      </c>
      <c r="J315" t="s">
        <v>41</v>
      </c>
      <c r="K315" s="29">
        <v>46313.747557870367</v>
      </c>
      <c r="L315">
        <v>28</v>
      </c>
      <c r="O315" s="29">
        <v>46313.746377314812</v>
      </c>
      <c r="P315" t="s">
        <v>43</v>
      </c>
      <c r="Q315" t="s">
        <v>3008</v>
      </c>
      <c r="R315" t="s">
        <v>1034</v>
      </c>
      <c r="S315">
        <v>4247</v>
      </c>
      <c r="T315" t="s">
        <v>41</v>
      </c>
      <c r="U315" s="29">
        <v>46313.757361111115</v>
      </c>
      <c r="V315" s="29">
        <v>46313.756064814814</v>
      </c>
      <c r="W315" t="s">
        <v>1035</v>
      </c>
      <c r="X315">
        <v>22411</v>
      </c>
      <c r="Z315">
        <v>0</v>
      </c>
      <c r="AA315" s="30">
        <v>0.75208333333333333</v>
      </c>
      <c r="AB315">
        <v>4</v>
      </c>
      <c r="AC315" t="s">
        <v>41</v>
      </c>
    </row>
    <row r="316" spans="1:29">
      <c r="A316" t="s">
        <v>62</v>
      </c>
      <c r="B316" s="29">
        <v>46313.750335648147</v>
      </c>
      <c r="C316">
        <v>152</v>
      </c>
      <c r="D316" t="s">
        <v>41</v>
      </c>
      <c r="E316">
        <v>1</v>
      </c>
      <c r="F316" t="s">
        <v>41</v>
      </c>
      <c r="G316" t="s">
        <v>41</v>
      </c>
      <c r="H316" t="s">
        <v>1036</v>
      </c>
      <c r="I316" s="29">
        <v>46313.750833333332</v>
      </c>
      <c r="J316" t="s">
        <v>41</v>
      </c>
      <c r="K316" s="29">
        <v>46313.750081018516</v>
      </c>
      <c r="L316">
        <v>43</v>
      </c>
      <c r="O316" s="29">
        <v>46313.746134259258</v>
      </c>
      <c r="P316" t="s">
        <v>43</v>
      </c>
      <c r="Q316" t="s">
        <v>64</v>
      </c>
      <c r="R316" t="s">
        <v>1037</v>
      </c>
      <c r="S316">
        <v>4247</v>
      </c>
      <c r="T316" t="s">
        <v>41</v>
      </c>
      <c r="U316" s="29">
        <v>46313.751828703702</v>
      </c>
      <c r="V316" s="29">
        <v>46313.750844907408</v>
      </c>
      <c r="W316" t="s">
        <v>1038</v>
      </c>
      <c r="X316">
        <v>22411</v>
      </c>
      <c r="Z316">
        <v>0</v>
      </c>
      <c r="AA316" s="30">
        <v>0.75</v>
      </c>
      <c r="AB316">
        <v>0</v>
      </c>
      <c r="AC316" t="s">
        <v>41</v>
      </c>
    </row>
    <row r="317" spans="1:29">
      <c r="A317" t="s">
        <v>209</v>
      </c>
      <c r="B317" s="29">
        <v>46313.750335648147</v>
      </c>
      <c r="C317">
        <v>1423</v>
      </c>
      <c r="D317" t="s">
        <v>41</v>
      </c>
      <c r="E317">
        <v>5</v>
      </c>
      <c r="F317" t="s">
        <v>41</v>
      </c>
      <c r="G317" t="s">
        <v>41</v>
      </c>
      <c r="H317" t="s">
        <v>1039</v>
      </c>
      <c r="I317" s="29">
        <v>46313.750868055555</v>
      </c>
      <c r="J317" t="s">
        <v>41</v>
      </c>
      <c r="K317" s="29">
        <v>46313.746550925927</v>
      </c>
      <c r="L317">
        <v>46</v>
      </c>
      <c r="O317" s="29">
        <v>46313.745381944442</v>
      </c>
      <c r="P317" t="s">
        <v>43</v>
      </c>
      <c r="Q317" t="s">
        <v>211</v>
      </c>
      <c r="R317" t="s">
        <v>1040</v>
      </c>
      <c r="S317">
        <v>4247</v>
      </c>
      <c r="T317" t="s">
        <v>41</v>
      </c>
      <c r="U317" s="29">
        <v>46313.754629629628</v>
      </c>
      <c r="V317" s="29">
        <v>46313.753750000003</v>
      </c>
      <c r="W317" t="s">
        <v>1041</v>
      </c>
      <c r="X317">
        <v>22411</v>
      </c>
      <c r="Z317">
        <v>0</v>
      </c>
      <c r="AA317" s="30">
        <v>0.75</v>
      </c>
      <c r="AB317">
        <v>4</v>
      </c>
      <c r="AC317" t="s">
        <v>41</v>
      </c>
    </row>
    <row r="318" spans="1:29">
      <c r="A318" t="s">
        <v>379</v>
      </c>
      <c r="B318" s="29">
        <v>46313.749386574076</v>
      </c>
      <c r="C318">
        <v>1632</v>
      </c>
      <c r="D318" t="s">
        <v>41</v>
      </c>
      <c r="E318">
        <v>5</v>
      </c>
      <c r="F318" t="s">
        <v>41</v>
      </c>
      <c r="G318" t="s">
        <v>41</v>
      </c>
      <c r="H318" t="s">
        <v>1042</v>
      </c>
      <c r="I318" s="29">
        <v>46313.749664351853</v>
      </c>
      <c r="J318" t="s">
        <v>41</v>
      </c>
      <c r="K318" s="29">
        <v>46313.746215277781</v>
      </c>
      <c r="L318">
        <v>24</v>
      </c>
      <c r="O318" s="29">
        <v>46313.743668981479</v>
      </c>
      <c r="P318" t="s">
        <v>43</v>
      </c>
      <c r="Q318" t="s">
        <v>381</v>
      </c>
      <c r="R318" t="s">
        <v>1043</v>
      </c>
      <c r="S318">
        <v>4247</v>
      </c>
      <c r="T318" t="s">
        <v>41</v>
      </c>
      <c r="U318" s="29">
        <v>46313.754849537036</v>
      </c>
      <c r="V318" s="29">
        <v>46313.753009259257</v>
      </c>
      <c r="W318" t="s">
        <v>1044</v>
      </c>
      <c r="X318">
        <v>22411</v>
      </c>
      <c r="Z318">
        <v>0</v>
      </c>
      <c r="AA318" s="30">
        <v>0.74930555555555556</v>
      </c>
      <c r="AB318">
        <v>5</v>
      </c>
      <c r="AC318" t="s">
        <v>41</v>
      </c>
    </row>
    <row r="319" spans="1:29">
      <c r="A319" t="s">
        <v>98</v>
      </c>
      <c r="B319" s="29">
        <v>46313.748842592591</v>
      </c>
      <c r="C319">
        <v>1410</v>
      </c>
      <c r="D319" t="s">
        <v>41</v>
      </c>
      <c r="E319">
        <v>4</v>
      </c>
      <c r="F319" t="s">
        <v>41</v>
      </c>
      <c r="G319" t="s">
        <v>41</v>
      </c>
      <c r="H319" t="s">
        <v>1045</v>
      </c>
      <c r="I319" s="29">
        <v>46313.749155092592</v>
      </c>
      <c r="J319" t="s">
        <v>41</v>
      </c>
      <c r="K319" s="29">
        <v>46313.744317129633</v>
      </c>
      <c r="L319">
        <v>27</v>
      </c>
      <c r="O319" s="29">
        <v>46313.742905092593</v>
      </c>
      <c r="P319" t="s">
        <v>43</v>
      </c>
      <c r="Q319" t="s">
        <v>3005</v>
      </c>
      <c r="R319" t="s">
        <v>1046</v>
      </c>
      <c r="S319">
        <v>4247</v>
      </c>
      <c r="T319" t="s">
        <v>41</v>
      </c>
      <c r="U319" s="29">
        <v>46313.753541666665</v>
      </c>
      <c r="V319" s="29">
        <v>46313.751284722224</v>
      </c>
      <c r="W319" t="s">
        <v>1047</v>
      </c>
      <c r="X319">
        <v>22411</v>
      </c>
      <c r="Z319">
        <v>0</v>
      </c>
      <c r="AA319" s="30">
        <v>0.74861111111111101</v>
      </c>
      <c r="AB319">
        <v>3</v>
      </c>
      <c r="AC319" t="s">
        <v>41</v>
      </c>
    </row>
    <row r="320" spans="1:29">
      <c r="A320" t="s">
        <v>655</v>
      </c>
      <c r="B320" s="29">
        <v>46313.747037037036</v>
      </c>
      <c r="C320">
        <v>1791</v>
      </c>
      <c r="D320" t="s">
        <v>41</v>
      </c>
      <c r="E320">
        <v>6</v>
      </c>
      <c r="F320" t="s">
        <v>41</v>
      </c>
      <c r="G320" t="s">
        <v>41</v>
      </c>
      <c r="H320" t="s">
        <v>1048</v>
      </c>
      <c r="I320" s="29">
        <v>46313.747418981482</v>
      </c>
      <c r="J320" t="s">
        <v>41</v>
      </c>
      <c r="K320" s="29">
        <v>46313.745034722226</v>
      </c>
      <c r="L320">
        <v>33</v>
      </c>
      <c r="O320" s="29">
        <v>46313.742789351854</v>
      </c>
      <c r="P320" t="s">
        <v>43</v>
      </c>
      <c r="Q320" t="s">
        <v>657</v>
      </c>
      <c r="R320" t="s">
        <v>1049</v>
      </c>
      <c r="S320">
        <v>4247</v>
      </c>
      <c r="T320" t="s">
        <v>41</v>
      </c>
      <c r="U320" s="29">
        <v>46313.752534722225</v>
      </c>
      <c r="V320" s="29">
        <v>46313.751087962963</v>
      </c>
      <c r="W320" t="s">
        <v>1050</v>
      </c>
      <c r="X320">
        <v>22411</v>
      </c>
      <c r="Z320">
        <v>0</v>
      </c>
      <c r="AA320" s="30">
        <v>0.74652777777777779</v>
      </c>
      <c r="AB320">
        <v>5</v>
      </c>
      <c r="AC320" t="s">
        <v>41</v>
      </c>
    </row>
    <row r="321" spans="1:29">
      <c r="A321" t="s">
        <v>57</v>
      </c>
      <c r="B321" s="29">
        <v>46313.746006944442</v>
      </c>
      <c r="C321">
        <v>1613</v>
      </c>
      <c r="D321" t="s">
        <v>41</v>
      </c>
      <c r="E321">
        <v>6</v>
      </c>
      <c r="F321" t="s">
        <v>41</v>
      </c>
      <c r="G321" t="s">
        <v>41</v>
      </c>
      <c r="H321" t="s">
        <v>1051</v>
      </c>
      <c r="I321" s="29">
        <v>46313.746168981481</v>
      </c>
      <c r="J321" t="s">
        <v>41</v>
      </c>
      <c r="K321" s="29">
        <v>46313.743657407409</v>
      </c>
      <c r="L321">
        <v>14</v>
      </c>
      <c r="O321" s="29">
        <v>46313.742743055554</v>
      </c>
      <c r="P321" t="s">
        <v>43</v>
      </c>
      <c r="Q321" t="s">
        <v>59</v>
      </c>
      <c r="R321" t="s">
        <v>1052</v>
      </c>
      <c r="S321">
        <v>4247</v>
      </c>
      <c r="T321" t="s">
        <v>41</v>
      </c>
      <c r="U321" s="29">
        <v>46313.751701388886</v>
      </c>
      <c r="V321" s="29">
        <v>46313.749826388892</v>
      </c>
      <c r="W321" t="s">
        <v>1053</v>
      </c>
      <c r="X321">
        <v>22411</v>
      </c>
      <c r="Z321">
        <v>0</v>
      </c>
      <c r="AA321" s="30">
        <v>0.74583333333333324</v>
      </c>
      <c r="AB321">
        <v>5</v>
      </c>
      <c r="AC321" t="s">
        <v>41</v>
      </c>
    </row>
    <row r="322" spans="1:29">
      <c r="A322" t="s">
        <v>198</v>
      </c>
      <c r="B322" s="29">
        <v>46313.745787037034</v>
      </c>
      <c r="C322">
        <v>1233</v>
      </c>
      <c r="D322" t="s">
        <v>41</v>
      </c>
      <c r="E322">
        <v>4</v>
      </c>
      <c r="F322" t="s">
        <v>41</v>
      </c>
      <c r="G322" t="s">
        <v>41</v>
      </c>
      <c r="H322" t="s">
        <v>1054</v>
      </c>
      <c r="I322" s="29">
        <v>46313.746111111112</v>
      </c>
      <c r="J322" t="s">
        <v>41</v>
      </c>
      <c r="K322" s="29">
        <v>46313.743993055556</v>
      </c>
      <c r="L322">
        <v>29</v>
      </c>
      <c r="O322" s="29">
        <v>46313.742708333331</v>
      </c>
      <c r="P322" t="s">
        <v>43</v>
      </c>
      <c r="Q322" t="s">
        <v>3008</v>
      </c>
      <c r="R322" t="s">
        <v>1055</v>
      </c>
      <c r="S322">
        <v>4247</v>
      </c>
      <c r="T322" t="s">
        <v>41</v>
      </c>
      <c r="U322" s="29">
        <v>46313.75072916667</v>
      </c>
      <c r="V322" s="29">
        <v>46313.748425925929</v>
      </c>
      <c r="W322" t="s">
        <v>1056</v>
      </c>
      <c r="X322">
        <v>22411</v>
      </c>
      <c r="Z322">
        <v>0</v>
      </c>
      <c r="AA322" s="30">
        <v>0.74513888888888891</v>
      </c>
      <c r="AB322">
        <v>3</v>
      </c>
      <c r="AC322" t="s">
        <v>41</v>
      </c>
    </row>
    <row r="323" spans="1:29">
      <c r="A323" t="s">
        <v>303</v>
      </c>
      <c r="B323" s="29">
        <v>46313.745462962965</v>
      </c>
      <c r="C323">
        <v>2153</v>
      </c>
      <c r="D323" t="s">
        <v>41</v>
      </c>
      <c r="E323">
        <v>9</v>
      </c>
      <c r="F323" t="s">
        <v>41</v>
      </c>
      <c r="G323" t="s">
        <v>41</v>
      </c>
      <c r="H323" t="s">
        <v>1057</v>
      </c>
      <c r="I323" s="29">
        <v>46313.745740740742</v>
      </c>
      <c r="J323" t="s">
        <v>41</v>
      </c>
      <c r="K323" s="29">
        <v>46313.743449074071</v>
      </c>
      <c r="L323">
        <v>24</v>
      </c>
      <c r="O323" s="29">
        <v>46313.742696759262</v>
      </c>
      <c r="P323" t="s">
        <v>43</v>
      </c>
      <c r="Q323" t="s">
        <v>305</v>
      </c>
      <c r="R323" t="s">
        <v>1058</v>
      </c>
      <c r="S323">
        <v>4247</v>
      </c>
      <c r="T323" t="s">
        <v>41</v>
      </c>
      <c r="U323" s="29">
        <v>46313.751770833333</v>
      </c>
      <c r="V323" s="29">
        <v>46313.751435185186</v>
      </c>
      <c r="W323" t="s">
        <v>1059</v>
      </c>
      <c r="X323">
        <v>22411</v>
      </c>
      <c r="Z323">
        <v>0</v>
      </c>
      <c r="AA323" s="30">
        <v>0.74513888888888891</v>
      </c>
      <c r="AB323">
        <v>8</v>
      </c>
      <c r="AC323" t="s">
        <v>41</v>
      </c>
    </row>
    <row r="324" spans="1:29">
      <c r="A324" t="s">
        <v>77</v>
      </c>
      <c r="B324" s="29">
        <v>46313.744849537034</v>
      </c>
      <c r="C324">
        <v>1785</v>
      </c>
      <c r="D324" t="s">
        <v>41</v>
      </c>
      <c r="E324">
        <v>4</v>
      </c>
      <c r="F324" t="s">
        <v>41</v>
      </c>
      <c r="G324" t="s">
        <v>41</v>
      </c>
      <c r="H324" t="s">
        <v>1048</v>
      </c>
      <c r="I324" s="29">
        <v>46313.745196759257</v>
      </c>
      <c r="J324" t="s">
        <v>41</v>
      </c>
      <c r="K324" s="29">
        <v>46313.743831018517</v>
      </c>
      <c r="L324">
        <v>30</v>
      </c>
      <c r="O324" s="29">
        <v>46313.742615740739</v>
      </c>
      <c r="P324" t="s">
        <v>43</v>
      </c>
      <c r="Q324" t="s">
        <v>79</v>
      </c>
      <c r="R324" t="s">
        <v>1060</v>
      </c>
      <c r="S324">
        <v>4247</v>
      </c>
      <c r="T324" t="s">
        <v>41</v>
      </c>
      <c r="U324" s="29">
        <v>46313.749722222223</v>
      </c>
      <c r="V324" s="29">
        <v>46313.747476851851</v>
      </c>
      <c r="W324" t="s">
        <v>1061</v>
      </c>
      <c r="X324">
        <v>22411</v>
      </c>
      <c r="Z324">
        <v>0</v>
      </c>
      <c r="AA324" s="30">
        <v>0.74444444444444446</v>
      </c>
      <c r="AB324">
        <v>3</v>
      </c>
      <c r="AC324" t="s">
        <v>41</v>
      </c>
    </row>
    <row r="325" spans="1:29">
      <c r="A325" t="s">
        <v>347</v>
      </c>
      <c r="B325" s="29">
        <v>46313.744675925926</v>
      </c>
      <c r="C325">
        <v>1338</v>
      </c>
      <c r="D325" t="s">
        <v>41</v>
      </c>
      <c r="E325">
        <v>5</v>
      </c>
      <c r="F325" t="s">
        <v>41</v>
      </c>
      <c r="G325" t="s">
        <v>41</v>
      </c>
      <c r="H325" t="s">
        <v>1062</v>
      </c>
      <c r="I325" s="29">
        <v>46313.74491898148</v>
      </c>
      <c r="J325" t="s">
        <v>41</v>
      </c>
      <c r="K325" s="29">
        <v>46313.743206018517</v>
      </c>
      <c r="L325">
        <v>21</v>
      </c>
      <c r="O325" s="29">
        <v>46313.74255787037</v>
      </c>
      <c r="P325" t="s">
        <v>43</v>
      </c>
      <c r="Q325" t="s">
        <v>349</v>
      </c>
      <c r="R325" t="s">
        <v>1063</v>
      </c>
      <c r="S325">
        <v>4247</v>
      </c>
      <c r="T325" t="s">
        <v>41</v>
      </c>
      <c r="U325" s="29">
        <v>46313.749143518522</v>
      </c>
      <c r="V325" s="29">
        <v>46313.747893518521</v>
      </c>
      <c r="W325" t="s">
        <v>1064</v>
      </c>
      <c r="X325">
        <v>22411</v>
      </c>
      <c r="Z325">
        <v>0</v>
      </c>
      <c r="AA325" s="30">
        <v>0.74444444444444446</v>
      </c>
      <c r="AB325">
        <v>4</v>
      </c>
      <c r="AC325" t="s">
        <v>41</v>
      </c>
    </row>
    <row r="326" spans="1:29">
      <c r="A326" t="s">
        <v>52</v>
      </c>
      <c r="B326" s="29">
        <v>46313.743842592594</v>
      </c>
      <c r="C326">
        <v>3788</v>
      </c>
      <c r="D326" t="s">
        <v>41</v>
      </c>
      <c r="E326">
        <v>9</v>
      </c>
      <c r="F326" t="s">
        <v>41</v>
      </c>
      <c r="G326" t="s">
        <v>41</v>
      </c>
      <c r="H326" t="s">
        <v>1065</v>
      </c>
      <c r="I326" s="29">
        <v>46313.744166666664</v>
      </c>
      <c r="J326" t="s">
        <v>41</v>
      </c>
      <c r="K326" s="29">
        <v>46313.742893518516</v>
      </c>
      <c r="L326">
        <v>29</v>
      </c>
      <c r="O326" s="29">
        <v>46313.741990740738</v>
      </c>
      <c r="P326" t="s">
        <v>43</v>
      </c>
      <c r="Q326" t="s">
        <v>54</v>
      </c>
      <c r="R326" t="s">
        <v>1066</v>
      </c>
      <c r="S326">
        <v>4247</v>
      </c>
      <c r="T326" t="s">
        <v>41</v>
      </c>
      <c r="U326" s="29">
        <v>46313.753298611111</v>
      </c>
      <c r="V326" s="29">
        <v>46313.750138888892</v>
      </c>
      <c r="W326" t="s">
        <v>1067</v>
      </c>
      <c r="X326">
        <v>22411</v>
      </c>
      <c r="Z326">
        <v>0</v>
      </c>
      <c r="AA326" s="30">
        <v>0.74375000000000002</v>
      </c>
      <c r="AB326">
        <v>9</v>
      </c>
      <c r="AC326" t="s">
        <v>41</v>
      </c>
    </row>
    <row r="327" spans="1:29">
      <c r="A327" t="s">
        <v>125</v>
      </c>
      <c r="B327" s="29">
        <v>46313.742650462962</v>
      </c>
      <c r="C327">
        <v>1600</v>
      </c>
      <c r="D327" t="s">
        <v>41</v>
      </c>
      <c r="E327">
        <v>7</v>
      </c>
      <c r="F327" t="s">
        <v>41</v>
      </c>
      <c r="G327" t="s">
        <v>41</v>
      </c>
      <c r="H327" t="s">
        <v>1068</v>
      </c>
      <c r="I327" s="29">
        <v>46313.74287037037</v>
      </c>
      <c r="J327" t="s">
        <v>41</v>
      </c>
      <c r="K327" s="29">
        <v>46313.740798611114</v>
      </c>
      <c r="L327">
        <v>19</v>
      </c>
      <c r="O327" s="29">
        <v>46313.740243055552</v>
      </c>
      <c r="P327" t="s">
        <v>43</v>
      </c>
      <c r="Q327" t="s">
        <v>3006</v>
      </c>
      <c r="R327" t="s">
        <v>1069</v>
      </c>
      <c r="S327">
        <v>4247</v>
      </c>
      <c r="T327" t="s">
        <v>41</v>
      </c>
      <c r="U327" s="29">
        <v>46313.747743055559</v>
      </c>
      <c r="V327" s="29">
        <v>46313.747430555559</v>
      </c>
      <c r="W327" t="s">
        <v>1070</v>
      </c>
      <c r="X327">
        <v>22411</v>
      </c>
      <c r="Z327">
        <v>0</v>
      </c>
      <c r="AA327" s="30">
        <v>0.74236111111111114</v>
      </c>
      <c r="AB327">
        <v>7</v>
      </c>
      <c r="AC327" t="s">
        <v>41</v>
      </c>
    </row>
    <row r="328" spans="1:29">
      <c r="A328" t="s">
        <v>72</v>
      </c>
      <c r="B328" s="29">
        <v>46313.742395833331</v>
      </c>
      <c r="C328">
        <v>1233</v>
      </c>
      <c r="D328" t="s">
        <v>41</v>
      </c>
      <c r="E328">
        <v>8</v>
      </c>
      <c r="F328" t="s">
        <v>41</v>
      </c>
      <c r="G328" t="s">
        <v>41</v>
      </c>
      <c r="H328" t="s">
        <v>1071</v>
      </c>
      <c r="I328" s="29">
        <v>46313.742662037039</v>
      </c>
      <c r="J328" t="s">
        <v>41</v>
      </c>
      <c r="K328" s="29">
        <v>46313.742060185185</v>
      </c>
      <c r="L328">
        <v>23</v>
      </c>
      <c r="O328" s="29">
        <v>46313.739629629628</v>
      </c>
      <c r="P328" t="s">
        <v>43</v>
      </c>
      <c r="Q328" t="s">
        <v>74</v>
      </c>
      <c r="R328" t="s">
        <v>1072</v>
      </c>
      <c r="S328">
        <v>4247</v>
      </c>
      <c r="T328" t="s">
        <v>41</v>
      </c>
      <c r="U328" s="29">
        <v>46313.747291666667</v>
      </c>
      <c r="V328" s="29">
        <v>46313.747615740744</v>
      </c>
      <c r="W328" t="s">
        <v>1073</v>
      </c>
      <c r="X328">
        <v>22411</v>
      </c>
      <c r="Z328">
        <v>0</v>
      </c>
      <c r="AA328" s="30">
        <v>0.74236111111111114</v>
      </c>
      <c r="AB328">
        <v>7</v>
      </c>
      <c r="AC328" t="s">
        <v>41</v>
      </c>
    </row>
    <row r="329" spans="1:29">
      <c r="A329" t="s">
        <v>734</v>
      </c>
      <c r="B329" s="29">
        <v>46313.740902777776</v>
      </c>
      <c r="C329">
        <v>2062</v>
      </c>
      <c r="D329" t="s">
        <v>41</v>
      </c>
      <c r="E329">
        <v>5</v>
      </c>
      <c r="F329" t="s">
        <v>41</v>
      </c>
      <c r="G329" t="s">
        <v>41</v>
      </c>
      <c r="H329" t="s">
        <v>1074</v>
      </c>
      <c r="I329" s="29">
        <v>46313.741574074076</v>
      </c>
      <c r="J329" t="s">
        <v>41</v>
      </c>
      <c r="K329" s="29">
        <v>46313.741215277776</v>
      </c>
      <c r="L329">
        <v>30</v>
      </c>
      <c r="O329" s="29">
        <v>46313.738680555558</v>
      </c>
      <c r="P329" t="s">
        <v>43</v>
      </c>
      <c r="Q329" t="s">
        <v>736</v>
      </c>
      <c r="R329" t="s">
        <v>1075</v>
      </c>
      <c r="S329">
        <v>4247</v>
      </c>
      <c r="T329" t="s">
        <v>41</v>
      </c>
      <c r="U329" s="29">
        <v>46313.747106481482</v>
      </c>
      <c r="V329" s="29">
        <v>46313.744699074072</v>
      </c>
      <c r="W329" t="s">
        <v>1076</v>
      </c>
      <c r="X329">
        <v>22411</v>
      </c>
      <c r="Z329">
        <v>0</v>
      </c>
      <c r="AA329" s="30">
        <v>0.7402777777777777</v>
      </c>
      <c r="AB329">
        <v>5</v>
      </c>
      <c r="AC329" t="s">
        <v>41</v>
      </c>
    </row>
    <row r="330" spans="1:29">
      <c r="A330" t="s">
        <v>1077</v>
      </c>
      <c r="B330" s="29">
        <v>46313.740520833337</v>
      </c>
      <c r="C330">
        <v>1965</v>
      </c>
      <c r="D330" t="s">
        <v>41</v>
      </c>
      <c r="E330">
        <v>10</v>
      </c>
      <c r="F330" t="s">
        <v>41</v>
      </c>
      <c r="G330" t="s">
        <v>41</v>
      </c>
      <c r="H330" t="s">
        <v>1078</v>
      </c>
      <c r="I330" s="29">
        <v>46313.740740740737</v>
      </c>
      <c r="J330" t="s">
        <v>41</v>
      </c>
      <c r="K330" s="29">
        <v>46313.740127314813</v>
      </c>
      <c r="L330">
        <v>19</v>
      </c>
      <c r="O330" s="29">
        <v>46313.738599537035</v>
      </c>
      <c r="P330" t="s">
        <v>43</v>
      </c>
      <c r="Q330" t="s">
        <v>1079</v>
      </c>
      <c r="R330" t="s">
        <v>1080</v>
      </c>
      <c r="S330">
        <v>4247</v>
      </c>
      <c r="T330" t="s">
        <v>41</v>
      </c>
      <c r="U330" s="29">
        <v>46313.747233796297</v>
      </c>
      <c r="V330" s="29">
        <v>46313.74726851852</v>
      </c>
      <c r="W330" t="s">
        <v>1081</v>
      </c>
      <c r="X330">
        <v>22411</v>
      </c>
      <c r="Z330">
        <v>0</v>
      </c>
      <c r="AA330" s="30">
        <v>0.7402777777777777</v>
      </c>
      <c r="AB330">
        <v>9</v>
      </c>
      <c r="AC330" t="s">
        <v>41</v>
      </c>
    </row>
    <row r="331" spans="1:29">
      <c r="A331" t="s">
        <v>177</v>
      </c>
      <c r="B331" s="29">
        <v>46313.739664351851</v>
      </c>
      <c r="C331">
        <v>2614</v>
      </c>
      <c r="D331" t="s">
        <v>41</v>
      </c>
      <c r="E331">
        <v>8</v>
      </c>
      <c r="F331" t="s">
        <v>41</v>
      </c>
      <c r="G331" t="s">
        <v>41</v>
      </c>
      <c r="H331" t="s">
        <v>1082</v>
      </c>
      <c r="I331" s="29">
        <v>46313.739930555559</v>
      </c>
      <c r="J331" t="s">
        <v>41</v>
      </c>
      <c r="K331" s="29">
        <v>46313.739178240743</v>
      </c>
      <c r="L331">
        <v>23</v>
      </c>
      <c r="O331" s="29">
        <v>46313.738530092596</v>
      </c>
      <c r="P331" t="s">
        <v>43</v>
      </c>
      <c r="Q331" t="s">
        <v>179</v>
      </c>
      <c r="R331" t="s">
        <v>1083</v>
      </c>
      <c r="S331">
        <v>4247</v>
      </c>
      <c r="T331" t="s">
        <v>41</v>
      </c>
      <c r="U331" s="29">
        <v>46313.747071759259</v>
      </c>
      <c r="V331" s="29">
        <v>46313.745138888888</v>
      </c>
      <c r="W331" t="s">
        <v>1084</v>
      </c>
      <c r="X331">
        <v>22411</v>
      </c>
      <c r="Z331">
        <v>0</v>
      </c>
      <c r="AA331" s="30">
        <v>0.73958333333333337</v>
      </c>
      <c r="AB331">
        <v>8</v>
      </c>
      <c r="AC331" t="s">
        <v>41</v>
      </c>
    </row>
    <row r="332" spans="1:29">
      <c r="A332" t="s">
        <v>106</v>
      </c>
      <c r="B332" s="29">
        <v>46313.739212962966</v>
      </c>
      <c r="C332">
        <v>2483</v>
      </c>
      <c r="D332" t="s">
        <v>41</v>
      </c>
      <c r="E332">
        <v>9</v>
      </c>
      <c r="F332" t="s">
        <v>41</v>
      </c>
      <c r="G332" t="s">
        <v>41</v>
      </c>
      <c r="H332" t="s">
        <v>1085</v>
      </c>
      <c r="I332" s="29">
        <v>46313.739583333336</v>
      </c>
      <c r="J332" t="s">
        <v>41</v>
      </c>
      <c r="K332" s="29">
        <v>46313.73878472222</v>
      </c>
      <c r="L332">
        <v>32</v>
      </c>
      <c r="O332" s="29">
        <v>46313.736875000002</v>
      </c>
      <c r="P332" t="s">
        <v>43</v>
      </c>
      <c r="Q332" t="s">
        <v>108</v>
      </c>
      <c r="R332" t="s">
        <v>1086</v>
      </c>
      <c r="S332">
        <v>4247</v>
      </c>
      <c r="T332" t="s">
        <v>41</v>
      </c>
      <c r="U332" s="29">
        <v>46313.745509259257</v>
      </c>
      <c r="V332" s="29">
        <v>46313.745706018519</v>
      </c>
      <c r="W332" t="s">
        <v>1087</v>
      </c>
      <c r="X332">
        <v>22411</v>
      </c>
      <c r="Z332">
        <v>0</v>
      </c>
      <c r="AA332" s="30">
        <v>0.73888888888888893</v>
      </c>
      <c r="AB332">
        <v>9</v>
      </c>
      <c r="AC332" t="s">
        <v>41</v>
      </c>
    </row>
    <row r="333" spans="1:29">
      <c r="A333" t="s">
        <v>339</v>
      </c>
      <c r="B333" s="29">
        <v>46313.738877314812</v>
      </c>
      <c r="C333">
        <v>2177</v>
      </c>
      <c r="D333" t="s">
        <v>41</v>
      </c>
      <c r="E333">
        <v>9</v>
      </c>
      <c r="F333" t="s">
        <v>41</v>
      </c>
      <c r="G333" t="s">
        <v>41</v>
      </c>
      <c r="H333" t="s">
        <v>1088</v>
      </c>
      <c r="I333" s="29">
        <v>46313.739085648151</v>
      </c>
      <c r="J333" t="s">
        <v>41</v>
      </c>
      <c r="K333" s="29">
        <v>46313.737685185188</v>
      </c>
      <c r="L333">
        <v>18</v>
      </c>
      <c r="O333" s="29">
        <v>46313.736875000002</v>
      </c>
      <c r="P333" t="s">
        <v>43</v>
      </c>
      <c r="Q333" t="s">
        <v>341</v>
      </c>
      <c r="R333" t="s">
        <v>1089</v>
      </c>
      <c r="S333">
        <v>4247</v>
      </c>
      <c r="T333" t="s">
        <v>41</v>
      </c>
      <c r="U333" s="29">
        <v>46313.745648148149</v>
      </c>
      <c r="V333" s="29">
        <v>46313.744803240741</v>
      </c>
      <c r="W333" t="s">
        <v>1090</v>
      </c>
      <c r="X333">
        <v>22411</v>
      </c>
      <c r="Z333">
        <v>0</v>
      </c>
      <c r="AA333" s="30">
        <v>0.73819444444444438</v>
      </c>
      <c r="AB333">
        <v>8</v>
      </c>
      <c r="AC333" t="s">
        <v>41</v>
      </c>
    </row>
    <row r="334" spans="1:29">
      <c r="A334" t="s">
        <v>62</v>
      </c>
      <c r="B334" s="29">
        <v>46313.738958333335</v>
      </c>
      <c r="C334">
        <v>1521</v>
      </c>
      <c r="D334" t="s">
        <v>41</v>
      </c>
      <c r="E334">
        <v>5</v>
      </c>
      <c r="F334" t="s">
        <v>41</v>
      </c>
      <c r="G334" t="s">
        <v>41</v>
      </c>
      <c r="H334" t="s">
        <v>1091</v>
      </c>
      <c r="I334" s="29">
        <v>46313.739421296297</v>
      </c>
      <c r="J334" t="s">
        <v>41</v>
      </c>
      <c r="K334" s="29">
        <v>46313.736597222225</v>
      </c>
      <c r="L334">
        <v>40</v>
      </c>
      <c r="O334" s="29">
        <v>46313.736215277779</v>
      </c>
      <c r="P334" t="s">
        <v>43</v>
      </c>
      <c r="Q334" t="s">
        <v>64</v>
      </c>
      <c r="R334" t="s">
        <v>1092</v>
      </c>
      <c r="S334">
        <v>4247</v>
      </c>
      <c r="T334" t="s">
        <v>41</v>
      </c>
      <c r="U334" s="29">
        <v>46313.744062500002</v>
      </c>
      <c r="V334" s="29">
        <v>46313.742604166669</v>
      </c>
      <c r="W334" t="s">
        <v>1093</v>
      </c>
      <c r="X334">
        <v>22411</v>
      </c>
      <c r="Z334">
        <v>0</v>
      </c>
      <c r="AA334" s="30">
        <v>0.73888888888888893</v>
      </c>
      <c r="AB334">
        <v>5</v>
      </c>
      <c r="AC334" t="s">
        <v>41</v>
      </c>
    </row>
    <row r="335" spans="1:29">
      <c r="A335" t="s">
        <v>655</v>
      </c>
      <c r="B335" s="29">
        <v>46313.73710648148</v>
      </c>
      <c r="C335">
        <v>1596</v>
      </c>
      <c r="D335" t="s">
        <v>41</v>
      </c>
      <c r="E335">
        <v>4</v>
      </c>
      <c r="F335" t="s">
        <v>41</v>
      </c>
      <c r="G335" t="s">
        <v>41</v>
      </c>
      <c r="H335" t="s">
        <v>1094</v>
      </c>
      <c r="I335" s="29">
        <v>46313.737326388888</v>
      </c>
      <c r="J335" t="s">
        <v>41</v>
      </c>
      <c r="K335" s="29">
        <v>46313.734247685185</v>
      </c>
      <c r="L335">
        <v>19</v>
      </c>
      <c r="O335" s="29">
        <v>46313.73333333333</v>
      </c>
      <c r="P335" t="s">
        <v>43</v>
      </c>
      <c r="Q335" t="s">
        <v>657</v>
      </c>
      <c r="R335" t="s">
        <v>1095</v>
      </c>
      <c r="S335">
        <v>4247</v>
      </c>
      <c r="T335" t="s">
        <v>41</v>
      </c>
      <c r="U335" s="29">
        <v>46313.742442129631</v>
      </c>
      <c r="V335" s="29">
        <v>46313.740115740744</v>
      </c>
      <c r="W335" t="s">
        <v>1096</v>
      </c>
      <c r="X335">
        <v>22411</v>
      </c>
      <c r="Z335">
        <v>0</v>
      </c>
      <c r="AA335" s="30">
        <v>0.7368055555555556</v>
      </c>
      <c r="AB335">
        <v>4</v>
      </c>
      <c r="AC335" t="s">
        <v>41</v>
      </c>
    </row>
    <row r="336" spans="1:29">
      <c r="A336" t="s">
        <v>52</v>
      </c>
      <c r="B336" s="29">
        <v>46313.734143518515</v>
      </c>
      <c r="C336">
        <v>1223</v>
      </c>
      <c r="D336" t="s">
        <v>41</v>
      </c>
      <c r="E336">
        <v>5</v>
      </c>
      <c r="F336" t="s">
        <v>41</v>
      </c>
      <c r="G336" t="s">
        <v>41</v>
      </c>
      <c r="H336" t="s">
        <v>1097</v>
      </c>
      <c r="I336" s="29">
        <v>46313.734594907408</v>
      </c>
      <c r="J336" t="s">
        <v>41</v>
      </c>
      <c r="K336" s="29">
        <v>46313.733981481484</v>
      </c>
      <c r="L336">
        <v>39</v>
      </c>
      <c r="O336" s="29">
        <v>46313.733229166668</v>
      </c>
      <c r="P336" t="s">
        <v>43</v>
      </c>
      <c r="Q336" t="s">
        <v>54</v>
      </c>
      <c r="R336" t="s">
        <v>1098</v>
      </c>
      <c r="S336">
        <v>4247</v>
      </c>
      <c r="T336" t="s">
        <v>41</v>
      </c>
      <c r="U336" s="29">
        <v>46313.738900462966</v>
      </c>
      <c r="V336" s="29">
        <v>46313.737696759257</v>
      </c>
      <c r="W336" t="s">
        <v>1099</v>
      </c>
      <c r="X336">
        <v>22411</v>
      </c>
      <c r="Z336">
        <v>0</v>
      </c>
      <c r="AA336" s="30">
        <v>0.73402777777777783</v>
      </c>
      <c r="AB336">
        <v>4</v>
      </c>
      <c r="AC336" t="s">
        <v>41</v>
      </c>
    </row>
    <row r="337" spans="1:29">
      <c r="A337" t="s">
        <v>77</v>
      </c>
      <c r="B337" s="29">
        <v>46313.733807870369</v>
      </c>
      <c r="C337">
        <v>1543</v>
      </c>
      <c r="D337" t="s">
        <v>41</v>
      </c>
      <c r="E337">
        <v>4</v>
      </c>
      <c r="F337" t="s">
        <v>41</v>
      </c>
      <c r="G337" t="s">
        <v>41</v>
      </c>
      <c r="H337" t="s">
        <v>1100</v>
      </c>
      <c r="I337" s="29">
        <v>46313.735335648147</v>
      </c>
      <c r="J337" t="s">
        <v>41</v>
      </c>
      <c r="K337" s="29">
        <v>46313.735069444447</v>
      </c>
      <c r="L337">
        <v>22</v>
      </c>
      <c r="O337" s="29">
        <v>46313.73296296296</v>
      </c>
      <c r="P337" t="s">
        <v>43</v>
      </c>
      <c r="Q337" t="s">
        <v>79</v>
      </c>
      <c r="R337" t="s">
        <v>1101</v>
      </c>
      <c r="S337">
        <v>4247</v>
      </c>
      <c r="T337" t="s">
        <v>41</v>
      </c>
      <c r="U337" s="29">
        <v>46313.739895833336</v>
      </c>
      <c r="V337" s="29">
        <v>46313.737743055557</v>
      </c>
      <c r="W337" t="s">
        <v>1102</v>
      </c>
      <c r="X337">
        <v>22411</v>
      </c>
      <c r="Z337">
        <v>0</v>
      </c>
      <c r="AA337" s="30">
        <v>0.73333333333333339</v>
      </c>
      <c r="AB337">
        <v>3</v>
      </c>
      <c r="AC337" t="s">
        <v>41</v>
      </c>
    </row>
    <row r="338" spans="1:29">
      <c r="A338" t="s">
        <v>198</v>
      </c>
      <c r="B338" s="29">
        <v>46313.733553240738</v>
      </c>
      <c r="C338">
        <v>2135</v>
      </c>
      <c r="D338" t="s">
        <v>41</v>
      </c>
      <c r="E338">
        <v>8</v>
      </c>
      <c r="F338" t="s">
        <v>41</v>
      </c>
      <c r="G338" t="s">
        <v>41</v>
      </c>
      <c r="H338" t="s">
        <v>1103</v>
      </c>
      <c r="I338" s="29">
        <v>46313.733912037038</v>
      </c>
      <c r="J338" t="s">
        <v>41</v>
      </c>
      <c r="K338" s="29">
        <v>46313.732175925928</v>
      </c>
      <c r="L338">
        <v>31</v>
      </c>
      <c r="O338" s="29">
        <v>46313.731342592589</v>
      </c>
      <c r="P338" t="s">
        <v>43</v>
      </c>
      <c r="Q338" t="s">
        <v>3008</v>
      </c>
      <c r="R338" t="s">
        <v>1104</v>
      </c>
      <c r="S338">
        <v>4247</v>
      </c>
      <c r="T338" t="s">
        <v>41</v>
      </c>
      <c r="U338" s="29">
        <v>46313.73951388889</v>
      </c>
      <c r="V338" s="29">
        <v>46313.739305555559</v>
      </c>
      <c r="W338" t="s">
        <v>1105</v>
      </c>
      <c r="X338">
        <v>22411</v>
      </c>
      <c r="Z338">
        <v>0</v>
      </c>
      <c r="AA338" s="30">
        <v>0.73333333333333339</v>
      </c>
      <c r="AB338">
        <v>8</v>
      </c>
      <c r="AC338" t="s">
        <v>41</v>
      </c>
    </row>
    <row r="339" spans="1:29">
      <c r="A339" t="s">
        <v>303</v>
      </c>
      <c r="B339" s="29">
        <v>46313.732881944445</v>
      </c>
      <c r="C339">
        <v>1289</v>
      </c>
      <c r="D339" t="s">
        <v>41</v>
      </c>
      <c r="E339">
        <v>6</v>
      </c>
      <c r="F339" t="s">
        <v>41</v>
      </c>
      <c r="G339" t="s">
        <v>41</v>
      </c>
      <c r="H339" t="s">
        <v>1106</v>
      </c>
      <c r="I339" s="29">
        <v>46313.733078703706</v>
      </c>
      <c r="J339" t="s">
        <v>41</v>
      </c>
      <c r="K339" s="29">
        <v>46313.732314814813</v>
      </c>
      <c r="L339">
        <v>18</v>
      </c>
      <c r="O339" s="29">
        <v>46313.730983796297</v>
      </c>
      <c r="P339" t="s">
        <v>43</v>
      </c>
      <c r="Q339" t="s">
        <v>305</v>
      </c>
      <c r="R339" t="s">
        <v>1107</v>
      </c>
      <c r="S339">
        <v>4247</v>
      </c>
      <c r="T339" t="s">
        <v>41</v>
      </c>
      <c r="U339" s="29">
        <v>46313.737638888888</v>
      </c>
      <c r="V339" s="29">
        <v>46313.736875000002</v>
      </c>
      <c r="W339" t="s">
        <v>1108</v>
      </c>
      <c r="X339">
        <v>22411</v>
      </c>
      <c r="Z339">
        <v>0</v>
      </c>
      <c r="AA339" s="30">
        <v>0.73263888888888884</v>
      </c>
      <c r="AB339">
        <v>5</v>
      </c>
      <c r="AC339" t="s">
        <v>41</v>
      </c>
    </row>
    <row r="340" spans="1:29">
      <c r="A340" t="s">
        <v>347</v>
      </c>
      <c r="B340" s="29">
        <v>46313.73128472222</v>
      </c>
      <c r="C340">
        <v>2798</v>
      </c>
      <c r="D340" t="s">
        <v>41</v>
      </c>
      <c r="E340">
        <v>7</v>
      </c>
      <c r="F340" t="s">
        <v>41</v>
      </c>
      <c r="G340" t="s">
        <v>41</v>
      </c>
      <c r="H340" t="s">
        <v>1109</v>
      </c>
      <c r="I340" s="29">
        <v>46313.731782407405</v>
      </c>
      <c r="J340" t="s">
        <v>41</v>
      </c>
      <c r="K340" s="29">
        <v>46313.731516203705</v>
      </c>
      <c r="L340">
        <v>22</v>
      </c>
      <c r="O340" s="29">
        <v>46313.730937499997</v>
      </c>
      <c r="P340" t="s">
        <v>43</v>
      </c>
      <c r="Q340" t="s">
        <v>349</v>
      </c>
      <c r="R340" t="s">
        <v>1110</v>
      </c>
      <c r="S340">
        <v>4247</v>
      </c>
      <c r="T340" t="s">
        <v>41</v>
      </c>
      <c r="U340" s="29">
        <v>46313.739479166667</v>
      </c>
      <c r="V340" s="29">
        <v>46313.736712962964</v>
      </c>
      <c r="W340" t="s">
        <v>1111</v>
      </c>
      <c r="X340">
        <v>22411</v>
      </c>
      <c r="Z340">
        <v>0</v>
      </c>
      <c r="AA340" s="30">
        <v>0.73125000000000007</v>
      </c>
      <c r="AB340">
        <v>7</v>
      </c>
      <c r="AC340" t="s">
        <v>41</v>
      </c>
    </row>
    <row r="341" spans="1:29">
      <c r="A341" t="s">
        <v>98</v>
      </c>
      <c r="B341" s="29">
        <v>46313.730775462966</v>
      </c>
      <c r="C341">
        <v>3661</v>
      </c>
      <c r="D341" t="s">
        <v>41</v>
      </c>
      <c r="E341">
        <v>10</v>
      </c>
      <c r="F341" t="s">
        <v>41</v>
      </c>
      <c r="G341" t="s">
        <v>41</v>
      </c>
      <c r="H341" t="s">
        <v>1112</v>
      </c>
      <c r="I341" s="29">
        <v>46313.73164351852</v>
      </c>
      <c r="J341" t="s">
        <v>41</v>
      </c>
      <c r="K341" s="29">
        <v>46313.731388888889</v>
      </c>
      <c r="L341">
        <v>21</v>
      </c>
      <c r="O341" s="29">
        <v>46313.730451388888</v>
      </c>
      <c r="P341" t="s">
        <v>43</v>
      </c>
      <c r="Q341" t="s">
        <v>3005</v>
      </c>
      <c r="R341" t="s">
        <v>1113</v>
      </c>
      <c r="S341">
        <v>4247</v>
      </c>
      <c r="T341" t="s">
        <v>41</v>
      </c>
      <c r="U341" s="29">
        <v>46313.740335648145</v>
      </c>
      <c r="V341" s="29">
        <v>46313.738067129627</v>
      </c>
      <c r="W341" t="s">
        <v>1114</v>
      </c>
      <c r="X341">
        <v>22411</v>
      </c>
      <c r="Z341">
        <v>0</v>
      </c>
      <c r="AA341" s="30">
        <v>0.73055555555555562</v>
      </c>
      <c r="AB341">
        <v>9</v>
      </c>
      <c r="AC341" t="s">
        <v>41</v>
      </c>
    </row>
    <row r="342" spans="1:29">
      <c r="A342" t="s">
        <v>177</v>
      </c>
      <c r="B342" s="29">
        <v>46313.730243055557</v>
      </c>
      <c r="C342">
        <v>1254</v>
      </c>
      <c r="D342" t="s">
        <v>41</v>
      </c>
      <c r="E342">
        <v>4</v>
      </c>
      <c r="F342" t="s">
        <v>41</v>
      </c>
      <c r="G342" t="s">
        <v>41</v>
      </c>
      <c r="H342" t="s">
        <v>1115</v>
      </c>
      <c r="I342" s="29">
        <v>46313.731180555558</v>
      </c>
      <c r="J342" t="s">
        <v>41</v>
      </c>
      <c r="K342" s="29">
        <v>46313.730833333335</v>
      </c>
      <c r="L342">
        <v>29</v>
      </c>
      <c r="O342" s="29">
        <v>46313.730104166665</v>
      </c>
      <c r="P342" t="s">
        <v>43</v>
      </c>
      <c r="Q342" t="s">
        <v>179</v>
      </c>
      <c r="R342" t="s">
        <v>1116</v>
      </c>
      <c r="S342">
        <v>4247</v>
      </c>
      <c r="T342" t="s">
        <v>41</v>
      </c>
      <c r="U342" s="29">
        <v>46313.735486111109</v>
      </c>
      <c r="V342" s="29">
        <v>46313.733854166669</v>
      </c>
      <c r="W342" t="s">
        <v>1117</v>
      </c>
      <c r="X342">
        <v>22411</v>
      </c>
      <c r="Z342">
        <v>0</v>
      </c>
      <c r="AA342" s="30">
        <v>0.72986111111111107</v>
      </c>
      <c r="AB342">
        <v>4</v>
      </c>
      <c r="AC342" t="s">
        <v>41</v>
      </c>
    </row>
    <row r="343" spans="1:29">
      <c r="A343" t="s">
        <v>125</v>
      </c>
      <c r="B343" s="29">
        <v>46313.729618055557</v>
      </c>
      <c r="C343">
        <v>1800</v>
      </c>
      <c r="D343" t="s">
        <v>41</v>
      </c>
      <c r="E343">
        <v>8</v>
      </c>
      <c r="F343" t="s">
        <v>41</v>
      </c>
      <c r="G343" t="s">
        <v>41</v>
      </c>
      <c r="H343" t="s">
        <v>1118</v>
      </c>
      <c r="I343" s="29">
        <v>46313.731504629628</v>
      </c>
      <c r="J343" t="s">
        <v>41</v>
      </c>
      <c r="K343" s="29">
        <v>46313.731192129628</v>
      </c>
      <c r="L343">
        <v>26</v>
      </c>
      <c r="O343" s="29">
        <v>46313.729062500002</v>
      </c>
      <c r="P343" t="s">
        <v>43</v>
      </c>
      <c r="Q343" t="s">
        <v>3006</v>
      </c>
      <c r="R343" t="s">
        <v>1119</v>
      </c>
      <c r="S343">
        <v>4247</v>
      </c>
      <c r="T343" t="s">
        <v>41</v>
      </c>
      <c r="U343" s="29">
        <v>46313.735856481479</v>
      </c>
      <c r="V343" s="29">
        <v>46313.73673611111</v>
      </c>
      <c r="W343" t="s">
        <v>1120</v>
      </c>
      <c r="X343">
        <v>22411</v>
      </c>
      <c r="Z343">
        <v>0</v>
      </c>
      <c r="AA343" s="30">
        <v>0.72916666666666663</v>
      </c>
      <c r="AB343">
        <v>8</v>
      </c>
      <c r="AC343" t="s">
        <v>41</v>
      </c>
    </row>
    <row r="344" spans="1:29">
      <c r="A344" t="s">
        <v>734</v>
      </c>
      <c r="B344" s="29">
        <v>46313.729201388887</v>
      </c>
      <c r="C344">
        <v>1600</v>
      </c>
      <c r="D344" t="s">
        <v>41</v>
      </c>
      <c r="E344">
        <v>7</v>
      </c>
      <c r="F344" t="s">
        <v>41</v>
      </c>
      <c r="G344" t="s">
        <v>41</v>
      </c>
      <c r="H344" t="s">
        <v>1121</v>
      </c>
      <c r="I344" s="29">
        <v>46313.729895833334</v>
      </c>
      <c r="J344" t="s">
        <v>41</v>
      </c>
      <c r="K344" s="29">
        <v>46313.729525462964</v>
      </c>
      <c r="L344">
        <v>31</v>
      </c>
      <c r="O344" s="29">
        <v>46313.729027777779</v>
      </c>
      <c r="P344" t="s">
        <v>43</v>
      </c>
      <c r="Q344" t="s">
        <v>736</v>
      </c>
      <c r="R344" t="s">
        <v>1122</v>
      </c>
      <c r="S344">
        <v>4247</v>
      </c>
      <c r="T344" t="s">
        <v>41</v>
      </c>
      <c r="U344" s="29">
        <v>46313.73505787037</v>
      </c>
      <c r="V344" s="29">
        <v>46313.734050925923</v>
      </c>
      <c r="W344" t="s">
        <v>1123</v>
      </c>
      <c r="X344">
        <v>22411</v>
      </c>
      <c r="Z344">
        <v>0</v>
      </c>
      <c r="AA344" s="30">
        <v>0.72916666666666663</v>
      </c>
      <c r="AB344">
        <v>6</v>
      </c>
      <c r="AC344" t="s">
        <v>41</v>
      </c>
    </row>
    <row r="345" spans="1:29">
      <c r="A345" t="s">
        <v>72</v>
      </c>
      <c r="B345" s="29">
        <v>46313.729224537034</v>
      </c>
      <c r="C345">
        <v>719</v>
      </c>
      <c r="D345" t="s">
        <v>41</v>
      </c>
      <c r="E345">
        <v>2</v>
      </c>
      <c r="F345" t="s">
        <v>41</v>
      </c>
      <c r="G345" t="s">
        <v>41</v>
      </c>
      <c r="H345" t="s">
        <v>1124</v>
      </c>
      <c r="I345" s="29">
        <v>46313.730173611111</v>
      </c>
      <c r="J345" t="s">
        <v>41</v>
      </c>
      <c r="K345" s="29">
        <v>46313.729895833334</v>
      </c>
      <c r="L345">
        <v>23</v>
      </c>
      <c r="O345" s="29">
        <v>46313.729004629633</v>
      </c>
      <c r="P345" t="s">
        <v>43</v>
      </c>
      <c r="Q345" t="s">
        <v>74</v>
      </c>
      <c r="R345" t="s">
        <v>1125</v>
      </c>
      <c r="S345">
        <v>4247</v>
      </c>
      <c r="T345" t="s">
        <v>41</v>
      </c>
      <c r="U345" s="29">
        <v>46313.73238425926</v>
      </c>
      <c r="V345" s="29">
        <v>46313.731585648151</v>
      </c>
      <c r="W345" t="s">
        <v>1126</v>
      </c>
      <c r="X345">
        <v>22411</v>
      </c>
      <c r="Z345">
        <v>0</v>
      </c>
      <c r="AA345" s="30">
        <v>0.72916666666666663</v>
      </c>
      <c r="AB345">
        <v>2</v>
      </c>
      <c r="AC345" t="s">
        <v>41</v>
      </c>
    </row>
    <row r="346" spans="1:29">
      <c r="A346" t="s">
        <v>339</v>
      </c>
      <c r="B346" s="29">
        <v>46313.728101851855</v>
      </c>
      <c r="C346">
        <v>1304</v>
      </c>
      <c r="D346" t="s">
        <v>41</v>
      </c>
      <c r="E346">
        <v>5</v>
      </c>
      <c r="F346" t="s">
        <v>41</v>
      </c>
      <c r="G346" t="s">
        <v>41</v>
      </c>
      <c r="H346" t="s">
        <v>1127</v>
      </c>
      <c r="I346" s="29">
        <v>46313.72865740741</v>
      </c>
      <c r="J346" t="s">
        <v>41</v>
      </c>
      <c r="K346" s="29">
        <v>46313.728391203702</v>
      </c>
      <c r="L346">
        <v>22</v>
      </c>
      <c r="O346" s="29">
        <v>46313.727858796294</v>
      </c>
      <c r="P346" t="s">
        <v>43</v>
      </c>
      <c r="Q346" t="s">
        <v>341</v>
      </c>
      <c r="R346" t="s">
        <v>1128</v>
      </c>
      <c r="S346">
        <v>4247</v>
      </c>
      <c r="T346" t="s">
        <v>41</v>
      </c>
      <c r="U346" s="29">
        <v>46313.732905092591</v>
      </c>
      <c r="V346" s="29">
        <v>46313.731562499997</v>
      </c>
      <c r="W346" t="s">
        <v>1129</v>
      </c>
      <c r="X346">
        <v>22411</v>
      </c>
      <c r="Z346">
        <v>0</v>
      </c>
      <c r="AA346" s="30">
        <v>0.72777777777777775</v>
      </c>
      <c r="AB346">
        <v>4</v>
      </c>
      <c r="AC346" t="s">
        <v>41</v>
      </c>
    </row>
    <row r="347" spans="1:29">
      <c r="A347" t="s">
        <v>1077</v>
      </c>
      <c r="B347" s="29">
        <v>46313.726712962962</v>
      </c>
      <c r="C347">
        <v>2097</v>
      </c>
      <c r="D347" t="s">
        <v>41</v>
      </c>
      <c r="E347">
        <v>8</v>
      </c>
      <c r="F347" t="s">
        <v>41</v>
      </c>
      <c r="G347" t="s">
        <v>41</v>
      </c>
      <c r="H347" t="s">
        <v>1130</v>
      </c>
      <c r="I347" s="29">
        <v>46313.727673611109</v>
      </c>
      <c r="J347" t="s">
        <v>41</v>
      </c>
      <c r="K347" s="29">
        <v>46313.727384259262</v>
      </c>
      <c r="L347">
        <v>24</v>
      </c>
      <c r="O347" s="29">
        <v>46313.726527777777</v>
      </c>
      <c r="P347" t="s">
        <v>43</v>
      </c>
      <c r="Q347" t="s">
        <v>1079</v>
      </c>
      <c r="R347" t="s">
        <v>1131</v>
      </c>
      <c r="S347">
        <v>4247</v>
      </c>
      <c r="T347" t="s">
        <v>41</v>
      </c>
      <c r="U347" s="29">
        <v>46313.734259259261</v>
      </c>
      <c r="V347" s="29">
        <v>46313.732858796298</v>
      </c>
      <c r="W347" t="s">
        <v>1132</v>
      </c>
      <c r="X347">
        <v>22411</v>
      </c>
      <c r="Z347">
        <v>0</v>
      </c>
      <c r="AA347" s="30">
        <v>0.72638888888888886</v>
      </c>
      <c r="AB347">
        <v>7</v>
      </c>
      <c r="AC347" t="s">
        <v>41</v>
      </c>
    </row>
    <row r="348" spans="1:29">
      <c r="A348" t="s">
        <v>198</v>
      </c>
      <c r="B348" s="29">
        <v>46313.724768518521</v>
      </c>
      <c r="C348">
        <v>1516</v>
      </c>
      <c r="D348" t="s">
        <v>41</v>
      </c>
      <c r="E348">
        <v>5</v>
      </c>
      <c r="F348" t="s">
        <v>41</v>
      </c>
      <c r="G348" t="s">
        <v>41</v>
      </c>
      <c r="H348" t="s">
        <v>1133</v>
      </c>
      <c r="I348" s="29">
        <v>46313.725532407407</v>
      </c>
      <c r="J348" t="s">
        <v>41</v>
      </c>
      <c r="K348" s="29">
        <v>46313.725266203706</v>
      </c>
      <c r="L348">
        <v>22</v>
      </c>
      <c r="O348" s="29">
        <v>46313.724594907406</v>
      </c>
      <c r="P348" t="s">
        <v>43</v>
      </c>
      <c r="Q348" t="s">
        <v>3008</v>
      </c>
      <c r="R348" t="s">
        <v>1134</v>
      </c>
      <c r="S348">
        <v>4247</v>
      </c>
      <c r="T348" t="s">
        <v>41</v>
      </c>
      <c r="U348" s="29">
        <v>46313.730150462965</v>
      </c>
      <c r="V348" s="29">
        <v>46313.72892361111</v>
      </c>
      <c r="W348" t="s">
        <v>1135</v>
      </c>
      <c r="X348">
        <v>22411</v>
      </c>
      <c r="Z348">
        <v>0</v>
      </c>
      <c r="AA348" s="30">
        <v>0.72430555555555554</v>
      </c>
      <c r="AB348">
        <v>5</v>
      </c>
      <c r="AC348" t="s">
        <v>41</v>
      </c>
    </row>
    <row r="349" spans="1:29">
      <c r="A349" t="s">
        <v>1136</v>
      </c>
      <c r="B349" s="29">
        <v>46313.724444444444</v>
      </c>
      <c r="C349">
        <v>3665</v>
      </c>
      <c r="D349" t="s">
        <v>41</v>
      </c>
      <c r="E349">
        <v>11</v>
      </c>
      <c r="F349" t="s">
        <v>41</v>
      </c>
      <c r="G349" t="s">
        <v>41</v>
      </c>
      <c r="H349" t="s">
        <v>1137</v>
      </c>
      <c r="I349" s="29">
        <v>46313.725381944445</v>
      </c>
      <c r="J349" t="s">
        <v>41</v>
      </c>
      <c r="K349" s="29">
        <v>46313.725162037037</v>
      </c>
      <c r="L349">
        <v>18</v>
      </c>
      <c r="O349" s="29">
        <v>46313.724270833336</v>
      </c>
      <c r="P349" t="s">
        <v>43</v>
      </c>
      <c r="Q349" t="s">
        <v>1138</v>
      </c>
      <c r="R349" t="s">
        <v>1139</v>
      </c>
      <c r="S349">
        <v>4247</v>
      </c>
      <c r="T349" t="s">
        <v>41</v>
      </c>
      <c r="U349" s="29">
        <v>46313.734074074076</v>
      </c>
      <c r="V349" s="29">
        <v>46313.732546296298</v>
      </c>
      <c r="W349" t="s">
        <v>1140</v>
      </c>
      <c r="X349">
        <v>22411</v>
      </c>
      <c r="Z349">
        <v>0</v>
      </c>
      <c r="AA349" s="30">
        <v>0.72430555555555554</v>
      </c>
      <c r="AB349">
        <v>10</v>
      </c>
      <c r="AC349" t="s">
        <v>41</v>
      </c>
    </row>
    <row r="350" spans="1:29">
      <c r="A350" t="s">
        <v>98</v>
      </c>
      <c r="B350" s="29">
        <v>46313.724166666667</v>
      </c>
      <c r="C350">
        <v>1271</v>
      </c>
      <c r="D350" t="s">
        <v>41</v>
      </c>
      <c r="E350">
        <v>3</v>
      </c>
      <c r="F350" t="s">
        <v>41</v>
      </c>
      <c r="G350" t="s">
        <v>41</v>
      </c>
      <c r="H350" t="s">
        <v>1141</v>
      </c>
      <c r="I350" s="29">
        <v>46313.724803240744</v>
      </c>
      <c r="J350" t="s">
        <v>41</v>
      </c>
      <c r="K350" s="29">
        <v>46313.724606481483</v>
      </c>
      <c r="L350">
        <v>16</v>
      </c>
      <c r="O350" s="29">
        <v>46313.724108796298</v>
      </c>
      <c r="P350" t="s">
        <v>43</v>
      </c>
      <c r="Q350" t="s">
        <v>3005</v>
      </c>
      <c r="R350" t="s">
        <v>1142</v>
      </c>
      <c r="S350">
        <v>4247</v>
      </c>
      <c r="T350" t="s">
        <v>41</v>
      </c>
      <c r="U350" s="29">
        <v>46313.728148148148</v>
      </c>
      <c r="V350" s="29">
        <v>46313.726851851854</v>
      </c>
      <c r="W350" t="s">
        <v>1143</v>
      </c>
      <c r="X350">
        <v>22411</v>
      </c>
      <c r="Z350">
        <v>0</v>
      </c>
      <c r="AA350" s="30">
        <v>0.72361111111111109</v>
      </c>
      <c r="AB350">
        <v>3</v>
      </c>
      <c r="AC350" t="s">
        <v>41</v>
      </c>
    </row>
    <row r="351" spans="1:29">
      <c r="A351" t="s">
        <v>347</v>
      </c>
      <c r="B351" s="29">
        <v>46313.723506944443</v>
      </c>
      <c r="C351">
        <v>214</v>
      </c>
      <c r="D351" t="s">
        <v>41</v>
      </c>
      <c r="E351">
        <v>0</v>
      </c>
      <c r="F351" t="s">
        <v>41</v>
      </c>
      <c r="G351" t="s">
        <v>41</v>
      </c>
      <c r="H351" t="s">
        <v>1144</v>
      </c>
      <c r="I351" s="29">
        <v>46313.724560185183</v>
      </c>
      <c r="J351" t="s">
        <v>41</v>
      </c>
      <c r="K351" s="29">
        <v>46313.724386574075</v>
      </c>
      <c r="L351">
        <v>14</v>
      </c>
      <c r="O351" s="29">
        <v>46313.723333333335</v>
      </c>
      <c r="P351" t="s">
        <v>43</v>
      </c>
      <c r="Q351" t="s">
        <v>349</v>
      </c>
      <c r="R351" t="s">
        <v>1145</v>
      </c>
      <c r="S351">
        <v>4247</v>
      </c>
      <c r="T351" t="s">
        <v>41</v>
      </c>
      <c r="U351" s="29">
        <v>46313.725752314815</v>
      </c>
      <c r="V351" s="29">
        <v>46313.72457175926</v>
      </c>
      <c r="W351" t="s">
        <v>1146</v>
      </c>
      <c r="X351">
        <v>22411</v>
      </c>
      <c r="Z351">
        <v>0</v>
      </c>
      <c r="AA351" s="30">
        <v>0.72291666666666676</v>
      </c>
      <c r="AB351">
        <v>0</v>
      </c>
      <c r="AC351" t="s">
        <v>41</v>
      </c>
    </row>
    <row r="352" spans="1:29">
      <c r="A352" t="s">
        <v>62</v>
      </c>
      <c r="B352" s="29">
        <v>46313.723379629628</v>
      </c>
      <c r="C352">
        <v>1976</v>
      </c>
      <c r="D352" t="s">
        <v>41</v>
      </c>
      <c r="E352">
        <v>9</v>
      </c>
      <c r="F352" t="s">
        <v>41</v>
      </c>
      <c r="G352" t="s">
        <v>41</v>
      </c>
      <c r="H352" t="s">
        <v>1147</v>
      </c>
      <c r="I352" s="29">
        <v>46313.724317129629</v>
      </c>
      <c r="J352" t="s">
        <v>41</v>
      </c>
      <c r="K352" s="29">
        <v>46313.724097222221</v>
      </c>
      <c r="L352">
        <v>18</v>
      </c>
      <c r="O352" s="29">
        <v>46313.723263888889</v>
      </c>
      <c r="P352" t="s">
        <v>43</v>
      </c>
      <c r="Q352" t="s">
        <v>64</v>
      </c>
      <c r="R352" t="s">
        <v>1148</v>
      </c>
      <c r="S352">
        <v>4247</v>
      </c>
      <c r="T352" t="s">
        <v>41</v>
      </c>
      <c r="U352" s="29">
        <v>46313.730138888888</v>
      </c>
      <c r="V352" s="29">
        <v>46313.730150462965</v>
      </c>
      <c r="W352" t="s">
        <v>1149</v>
      </c>
      <c r="X352">
        <v>22411</v>
      </c>
      <c r="Z352">
        <v>0</v>
      </c>
      <c r="AA352" s="30">
        <v>0.72291666666666676</v>
      </c>
      <c r="AB352">
        <v>8</v>
      </c>
      <c r="AC352" t="s">
        <v>41</v>
      </c>
    </row>
    <row r="353" spans="1:29">
      <c r="A353" t="s">
        <v>106</v>
      </c>
      <c r="B353" s="29">
        <v>46313.722442129627</v>
      </c>
      <c r="C353">
        <v>1861</v>
      </c>
      <c r="D353" t="s">
        <v>41</v>
      </c>
      <c r="E353">
        <v>8</v>
      </c>
      <c r="F353" t="s">
        <v>41</v>
      </c>
      <c r="G353" t="s">
        <v>41</v>
      </c>
      <c r="H353" t="s">
        <v>1150</v>
      </c>
      <c r="I353" s="29">
        <v>46313.723171296297</v>
      </c>
      <c r="J353" t="s">
        <v>41</v>
      </c>
      <c r="K353" s="29">
        <v>46313.722743055558</v>
      </c>
      <c r="L353">
        <v>36</v>
      </c>
      <c r="O353" s="29">
        <v>46313.722372685188</v>
      </c>
      <c r="P353" t="s">
        <v>43</v>
      </c>
      <c r="Q353" t="s">
        <v>108</v>
      </c>
      <c r="R353" t="s">
        <v>1151</v>
      </c>
      <c r="S353">
        <v>4247</v>
      </c>
      <c r="T353" t="s">
        <v>41</v>
      </c>
      <c r="U353" s="29">
        <v>46313.72855324074</v>
      </c>
      <c r="V353" s="29">
        <v>46313.727997685186</v>
      </c>
      <c r="W353" t="s">
        <v>1152</v>
      </c>
      <c r="X353">
        <v>22411</v>
      </c>
      <c r="Z353">
        <v>0</v>
      </c>
      <c r="AA353" s="30">
        <v>0.72222222222222221</v>
      </c>
      <c r="AB353">
        <v>7</v>
      </c>
      <c r="AC353" t="s">
        <v>41</v>
      </c>
    </row>
    <row r="354" spans="1:29">
      <c r="A354" t="s">
        <v>655</v>
      </c>
      <c r="B354" s="29">
        <v>46313.722442129627</v>
      </c>
      <c r="C354">
        <v>3963</v>
      </c>
      <c r="D354" t="s">
        <v>41</v>
      </c>
      <c r="E354">
        <v>9</v>
      </c>
      <c r="F354" t="s">
        <v>41</v>
      </c>
      <c r="G354" t="s">
        <v>41</v>
      </c>
      <c r="H354" t="s">
        <v>1153</v>
      </c>
      <c r="I354" s="29">
        <v>46313.722986111112</v>
      </c>
      <c r="J354" t="s">
        <v>41</v>
      </c>
      <c r="K354" s="29">
        <v>46313.72284722222</v>
      </c>
      <c r="L354">
        <v>11</v>
      </c>
      <c r="O354" s="29">
        <v>46313.722314814811</v>
      </c>
      <c r="P354" t="s">
        <v>43</v>
      </c>
      <c r="Q354" t="s">
        <v>657</v>
      </c>
      <c r="R354" t="s">
        <v>1154</v>
      </c>
      <c r="S354">
        <v>4247</v>
      </c>
      <c r="T354" t="s">
        <v>41</v>
      </c>
      <c r="U354" s="29">
        <v>46313.732743055552</v>
      </c>
      <c r="V354" s="29">
        <v>46313.728842592594</v>
      </c>
      <c r="W354" t="s">
        <v>1155</v>
      </c>
      <c r="X354">
        <v>22411</v>
      </c>
      <c r="Z354">
        <v>0</v>
      </c>
      <c r="AA354" s="30">
        <v>0.72222222222222221</v>
      </c>
      <c r="AB354">
        <v>8</v>
      </c>
      <c r="AC354" t="s">
        <v>41</v>
      </c>
    </row>
    <row r="355" spans="1:29">
      <c r="A355" t="s">
        <v>77</v>
      </c>
      <c r="B355" s="29">
        <v>46313.720752314817</v>
      </c>
      <c r="C355">
        <v>1853</v>
      </c>
      <c r="D355" t="s">
        <v>41</v>
      </c>
      <c r="E355">
        <v>4</v>
      </c>
      <c r="F355" t="s">
        <v>41</v>
      </c>
      <c r="G355" t="s">
        <v>41</v>
      </c>
      <c r="H355" t="s">
        <v>1156</v>
      </c>
      <c r="I355" s="29">
        <v>46313.721944444442</v>
      </c>
      <c r="J355" t="s">
        <v>41</v>
      </c>
      <c r="K355" s="29">
        <v>46313.721701388888</v>
      </c>
      <c r="L355">
        <v>20</v>
      </c>
      <c r="O355" s="29">
        <v>46313.720671296294</v>
      </c>
      <c r="P355" t="s">
        <v>43</v>
      </c>
      <c r="Q355" t="s">
        <v>79</v>
      </c>
      <c r="R355" t="s">
        <v>1157</v>
      </c>
      <c r="S355">
        <v>4247</v>
      </c>
      <c r="T355" t="s">
        <v>41</v>
      </c>
      <c r="U355" s="29">
        <v>46313.726631944446</v>
      </c>
      <c r="V355" s="29">
        <v>46313.724722222221</v>
      </c>
      <c r="W355" t="s">
        <v>1158</v>
      </c>
      <c r="X355">
        <v>22411</v>
      </c>
      <c r="Z355">
        <v>0</v>
      </c>
      <c r="AA355" s="30">
        <v>0.72013888888888899</v>
      </c>
      <c r="AB355">
        <v>4</v>
      </c>
      <c r="AC355" t="s">
        <v>41</v>
      </c>
    </row>
    <row r="356" spans="1:29">
      <c r="A356" t="s">
        <v>379</v>
      </c>
      <c r="B356" s="29">
        <v>46313.719953703701</v>
      </c>
      <c r="C356">
        <v>3727</v>
      </c>
      <c r="D356" t="s">
        <v>41</v>
      </c>
      <c r="E356">
        <v>12</v>
      </c>
      <c r="F356" t="s">
        <v>41</v>
      </c>
      <c r="G356" t="s">
        <v>41</v>
      </c>
      <c r="H356" t="s">
        <v>1159</v>
      </c>
      <c r="I356" s="29">
        <v>46313.721712962964</v>
      </c>
      <c r="J356" t="s">
        <v>41</v>
      </c>
      <c r="K356" s="29">
        <v>46313.72142361111</v>
      </c>
      <c r="L356">
        <v>24</v>
      </c>
      <c r="O356" s="29">
        <v>46313.719861111109</v>
      </c>
      <c r="P356" t="s">
        <v>43</v>
      </c>
      <c r="Q356" t="s">
        <v>381</v>
      </c>
      <c r="R356" t="s">
        <v>1160</v>
      </c>
      <c r="S356">
        <v>4247</v>
      </c>
      <c r="T356" t="s">
        <v>41</v>
      </c>
      <c r="U356" s="29">
        <v>46313.730555555558</v>
      </c>
      <c r="V356" s="29">
        <v>46313.729710648149</v>
      </c>
      <c r="W356" t="s">
        <v>1161</v>
      </c>
      <c r="X356">
        <v>22411</v>
      </c>
      <c r="Z356">
        <v>0</v>
      </c>
      <c r="AA356" s="30">
        <v>0.71944444444444444</v>
      </c>
      <c r="AB356">
        <v>12</v>
      </c>
      <c r="AC356" t="s">
        <v>41</v>
      </c>
    </row>
    <row r="357" spans="1:29">
      <c r="A357" t="s">
        <v>339</v>
      </c>
      <c r="B357" s="29">
        <v>46313.718784722223</v>
      </c>
      <c r="C357">
        <v>621</v>
      </c>
      <c r="D357" t="s">
        <v>41</v>
      </c>
      <c r="E357">
        <v>2</v>
      </c>
      <c r="F357" t="s">
        <v>41</v>
      </c>
      <c r="G357" t="s">
        <v>41</v>
      </c>
      <c r="H357" t="s">
        <v>1162</v>
      </c>
      <c r="I357" s="29">
        <v>46313.719965277778</v>
      </c>
      <c r="J357" t="s">
        <v>41</v>
      </c>
      <c r="K357" s="29">
        <v>46313.719571759262</v>
      </c>
      <c r="L357">
        <v>33</v>
      </c>
      <c r="O357" s="29">
        <v>46313.718692129631</v>
      </c>
      <c r="P357" t="s">
        <v>43</v>
      </c>
      <c r="Q357" t="s">
        <v>341</v>
      </c>
      <c r="R357" t="s">
        <v>1163</v>
      </c>
      <c r="S357">
        <v>4247</v>
      </c>
      <c r="T357" t="s">
        <v>41</v>
      </c>
      <c r="U357" s="29">
        <v>46313.722314814811</v>
      </c>
      <c r="V357" s="29">
        <v>46313.721203703702</v>
      </c>
      <c r="W357" t="s">
        <v>1164</v>
      </c>
      <c r="X357">
        <v>22411</v>
      </c>
      <c r="Z357">
        <v>0</v>
      </c>
      <c r="AA357" s="30">
        <v>0.71875</v>
      </c>
      <c r="AB357">
        <v>2</v>
      </c>
      <c r="AC357" t="s">
        <v>41</v>
      </c>
    </row>
    <row r="358" spans="1:29">
      <c r="A358" t="s">
        <v>57</v>
      </c>
      <c r="B358" s="29">
        <v>46313.717870370368</v>
      </c>
      <c r="C358">
        <v>1497</v>
      </c>
      <c r="D358" t="s">
        <v>41</v>
      </c>
      <c r="E358">
        <v>5</v>
      </c>
      <c r="F358" t="s">
        <v>41</v>
      </c>
      <c r="G358" t="s">
        <v>41</v>
      </c>
      <c r="H358" t="s">
        <v>1165</v>
      </c>
      <c r="I358" s="29">
        <v>46313.718425925923</v>
      </c>
      <c r="J358" t="s">
        <v>41</v>
      </c>
      <c r="K358" s="29">
        <v>46313.718182870369</v>
      </c>
      <c r="L358">
        <v>20</v>
      </c>
      <c r="O358" s="29">
        <v>46313.717731481483</v>
      </c>
      <c r="P358" t="s">
        <v>43</v>
      </c>
      <c r="Q358" t="s">
        <v>59</v>
      </c>
      <c r="R358" t="s">
        <v>1166</v>
      </c>
      <c r="S358">
        <v>4247</v>
      </c>
      <c r="T358" t="s">
        <v>41</v>
      </c>
      <c r="U358" s="29">
        <v>46313.72246527778</v>
      </c>
      <c r="V358" s="29">
        <v>46313.721979166665</v>
      </c>
      <c r="W358" t="s">
        <v>1167</v>
      </c>
      <c r="X358">
        <v>22411</v>
      </c>
      <c r="Z358">
        <v>0</v>
      </c>
      <c r="AA358" s="30">
        <v>0.71736111111111101</v>
      </c>
      <c r="AB358">
        <v>5</v>
      </c>
      <c r="AC358" t="s">
        <v>41</v>
      </c>
    </row>
    <row r="359" spans="1:29">
      <c r="A359" t="s">
        <v>125</v>
      </c>
      <c r="B359" s="29">
        <v>46313.717303240737</v>
      </c>
      <c r="C359">
        <v>1148</v>
      </c>
      <c r="D359" t="s">
        <v>41</v>
      </c>
      <c r="E359">
        <v>4</v>
      </c>
      <c r="F359" t="s">
        <v>41</v>
      </c>
      <c r="G359" t="s">
        <v>41</v>
      </c>
      <c r="H359" t="s">
        <v>1168</v>
      </c>
      <c r="I359" s="29">
        <v>46313.717905092592</v>
      </c>
      <c r="J359" t="s">
        <v>41</v>
      </c>
      <c r="K359" s="29">
        <v>46313.717615740738</v>
      </c>
      <c r="L359">
        <v>24</v>
      </c>
      <c r="O359" s="29">
        <v>46313.717118055552</v>
      </c>
      <c r="P359" t="s">
        <v>43</v>
      </c>
      <c r="Q359" t="s">
        <v>3006</v>
      </c>
      <c r="R359" t="s">
        <v>1169</v>
      </c>
      <c r="S359">
        <v>4247</v>
      </c>
      <c r="T359" t="s">
        <v>41</v>
      </c>
      <c r="U359" s="29">
        <v>46313.720891203702</v>
      </c>
      <c r="V359" s="29">
        <v>46313.720462962963</v>
      </c>
      <c r="W359" t="s">
        <v>1170</v>
      </c>
      <c r="X359">
        <v>22411</v>
      </c>
      <c r="Z359">
        <v>0</v>
      </c>
      <c r="AA359" s="30">
        <v>0.71666666666666667</v>
      </c>
      <c r="AB359">
        <v>4</v>
      </c>
      <c r="AC359" t="s">
        <v>41</v>
      </c>
    </row>
    <row r="360" spans="1:29">
      <c r="A360" t="s">
        <v>1171</v>
      </c>
      <c r="B360" s="29">
        <v>46313.715601851851</v>
      </c>
      <c r="C360">
        <v>2119</v>
      </c>
      <c r="D360" t="s">
        <v>41</v>
      </c>
      <c r="E360">
        <v>18</v>
      </c>
      <c r="F360" t="s">
        <v>41</v>
      </c>
      <c r="G360" t="s">
        <v>41</v>
      </c>
      <c r="H360" t="s">
        <v>1172</v>
      </c>
      <c r="I360" s="29">
        <v>46313.717013888891</v>
      </c>
      <c r="J360" t="s">
        <v>41</v>
      </c>
      <c r="K360" s="29">
        <v>46313.71670138889</v>
      </c>
      <c r="L360">
        <v>26</v>
      </c>
      <c r="O360" s="29">
        <v>46313.715451388889</v>
      </c>
      <c r="P360" t="s">
        <v>43</v>
      </c>
      <c r="Q360" t="s">
        <v>1173</v>
      </c>
      <c r="R360" t="s">
        <v>1174</v>
      </c>
      <c r="S360">
        <v>4247</v>
      </c>
      <c r="T360" t="s">
        <v>41</v>
      </c>
      <c r="U360" s="29">
        <v>46313.723564814813</v>
      </c>
      <c r="V360" s="29">
        <v>46313.729062500002</v>
      </c>
      <c r="W360" t="s">
        <v>1175</v>
      </c>
      <c r="X360">
        <v>22411</v>
      </c>
      <c r="Z360">
        <v>0</v>
      </c>
      <c r="AA360" s="30">
        <v>0.71527777777777779</v>
      </c>
      <c r="AB360">
        <v>17</v>
      </c>
      <c r="AC360" t="s">
        <v>41</v>
      </c>
    </row>
    <row r="361" spans="1:29">
      <c r="A361" t="s">
        <v>177</v>
      </c>
      <c r="B361" s="29">
        <v>46313.71371527778</v>
      </c>
      <c r="C361">
        <v>1590</v>
      </c>
      <c r="D361" t="s">
        <v>41</v>
      </c>
      <c r="E361">
        <v>4</v>
      </c>
      <c r="F361" t="s">
        <v>41</v>
      </c>
      <c r="G361" t="s">
        <v>41</v>
      </c>
      <c r="H361" t="s">
        <v>1176</v>
      </c>
      <c r="I361" s="29">
        <v>46313.716620370367</v>
      </c>
      <c r="J361" t="s">
        <v>41</v>
      </c>
      <c r="K361" s="29">
        <v>46313.716261574074</v>
      </c>
      <c r="L361">
        <v>30</v>
      </c>
      <c r="O361" s="29">
        <v>46313.713622685187</v>
      </c>
      <c r="P361" t="s">
        <v>43</v>
      </c>
      <c r="Q361" t="s">
        <v>179</v>
      </c>
      <c r="R361" t="s">
        <v>1177</v>
      </c>
      <c r="S361">
        <v>4247</v>
      </c>
      <c r="T361" t="s">
        <v>41</v>
      </c>
      <c r="U361" s="29">
        <v>46313.721539351849</v>
      </c>
      <c r="V361" s="29">
        <v>46313.719259259262</v>
      </c>
      <c r="W361" t="s">
        <v>1178</v>
      </c>
      <c r="X361">
        <v>22411</v>
      </c>
      <c r="Z361">
        <v>0</v>
      </c>
      <c r="AA361" s="30">
        <v>0.71319444444444446</v>
      </c>
      <c r="AB361">
        <v>4</v>
      </c>
      <c r="AC361" t="s">
        <v>41</v>
      </c>
    </row>
    <row r="362" spans="1:29">
      <c r="A362" t="s">
        <v>52</v>
      </c>
      <c r="B362" s="29">
        <v>46313.713726851849</v>
      </c>
      <c r="C362">
        <v>2978</v>
      </c>
      <c r="D362" t="s">
        <v>41</v>
      </c>
      <c r="E362">
        <v>7</v>
      </c>
      <c r="F362" t="s">
        <v>41</v>
      </c>
      <c r="G362" t="s">
        <v>41</v>
      </c>
      <c r="H362" t="s">
        <v>1179</v>
      </c>
      <c r="I362" s="29">
        <v>46313.714699074073</v>
      </c>
      <c r="J362" t="s">
        <v>41</v>
      </c>
      <c r="K362" s="29">
        <v>46313.714236111111</v>
      </c>
      <c r="L362">
        <v>39</v>
      </c>
      <c r="O362" s="29">
        <v>46313.713425925926</v>
      </c>
      <c r="P362" t="s">
        <v>43</v>
      </c>
      <c r="Q362" t="s">
        <v>54</v>
      </c>
      <c r="R362" t="s">
        <v>1180</v>
      </c>
      <c r="S362">
        <v>4247</v>
      </c>
      <c r="T362" t="s">
        <v>41</v>
      </c>
      <c r="U362" s="29">
        <v>46313.721979166665</v>
      </c>
      <c r="V362" s="29">
        <v>46313.719282407408</v>
      </c>
      <c r="W362" t="s">
        <v>1181</v>
      </c>
      <c r="X362">
        <v>22411</v>
      </c>
      <c r="Z362">
        <v>0</v>
      </c>
      <c r="AA362" s="30">
        <v>0.71319444444444446</v>
      </c>
      <c r="AB362">
        <v>7</v>
      </c>
      <c r="AC362" t="s">
        <v>41</v>
      </c>
    </row>
    <row r="363" spans="1:29">
      <c r="A363" t="s">
        <v>1077</v>
      </c>
      <c r="B363" s="29">
        <v>46313.71334490741</v>
      </c>
      <c r="C363">
        <v>825</v>
      </c>
      <c r="D363" t="s">
        <v>41</v>
      </c>
      <c r="E363">
        <v>3</v>
      </c>
      <c r="F363" t="s">
        <v>41</v>
      </c>
      <c r="G363" t="s">
        <v>41</v>
      </c>
      <c r="H363" t="s">
        <v>1182</v>
      </c>
      <c r="I363" s="29">
        <v>46313.714016203703</v>
      </c>
      <c r="J363" t="s">
        <v>41</v>
      </c>
      <c r="K363" s="29">
        <v>46313.713807870372</v>
      </c>
      <c r="L363">
        <v>17</v>
      </c>
      <c r="O363" s="29">
        <v>46313.713182870371</v>
      </c>
      <c r="P363" t="s">
        <v>43</v>
      </c>
      <c r="Q363" t="s">
        <v>1079</v>
      </c>
      <c r="R363" t="s">
        <v>1183</v>
      </c>
      <c r="S363">
        <v>4247</v>
      </c>
      <c r="T363" t="s">
        <v>41</v>
      </c>
      <c r="U363" s="29">
        <v>46313.716504629629</v>
      </c>
      <c r="V363" s="29">
        <v>46313.715671296297</v>
      </c>
      <c r="W363" t="s">
        <v>1184</v>
      </c>
      <c r="X363">
        <v>22411</v>
      </c>
      <c r="Z363">
        <v>0</v>
      </c>
      <c r="AA363" s="30">
        <v>0.71319444444444446</v>
      </c>
      <c r="AB363">
        <v>2</v>
      </c>
      <c r="AC363" t="s">
        <v>41</v>
      </c>
    </row>
    <row r="364" spans="1:29">
      <c r="A364" t="s">
        <v>655</v>
      </c>
      <c r="B364" s="29">
        <v>46313.711527777778</v>
      </c>
      <c r="C364">
        <v>623</v>
      </c>
      <c r="D364" t="s">
        <v>41</v>
      </c>
      <c r="E364">
        <v>1</v>
      </c>
      <c r="F364" t="s">
        <v>41</v>
      </c>
      <c r="G364" t="s">
        <v>41</v>
      </c>
      <c r="H364" t="s">
        <v>1185</v>
      </c>
      <c r="I364" s="29">
        <v>46313.712291666663</v>
      </c>
      <c r="J364" t="s">
        <v>41</v>
      </c>
      <c r="K364" s="29">
        <v>46313.712094907409</v>
      </c>
      <c r="L364">
        <v>16</v>
      </c>
      <c r="O364" s="29">
        <v>46313.711388888885</v>
      </c>
      <c r="P364" t="s">
        <v>43</v>
      </c>
      <c r="Q364" t="s">
        <v>657</v>
      </c>
      <c r="R364" t="s">
        <v>1186</v>
      </c>
      <c r="S364">
        <v>4247</v>
      </c>
      <c r="T364" t="s">
        <v>41</v>
      </c>
      <c r="U364" s="29">
        <v>46313.714548611111</v>
      </c>
      <c r="V364" s="29">
        <v>46313.713009259256</v>
      </c>
      <c r="W364" t="s">
        <v>1187</v>
      </c>
      <c r="X364">
        <v>22411</v>
      </c>
      <c r="Z364">
        <v>0</v>
      </c>
      <c r="AA364" s="30">
        <v>0.71111111111111114</v>
      </c>
      <c r="AB364">
        <v>1</v>
      </c>
      <c r="AC364" t="s">
        <v>41</v>
      </c>
    </row>
    <row r="365" spans="1:29">
      <c r="A365" t="s">
        <v>198</v>
      </c>
      <c r="B365" s="29">
        <v>46313.710011574076</v>
      </c>
      <c r="C365">
        <v>2423</v>
      </c>
      <c r="D365" t="s">
        <v>41</v>
      </c>
      <c r="E365">
        <v>8</v>
      </c>
      <c r="F365" t="s">
        <v>41</v>
      </c>
      <c r="G365" t="s">
        <v>41</v>
      </c>
      <c r="H365" t="s">
        <v>1188</v>
      </c>
      <c r="I365" s="29">
        <v>46313.710555555554</v>
      </c>
      <c r="J365" t="s">
        <v>41</v>
      </c>
      <c r="K365" s="29">
        <v>46313.71025462963</v>
      </c>
      <c r="L365">
        <v>25</v>
      </c>
      <c r="O365" s="29">
        <v>46313.709641203706</v>
      </c>
      <c r="P365" t="s">
        <v>43</v>
      </c>
      <c r="Q365" t="s">
        <v>3008</v>
      </c>
      <c r="R365" t="s">
        <v>1189</v>
      </c>
      <c r="S365">
        <v>4247</v>
      </c>
      <c r="T365" t="s">
        <v>41</v>
      </c>
      <c r="U365" s="29">
        <v>46313.71607638889</v>
      </c>
      <c r="V365" s="29">
        <v>46313.715497685182</v>
      </c>
      <c r="W365" t="s">
        <v>1190</v>
      </c>
      <c r="X365">
        <v>22411</v>
      </c>
      <c r="Z365">
        <v>0</v>
      </c>
      <c r="AA365" s="30">
        <v>0.70972222222222225</v>
      </c>
      <c r="AB365">
        <v>7</v>
      </c>
      <c r="AC365" t="s">
        <v>41</v>
      </c>
    </row>
    <row r="366" spans="1:29">
      <c r="A366" t="s">
        <v>1136</v>
      </c>
      <c r="B366" s="29">
        <v>46313.709224537037</v>
      </c>
      <c r="C366">
        <v>1890</v>
      </c>
      <c r="D366" t="s">
        <v>41</v>
      </c>
      <c r="E366">
        <v>6</v>
      </c>
      <c r="F366" t="s">
        <v>41</v>
      </c>
      <c r="G366" t="s">
        <v>41</v>
      </c>
      <c r="H366" t="s">
        <v>1191</v>
      </c>
      <c r="I366" s="29">
        <v>46313.710543981484</v>
      </c>
      <c r="J366" t="s">
        <v>41</v>
      </c>
      <c r="K366" s="29">
        <v>46313.710219907407</v>
      </c>
      <c r="L366">
        <v>27</v>
      </c>
      <c r="O366" s="29">
        <v>46313.709085648145</v>
      </c>
      <c r="P366" t="s">
        <v>43</v>
      </c>
      <c r="Q366" t="s">
        <v>1138</v>
      </c>
      <c r="R366" t="s">
        <v>1192</v>
      </c>
      <c r="S366">
        <v>4247</v>
      </c>
      <c r="T366" t="s">
        <v>41</v>
      </c>
      <c r="U366" s="29">
        <v>46313.715266203704</v>
      </c>
      <c r="V366" s="29">
        <v>46313.714571759258</v>
      </c>
      <c r="W366" t="s">
        <v>1193</v>
      </c>
      <c r="X366">
        <v>22411</v>
      </c>
      <c r="Z366">
        <v>0</v>
      </c>
      <c r="AA366" s="30">
        <v>0.7090277777777777</v>
      </c>
      <c r="AB366">
        <v>6</v>
      </c>
      <c r="AC366" t="s">
        <v>41</v>
      </c>
    </row>
    <row r="367" spans="1:29">
      <c r="A367" t="s">
        <v>72</v>
      </c>
      <c r="B367" s="29">
        <v>46313.708749999998</v>
      </c>
      <c r="C367">
        <v>3985</v>
      </c>
      <c r="D367" t="s">
        <v>41</v>
      </c>
      <c r="E367">
        <v>10</v>
      </c>
      <c r="F367" t="s">
        <v>41</v>
      </c>
      <c r="G367" t="s">
        <v>41</v>
      </c>
      <c r="H367" t="s">
        <v>1194</v>
      </c>
      <c r="I367" s="29">
        <v>46313.709548611114</v>
      </c>
      <c r="J367" t="s">
        <v>41</v>
      </c>
      <c r="K367" s="29">
        <v>46313.709328703706</v>
      </c>
      <c r="L367">
        <v>18</v>
      </c>
      <c r="O367" s="29">
        <v>46313.708657407406</v>
      </c>
      <c r="P367" t="s">
        <v>43</v>
      </c>
      <c r="Q367" t="s">
        <v>74</v>
      </c>
      <c r="R367" t="s">
        <v>1195</v>
      </c>
      <c r="S367">
        <v>4247</v>
      </c>
      <c r="T367" t="s">
        <v>41</v>
      </c>
      <c r="U367" s="29">
        <v>46313.719386574077</v>
      </c>
      <c r="V367" s="29">
        <v>46313.716099537036</v>
      </c>
      <c r="W367" t="s">
        <v>1196</v>
      </c>
      <c r="X367">
        <v>22411</v>
      </c>
      <c r="Z367">
        <v>0</v>
      </c>
      <c r="AA367" s="30">
        <v>0.70833333333333337</v>
      </c>
      <c r="AB367">
        <v>9</v>
      </c>
      <c r="AC367" t="s">
        <v>41</v>
      </c>
    </row>
    <row r="368" spans="1:29">
      <c r="A368" t="s">
        <v>106</v>
      </c>
      <c r="B368" s="29">
        <v>46313.708449074074</v>
      </c>
      <c r="C368">
        <v>705</v>
      </c>
      <c r="D368" t="s">
        <v>41</v>
      </c>
      <c r="E368">
        <v>3</v>
      </c>
      <c r="F368" t="s">
        <v>41</v>
      </c>
      <c r="G368" t="s">
        <v>41</v>
      </c>
      <c r="H368" t="s">
        <v>1197</v>
      </c>
      <c r="I368" s="29">
        <v>46313.709675925929</v>
      </c>
      <c r="J368" t="s">
        <v>41</v>
      </c>
      <c r="K368" s="29">
        <v>46313.709108796298</v>
      </c>
      <c r="L368">
        <v>48</v>
      </c>
      <c r="O368" s="29">
        <v>46313.708368055559</v>
      </c>
      <c r="P368" t="s">
        <v>43</v>
      </c>
      <c r="Q368" t="s">
        <v>108</v>
      </c>
      <c r="R368" t="s">
        <v>1198</v>
      </c>
      <c r="S368">
        <v>4247</v>
      </c>
      <c r="T368" t="s">
        <v>41</v>
      </c>
      <c r="U368" s="29">
        <v>46313.711817129632</v>
      </c>
      <c r="V368" s="29">
        <v>46313.711192129631</v>
      </c>
      <c r="W368" t="s">
        <v>1199</v>
      </c>
      <c r="X368">
        <v>22411</v>
      </c>
      <c r="Z368">
        <v>0</v>
      </c>
      <c r="AA368" s="30">
        <v>0.70833333333333337</v>
      </c>
      <c r="AB368">
        <v>2</v>
      </c>
      <c r="AC368" t="s">
        <v>41</v>
      </c>
    </row>
    <row r="369" spans="1:29">
      <c r="A369" t="s">
        <v>347</v>
      </c>
      <c r="B369" s="29">
        <v>46313.708437499998</v>
      </c>
      <c r="C369">
        <v>1067</v>
      </c>
      <c r="D369" t="s">
        <v>41</v>
      </c>
      <c r="E369">
        <v>5</v>
      </c>
      <c r="F369" t="s">
        <v>41</v>
      </c>
      <c r="G369" t="s">
        <v>41</v>
      </c>
      <c r="H369" t="s">
        <v>1200</v>
      </c>
      <c r="I369" s="29">
        <v>46313.709756944445</v>
      </c>
      <c r="J369" t="s">
        <v>41</v>
      </c>
      <c r="K369" s="29">
        <v>46313.709456018521</v>
      </c>
      <c r="L369">
        <v>25</v>
      </c>
      <c r="O369" s="29">
        <v>46313.708298611113</v>
      </c>
      <c r="P369" t="s">
        <v>43</v>
      </c>
      <c r="Q369" t="s">
        <v>349</v>
      </c>
      <c r="R369" t="s">
        <v>1201</v>
      </c>
      <c r="S369">
        <v>4247</v>
      </c>
      <c r="T369" t="s">
        <v>41</v>
      </c>
      <c r="U369" s="29">
        <v>46313.712604166663</v>
      </c>
      <c r="V369" s="29">
        <v>46313.712881944448</v>
      </c>
      <c r="W369" t="s">
        <v>1202</v>
      </c>
      <c r="X369">
        <v>22411</v>
      </c>
      <c r="Z369">
        <v>0</v>
      </c>
      <c r="AA369" s="30">
        <v>0.70833333333333337</v>
      </c>
      <c r="AB369">
        <v>5</v>
      </c>
      <c r="AC369" t="s">
        <v>41</v>
      </c>
    </row>
    <row r="370" spans="1:29">
      <c r="A370" t="s">
        <v>98</v>
      </c>
      <c r="B370" s="29">
        <v>46313.707928240743</v>
      </c>
      <c r="C370">
        <v>1956</v>
      </c>
      <c r="D370" t="s">
        <v>41</v>
      </c>
      <c r="E370">
        <v>4</v>
      </c>
      <c r="F370" t="s">
        <v>41</v>
      </c>
      <c r="G370" t="s">
        <v>41</v>
      </c>
      <c r="H370" t="s">
        <v>1203</v>
      </c>
      <c r="I370" s="29">
        <v>46313.709201388891</v>
      </c>
      <c r="J370" t="s">
        <v>41</v>
      </c>
      <c r="K370" s="29">
        <v>46313.708865740744</v>
      </c>
      <c r="L370">
        <v>28</v>
      </c>
      <c r="O370" s="29">
        <v>46313.70784722222</v>
      </c>
      <c r="P370" t="s">
        <v>43</v>
      </c>
      <c r="Q370" t="s">
        <v>3005</v>
      </c>
      <c r="R370" t="s">
        <v>1204</v>
      </c>
      <c r="S370">
        <v>4247</v>
      </c>
      <c r="T370" t="s">
        <v>41</v>
      </c>
      <c r="U370" s="29">
        <v>46313.713993055557</v>
      </c>
      <c r="V370" s="29">
        <v>46313.71197916667</v>
      </c>
      <c r="W370" t="s">
        <v>1205</v>
      </c>
      <c r="X370">
        <v>22411</v>
      </c>
      <c r="Z370">
        <v>0</v>
      </c>
      <c r="AA370" s="30">
        <v>0.70763888888888893</v>
      </c>
      <c r="AB370">
        <v>4</v>
      </c>
      <c r="AC370" t="s">
        <v>41</v>
      </c>
    </row>
    <row r="371" spans="1:29">
      <c r="A371" t="s">
        <v>62</v>
      </c>
      <c r="B371" s="29">
        <v>46313.705601851849</v>
      </c>
      <c r="C371">
        <v>2231</v>
      </c>
      <c r="D371" t="s">
        <v>41</v>
      </c>
      <c r="E371">
        <v>7</v>
      </c>
      <c r="F371" t="s">
        <v>41</v>
      </c>
      <c r="G371" t="s">
        <v>41</v>
      </c>
      <c r="H371" t="s">
        <v>1206</v>
      </c>
      <c r="I371" s="29">
        <v>46313.706585648149</v>
      </c>
      <c r="J371" t="s">
        <v>41</v>
      </c>
      <c r="K371" s="29">
        <v>46313.706076388888</v>
      </c>
      <c r="L371">
        <v>43</v>
      </c>
      <c r="O371" s="29">
        <v>46313.705497685187</v>
      </c>
      <c r="P371" t="s">
        <v>43</v>
      </c>
      <c r="Q371" t="s">
        <v>64</v>
      </c>
      <c r="R371" t="s">
        <v>1207</v>
      </c>
      <c r="S371">
        <v>4247</v>
      </c>
      <c r="T371" t="s">
        <v>41</v>
      </c>
      <c r="U371" s="29">
        <v>46313.712141203701</v>
      </c>
      <c r="V371" s="29">
        <v>46313.710694444446</v>
      </c>
      <c r="W371" t="s">
        <v>1208</v>
      </c>
      <c r="X371">
        <v>22411</v>
      </c>
      <c r="Z371">
        <v>0</v>
      </c>
      <c r="AA371" s="30">
        <v>0.7055555555555556</v>
      </c>
      <c r="AB371">
        <v>6</v>
      </c>
      <c r="AC371" t="s">
        <v>41</v>
      </c>
    </row>
    <row r="372" spans="1:29">
      <c r="A372" t="s">
        <v>77</v>
      </c>
      <c r="B372" s="29">
        <v>46313.704097222224</v>
      </c>
      <c r="C372">
        <v>853</v>
      </c>
      <c r="D372" t="s">
        <v>41</v>
      </c>
      <c r="E372">
        <v>3</v>
      </c>
      <c r="F372" t="s">
        <v>41</v>
      </c>
      <c r="G372" t="s">
        <v>41</v>
      </c>
      <c r="H372" t="s">
        <v>1209</v>
      </c>
      <c r="I372" s="29">
        <v>46313.704930555556</v>
      </c>
      <c r="J372" t="s">
        <v>41</v>
      </c>
      <c r="K372" s="29">
        <v>46313.704606481479</v>
      </c>
      <c r="L372">
        <v>27</v>
      </c>
      <c r="O372" s="29">
        <v>46313.703900462962</v>
      </c>
      <c r="P372" t="s">
        <v>43</v>
      </c>
      <c r="Q372" t="s">
        <v>79</v>
      </c>
      <c r="R372" t="s">
        <v>1210</v>
      </c>
      <c r="S372">
        <v>4247</v>
      </c>
      <c r="T372" t="s">
        <v>41</v>
      </c>
      <c r="U372" s="29">
        <v>46313.707453703704</v>
      </c>
      <c r="V372" s="29">
        <v>46313.706435185188</v>
      </c>
      <c r="W372" t="s">
        <v>1211</v>
      </c>
      <c r="X372">
        <v>22411</v>
      </c>
      <c r="Z372">
        <v>0</v>
      </c>
      <c r="AA372" s="30">
        <v>0.70347222222222217</v>
      </c>
      <c r="AB372">
        <v>2</v>
      </c>
      <c r="AC372" t="s">
        <v>41</v>
      </c>
    </row>
    <row r="373" spans="1:29">
      <c r="A373" t="s">
        <v>57</v>
      </c>
      <c r="B373" s="29">
        <v>46313.703622685185</v>
      </c>
      <c r="C373">
        <v>1858</v>
      </c>
      <c r="D373" t="s">
        <v>41</v>
      </c>
      <c r="E373">
        <v>5</v>
      </c>
      <c r="F373" t="s">
        <v>41</v>
      </c>
      <c r="G373" t="s">
        <v>41</v>
      </c>
      <c r="H373" t="s">
        <v>1212</v>
      </c>
      <c r="I373" s="29">
        <v>46313.705138888887</v>
      </c>
      <c r="J373" t="s">
        <v>41</v>
      </c>
      <c r="K373" s="29">
        <v>46313.704884259256</v>
      </c>
      <c r="L373">
        <v>21</v>
      </c>
      <c r="O373" s="29">
        <v>46313.7033912037</v>
      </c>
      <c r="P373" t="s">
        <v>43</v>
      </c>
      <c r="Q373" t="s">
        <v>59</v>
      </c>
      <c r="R373" t="s">
        <v>1213</v>
      </c>
      <c r="S373">
        <v>4247</v>
      </c>
      <c r="T373" t="s">
        <v>41</v>
      </c>
      <c r="U373" s="29">
        <v>46313.709664351853</v>
      </c>
      <c r="V373" s="29">
        <v>46313.708495370367</v>
      </c>
      <c r="W373" t="s">
        <v>1214</v>
      </c>
      <c r="X373">
        <v>22411</v>
      </c>
      <c r="Z373">
        <v>0</v>
      </c>
      <c r="AA373" s="30">
        <v>0.70347222222222217</v>
      </c>
      <c r="AB373">
        <v>5</v>
      </c>
      <c r="AC373" t="s">
        <v>41</v>
      </c>
    </row>
    <row r="374" spans="1:29">
      <c r="A374" t="s">
        <v>734</v>
      </c>
      <c r="B374" s="29">
        <v>46313.702650462961</v>
      </c>
      <c r="C374">
        <v>1994</v>
      </c>
      <c r="D374" t="s">
        <v>41</v>
      </c>
      <c r="E374">
        <v>5</v>
      </c>
      <c r="F374" t="s">
        <v>41</v>
      </c>
      <c r="G374" t="s">
        <v>41</v>
      </c>
      <c r="H374" t="s">
        <v>1215</v>
      </c>
      <c r="I374" s="29">
        <v>46313.703935185185</v>
      </c>
      <c r="J374" t="s">
        <v>41</v>
      </c>
      <c r="K374" s="29">
        <v>46313.703680555554</v>
      </c>
      <c r="L374">
        <v>21</v>
      </c>
      <c r="O374" s="29">
        <v>46313.702534722222</v>
      </c>
      <c r="P374" t="s">
        <v>43</v>
      </c>
      <c r="Q374" t="s">
        <v>736</v>
      </c>
      <c r="R374" t="s">
        <v>1216</v>
      </c>
      <c r="S374">
        <v>4247</v>
      </c>
      <c r="T374" t="s">
        <v>41</v>
      </c>
      <c r="U374" s="29">
        <v>46313.708854166667</v>
      </c>
      <c r="V374" s="29">
        <v>46313.706967592596</v>
      </c>
      <c r="W374" t="s">
        <v>1217</v>
      </c>
      <c r="X374">
        <v>22411</v>
      </c>
      <c r="Z374">
        <v>0</v>
      </c>
      <c r="AA374" s="30">
        <v>0.70208333333333339</v>
      </c>
      <c r="AB374">
        <v>4</v>
      </c>
      <c r="AC374" t="s">
        <v>41</v>
      </c>
    </row>
    <row r="375" spans="1:29">
      <c r="A375" t="s">
        <v>339</v>
      </c>
      <c r="B375" s="29">
        <v>46313.70071759259</v>
      </c>
      <c r="C375">
        <v>2169</v>
      </c>
      <c r="D375" t="s">
        <v>41</v>
      </c>
      <c r="E375">
        <v>9</v>
      </c>
      <c r="F375" t="s">
        <v>41</v>
      </c>
      <c r="G375" t="s">
        <v>41</v>
      </c>
      <c r="H375" t="s">
        <v>1218</v>
      </c>
      <c r="I375" s="29">
        <v>46313.701620370368</v>
      </c>
      <c r="J375" t="s">
        <v>41</v>
      </c>
      <c r="K375" s="29">
        <v>46313.701377314814</v>
      </c>
      <c r="L375">
        <v>20</v>
      </c>
      <c r="O375" s="29">
        <v>46313.700659722221</v>
      </c>
      <c r="P375" t="s">
        <v>43</v>
      </c>
      <c r="Q375" t="s">
        <v>341</v>
      </c>
      <c r="R375" t="s">
        <v>1219</v>
      </c>
      <c r="S375">
        <v>4247</v>
      </c>
      <c r="T375" t="s">
        <v>41</v>
      </c>
      <c r="U375" s="29">
        <v>46313.707905092589</v>
      </c>
      <c r="V375" s="29">
        <v>46313.707303240742</v>
      </c>
      <c r="W375" t="s">
        <v>1220</v>
      </c>
      <c r="X375">
        <v>22411</v>
      </c>
      <c r="Z375">
        <v>0</v>
      </c>
      <c r="AA375" s="30">
        <v>0.7006944444444444</v>
      </c>
      <c r="AB375">
        <v>8</v>
      </c>
      <c r="AC375" t="s">
        <v>41</v>
      </c>
    </row>
    <row r="376" spans="1:29">
      <c r="A376" t="s">
        <v>1171</v>
      </c>
      <c r="B376" s="29">
        <v>46313.698449074072</v>
      </c>
      <c r="C376">
        <v>1531</v>
      </c>
      <c r="D376" t="s">
        <v>41</v>
      </c>
      <c r="E376">
        <v>5</v>
      </c>
      <c r="F376" t="s">
        <v>41</v>
      </c>
      <c r="G376" t="s">
        <v>41</v>
      </c>
      <c r="H376" t="s">
        <v>1221</v>
      </c>
      <c r="I376" s="29">
        <v>46313.700057870374</v>
      </c>
      <c r="J376" t="s">
        <v>41</v>
      </c>
      <c r="K376" s="29">
        <v>46313.699571759258</v>
      </c>
      <c r="L376">
        <v>41</v>
      </c>
      <c r="O376" s="29">
        <v>46313.698263888888</v>
      </c>
      <c r="P376" t="s">
        <v>43</v>
      </c>
      <c r="Q376" t="s">
        <v>1173</v>
      </c>
      <c r="R376" t="s">
        <v>1222</v>
      </c>
      <c r="S376">
        <v>4247</v>
      </c>
      <c r="T376" t="s">
        <v>41</v>
      </c>
      <c r="U376" s="29">
        <v>46313.704247685186</v>
      </c>
      <c r="V376" s="29">
        <v>46313.702928240738</v>
      </c>
      <c r="W376" t="s">
        <v>1223</v>
      </c>
      <c r="X376">
        <v>22411</v>
      </c>
      <c r="Z376">
        <v>0</v>
      </c>
      <c r="AA376" s="30">
        <v>0.69791666666666663</v>
      </c>
      <c r="AB376">
        <v>4</v>
      </c>
      <c r="AC376" t="s">
        <v>41</v>
      </c>
    </row>
    <row r="377" spans="1:29">
      <c r="A377" t="s">
        <v>177</v>
      </c>
      <c r="B377" s="29">
        <v>46313.698449074072</v>
      </c>
      <c r="C377">
        <v>1921</v>
      </c>
      <c r="D377" t="s">
        <v>41</v>
      </c>
      <c r="E377">
        <v>5</v>
      </c>
      <c r="F377" t="s">
        <v>41</v>
      </c>
      <c r="G377" t="s">
        <v>41</v>
      </c>
      <c r="H377" t="s">
        <v>1224</v>
      </c>
      <c r="I377" s="29">
        <v>46313.698969907404</v>
      </c>
      <c r="J377" t="s">
        <v>41</v>
      </c>
      <c r="K377" s="29">
        <v>46313.698622685188</v>
      </c>
      <c r="L377">
        <v>29</v>
      </c>
      <c r="O377" s="29">
        <v>46313.69798611111</v>
      </c>
      <c r="P377" t="s">
        <v>43</v>
      </c>
      <c r="Q377" t="s">
        <v>179</v>
      </c>
      <c r="R377" t="s">
        <v>1225</v>
      </c>
      <c r="S377">
        <v>4247</v>
      </c>
      <c r="T377" t="s">
        <v>41</v>
      </c>
      <c r="U377" s="29">
        <v>46313.70416666667</v>
      </c>
      <c r="V377" s="29">
        <v>46313.701886574076</v>
      </c>
      <c r="W377" t="s">
        <v>1226</v>
      </c>
      <c r="X377">
        <v>22411</v>
      </c>
      <c r="Z377">
        <v>0</v>
      </c>
      <c r="AA377" s="30">
        <v>0.69791666666666663</v>
      </c>
      <c r="AB377">
        <v>4</v>
      </c>
      <c r="AC377" t="s">
        <v>41</v>
      </c>
    </row>
    <row r="378" spans="1:29">
      <c r="A378" t="s">
        <v>52</v>
      </c>
      <c r="B378" s="29">
        <v>46313.698194444441</v>
      </c>
      <c r="C378">
        <v>1030</v>
      </c>
      <c r="D378" t="s">
        <v>41</v>
      </c>
      <c r="E378">
        <v>4</v>
      </c>
      <c r="F378" t="s">
        <v>41</v>
      </c>
      <c r="G378" t="s">
        <v>41</v>
      </c>
      <c r="H378" t="s">
        <v>1227</v>
      </c>
      <c r="I378" s="29">
        <v>46313.698530092595</v>
      </c>
      <c r="J378" t="s">
        <v>41</v>
      </c>
      <c r="K378" s="29">
        <v>46313.69809027778</v>
      </c>
      <c r="L378">
        <v>29</v>
      </c>
      <c r="O378" s="29">
        <v>46313.696921296294</v>
      </c>
      <c r="P378" t="s">
        <v>43</v>
      </c>
      <c r="Q378" t="s">
        <v>54</v>
      </c>
      <c r="R378" t="s">
        <v>1228</v>
      </c>
      <c r="S378">
        <v>4247</v>
      </c>
      <c r="T378" t="s">
        <v>41</v>
      </c>
      <c r="U378" s="29">
        <v>46313.701458333337</v>
      </c>
      <c r="V378" s="29">
        <v>46313.701249999998</v>
      </c>
      <c r="W378" t="s">
        <v>1229</v>
      </c>
      <c r="X378">
        <v>22411</v>
      </c>
      <c r="Z378">
        <v>0</v>
      </c>
      <c r="AA378" s="30">
        <v>0.69791666666666663</v>
      </c>
      <c r="AB378">
        <v>4</v>
      </c>
      <c r="AC378" t="s">
        <v>41</v>
      </c>
    </row>
    <row r="379" spans="1:29">
      <c r="A379" t="s">
        <v>72</v>
      </c>
      <c r="B379" s="29">
        <v>46313.696840277778</v>
      </c>
      <c r="C379">
        <v>1367</v>
      </c>
      <c r="D379" t="s">
        <v>41</v>
      </c>
      <c r="E379">
        <v>3</v>
      </c>
      <c r="F379" t="s">
        <v>41</v>
      </c>
      <c r="G379" t="s">
        <v>41</v>
      </c>
      <c r="H379" t="s">
        <v>1230</v>
      </c>
      <c r="I379" s="29">
        <v>46313.697824074072</v>
      </c>
      <c r="J379" t="s">
        <v>41</v>
      </c>
      <c r="K379" s="29">
        <v>46313.697372685187</v>
      </c>
      <c r="L379">
        <v>38</v>
      </c>
      <c r="O379" s="29">
        <v>46313.696712962963</v>
      </c>
      <c r="P379" t="s">
        <v>43</v>
      </c>
      <c r="Q379" t="s">
        <v>74</v>
      </c>
      <c r="R379" t="s">
        <v>1231</v>
      </c>
      <c r="S379">
        <v>4247</v>
      </c>
      <c r="T379" t="s">
        <v>41</v>
      </c>
      <c r="U379" s="29">
        <v>46313.701562499999</v>
      </c>
      <c r="V379" s="29">
        <v>46313.699780092589</v>
      </c>
      <c r="W379" t="s">
        <v>1232</v>
      </c>
      <c r="X379">
        <v>22411</v>
      </c>
      <c r="Z379">
        <v>0</v>
      </c>
      <c r="AA379" s="30">
        <v>0.69652777777777775</v>
      </c>
      <c r="AB379">
        <v>3</v>
      </c>
      <c r="AC379" t="s">
        <v>41</v>
      </c>
    </row>
    <row r="380" spans="1:29">
      <c r="A380" t="s">
        <v>655</v>
      </c>
      <c r="B380" s="29">
        <v>46313.695810185185</v>
      </c>
      <c r="C380">
        <v>2141</v>
      </c>
      <c r="D380" t="s">
        <v>41</v>
      </c>
      <c r="E380">
        <v>6</v>
      </c>
      <c r="F380" t="s">
        <v>41</v>
      </c>
      <c r="G380" t="s">
        <v>41</v>
      </c>
      <c r="H380" t="s">
        <v>1233</v>
      </c>
      <c r="I380" s="29">
        <v>46313.696284722224</v>
      </c>
      <c r="J380" t="s">
        <v>41</v>
      </c>
      <c r="K380" s="29">
        <v>46313.694722222222</v>
      </c>
      <c r="L380">
        <v>41</v>
      </c>
      <c r="O380" s="29">
        <v>46313.693460648145</v>
      </c>
      <c r="P380" t="s">
        <v>43</v>
      </c>
      <c r="Q380" t="s">
        <v>657</v>
      </c>
      <c r="R380" t="s">
        <v>1234</v>
      </c>
      <c r="S380">
        <v>4247</v>
      </c>
      <c r="T380" t="s">
        <v>41</v>
      </c>
      <c r="U380" s="29">
        <v>46313.703125</v>
      </c>
      <c r="V380" s="29">
        <v>46313.70003472222</v>
      </c>
      <c r="W380" t="s">
        <v>1235</v>
      </c>
      <c r="X380">
        <v>22411</v>
      </c>
      <c r="Z380">
        <v>0</v>
      </c>
      <c r="AA380" s="30">
        <v>0.69513888888888886</v>
      </c>
      <c r="AB380">
        <v>5</v>
      </c>
      <c r="AC380" t="s">
        <v>41</v>
      </c>
    </row>
    <row r="381" spans="1:29">
      <c r="A381" t="s">
        <v>125</v>
      </c>
      <c r="B381" s="29">
        <v>46313.694293981483</v>
      </c>
      <c r="C381">
        <v>2183</v>
      </c>
      <c r="D381" t="s">
        <v>41</v>
      </c>
      <c r="E381">
        <v>11</v>
      </c>
      <c r="F381" t="s">
        <v>41</v>
      </c>
      <c r="G381" t="s">
        <v>41</v>
      </c>
      <c r="H381" t="s">
        <v>1236</v>
      </c>
      <c r="I381" s="29">
        <v>46313.694548611114</v>
      </c>
      <c r="J381" t="s">
        <v>41</v>
      </c>
      <c r="K381" s="29">
        <v>46313.693668981483</v>
      </c>
      <c r="L381">
        <v>23</v>
      </c>
      <c r="O381" s="29">
        <v>46313.691319444442</v>
      </c>
      <c r="P381" t="s">
        <v>43</v>
      </c>
      <c r="Q381" t="s">
        <v>3006</v>
      </c>
      <c r="R381" t="s">
        <v>1237</v>
      </c>
      <c r="S381">
        <v>4247</v>
      </c>
      <c r="T381" t="s">
        <v>41</v>
      </c>
      <c r="U381" s="29">
        <v>46313.70040509259</v>
      </c>
      <c r="V381" s="29">
        <v>46313.701898148145</v>
      </c>
      <c r="W381" t="s">
        <v>1238</v>
      </c>
      <c r="X381">
        <v>22411</v>
      </c>
      <c r="Z381">
        <v>0</v>
      </c>
      <c r="AA381" s="30">
        <v>0.69374999999999998</v>
      </c>
      <c r="AB381">
        <v>11</v>
      </c>
      <c r="AC381" t="s">
        <v>41</v>
      </c>
    </row>
    <row r="382" spans="1:29">
      <c r="A382" t="s">
        <v>1239</v>
      </c>
      <c r="B382" s="29">
        <v>46313.694016203706</v>
      </c>
      <c r="C382">
        <v>2785</v>
      </c>
      <c r="D382" t="s">
        <v>41</v>
      </c>
      <c r="E382">
        <v>7</v>
      </c>
      <c r="F382" t="s">
        <v>41</v>
      </c>
      <c r="G382" t="s">
        <v>41</v>
      </c>
      <c r="H382" t="s">
        <v>1240</v>
      </c>
      <c r="I382" s="29">
        <v>46313.694502314815</v>
      </c>
      <c r="J382" t="s">
        <v>41</v>
      </c>
      <c r="K382" s="29">
        <v>46313.692407407405</v>
      </c>
      <c r="L382">
        <v>42</v>
      </c>
      <c r="O382" s="29">
        <v>46313.691111111111</v>
      </c>
      <c r="P382" t="s">
        <v>43</v>
      </c>
      <c r="Q382" t="s">
        <v>1241</v>
      </c>
      <c r="R382" t="s">
        <v>1242</v>
      </c>
      <c r="S382">
        <v>4247</v>
      </c>
      <c r="T382" t="s">
        <v>41</v>
      </c>
      <c r="U382" s="29">
        <v>46313.701990740738</v>
      </c>
      <c r="V382" s="29">
        <v>46313.69871527778</v>
      </c>
      <c r="W382" t="s">
        <v>1243</v>
      </c>
      <c r="X382">
        <v>22411</v>
      </c>
      <c r="Z382">
        <v>0</v>
      </c>
      <c r="AA382" s="30">
        <v>0.69374999999999998</v>
      </c>
      <c r="AB382">
        <v>6</v>
      </c>
      <c r="AC382" t="s">
        <v>41</v>
      </c>
    </row>
    <row r="383" spans="1:29">
      <c r="A383" t="s">
        <v>1136</v>
      </c>
      <c r="B383" s="29">
        <v>46313.69222222222</v>
      </c>
      <c r="C383">
        <v>2341</v>
      </c>
      <c r="D383" t="s">
        <v>41</v>
      </c>
      <c r="E383">
        <v>9</v>
      </c>
      <c r="F383" t="s">
        <v>41</v>
      </c>
      <c r="G383" t="s">
        <v>41</v>
      </c>
      <c r="H383" t="s">
        <v>1244</v>
      </c>
      <c r="I383" s="29">
        <v>46313.692511574074</v>
      </c>
      <c r="J383" t="s">
        <v>41</v>
      </c>
      <c r="K383" s="29">
        <v>46313.691284722219</v>
      </c>
      <c r="L383">
        <v>25</v>
      </c>
      <c r="O383" s="29">
        <v>46313.690416666665</v>
      </c>
      <c r="P383" t="s">
        <v>43</v>
      </c>
      <c r="Q383" t="s">
        <v>1138</v>
      </c>
      <c r="R383" t="s">
        <v>1245</v>
      </c>
      <c r="S383">
        <v>4247</v>
      </c>
      <c r="T383" t="s">
        <v>41</v>
      </c>
      <c r="U383" s="29">
        <v>46313.699131944442</v>
      </c>
      <c r="V383" s="29">
        <v>46313.698425925926</v>
      </c>
      <c r="W383" t="s">
        <v>1246</v>
      </c>
      <c r="X383">
        <v>22411</v>
      </c>
      <c r="Z383">
        <v>0</v>
      </c>
      <c r="AA383" s="30">
        <v>0.69166666666666676</v>
      </c>
      <c r="AB383">
        <v>9</v>
      </c>
      <c r="AC383" t="s">
        <v>41</v>
      </c>
    </row>
    <row r="384" spans="1:29">
      <c r="A384" t="s">
        <v>347</v>
      </c>
      <c r="B384" s="29">
        <v>46313.691574074073</v>
      </c>
      <c r="C384">
        <v>2559</v>
      </c>
      <c r="D384" t="s">
        <v>41</v>
      </c>
      <c r="E384">
        <v>7</v>
      </c>
      <c r="F384" t="s">
        <v>41</v>
      </c>
      <c r="G384" t="s">
        <v>41</v>
      </c>
      <c r="H384" t="s">
        <v>1247</v>
      </c>
      <c r="I384" s="29">
        <v>46313.691805555558</v>
      </c>
      <c r="J384" t="s">
        <v>41</v>
      </c>
      <c r="K384" s="29">
        <v>46313.69158564815</v>
      </c>
      <c r="L384">
        <v>18</v>
      </c>
      <c r="O384" s="29">
        <v>46313.689687500002</v>
      </c>
      <c r="P384" t="s">
        <v>43</v>
      </c>
      <c r="Q384" t="s">
        <v>349</v>
      </c>
      <c r="R384" t="s">
        <v>1248</v>
      </c>
      <c r="S384">
        <v>4247</v>
      </c>
      <c r="T384" t="s">
        <v>41</v>
      </c>
      <c r="U384" s="29">
        <v>46313.697812500002</v>
      </c>
      <c r="V384" s="29">
        <v>46313.696331018517</v>
      </c>
      <c r="W384" t="s">
        <v>1249</v>
      </c>
      <c r="X384">
        <v>22411</v>
      </c>
      <c r="Z384">
        <v>0</v>
      </c>
      <c r="AA384" s="30">
        <v>0.69097222222222221</v>
      </c>
      <c r="AB384">
        <v>7</v>
      </c>
      <c r="AC384" t="s">
        <v>41</v>
      </c>
    </row>
    <row r="385" spans="1:29">
      <c r="A385" t="s">
        <v>57</v>
      </c>
      <c r="B385" s="29">
        <v>46313.690185185187</v>
      </c>
      <c r="C385">
        <v>1464</v>
      </c>
      <c r="D385" t="s">
        <v>41</v>
      </c>
      <c r="E385">
        <v>5</v>
      </c>
      <c r="F385" t="s">
        <v>41</v>
      </c>
      <c r="G385" t="s">
        <v>41</v>
      </c>
      <c r="H385" t="s">
        <v>1250</v>
      </c>
      <c r="I385" s="29">
        <v>46313.690370370372</v>
      </c>
      <c r="J385" t="s">
        <v>41</v>
      </c>
      <c r="K385" s="29">
        <v>46313.689780092594</v>
      </c>
      <c r="L385">
        <v>16</v>
      </c>
      <c r="O385" s="29">
        <v>46313.689062500001</v>
      </c>
      <c r="P385" t="s">
        <v>43</v>
      </c>
      <c r="Q385" t="s">
        <v>59</v>
      </c>
      <c r="R385" t="s">
        <v>1251</v>
      </c>
      <c r="S385">
        <v>4247</v>
      </c>
      <c r="T385" t="s">
        <v>41</v>
      </c>
      <c r="U385" s="29">
        <v>46313.695243055554</v>
      </c>
      <c r="V385" s="29">
        <v>46313.693425925929</v>
      </c>
      <c r="W385" t="s">
        <v>1252</v>
      </c>
      <c r="X385">
        <v>22411</v>
      </c>
      <c r="Z385">
        <v>0</v>
      </c>
      <c r="AA385" s="30">
        <v>0.68958333333333333</v>
      </c>
      <c r="AB385">
        <v>4</v>
      </c>
      <c r="AC385" t="s">
        <v>41</v>
      </c>
    </row>
    <row r="386" spans="1:29">
      <c r="A386" t="s">
        <v>98</v>
      </c>
      <c r="B386" s="29">
        <v>46313.689305555556</v>
      </c>
      <c r="C386">
        <v>2119</v>
      </c>
      <c r="D386" t="s">
        <v>41</v>
      </c>
      <c r="E386">
        <v>5</v>
      </c>
      <c r="F386" t="s">
        <v>41</v>
      </c>
      <c r="G386" t="s">
        <v>41</v>
      </c>
      <c r="H386" t="s">
        <v>1253</v>
      </c>
      <c r="I386" s="29">
        <v>46313.689560185187</v>
      </c>
      <c r="J386" t="s">
        <v>41</v>
      </c>
      <c r="K386" s="29">
        <v>46313.688981481479</v>
      </c>
      <c r="L386">
        <v>23</v>
      </c>
      <c r="O386" s="29">
        <v>46313.687581018516</v>
      </c>
      <c r="P386" t="s">
        <v>43</v>
      </c>
      <c r="Q386" t="s">
        <v>3005</v>
      </c>
      <c r="R386" t="s">
        <v>1254</v>
      </c>
      <c r="S386">
        <v>4247</v>
      </c>
      <c r="T386" t="s">
        <v>41</v>
      </c>
      <c r="U386" s="29">
        <v>46313.695104166669</v>
      </c>
      <c r="V386" s="29">
        <v>46313.69295138889</v>
      </c>
      <c r="W386" t="s">
        <v>1255</v>
      </c>
      <c r="X386">
        <v>22411</v>
      </c>
      <c r="Z386">
        <v>0</v>
      </c>
      <c r="AA386" s="30">
        <v>0.68888888888888899</v>
      </c>
      <c r="AB386">
        <v>5</v>
      </c>
      <c r="AC386" t="s">
        <v>41</v>
      </c>
    </row>
    <row r="387" spans="1:29">
      <c r="A387" t="s">
        <v>62</v>
      </c>
      <c r="B387" s="29">
        <v>46313.689016203702</v>
      </c>
      <c r="C387">
        <v>1649</v>
      </c>
      <c r="D387" t="s">
        <v>41</v>
      </c>
      <c r="E387">
        <v>6</v>
      </c>
      <c r="F387" t="s">
        <v>41</v>
      </c>
      <c r="G387" t="s">
        <v>41</v>
      </c>
      <c r="H387" t="s">
        <v>1256</v>
      </c>
      <c r="I387" s="29">
        <v>46313.689363425925</v>
      </c>
      <c r="J387" t="s">
        <v>41</v>
      </c>
      <c r="K387" s="29">
        <v>46313.688217592593</v>
      </c>
      <c r="L387">
        <v>30</v>
      </c>
      <c r="O387" s="29">
        <v>46313.687442129631</v>
      </c>
      <c r="P387" t="s">
        <v>43</v>
      </c>
      <c r="Q387" t="s">
        <v>64</v>
      </c>
      <c r="R387" t="s">
        <v>1257</v>
      </c>
      <c r="S387">
        <v>4247</v>
      </c>
      <c r="T387" t="s">
        <v>41</v>
      </c>
      <c r="U387" s="29">
        <v>46313.694050925929</v>
      </c>
      <c r="V387" s="29">
        <v>46313.692847222221</v>
      </c>
      <c r="W387" t="s">
        <v>1258</v>
      </c>
      <c r="X387">
        <v>22411</v>
      </c>
      <c r="Z387">
        <v>0</v>
      </c>
      <c r="AA387" s="30">
        <v>0.68888888888888899</v>
      </c>
      <c r="AB387">
        <v>5</v>
      </c>
      <c r="AC387" t="s">
        <v>41</v>
      </c>
    </row>
    <row r="388" spans="1:29">
      <c r="A388" t="s">
        <v>106</v>
      </c>
      <c r="B388" s="29">
        <v>46313.688923611109</v>
      </c>
      <c r="C388">
        <v>2092</v>
      </c>
      <c r="D388" t="s">
        <v>41</v>
      </c>
      <c r="E388">
        <v>7</v>
      </c>
      <c r="F388" t="s">
        <v>41</v>
      </c>
      <c r="G388" t="s">
        <v>41</v>
      </c>
      <c r="H388" t="s">
        <v>1259</v>
      </c>
      <c r="I388" s="29">
        <v>46313.689375000002</v>
      </c>
      <c r="J388" t="s">
        <v>41</v>
      </c>
      <c r="K388" s="29">
        <v>46313.687928240739</v>
      </c>
      <c r="L388">
        <v>39</v>
      </c>
      <c r="O388" s="29">
        <v>46313.686585648145</v>
      </c>
      <c r="P388" t="s">
        <v>43</v>
      </c>
      <c r="Q388" t="s">
        <v>108</v>
      </c>
      <c r="R388" t="s">
        <v>1260</v>
      </c>
      <c r="S388">
        <v>4247</v>
      </c>
      <c r="T388" t="s">
        <v>41</v>
      </c>
      <c r="U388" s="29">
        <v>46313.69425925926</v>
      </c>
      <c r="V388" s="29">
        <v>46313.693749999999</v>
      </c>
      <c r="W388" t="s">
        <v>1261</v>
      </c>
      <c r="X388">
        <v>22411</v>
      </c>
      <c r="Z388">
        <v>0</v>
      </c>
      <c r="AA388" s="30">
        <v>0.68888888888888899</v>
      </c>
      <c r="AB388">
        <v>6</v>
      </c>
      <c r="AC388" t="s">
        <v>41</v>
      </c>
    </row>
    <row r="389" spans="1:29">
      <c r="A389" t="s">
        <v>734</v>
      </c>
      <c r="B389" s="29">
        <v>46313.688773148147</v>
      </c>
      <c r="C389">
        <v>1465</v>
      </c>
      <c r="D389" t="s">
        <v>41</v>
      </c>
      <c r="E389">
        <v>6</v>
      </c>
      <c r="F389" t="s">
        <v>41</v>
      </c>
      <c r="G389" t="s">
        <v>41</v>
      </c>
      <c r="H389" t="s">
        <v>1262</v>
      </c>
      <c r="I389" s="29">
        <v>46313.689270833333</v>
      </c>
      <c r="J389" t="s">
        <v>41</v>
      </c>
      <c r="K389" s="29">
        <v>46313.68849537037</v>
      </c>
      <c r="L389">
        <v>43</v>
      </c>
      <c r="O389" s="29">
        <v>46313.686331018522</v>
      </c>
      <c r="P389" t="s">
        <v>43</v>
      </c>
      <c r="Q389" t="s">
        <v>736</v>
      </c>
      <c r="R389" t="s">
        <v>1263</v>
      </c>
      <c r="S389">
        <v>4247</v>
      </c>
      <c r="T389" t="s">
        <v>41</v>
      </c>
      <c r="U389" s="29">
        <v>46313.693159722221</v>
      </c>
      <c r="V389" s="29">
        <v>46313.692789351851</v>
      </c>
      <c r="W389" t="s">
        <v>1264</v>
      </c>
      <c r="X389">
        <v>22411</v>
      </c>
      <c r="Z389">
        <v>0</v>
      </c>
      <c r="AA389" s="30">
        <v>0.68819444444444444</v>
      </c>
      <c r="AB389">
        <v>5</v>
      </c>
      <c r="AC389" t="s">
        <v>41</v>
      </c>
    </row>
    <row r="390" spans="1:29">
      <c r="A390" t="s">
        <v>52</v>
      </c>
      <c r="B390" s="29">
        <v>46313.688634259262</v>
      </c>
      <c r="C390">
        <v>899</v>
      </c>
      <c r="D390" t="s">
        <v>41</v>
      </c>
      <c r="E390">
        <v>4</v>
      </c>
      <c r="F390" t="s">
        <v>41</v>
      </c>
      <c r="G390" t="s">
        <v>41</v>
      </c>
      <c r="H390" t="s">
        <v>1265</v>
      </c>
      <c r="I390" s="29">
        <v>46313.689351851855</v>
      </c>
      <c r="J390" t="s">
        <v>41</v>
      </c>
      <c r="K390" s="29">
        <v>46313.688946759263</v>
      </c>
      <c r="L390">
        <v>34</v>
      </c>
      <c r="O390" s="29">
        <v>46313.685613425929</v>
      </c>
      <c r="P390" t="s">
        <v>43</v>
      </c>
      <c r="Q390" t="s">
        <v>54</v>
      </c>
      <c r="R390" t="s">
        <v>1266</v>
      </c>
      <c r="S390">
        <v>4247</v>
      </c>
      <c r="T390" t="s">
        <v>41</v>
      </c>
      <c r="U390" s="29">
        <v>46313.692002314812</v>
      </c>
      <c r="V390" s="29">
        <v>46313.691631944443</v>
      </c>
      <c r="W390" t="s">
        <v>1267</v>
      </c>
      <c r="X390">
        <v>22411</v>
      </c>
      <c r="Z390">
        <v>0</v>
      </c>
      <c r="AA390" s="30">
        <v>0.68819444444444444</v>
      </c>
      <c r="AB390">
        <v>3</v>
      </c>
      <c r="AC390" t="s">
        <v>41</v>
      </c>
    </row>
    <row r="391" spans="1:29">
      <c r="A391" t="s">
        <v>125</v>
      </c>
      <c r="B391" s="29">
        <v>46313.68787037037</v>
      </c>
      <c r="C391">
        <v>960</v>
      </c>
      <c r="D391" t="s">
        <v>41</v>
      </c>
      <c r="E391">
        <v>3</v>
      </c>
      <c r="F391" t="s">
        <v>41</v>
      </c>
      <c r="G391" t="s">
        <v>41</v>
      </c>
      <c r="H391" t="s">
        <v>1268</v>
      </c>
      <c r="I391" s="29">
        <v>46313.688148148147</v>
      </c>
      <c r="J391" t="s">
        <v>41</v>
      </c>
      <c r="K391" s="29">
        <v>46313.686655092592</v>
      </c>
      <c r="L391">
        <v>24</v>
      </c>
      <c r="O391" s="29">
        <v>46313.685277777775</v>
      </c>
      <c r="P391" t="s">
        <v>43</v>
      </c>
      <c r="Q391" t="s">
        <v>3006</v>
      </c>
      <c r="R391" t="s">
        <v>1269</v>
      </c>
      <c r="S391">
        <v>4247</v>
      </c>
      <c r="T391" t="s">
        <v>41</v>
      </c>
      <c r="U391" s="29">
        <v>46313.690729166665</v>
      </c>
      <c r="V391" s="29">
        <v>46313.69021990741</v>
      </c>
      <c r="W391" t="s">
        <v>1270</v>
      </c>
      <c r="X391">
        <v>22411</v>
      </c>
      <c r="Z391">
        <v>0</v>
      </c>
      <c r="AA391" s="30">
        <v>0.6875</v>
      </c>
      <c r="AB391">
        <v>3</v>
      </c>
      <c r="AC391" t="s">
        <v>41</v>
      </c>
    </row>
    <row r="392" spans="1:29">
      <c r="A392" t="s">
        <v>1171</v>
      </c>
      <c r="B392" s="29">
        <v>46313.686342592591</v>
      </c>
      <c r="C392">
        <v>2234</v>
      </c>
      <c r="D392" t="s">
        <v>41</v>
      </c>
      <c r="E392">
        <v>7</v>
      </c>
      <c r="F392" t="s">
        <v>41</v>
      </c>
      <c r="G392" t="s">
        <v>41</v>
      </c>
      <c r="H392" t="s">
        <v>1271</v>
      </c>
      <c r="I392" s="29">
        <v>46313.687592592592</v>
      </c>
      <c r="J392" t="s">
        <v>41</v>
      </c>
      <c r="K392" s="29">
        <v>46313.687071759261</v>
      </c>
      <c r="L392">
        <v>44</v>
      </c>
      <c r="O392" s="29">
        <v>46313.684895833336</v>
      </c>
      <c r="P392" t="s">
        <v>43</v>
      </c>
      <c r="Q392" t="s">
        <v>1173</v>
      </c>
      <c r="R392" t="s">
        <v>1272</v>
      </c>
      <c r="S392">
        <v>4247</v>
      </c>
      <c r="T392" t="s">
        <v>41</v>
      </c>
      <c r="U392" s="29">
        <v>46313.692696759259</v>
      </c>
      <c r="V392" s="29">
        <v>46313.691944444443</v>
      </c>
      <c r="W392" t="s">
        <v>1273</v>
      </c>
      <c r="X392">
        <v>22411</v>
      </c>
      <c r="Z392">
        <v>0</v>
      </c>
      <c r="AA392" s="30">
        <v>0.68611111111111101</v>
      </c>
      <c r="AB392">
        <v>6</v>
      </c>
      <c r="AC392" t="s">
        <v>41</v>
      </c>
    </row>
    <row r="393" spans="1:29">
      <c r="A393" t="s">
        <v>339</v>
      </c>
      <c r="B393" s="29">
        <v>46313.685555555552</v>
      </c>
      <c r="C393">
        <v>1649</v>
      </c>
      <c r="D393" t="s">
        <v>41</v>
      </c>
      <c r="E393">
        <v>5</v>
      </c>
      <c r="F393" t="s">
        <v>41</v>
      </c>
      <c r="G393" t="s">
        <v>41</v>
      </c>
      <c r="H393" t="s">
        <v>1274</v>
      </c>
      <c r="I393" s="29">
        <v>46313.686643518522</v>
      </c>
      <c r="J393" t="s">
        <v>41</v>
      </c>
      <c r="K393" s="29">
        <v>46313.686238425929</v>
      </c>
      <c r="L393">
        <v>34</v>
      </c>
      <c r="O393" s="29">
        <v>46313.684895833336</v>
      </c>
      <c r="P393" t="s">
        <v>43</v>
      </c>
      <c r="Q393" t="s">
        <v>341</v>
      </c>
      <c r="R393" t="s">
        <v>1275</v>
      </c>
      <c r="S393">
        <v>4247</v>
      </c>
      <c r="T393" t="s">
        <v>41</v>
      </c>
      <c r="U393" s="29">
        <v>46313.691388888888</v>
      </c>
      <c r="V393" s="29">
        <v>46313.689849537041</v>
      </c>
      <c r="W393" t="s">
        <v>1276</v>
      </c>
      <c r="X393">
        <v>22411</v>
      </c>
      <c r="Z393">
        <v>0</v>
      </c>
      <c r="AA393" s="30">
        <v>0.68541666666666667</v>
      </c>
      <c r="AB393">
        <v>5</v>
      </c>
      <c r="AC393" t="s">
        <v>41</v>
      </c>
    </row>
    <row r="394" spans="1:29">
      <c r="A394" t="s">
        <v>1077</v>
      </c>
      <c r="B394" s="29">
        <v>46313.685069444444</v>
      </c>
      <c r="C394">
        <v>1327</v>
      </c>
      <c r="D394" t="s">
        <v>41</v>
      </c>
      <c r="E394">
        <v>4</v>
      </c>
      <c r="F394" t="s">
        <v>41</v>
      </c>
      <c r="G394" t="s">
        <v>41</v>
      </c>
      <c r="H394" t="s">
        <v>1277</v>
      </c>
      <c r="I394" s="29">
        <v>46313.689456018517</v>
      </c>
      <c r="J394" t="s">
        <v>41</v>
      </c>
      <c r="K394" s="29">
        <v>46313.689143518517</v>
      </c>
      <c r="L394">
        <v>26</v>
      </c>
      <c r="O394" s="29">
        <v>46313.684872685182</v>
      </c>
      <c r="P394" t="s">
        <v>43</v>
      </c>
      <c r="Q394" t="s">
        <v>1079</v>
      </c>
      <c r="R394" t="s">
        <v>1278</v>
      </c>
      <c r="S394">
        <v>4247</v>
      </c>
      <c r="T394" t="s">
        <v>41</v>
      </c>
      <c r="U394" s="29">
        <v>46313.69326388889</v>
      </c>
      <c r="V394" s="29">
        <v>46313.691828703704</v>
      </c>
      <c r="W394" t="s">
        <v>1279</v>
      </c>
      <c r="X394">
        <v>22411</v>
      </c>
      <c r="Z394">
        <v>0</v>
      </c>
      <c r="AA394" s="30">
        <v>0.68472222222222223</v>
      </c>
      <c r="AB394">
        <v>3</v>
      </c>
      <c r="AC394" t="s">
        <v>41</v>
      </c>
    </row>
    <row r="395" spans="1:29">
      <c r="A395" t="s">
        <v>77</v>
      </c>
      <c r="B395" s="29">
        <v>46313.683993055558</v>
      </c>
      <c r="C395">
        <v>2243</v>
      </c>
      <c r="D395" t="s">
        <v>41</v>
      </c>
      <c r="E395">
        <v>5</v>
      </c>
      <c r="F395" t="s">
        <v>41</v>
      </c>
      <c r="G395" t="s">
        <v>41</v>
      </c>
      <c r="H395" t="s">
        <v>1280</v>
      </c>
      <c r="I395" s="29">
        <v>46313.685740740744</v>
      </c>
      <c r="J395" t="s">
        <v>41</v>
      </c>
      <c r="K395" s="29">
        <v>46313.685428240744</v>
      </c>
      <c r="L395">
        <v>26</v>
      </c>
      <c r="O395" s="29">
        <v>46313.683900462966</v>
      </c>
      <c r="P395" t="s">
        <v>43</v>
      </c>
      <c r="Q395" t="s">
        <v>79</v>
      </c>
      <c r="R395" t="s">
        <v>1281</v>
      </c>
      <c r="S395">
        <v>4247</v>
      </c>
      <c r="T395" t="s">
        <v>41</v>
      </c>
      <c r="U395" s="29">
        <v>46313.690706018519</v>
      </c>
      <c r="V395" s="29">
        <v>46313.688819444447</v>
      </c>
      <c r="W395" t="s">
        <v>1282</v>
      </c>
      <c r="X395">
        <v>22411</v>
      </c>
      <c r="Z395">
        <v>0</v>
      </c>
      <c r="AA395" s="30">
        <v>0.68333333333333324</v>
      </c>
      <c r="AB395">
        <v>4</v>
      </c>
      <c r="AC395" t="s">
        <v>41</v>
      </c>
    </row>
    <row r="396" spans="1:29">
      <c r="A396" t="s">
        <v>339</v>
      </c>
      <c r="B396" s="29">
        <v>46313.681840277779</v>
      </c>
      <c r="C396">
        <v>226</v>
      </c>
      <c r="D396" t="s">
        <v>41</v>
      </c>
      <c r="E396">
        <v>1</v>
      </c>
      <c r="F396" t="s">
        <v>41</v>
      </c>
      <c r="G396" t="s">
        <v>41</v>
      </c>
      <c r="H396" t="s">
        <v>1283</v>
      </c>
      <c r="I396" s="29">
        <v>46313.682615740741</v>
      </c>
      <c r="J396" t="s">
        <v>41</v>
      </c>
      <c r="K396" s="29">
        <v>46313.682256944441</v>
      </c>
      <c r="L396">
        <v>30</v>
      </c>
      <c r="O396" s="29">
        <v>46313.681655092594</v>
      </c>
      <c r="P396" t="s">
        <v>43</v>
      </c>
      <c r="Q396" t="s">
        <v>341</v>
      </c>
      <c r="R396" t="s">
        <v>1284</v>
      </c>
      <c r="S396">
        <v>4247</v>
      </c>
      <c r="T396" t="s">
        <v>41</v>
      </c>
      <c r="U396" s="29">
        <v>46313.683865740742</v>
      </c>
      <c r="V396" s="29">
        <v>46313.682916666665</v>
      </c>
      <c r="W396" t="s">
        <v>1285</v>
      </c>
      <c r="X396">
        <v>22411</v>
      </c>
      <c r="Z396">
        <v>0</v>
      </c>
      <c r="AA396" s="30">
        <v>0.68125000000000002</v>
      </c>
      <c r="AB396">
        <v>0</v>
      </c>
      <c r="AC396" t="s">
        <v>41</v>
      </c>
    </row>
    <row r="397" spans="1:29">
      <c r="A397" t="s">
        <v>72</v>
      </c>
      <c r="B397" s="29">
        <v>46313.681446759256</v>
      </c>
      <c r="C397">
        <v>2129</v>
      </c>
      <c r="D397" t="s">
        <v>41</v>
      </c>
      <c r="E397">
        <v>6</v>
      </c>
      <c r="F397" t="s">
        <v>41</v>
      </c>
      <c r="G397" t="s">
        <v>41</v>
      </c>
      <c r="H397" t="s">
        <v>1286</v>
      </c>
      <c r="I397" s="29">
        <v>46313.683425925927</v>
      </c>
      <c r="J397" t="s">
        <v>41</v>
      </c>
      <c r="K397" s="29">
        <v>46313.68310185185</v>
      </c>
      <c r="L397">
        <v>27</v>
      </c>
      <c r="O397" s="29">
        <v>46313.681354166663</v>
      </c>
      <c r="P397" t="s">
        <v>43</v>
      </c>
      <c r="Q397" t="s">
        <v>74</v>
      </c>
      <c r="R397" t="s">
        <v>1287</v>
      </c>
      <c r="S397">
        <v>4247</v>
      </c>
      <c r="T397" t="s">
        <v>41</v>
      </c>
      <c r="U397" s="29">
        <v>46313.689097222225</v>
      </c>
      <c r="V397" s="29">
        <v>46313.687337962961</v>
      </c>
      <c r="W397" t="s">
        <v>1288</v>
      </c>
      <c r="X397">
        <v>22411</v>
      </c>
      <c r="Z397">
        <v>0</v>
      </c>
      <c r="AA397" s="30">
        <v>0.68125000000000002</v>
      </c>
      <c r="AB397">
        <v>6</v>
      </c>
      <c r="AC397" t="s">
        <v>41</v>
      </c>
    </row>
    <row r="398" spans="1:29">
      <c r="A398" t="s">
        <v>379</v>
      </c>
      <c r="B398" s="29">
        <v>46313.681157407409</v>
      </c>
      <c r="C398">
        <v>2787</v>
      </c>
      <c r="D398" t="s">
        <v>41</v>
      </c>
      <c r="E398">
        <v>8</v>
      </c>
      <c r="F398" t="s">
        <v>41</v>
      </c>
      <c r="G398" t="s">
        <v>41</v>
      </c>
      <c r="H398" t="s">
        <v>1289</v>
      </c>
      <c r="I398" s="29">
        <v>46313.683333333334</v>
      </c>
      <c r="J398" t="s">
        <v>41</v>
      </c>
      <c r="K398" s="29">
        <v>46313.683125000003</v>
      </c>
      <c r="L398">
        <v>17</v>
      </c>
      <c r="O398" s="29">
        <v>46313.680983796294</v>
      </c>
      <c r="P398" t="s">
        <v>43</v>
      </c>
      <c r="Q398" t="s">
        <v>381</v>
      </c>
      <c r="R398" t="s">
        <v>1290</v>
      </c>
      <c r="S398">
        <v>4247</v>
      </c>
      <c r="T398" t="s">
        <v>41</v>
      </c>
      <c r="U398" s="29">
        <v>46313.689710648148</v>
      </c>
      <c r="V398" s="29">
        <v>46313.688379629632</v>
      </c>
      <c r="W398" t="s">
        <v>1291</v>
      </c>
      <c r="X398">
        <v>22411</v>
      </c>
      <c r="Z398">
        <v>0</v>
      </c>
      <c r="AA398" s="30">
        <v>0.68055555555555547</v>
      </c>
      <c r="AB398">
        <v>7</v>
      </c>
      <c r="AC398" t="s">
        <v>41</v>
      </c>
    </row>
    <row r="399" spans="1:29">
      <c r="A399" t="s">
        <v>198</v>
      </c>
      <c r="B399" s="29">
        <v>46313.680775462963</v>
      </c>
      <c r="C399">
        <v>515</v>
      </c>
      <c r="D399" t="s">
        <v>41</v>
      </c>
      <c r="E399">
        <v>3</v>
      </c>
      <c r="F399" t="s">
        <v>41</v>
      </c>
      <c r="G399" t="s">
        <v>41</v>
      </c>
      <c r="H399" t="s">
        <v>1292</v>
      </c>
      <c r="I399" s="29">
        <v>46313.681643518517</v>
      </c>
      <c r="J399" t="s">
        <v>41</v>
      </c>
      <c r="K399" s="29">
        <v>46313.681388888886</v>
      </c>
      <c r="L399">
        <v>21</v>
      </c>
      <c r="O399" s="29">
        <v>46313.680717592593</v>
      </c>
      <c r="P399" t="s">
        <v>43</v>
      </c>
      <c r="Q399" t="s">
        <v>3008</v>
      </c>
      <c r="R399" t="s">
        <v>1293</v>
      </c>
      <c r="S399">
        <v>4247</v>
      </c>
      <c r="T399" t="s">
        <v>41</v>
      </c>
      <c r="U399" s="29">
        <v>46313.683877314812</v>
      </c>
      <c r="V399" s="29">
        <v>46313.683206018519</v>
      </c>
      <c r="W399" t="s">
        <v>1294</v>
      </c>
      <c r="X399">
        <v>22411</v>
      </c>
      <c r="Z399">
        <v>0</v>
      </c>
      <c r="AA399" s="30">
        <v>0.68055555555555547</v>
      </c>
      <c r="AB399">
        <v>2</v>
      </c>
      <c r="AC399" t="s">
        <v>41</v>
      </c>
    </row>
    <row r="400" spans="1:29">
      <c r="A400" t="s">
        <v>347</v>
      </c>
      <c r="B400" s="29">
        <v>46313.680150462962</v>
      </c>
      <c r="C400">
        <v>1189</v>
      </c>
      <c r="D400" t="s">
        <v>41</v>
      </c>
      <c r="E400">
        <v>4</v>
      </c>
      <c r="F400" t="s">
        <v>41</v>
      </c>
      <c r="G400" t="s">
        <v>41</v>
      </c>
      <c r="H400" t="s">
        <v>1295</v>
      </c>
      <c r="I400" s="29">
        <v>46313.681064814817</v>
      </c>
      <c r="J400" t="s">
        <v>41</v>
      </c>
      <c r="K400" s="29">
        <v>46313.680844907409</v>
      </c>
      <c r="L400">
        <v>18</v>
      </c>
      <c r="O400" s="29">
        <v>46313.680081018516</v>
      </c>
      <c r="P400" t="s">
        <v>43</v>
      </c>
      <c r="Q400" t="s">
        <v>349</v>
      </c>
      <c r="R400" t="s">
        <v>1296</v>
      </c>
      <c r="S400">
        <v>4247</v>
      </c>
      <c r="T400" t="s">
        <v>41</v>
      </c>
      <c r="U400" s="29">
        <v>46313.685428240744</v>
      </c>
      <c r="V400" s="29">
        <v>46313.683495370373</v>
      </c>
      <c r="W400" t="s">
        <v>1297</v>
      </c>
      <c r="X400">
        <v>22411</v>
      </c>
      <c r="Z400">
        <v>0</v>
      </c>
      <c r="AA400" s="30">
        <v>0.67986111111111114</v>
      </c>
      <c r="AB400">
        <v>4</v>
      </c>
      <c r="AC400" t="s">
        <v>41</v>
      </c>
    </row>
    <row r="401" spans="1:29">
      <c r="A401" t="s">
        <v>62</v>
      </c>
      <c r="B401" s="29">
        <v>46313.679247685184</v>
      </c>
      <c r="C401">
        <v>1216</v>
      </c>
      <c r="D401" t="s">
        <v>41</v>
      </c>
      <c r="E401">
        <v>5</v>
      </c>
      <c r="F401" t="s">
        <v>41</v>
      </c>
      <c r="G401" t="s">
        <v>41</v>
      </c>
      <c r="H401" t="s">
        <v>1298</v>
      </c>
      <c r="I401" s="29">
        <v>46313.680266203701</v>
      </c>
      <c r="J401" t="s">
        <v>41</v>
      </c>
      <c r="K401" s="29">
        <v>46313.679942129631</v>
      </c>
      <c r="L401">
        <v>27</v>
      </c>
      <c r="O401" s="29">
        <v>46313.679155092592</v>
      </c>
      <c r="P401" t="s">
        <v>43</v>
      </c>
      <c r="Q401" t="s">
        <v>64</v>
      </c>
      <c r="R401" t="s">
        <v>1299</v>
      </c>
      <c r="S401">
        <v>4247</v>
      </c>
      <c r="T401" t="s">
        <v>41</v>
      </c>
      <c r="U401" s="29">
        <v>46313.684687499997</v>
      </c>
      <c r="V401" s="29">
        <v>46313.683622685188</v>
      </c>
      <c r="W401" t="s">
        <v>1300</v>
      </c>
      <c r="X401">
        <v>22411</v>
      </c>
      <c r="Z401">
        <v>0</v>
      </c>
      <c r="AA401" s="30">
        <v>0.6791666666666667</v>
      </c>
      <c r="AB401">
        <v>5</v>
      </c>
      <c r="AC401" t="s">
        <v>41</v>
      </c>
    </row>
    <row r="402" spans="1:29">
      <c r="A402" t="s">
        <v>1171</v>
      </c>
      <c r="B402" s="29">
        <v>46313.679710648146</v>
      </c>
      <c r="C402">
        <v>1062</v>
      </c>
      <c r="D402" t="s">
        <v>41</v>
      </c>
      <c r="E402">
        <v>3</v>
      </c>
      <c r="F402" t="s">
        <v>41</v>
      </c>
      <c r="G402" t="s">
        <v>41</v>
      </c>
      <c r="H402" t="s">
        <v>1301</v>
      </c>
      <c r="I402" s="29">
        <v>46313.680590277778</v>
      </c>
      <c r="J402" t="s">
        <v>41</v>
      </c>
      <c r="K402" s="29">
        <v>46313.679930555554</v>
      </c>
      <c r="L402">
        <v>56</v>
      </c>
      <c r="O402" s="29">
        <v>46313.679143518515</v>
      </c>
      <c r="P402" t="s">
        <v>43</v>
      </c>
      <c r="Q402" t="s">
        <v>1173</v>
      </c>
      <c r="R402" t="s">
        <v>1302</v>
      </c>
      <c r="S402">
        <v>4247</v>
      </c>
      <c r="T402" t="s">
        <v>41</v>
      </c>
      <c r="U402" s="29">
        <v>46313.68408564815</v>
      </c>
      <c r="V402" s="29">
        <v>46313.682152777779</v>
      </c>
      <c r="W402" t="s">
        <v>1303</v>
      </c>
      <c r="X402">
        <v>22411</v>
      </c>
      <c r="Z402">
        <v>0</v>
      </c>
      <c r="AA402" s="30">
        <v>0.6791666666666667</v>
      </c>
      <c r="AB402">
        <v>2</v>
      </c>
      <c r="AC402" t="s">
        <v>41</v>
      </c>
    </row>
    <row r="403" spans="1:29">
      <c r="A403" t="s">
        <v>98</v>
      </c>
      <c r="B403" s="29">
        <v>46313.678981481484</v>
      </c>
      <c r="C403">
        <v>1853</v>
      </c>
      <c r="D403" t="s">
        <v>41</v>
      </c>
      <c r="E403">
        <v>5</v>
      </c>
      <c r="F403" t="s">
        <v>41</v>
      </c>
      <c r="G403" t="s">
        <v>41</v>
      </c>
      <c r="H403" t="s">
        <v>1304</v>
      </c>
      <c r="I403" s="29">
        <v>46313.681145833332</v>
      </c>
      <c r="J403" t="s">
        <v>41</v>
      </c>
      <c r="K403" s="29">
        <v>46313.680914351855</v>
      </c>
      <c r="L403">
        <v>19</v>
      </c>
      <c r="O403" s="29">
        <v>46313.678831018522</v>
      </c>
      <c r="P403" t="s">
        <v>43</v>
      </c>
      <c r="Q403" t="s">
        <v>3005</v>
      </c>
      <c r="R403" t="s">
        <v>1305</v>
      </c>
      <c r="S403">
        <v>4247</v>
      </c>
      <c r="T403" t="s">
        <v>41</v>
      </c>
      <c r="U403" s="29">
        <v>46313.685694444444</v>
      </c>
      <c r="V403" s="29">
        <v>46313.684224537035</v>
      </c>
      <c r="W403" t="s">
        <v>1306</v>
      </c>
      <c r="X403">
        <v>22411</v>
      </c>
      <c r="Z403">
        <v>0</v>
      </c>
      <c r="AA403" s="30">
        <v>0.67847222222222225</v>
      </c>
      <c r="AB403">
        <v>4</v>
      </c>
      <c r="AC403" t="s">
        <v>41</v>
      </c>
    </row>
    <row r="404" spans="1:29">
      <c r="A404" t="s">
        <v>57</v>
      </c>
      <c r="B404" s="29">
        <v>46313.678090277775</v>
      </c>
      <c r="C404">
        <v>1527</v>
      </c>
      <c r="D404" t="s">
        <v>41</v>
      </c>
      <c r="E404">
        <v>6</v>
      </c>
      <c r="F404" t="s">
        <v>41</v>
      </c>
      <c r="G404" t="s">
        <v>41</v>
      </c>
      <c r="H404" t="s">
        <v>1307</v>
      </c>
      <c r="I404" s="29">
        <v>46313.678888888891</v>
      </c>
      <c r="J404" t="s">
        <v>41</v>
      </c>
      <c r="K404" s="29">
        <v>46313.678703703707</v>
      </c>
      <c r="L404">
        <v>15</v>
      </c>
      <c r="O404" s="29">
        <v>46313.677997685183</v>
      </c>
      <c r="P404" t="s">
        <v>43</v>
      </c>
      <c r="Q404" t="s">
        <v>59</v>
      </c>
      <c r="R404" t="s">
        <v>1308</v>
      </c>
      <c r="S404">
        <v>4247</v>
      </c>
      <c r="T404" t="s">
        <v>41</v>
      </c>
      <c r="U404" s="29">
        <v>46313.683541666665</v>
      </c>
      <c r="V404" s="29">
        <v>46313.682696759257</v>
      </c>
      <c r="W404" t="s">
        <v>1309</v>
      </c>
      <c r="X404">
        <v>22411</v>
      </c>
      <c r="Z404">
        <v>0</v>
      </c>
      <c r="AA404" s="30">
        <v>0.6777777777777777</v>
      </c>
      <c r="AB404">
        <v>5</v>
      </c>
      <c r="AC404" t="s">
        <v>41</v>
      </c>
    </row>
    <row r="405" spans="1:29">
      <c r="A405" t="s">
        <v>1310</v>
      </c>
      <c r="B405" s="29">
        <v>46313.677199074074</v>
      </c>
      <c r="C405">
        <v>2700</v>
      </c>
      <c r="D405" t="s">
        <v>41</v>
      </c>
      <c r="E405">
        <v>10</v>
      </c>
      <c r="F405" t="s">
        <v>41</v>
      </c>
      <c r="G405" t="s">
        <v>41</v>
      </c>
      <c r="H405" t="s">
        <v>1311</v>
      </c>
      <c r="I405" s="29">
        <v>46313.681909722225</v>
      </c>
      <c r="J405" t="s">
        <v>41</v>
      </c>
      <c r="K405" s="29">
        <v>46313.681493055556</v>
      </c>
      <c r="L405">
        <v>35</v>
      </c>
      <c r="O405" s="29">
        <v>46313.67701388889</v>
      </c>
      <c r="P405" t="s">
        <v>43</v>
      </c>
      <c r="Q405" t="s">
        <v>1312</v>
      </c>
      <c r="R405" t="s">
        <v>1313</v>
      </c>
      <c r="S405">
        <v>4247</v>
      </c>
      <c r="T405" t="s">
        <v>41</v>
      </c>
      <c r="U405" s="29">
        <v>46313.689247685186</v>
      </c>
      <c r="V405" s="29">
        <v>46313.688252314816</v>
      </c>
      <c r="W405" t="s">
        <v>1314</v>
      </c>
      <c r="X405">
        <v>22411</v>
      </c>
      <c r="Z405">
        <v>0</v>
      </c>
      <c r="AA405" s="30">
        <v>0.67708333333333337</v>
      </c>
      <c r="AB405">
        <v>9</v>
      </c>
      <c r="AC405" t="s">
        <v>41</v>
      </c>
    </row>
    <row r="406" spans="1:29">
      <c r="A406" t="s">
        <v>1239</v>
      </c>
      <c r="B406" s="29">
        <v>46313.676608796297</v>
      </c>
      <c r="C406">
        <v>2682</v>
      </c>
      <c r="D406" t="s">
        <v>41</v>
      </c>
      <c r="E406">
        <v>9</v>
      </c>
      <c r="F406" t="s">
        <v>41</v>
      </c>
      <c r="G406" t="s">
        <v>41</v>
      </c>
      <c r="H406" t="s">
        <v>1315</v>
      </c>
      <c r="I406" s="29">
        <v>46313.678587962961</v>
      </c>
      <c r="J406" t="s">
        <v>41</v>
      </c>
      <c r="K406" s="29">
        <v>46313.678136574075</v>
      </c>
      <c r="L406">
        <v>38</v>
      </c>
      <c r="O406" s="29">
        <v>46313.676365740743</v>
      </c>
      <c r="P406" t="s">
        <v>43</v>
      </c>
      <c r="Q406" t="s">
        <v>1241</v>
      </c>
      <c r="R406" t="s">
        <v>1316</v>
      </c>
      <c r="S406">
        <v>4247</v>
      </c>
      <c r="T406" t="s">
        <v>41</v>
      </c>
      <c r="U406" s="29">
        <v>46313.68513888889</v>
      </c>
      <c r="V406" s="29">
        <v>46313.684398148151</v>
      </c>
      <c r="W406" t="s">
        <v>1317</v>
      </c>
      <c r="X406">
        <v>22411</v>
      </c>
      <c r="Z406">
        <v>0</v>
      </c>
      <c r="AA406" s="30">
        <v>0.67638888888888893</v>
      </c>
      <c r="AB406">
        <v>8</v>
      </c>
      <c r="AC406" t="s">
        <v>41</v>
      </c>
    </row>
    <row r="407" spans="1:29">
      <c r="A407" t="s">
        <v>125</v>
      </c>
      <c r="B407" s="29">
        <v>46313.673634259256</v>
      </c>
      <c r="C407">
        <v>1638</v>
      </c>
      <c r="D407" t="s">
        <v>41</v>
      </c>
      <c r="E407">
        <v>7</v>
      </c>
      <c r="F407" t="s">
        <v>41</v>
      </c>
      <c r="G407" t="s">
        <v>41</v>
      </c>
      <c r="H407" t="s">
        <v>1318</v>
      </c>
      <c r="I407" s="29">
        <v>46313.67423611111</v>
      </c>
      <c r="J407" t="s">
        <v>41</v>
      </c>
      <c r="K407" s="29">
        <v>46313.674039351848</v>
      </c>
      <c r="L407">
        <v>16</v>
      </c>
      <c r="O407" s="29">
        <v>46313.673437500001</v>
      </c>
      <c r="P407" t="s">
        <v>43</v>
      </c>
      <c r="Q407" t="s">
        <v>3006</v>
      </c>
      <c r="R407" t="s">
        <v>1319</v>
      </c>
      <c r="S407">
        <v>4247</v>
      </c>
      <c r="T407" t="s">
        <v>41</v>
      </c>
      <c r="U407" s="29">
        <v>46313.679259259261</v>
      </c>
      <c r="V407" s="29">
        <v>46313.67869212963</v>
      </c>
      <c r="W407" t="s">
        <v>1320</v>
      </c>
      <c r="X407">
        <v>22411</v>
      </c>
      <c r="Z407">
        <v>0</v>
      </c>
      <c r="AA407" s="30">
        <v>0.67361111111111116</v>
      </c>
      <c r="AB407">
        <v>6</v>
      </c>
      <c r="AC407" t="s">
        <v>41</v>
      </c>
    </row>
    <row r="408" spans="1:29">
      <c r="A408" t="s">
        <v>77</v>
      </c>
      <c r="B408" s="29">
        <v>46313.672789351855</v>
      </c>
      <c r="C408">
        <v>1403</v>
      </c>
      <c r="D408" t="s">
        <v>41</v>
      </c>
      <c r="E408">
        <v>5</v>
      </c>
      <c r="F408" t="s">
        <v>41</v>
      </c>
      <c r="G408" t="s">
        <v>41</v>
      </c>
      <c r="H408" t="s">
        <v>1321</v>
      </c>
      <c r="I408" s="29">
        <v>46313.673935185187</v>
      </c>
      <c r="J408" t="s">
        <v>41</v>
      </c>
      <c r="K408" s="29">
        <v>46313.673078703701</v>
      </c>
      <c r="L408">
        <v>73</v>
      </c>
      <c r="O408" s="29">
        <v>46313.672673611109</v>
      </c>
      <c r="P408" t="s">
        <v>43</v>
      </c>
      <c r="Q408" t="s">
        <v>79</v>
      </c>
      <c r="R408" t="s">
        <v>1322</v>
      </c>
      <c r="S408">
        <v>4247</v>
      </c>
      <c r="T408" t="s">
        <v>41</v>
      </c>
      <c r="U408" s="29">
        <v>46313.678564814814</v>
      </c>
      <c r="V408" s="29">
        <v>46313.676793981482</v>
      </c>
      <c r="W408" t="s">
        <v>1323</v>
      </c>
      <c r="X408">
        <v>22411</v>
      </c>
      <c r="Z408">
        <v>0</v>
      </c>
      <c r="AA408" s="30">
        <v>0.67222222222222217</v>
      </c>
      <c r="AB408">
        <v>4</v>
      </c>
      <c r="AC408" t="s">
        <v>41</v>
      </c>
    </row>
    <row r="409" spans="1:29">
      <c r="A409" t="s">
        <v>1077</v>
      </c>
      <c r="B409" s="29">
        <v>46313.670844907407</v>
      </c>
      <c r="C409">
        <v>2165</v>
      </c>
      <c r="D409" t="s">
        <v>41</v>
      </c>
      <c r="E409">
        <v>5</v>
      </c>
      <c r="F409" t="s">
        <v>41</v>
      </c>
      <c r="G409" t="s">
        <v>41</v>
      </c>
      <c r="H409" t="s">
        <v>1324</v>
      </c>
      <c r="I409" s="29">
        <v>46313.671342592592</v>
      </c>
      <c r="J409" t="s">
        <v>41</v>
      </c>
      <c r="K409" s="29">
        <v>46313.671076388891</v>
      </c>
      <c r="L409">
        <v>22</v>
      </c>
      <c r="O409" s="29">
        <v>46313.670682870368</v>
      </c>
      <c r="P409" t="s">
        <v>43</v>
      </c>
      <c r="Q409" t="s">
        <v>1079</v>
      </c>
      <c r="R409" t="s">
        <v>1325</v>
      </c>
      <c r="S409">
        <v>4247</v>
      </c>
      <c r="T409" t="s">
        <v>41</v>
      </c>
      <c r="U409" s="29">
        <v>46313.677835648145</v>
      </c>
      <c r="V409" s="29">
        <v>46313.67465277778</v>
      </c>
      <c r="W409" t="s">
        <v>1326</v>
      </c>
      <c r="X409">
        <v>22411</v>
      </c>
      <c r="Z409">
        <v>0</v>
      </c>
      <c r="AA409" s="30">
        <v>0.67083333333333339</v>
      </c>
      <c r="AB409">
        <v>5</v>
      </c>
      <c r="AC409" t="s">
        <v>41</v>
      </c>
    </row>
    <row r="410" spans="1:29">
      <c r="A410" t="s">
        <v>93</v>
      </c>
      <c r="B410" s="29">
        <v>46313.670740740738</v>
      </c>
      <c r="C410">
        <v>1797</v>
      </c>
      <c r="D410" t="s">
        <v>41</v>
      </c>
      <c r="E410">
        <v>5</v>
      </c>
      <c r="F410" t="s">
        <v>41</v>
      </c>
      <c r="G410" t="s">
        <v>41</v>
      </c>
      <c r="H410" t="s">
        <v>1327</v>
      </c>
      <c r="I410" s="29">
        <v>46313.671666666669</v>
      </c>
      <c r="J410" t="s">
        <v>41</v>
      </c>
      <c r="K410" s="29">
        <v>46313.671238425923</v>
      </c>
      <c r="L410">
        <v>36</v>
      </c>
      <c r="O410" s="29">
        <v>46313.670601851853</v>
      </c>
      <c r="P410" t="s">
        <v>43</v>
      </c>
      <c r="Q410" t="s">
        <v>95</v>
      </c>
      <c r="R410" t="s">
        <v>1328</v>
      </c>
      <c r="S410">
        <v>4247</v>
      </c>
      <c r="T410" t="s">
        <v>41</v>
      </c>
      <c r="U410" s="29">
        <v>46313.67627314815</v>
      </c>
      <c r="V410" s="29">
        <v>46313.674444444441</v>
      </c>
      <c r="W410" t="s">
        <v>1329</v>
      </c>
      <c r="X410">
        <v>22411</v>
      </c>
      <c r="Z410">
        <v>0</v>
      </c>
      <c r="AA410" s="30">
        <v>0.67013888888888884</v>
      </c>
      <c r="AB410">
        <v>4</v>
      </c>
      <c r="AC410" t="s">
        <v>41</v>
      </c>
    </row>
    <row r="411" spans="1:29">
      <c r="A411" t="s">
        <v>62</v>
      </c>
      <c r="B411" s="29">
        <v>46313.669293981482</v>
      </c>
      <c r="C411">
        <v>404</v>
      </c>
      <c r="D411" t="s">
        <v>41</v>
      </c>
      <c r="E411">
        <v>2</v>
      </c>
      <c r="F411" t="s">
        <v>41</v>
      </c>
      <c r="G411" t="s">
        <v>41</v>
      </c>
      <c r="H411" t="s">
        <v>1330</v>
      </c>
      <c r="I411" s="29">
        <v>46313.670370370368</v>
      </c>
      <c r="J411" t="s">
        <v>41</v>
      </c>
      <c r="K411" s="29">
        <v>46313.670127314814</v>
      </c>
      <c r="L411">
        <v>20</v>
      </c>
      <c r="O411" s="29">
        <v>46313.669212962966</v>
      </c>
      <c r="P411" t="s">
        <v>43</v>
      </c>
      <c r="Q411" t="s">
        <v>64</v>
      </c>
      <c r="R411" t="s">
        <v>1331</v>
      </c>
      <c r="S411">
        <v>4247</v>
      </c>
      <c r="T411" t="s">
        <v>41</v>
      </c>
      <c r="U411" s="29">
        <v>46313.672476851854</v>
      </c>
      <c r="V411" s="29">
        <v>46313.671620370369</v>
      </c>
      <c r="W411" t="s">
        <v>1332</v>
      </c>
      <c r="X411">
        <v>22411</v>
      </c>
      <c r="Z411">
        <v>0</v>
      </c>
      <c r="AA411" s="30">
        <v>0.66875000000000007</v>
      </c>
      <c r="AB411">
        <v>2</v>
      </c>
      <c r="AC411" t="s">
        <v>41</v>
      </c>
    </row>
    <row r="412" spans="1:29">
      <c r="A412" t="s">
        <v>40</v>
      </c>
      <c r="B412" s="29">
        <v>46313.668761574074</v>
      </c>
      <c r="C412">
        <v>1208</v>
      </c>
      <c r="D412" t="s">
        <v>41</v>
      </c>
      <c r="E412">
        <v>4</v>
      </c>
      <c r="F412" t="s">
        <v>41</v>
      </c>
      <c r="G412" t="s">
        <v>41</v>
      </c>
      <c r="H412" t="s">
        <v>1333</v>
      </c>
      <c r="I412" s="29">
        <v>46313.670231481483</v>
      </c>
      <c r="J412" t="s">
        <v>41</v>
      </c>
      <c r="K412" s="29">
        <v>46313.67</v>
      </c>
      <c r="L412">
        <v>19</v>
      </c>
      <c r="O412" s="29">
        <v>46313.668680555558</v>
      </c>
      <c r="P412" t="s">
        <v>43</v>
      </c>
      <c r="Q412" t="s">
        <v>44</v>
      </c>
      <c r="R412" t="s">
        <v>1334</v>
      </c>
      <c r="S412">
        <v>4247</v>
      </c>
      <c r="T412" t="s">
        <v>41</v>
      </c>
      <c r="U412" s="29">
        <v>46313.673495370371</v>
      </c>
      <c r="V412" s="29">
        <v>46313.672777777778</v>
      </c>
      <c r="W412" t="s">
        <v>1335</v>
      </c>
      <c r="X412">
        <v>22411</v>
      </c>
      <c r="Z412">
        <v>0</v>
      </c>
      <c r="AA412" s="30">
        <v>0.66875000000000007</v>
      </c>
      <c r="AB412">
        <v>4</v>
      </c>
      <c r="AC412" t="s">
        <v>41</v>
      </c>
    </row>
    <row r="413" spans="1:29">
      <c r="A413" t="s">
        <v>1336</v>
      </c>
      <c r="B413" s="29">
        <v>46313.668206018519</v>
      </c>
      <c r="C413">
        <v>925</v>
      </c>
      <c r="D413" t="s">
        <v>41</v>
      </c>
      <c r="E413">
        <v>5</v>
      </c>
      <c r="F413" t="s">
        <v>41</v>
      </c>
      <c r="G413" t="s">
        <v>41</v>
      </c>
      <c r="H413" t="s">
        <v>1337</v>
      </c>
      <c r="I413" s="29">
        <v>46313.670358796298</v>
      </c>
      <c r="J413" t="s">
        <v>41</v>
      </c>
      <c r="K413" s="29">
        <v>46313.669652777775</v>
      </c>
      <c r="L413">
        <v>60</v>
      </c>
      <c r="O413" s="29">
        <v>46313.668043981481</v>
      </c>
      <c r="P413" t="s">
        <v>43</v>
      </c>
      <c r="Q413" t="s">
        <v>1338</v>
      </c>
      <c r="R413" t="s">
        <v>1339</v>
      </c>
      <c r="S413">
        <v>4247</v>
      </c>
      <c r="T413" t="s">
        <v>41</v>
      </c>
      <c r="U413" s="29">
        <v>46313.672824074078</v>
      </c>
      <c r="V413" s="29">
        <v>46313.672905092593</v>
      </c>
      <c r="W413" t="s">
        <v>1340</v>
      </c>
      <c r="X413">
        <v>22411</v>
      </c>
      <c r="Z413">
        <v>0</v>
      </c>
      <c r="AA413" s="30">
        <v>0.66805555555555562</v>
      </c>
      <c r="AB413">
        <v>4</v>
      </c>
      <c r="AC413" t="s">
        <v>41</v>
      </c>
    </row>
    <row r="414" spans="1:29">
      <c r="A414" t="s">
        <v>1136</v>
      </c>
      <c r="B414" s="29">
        <v>46313.666944444441</v>
      </c>
      <c r="C414">
        <v>188</v>
      </c>
      <c r="D414" t="s">
        <v>41</v>
      </c>
      <c r="E414">
        <v>1</v>
      </c>
      <c r="F414" t="s">
        <v>41</v>
      </c>
      <c r="G414" t="s">
        <v>41</v>
      </c>
      <c r="H414" t="s">
        <v>1341</v>
      </c>
      <c r="I414" s="29">
        <v>46313.667766203704</v>
      </c>
      <c r="J414" t="s">
        <v>41</v>
      </c>
      <c r="K414" s="29">
        <v>46313.667534722219</v>
      </c>
      <c r="L414">
        <v>19</v>
      </c>
      <c r="O414" s="29">
        <v>46313.66684027778</v>
      </c>
      <c r="P414" t="s">
        <v>43</v>
      </c>
      <c r="Q414" t="s">
        <v>1138</v>
      </c>
      <c r="R414" t="s">
        <v>1342</v>
      </c>
      <c r="S414">
        <v>4247</v>
      </c>
      <c r="T414" t="s">
        <v>41</v>
      </c>
      <c r="U414" s="29">
        <v>46313.668912037036</v>
      </c>
      <c r="V414" s="29">
        <v>46313.667962962965</v>
      </c>
      <c r="W414" t="s">
        <v>1343</v>
      </c>
      <c r="X414">
        <v>22411</v>
      </c>
      <c r="Z414">
        <v>0</v>
      </c>
      <c r="AA414" s="30">
        <v>0.66666666666666663</v>
      </c>
      <c r="AB414">
        <v>0</v>
      </c>
      <c r="AC414" t="s">
        <v>41</v>
      </c>
    </row>
    <row r="415" spans="1:29">
      <c r="A415" t="s">
        <v>339</v>
      </c>
      <c r="B415" s="29">
        <v>46313.666956018518</v>
      </c>
      <c r="C415">
        <v>1969</v>
      </c>
      <c r="D415" t="s">
        <v>41</v>
      </c>
      <c r="E415">
        <v>5</v>
      </c>
      <c r="F415" t="s">
        <v>41</v>
      </c>
      <c r="G415" t="s">
        <v>41</v>
      </c>
      <c r="H415" t="s">
        <v>1344</v>
      </c>
      <c r="I415" s="29">
        <v>46313.672685185185</v>
      </c>
      <c r="J415" t="s">
        <v>41</v>
      </c>
      <c r="K415" s="29">
        <v>46313.672268518516</v>
      </c>
      <c r="L415">
        <v>35</v>
      </c>
      <c r="O415" s="29">
        <v>46313.666805555556</v>
      </c>
      <c r="P415" t="s">
        <v>43</v>
      </c>
      <c r="Q415" t="s">
        <v>341</v>
      </c>
      <c r="R415" t="s">
        <v>1345</v>
      </c>
      <c r="S415">
        <v>4247</v>
      </c>
      <c r="T415" t="s">
        <v>41</v>
      </c>
      <c r="U415" s="29">
        <v>46313.677337962959</v>
      </c>
      <c r="V415" s="29">
        <v>46313.676018518519</v>
      </c>
      <c r="W415" t="s">
        <v>1346</v>
      </c>
      <c r="X415">
        <v>22411</v>
      </c>
      <c r="Z415">
        <v>0</v>
      </c>
      <c r="AA415" s="30">
        <v>0.66666666666666663</v>
      </c>
      <c r="AB415">
        <v>5</v>
      </c>
      <c r="AC415" t="s">
        <v>41</v>
      </c>
    </row>
    <row r="416" spans="1:29">
      <c r="A416" t="s">
        <v>198</v>
      </c>
      <c r="B416" s="29">
        <v>46313.665844907409</v>
      </c>
      <c r="C416">
        <v>2353</v>
      </c>
      <c r="D416" t="s">
        <v>41</v>
      </c>
      <c r="E416">
        <v>7</v>
      </c>
      <c r="F416" t="s">
        <v>41</v>
      </c>
      <c r="G416" t="s">
        <v>41</v>
      </c>
      <c r="H416" t="s">
        <v>1347</v>
      </c>
      <c r="I416" s="29">
        <v>46313.666655092595</v>
      </c>
      <c r="J416" t="s">
        <v>41</v>
      </c>
      <c r="K416" s="29">
        <v>46313.666516203702</v>
      </c>
      <c r="L416">
        <v>11</v>
      </c>
      <c r="O416" s="29">
        <v>46313.665613425925</v>
      </c>
      <c r="P416" t="s">
        <v>43</v>
      </c>
      <c r="Q416" t="s">
        <v>3008</v>
      </c>
      <c r="R416" t="s">
        <v>1348</v>
      </c>
      <c r="S416">
        <v>4247</v>
      </c>
      <c r="T416" t="s">
        <v>41</v>
      </c>
      <c r="U416" s="29">
        <v>46313.671909722223</v>
      </c>
      <c r="V416" s="29">
        <v>46313.671331018515</v>
      </c>
      <c r="W416" t="s">
        <v>1349</v>
      </c>
      <c r="X416">
        <v>22411</v>
      </c>
      <c r="Z416">
        <v>0</v>
      </c>
      <c r="AA416" s="30">
        <v>0.66527777777777775</v>
      </c>
      <c r="AB416">
        <v>7</v>
      </c>
      <c r="AC416" t="s">
        <v>41</v>
      </c>
    </row>
    <row r="417" spans="1:29">
      <c r="A417" t="s">
        <v>734</v>
      </c>
      <c r="B417" s="29">
        <v>46313.665150462963</v>
      </c>
      <c r="C417">
        <v>1823</v>
      </c>
      <c r="D417" t="s">
        <v>41</v>
      </c>
      <c r="E417">
        <v>8</v>
      </c>
      <c r="F417" t="s">
        <v>41</v>
      </c>
      <c r="G417" t="s">
        <v>41</v>
      </c>
      <c r="H417" t="s">
        <v>1350</v>
      </c>
      <c r="I417" s="29">
        <v>46313.667893518519</v>
      </c>
      <c r="J417" t="s">
        <v>41</v>
      </c>
      <c r="K417" s="29">
        <v>46313.667361111111</v>
      </c>
      <c r="L417">
        <v>45</v>
      </c>
      <c r="O417" s="29">
        <v>46313.664976851855</v>
      </c>
      <c r="P417" t="s">
        <v>43</v>
      </c>
      <c r="Q417" t="s">
        <v>736</v>
      </c>
      <c r="R417" t="s">
        <v>1351</v>
      </c>
      <c r="S417">
        <v>4247</v>
      </c>
      <c r="T417" t="s">
        <v>41</v>
      </c>
      <c r="U417" s="29">
        <v>46313.672638888886</v>
      </c>
      <c r="V417" s="29">
        <v>46313.673252314817</v>
      </c>
      <c r="W417" t="s">
        <v>1352</v>
      </c>
      <c r="X417">
        <v>22411</v>
      </c>
      <c r="Z417">
        <v>0</v>
      </c>
      <c r="AA417" s="30">
        <v>0.6645833333333333</v>
      </c>
      <c r="AB417">
        <v>8</v>
      </c>
      <c r="AC417" t="s">
        <v>41</v>
      </c>
    </row>
    <row r="418" spans="1:29">
      <c r="A418" t="s">
        <v>98</v>
      </c>
      <c r="B418" s="29">
        <v>46313.663414351853</v>
      </c>
      <c r="C418">
        <v>1315</v>
      </c>
      <c r="D418" t="s">
        <v>41</v>
      </c>
      <c r="E418">
        <v>4</v>
      </c>
      <c r="F418" t="s">
        <v>41</v>
      </c>
      <c r="G418" t="s">
        <v>41</v>
      </c>
      <c r="H418" t="s">
        <v>1353</v>
      </c>
      <c r="I418" s="29">
        <v>46313.664942129632</v>
      </c>
      <c r="J418" t="s">
        <v>41</v>
      </c>
      <c r="K418" s="29">
        <v>46313.664756944447</v>
      </c>
      <c r="L418">
        <v>15</v>
      </c>
      <c r="O418" s="29">
        <v>46313.66333333333</v>
      </c>
      <c r="P418" t="s">
        <v>43</v>
      </c>
      <c r="Q418" t="s">
        <v>3005</v>
      </c>
      <c r="R418" t="s">
        <v>1354</v>
      </c>
      <c r="S418">
        <v>4247</v>
      </c>
      <c r="T418" t="s">
        <v>41</v>
      </c>
      <c r="U418" s="29">
        <v>46313.669016203705</v>
      </c>
      <c r="V418" s="29">
        <v>46313.667731481481</v>
      </c>
      <c r="W418" t="s">
        <v>1355</v>
      </c>
      <c r="X418">
        <v>22411</v>
      </c>
      <c r="Z418">
        <v>0</v>
      </c>
      <c r="AA418" s="30">
        <v>0.66319444444444442</v>
      </c>
      <c r="AB418">
        <v>4</v>
      </c>
      <c r="AC418" t="s">
        <v>41</v>
      </c>
    </row>
    <row r="419" spans="1:29">
      <c r="A419" t="s">
        <v>72</v>
      </c>
      <c r="B419" s="29">
        <v>46313.661840277775</v>
      </c>
      <c r="C419">
        <v>2907</v>
      </c>
      <c r="D419" t="s">
        <v>41</v>
      </c>
      <c r="E419">
        <v>8</v>
      </c>
      <c r="F419" t="s">
        <v>41</v>
      </c>
      <c r="G419" t="s">
        <v>41</v>
      </c>
      <c r="H419" t="s">
        <v>1356</v>
      </c>
      <c r="I419" s="29">
        <v>46313.665219907409</v>
      </c>
      <c r="J419" t="s">
        <v>41</v>
      </c>
      <c r="K419" s="29">
        <v>46313.664942129632</v>
      </c>
      <c r="L419">
        <v>23</v>
      </c>
      <c r="O419" s="29">
        <v>46313.661678240744</v>
      </c>
      <c r="P419" t="s">
        <v>43</v>
      </c>
      <c r="Q419" t="s">
        <v>74</v>
      </c>
      <c r="R419" t="s">
        <v>1357</v>
      </c>
      <c r="S419">
        <v>4247</v>
      </c>
      <c r="T419" t="s">
        <v>41</v>
      </c>
      <c r="U419" s="29">
        <v>46313.673252314817</v>
      </c>
      <c r="V419" s="29">
        <v>46313.670543981483</v>
      </c>
      <c r="W419" t="s">
        <v>1358</v>
      </c>
      <c r="X419">
        <v>22411</v>
      </c>
      <c r="Z419">
        <v>0</v>
      </c>
      <c r="AA419" s="30">
        <v>0.66180555555555554</v>
      </c>
      <c r="AB419">
        <v>8</v>
      </c>
      <c r="AC419" t="s">
        <v>41</v>
      </c>
    </row>
    <row r="420" spans="1:29">
      <c r="A420" t="s">
        <v>1239</v>
      </c>
      <c r="B420" s="29">
        <v>46313.660983796297</v>
      </c>
      <c r="C420">
        <v>753</v>
      </c>
      <c r="D420" t="s">
        <v>41</v>
      </c>
      <c r="E420">
        <v>4</v>
      </c>
      <c r="F420" t="s">
        <v>41</v>
      </c>
      <c r="G420" t="s">
        <v>41</v>
      </c>
      <c r="H420" t="s">
        <v>1359</v>
      </c>
      <c r="I420" s="29">
        <v>46313.661863425928</v>
      </c>
      <c r="J420" t="s">
        <v>41</v>
      </c>
      <c r="K420" s="29">
        <v>46313.661469907405</v>
      </c>
      <c r="L420">
        <v>33</v>
      </c>
      <c r="O420" s="29">
        <v>46313.660810185182</v>
      </c>
      <c r="P420" t="s">
        <v>43</v>
      </c>
      <c r="Q420" t="s">
        <v>1241</v>
      </c>
      <c r="R420" t="s">
        <v>1360</v>
      </c>
      <c r="S420">
        <v>4247</v>
      </c>
      <c r="T420" t="s">
        <v>41</v>
      </c>
      <c r="U420" s="29">
        <v>46313.664236111108</v>
      </c>
      <c r="V420" s="29">
        <v>46313.664178240739</v>
      </c>
      <c r="W420" t="s">
        <v>1361</v>
      </c>
      <c r="X420">
        <v>22411</v>
      </c>
      <c r="Z420">
        <v>0</v>
      </c>
      <c r="AA420" s="30">
        <v>0.66041666666666665</v>
      </c>
      <c r="AB420">
        <v>3</v>
      </c>
      <c r="AC420" t="s">
        <v>41</v>
      </c>
    </row>
    <row r="421" spans="1:29">
      <c r="A421" t="s">
        <v>379</v>
      </c>
      <c r="B421" s="29">
        <v>46313.66064814815</v>
      </c>
      <c r="C421">
        <v>2383</v>
      </c>
      <c r="D421" t="s">
        <v>41</v>
      </c>
      <c r="E421">
        <v>9</v>
      </c>
      <c r="F421" t="s">
        <v>41</v>
      </c>
      <c r="G421" t="s">
        <v>41</v>
      </c>
      <c r="H421" t="s">
        <v>1362</v>
      </c>
      <c r="I421" s="29">
        <v>46313.661643518521</v>
      </c>
      <c r="J421" t="s">
        <v>41</v>
      </c>
      <c r="K421" s="29">
        <v>46313.66133101852</v>
      </c>
      <c r="L421">
        <v>26</v>
      </c>
      <c r="O421" s="29">
        <v>46313.660474537035</v>
      </c>
      <c r="P421" t="s">
        <v>43</v>
      </c>
      <c r="Q421" t="s">
        <v>381</v>
      </c>
      <c r="R421" t="s">
        <v>1363</v>
      </c>
      <c r="S421">
        <v>4247</v>
      </c>
      <c r="T421" t="s">
        <v>41</v>
      </c>
      <c r="U421" s="29">
        <v>46313.667280092595</v>
      </c>
      <c r="V421" s="29">
        <v>46313.667303240742</v>
      </c>
      <c r="W421" t="s">
        <v>1364</v>
      </c>
      <c r="X421">
        <v>22411</v>
      </c>
      <c r="Z421">
        <v>0</v>
      </c>
      <c r="AA421" s="30">
        <v>0.66041666666666665</v>
      </c>
      <c r="AB421">
        <v>8</v>
      </c>
      <c r="AC421" t="s">
        <v>41</v>
      </c>
    </row>
    <row r="422" spans="1:29">
      <c r="A422" t="s">
        <v>1365</v>
      </c>
      <c r="B422" s="29">
        <v>46313.659872685188</v>
      </c>
      <c r="C422">
        <v>2212</v>
      </c>
      <c r="D422" t="s">
        <v>41</v>
      </c>
      <c r="E422">
        <v>7</v>
      </c>
      <c r="F422" t="s">
        <v>41</v>
      </c>
      <c r="G422" t="s">
        <v>41</v>
      </c>
      <c r="H422" t="s">
        <v>1366</v>
      </c>
      <c r="I422" s="29">
        <v>46313.661041666666</v>
      </c>
      <c r="J422" t="s">
        <v>41</v>
      </c>
      <c r="K422" s="29">
        <v>46313.660914351851</v>
      </c>
      <c r="L422">
        <v>10</v>
      </c>
      <c r="O422" s="29">
        <v>46313.659745370373</v>
      </c>
      <c r="P422" t="s">
        <v>43</v>
      </c>
      <c r="Q422" t="s">
        <v>1367</v>
      </c>
      <c r="R422" t="s">
        <v>1368</v>
      </c>
      <c r="S422">
        <v>4247</v>
      </c>
      <c r="T422" t="s">
        <v>41</v>
      </c>
      <c r="U422" s="29">
        <v>46313.66605324074</v>
      </c>
      <c r="V422" s="29">
        <v>46313.665925925925</v>
      </c>
      <c r="W422" t="s">
        <v>1369</v>
      </c>
      <c r="X422">
        <v>22411</v>
      </c>
      <c r="Z422">
        <v>0</v>
      </c>
      <c r="AA422" s="30">
        <v>0.65972222222222221</v>
      </c>
      <c r="AB422">
        <v>7</v>
      </c>
      <c r="AC422" t="s">
        <v>41</v>
      </c>
    </row>
    <row r="423" spans="1:29">
      <c r="A423" t="s">
        <v>57</v>
      </c>
      <c r="B423" s="29">
        <v>46313.658449074072</v>
      </c>
      <c r="C423">
        <v>1322</v>
      </c>
      <c r="D423" t="s">
        <v>41</v>
      </c>
      <c r="E423">
        <v>5</v>
      </c>
      <c r="F423" t="s">
        <v>41</v>
      </c>
      <c r="G423" t="s">
        <v>41</v>
      </c>
      <c r="H423" t="s">
        <v>1370</v>
      </c>
      <c r="I423" s="29">
        <v>46313.661296296297</v>
      </c>
      <c r="J423" t="s">
        <v>41</v>
      </c>
      <c r="K423" s="29">
        <v>46313.661134259259</v>
      </c>
      <c r="L423">
        <v>13</v>
      </c>
      <c r="O423" s="29">
        <v>46313.658333333333</v>
      </c>
      <c r="P423" t="s">
        <v>43</v>
      </c>
      <c r="Q423" t="s">
        <v>59</v>
      </c>
      <c r="R423" t="s">
        <v>1371</v>
      </c>
      <c r="S423">
        <v>4247</v>
      </c>
      <c r="T423" t="s">
        <v>41</v>
      </c>
      <c r="U423" s="29">
        <v>46313.666203703702</v>
      </c>
      <c r="V423" s="29">
        <v>46313.664814814816</v>
      </c>
      <c r="W423" t="s">
        <v>1372</v>
      </c>
      <c r="X423">
        <v>22411</v>
      </c>
      <c r="Z423">
        <v>0</v>
      </c>
      <c r="AA423" s="30">
        <v>0.65833333333333333</v>
      </c>
      <c r="AB423">
        <v>5</v>
      </c>
      <c r="AC423" t="s">
        <v>41</v>
      </c>
    </row>
    <row r="424" spans="1:29">
      <c r="A424" t="s">
        <v>125</v>
      </c>
      <c r="B424" s="29">
        <v>46313.658090277779</v>
      </c>
      <c r="C424">
        <v>1279</v>
      </c>
      <c r="D424" t="s">
        <v>41</v>
      </c>
      <c r="E424">
        <v>5</v>
      </c>
      <c r="F424" t="s">
        <v>41</v>
      </c>
      <c r="G424" t="s">
        <v>41</v>
      </c>
      <c r="H424" t="s">
        <v>1373</v>
      </c>
      <c r="I424" s="29">
        <v>46313.65892361111</v>
      </c>
      <c r="J424" t="s">
        <v>41</v>
      </c>
      <c r="K424" s="29">
        <v>46313.65865740741</v>
      </c>
      <c r="L424">
        <v>22</v>
      </c>
      <c r="O424" s="29">
        <v>46313.657905092594</v>
      </c>
      <c r="P424" t="s">
        <v>43</v>
      </c>
      <c r="Q424" t="s">
        <v>3006</v>
      </c>
      <c r="R424" t="s">
        <v>1374</v>
      </c>
      <c r="S424">
        <v>4247</v>
      </c>
      <c r="T424" t="s">
        <v>41</v>
      </c>
      <c r="U424" s="29">
        <v>46313.662326388891</v>
      </c>
      <c r="V424" s="29">
        <v>46313.662361111114</v>
      </c>
      <c r="W424" t="s">
        <v>1375</v>
      </c>
      <c r="X424">
        <v>22411</v>
      </c>
      <c r="Z424">
        <v>0</v>
      </c>
      <c r="AA424" s="30">
        <v>0.65763888888888888</v>
      </c>
      <c r="AB424">
        <v>5</v>
      </c>
      <c r="AC424" t="s">
        <v>41</v>
      </c>
    </row>
    <row r="425" spans="1:29">
      <c r="A425" t="s">
        <v>1171</v>
      </c>
      <c r="B425" s="29">
        <v>46313.651736111111</v>
      </c>
      <c r="C425">
        <v>2011</v>
      </c>
      <c r="D425" t="s">
        <v>41</v>
      </c>
      <c r="E425">
        <v>7</v>
      </c>
      <c r="F425" t="s">
        <v>41</v>
      </c>
      <c r="G425" t="s">
        <v>41</v>
      </c>
      <c r="H425" t="s">
        <v>1376</v>
      </c>
      <c r="I425" s="29">
        <v>46313.654097222221</v>
      </c>
      <c r="J425" t="s">
        <v>41</v>
      </c>
      <c r="K425" s="29">
        <v>46313.652858796297</v>
      </c>
      <c r="L425">
        <v>106</v>
      </c>
      <c r="O425" s="29">
        <v>46313.651087962964</v>
      </c>
      <c r="P425" t="s">
        <v>43</v>
      </c>
      <c r="Q425" t="s">
        <v>1173</v>
      </c>
      <c r="R425" t="s">
        <v>1377</v>
      </c>
      <c r="S425">
        <v>4247</v>
      </c>
      <c r="T425" t="s">
        <v>41</v>
      </c>
      <c r="U425" s="29">
        <v>46313.660694444443</v>
      </c>
      <c r="V425" s="29">
        <v>46313.658055555556</v>
      </c>
      <c r="W425" t="s">
        <v>1378</v>
      </c>
      <c r="X425">
        <v>22411</v>
      </c>
      <c r="Z425">
        <v>0</v>
      </c>
      <c r="AA425" s="30">
        <v>0.65138888888888891</v>
      </c>
      <c r="AB425">
        <v>6</v>
      </c>
      <c r="AC425" t="s">
        <v>41</v>
      </c>
    </row>
    <row r="426" spans="1:29">
      <c r="A426" t="s">
        <v>62</v>
      </c>
      <c r="B426" s="29">
        <v>46313.649398148147</v>
      </c>
      <c r="C426">
        <v>1046</v>
      </c>
      <c r="D426" t="s">
        <v>41</v>
      </c>
      <c r="E426">
        <v>4</v>
      </c>
      <c r="F426" t="s">
        <v>41</v>
      </c>
      <c r="G426" t="s">
        <v>41</v>
      </c>
      <c r="H426" t="s">
        <v>1379</v>
      </c>
      <c r="I426" s="29">
        <v>46313.651307870372</v>
      </c>
      <c r="J426" t="s">
        <v>41</v>
      </c>
      <c r="K426" s="29">
        <v>46313.651064814818</v>
      </c>
      <c r="L426">
        <v>20</v>
      </c>
      <c r="O426" s="29">
        <v>46313.649247685185</v>
      </c>
      <c r="P426" t="s">
        <v>43</v>
      </c>
      <c r="Q426" t="s">
        <v>64</v>
      </c>
      <c r="R426" t="s">
        <v>1380</v>
      </c>
      <c r="S426">
        <v>4247</v>
      </c>
      <c r="T426" t="s">
        <v>41</v>
      </c>
      <c r="U426" s="29">
        <v>46313.654293981483</v>
      </c>
      <c r="V426" s="29">
        <v>46313.654085648152</v>
      </c>
      <c r="W426" t="s">
        <v>1381</v>
      </c>
      <c r="X426">
        <v>22411</v>
      </c>
      <c r="Z426">
        <v>0</v>
      </c>
      <c r="AA426" s="30">
        <v>0.64930555555555558</v>
      </c>
      <c r="AB426">
        <v>4</v>
      </c>
      <c r="AC426" t="s">
        <v>41</v>
      </c>
    </row>
    <row r="427" spans="1:29">
      <c r="A427" t="s">
        <v>93</v>
      </c>
      <c r="B427" s="29">
        <v>46313.649675925924</v>
      </c>
      <c r="C427">
        <v>1823</v>
      </c>
      <c r="D427" t="s">
        <v>41</v>
      </c>
      <c r="E427">
        <v>5</v>
      </c>
      <c r="F427" t="s">
        <v>41</v>
      </c>
      <c r="G427" t="s">
        <v>41</v>
      </c>
      <c r="H427" t="s">
        <v>1382</v>
      </c>
      <c r="I427" s="29">
        <v>46313.649942129632</v>
      </c>
      <c r="J427" t="s">
        <v>41</v>
      </c>
      <c r="K427" s="29">
        <v>46313.649571759262</v>
      </c>
      <c r="L427">
        <v>23</v>
      </c>
      <c r="O427" s="29">
        <v>46313.649143518516</v>
      </c>
      <c r="P427" t="s">
        <v>43</v>
      </c>
      <c r="Q427" t="s">
        <v>95</v>
      </c>
      <c r="R427" t="s">
        <v>1383</v>
      </c>
      <c r="S427">
        <v>4247</v>
      </c>
      <c r="T427" t="s">
        <v>41</v>
      </c>
      <c r="U427" s="29">
        <v>46313.654699074075</v>
      </c>
      <c r="V427" s="29">
        <v>46313.653449074074</v>
      </c>
      <c r="W427" t="s">
        <v>1384</v>
      </c>
      <c r="X427">
        <v>22411</v>
      </c>
      <c r="Z427">
        <v>0</v>
      </c>
      <c r="AA427" s="30">
        <v>0.64930555555555558</v>
      </c>
      <c r="AB427">
        <v>5</v>
      </c>
      <c r="AC427" t="s">
        <v>41</v>
      </c>
    </row>
    <row r="428" spans="1:29">
      <c r="A428" t="s">
        <v>185</v>
      </c>
      <c r="B428" s="29">
        <v>46313.647569444445</v>
      </c>
      <c r="C428">
        <v>1371</v>
      </c>
      <c r="D428" t="s">
        <v>41</v>
      </c>
      <c r="E428">
        <v>9</v>
      </c>
      <c r="F428" t="s">
        <v>41</v>
      </c>
      <c r="G428" t="s">
        <v>41</v>
      </c>
      <c r="H428" t="s">
        <v>1385</v>
      </c>
      <c r="I428" s="29">
        <v>46313.648495370369</v>
      </c>
      <c r="J428" t="s">
        <v>41</v>
      </c>
      <c r="K428" s="29">
        <v>46313.648356481484</v>
      </c>
      <c r="L428">
        <v>11</v>
      </c>
      <c r="O428" s="29">
        <v>46313.647488425922</v>
      </c>
      <c r="P428" t="s">
        <v>43</v>
      </c>
      <c r="Q428" t="s">
        <v>3007</v>
      </c>
      <c r="R428" t="s">
        <v>1386</v>
      </c>
      <c r="S428">
        <v>4247</v>
      </c>
      <c r="T428" t="s">
        <v>41</v>
      </c>
      <c r="U428" s="29">
        <v>46313.653032407405</v>
      </c>
      <c r="V428" s="29">
        <v>46313.654861111114</v>
      </c>
      <c r="W428" t="s">
        <v>1387</v>
      </c>
      <c r="X428">
        <v>22411</v>
      </c>
      <c r="Z428">
        <v>0</v>
      </c>
      <c r="AA428" s="30">
        <v>0.64722222222222225</v>
      </c>
      <c r="AB428">
        <v>9</v>
      </c>
      <c r="AC428" t="s">
        <v>41</v>
      </c>
    </row>
    <row r="429" spans="1:29">
      <c r="A429" t="s">
        <v>40</v>
      </c>
      <c r="B429" s="29">
        <v>46313.646435185183</v>
      </c>
      <c r="C429">
        <v>235</v>
      </c>
      <c r="D429" t="s">
        <v>41</v>
      </c>
      <c r="E429">
        <v>1</v>
      </c>
      <c r="F429" t="s">
        <v>41</v>
      </c>
      <c r="G429" t="s">
        <v>41</v>
      </c>
      <c r="H429" t="s">
        <v>1388</v>
      </c>
      <c r="I429" s="29">
        <v>46313.649502314816</v>
      </c>
      <c r="J429" t="s">
        <v>41</v>
      </c>
      <c r="K429" s="29">
        <v>46313.649351851855</v>
      </c>
      <c r="L429">
        <v>12</v>
      </c>
      <c r="O429" s="29">
        <v>46313.646331018521</v>
      </c>
      <c r="P429" t="s">
        <v>43</v>
      </c>
      <c r="Q429" t="s">
        <v>44</v>
      </c>
      <c r="R429" t="s">
        <v>1389</v>
      </c>
      <c r="S429">
        <v>4247</v>
      </c>
      <c r="T429" t="s">
        <v>41</v>
      </c>
      <c r="U429" s="29">
        <v>46313.650659722225</v>
      </c>
      <c r="V429" s="29">
        <v>46313.649733796294</v>
      </c>
      <c r="W429" t="s">
        <v>1390</v>
      </c>
      <c r="X429">
        <v>22411</v>
      </c>
      <c r="Z429">
        <v>0</v>
      </c>
      <c r="AA429" s="30">
        <v>0.64583333333333337</v>
      </c>
      <c r="AB429">
        <v>0</v>
      </c>
      <c r="AC429" t="s">
        <v>41</v>
      </c>
    </row>
    <row r="430" spans="1:29">
      <c r="A430" t="s">
        <v>1391</v>
      </c>
      <c r="B430" s="29">
        <v>46313.64472222222</v>
      </c>
      <c r="C430">
        <v>1250</v>
      </c>
      <c r="D430" t="s">
        <v>41</v>
      </c>
      <c r="E430">
        <v>3</v>
      </c>
      <c r="F430" t="s">
        <v>41</v>
      </c>
      <c r="G430" t="s">
        <v>41</v>
      </c>
      <c r="H430" t="s">
        <v>1392</v>
      </c>
      <c r="I430" s="29">
        <v>46313.646481481483</v>
      </c>
      <c r="J430" t="s">
        <v>41</v>
      </c>
      <c r="K430" s="29">
        <v>46313.646111111113</v>
      </c>
      <c r="L430">
        <v>31</v>
      </c>
      <c r="O430" s="29">
        <v>46313.644629629627</v>
      </c>
      <c r="P430" t="s">
        <v>43</v>
      </c>
      <c r="Q430" t="s">
        <v>1393</v>
      </c>
      <c r="R430" t="s">
        <v>1394</v>
      </c>
      <c r="S430">
        <v>4247</v>
      </c>
      <c r="T430" t="s">
        <v>41</v>
      </c>
      <c r="U430" s="29">
        <v>46313.649687500001</v>
      </c>
      <c r="V430" s="29">
        <v>46313.648252314815</v>
      </c>
      <c r="W430" t="s">
        <v>1395</v>
      </c>
      <c r="X430">
        <v>22411</v>
      </c>
      <c r="Z430">
        <v>0</v>
      </c>
      <c r="AA430" s="30">
        <v>0.64444444444444449</v>
      </c>
      <c r="AB430">
        <v>3</v>
      </c>
      <c r="AC430" t="s">
        <v>41</v>
      </c>
    </row>
    <row r="431" spans="1:29">
      <c r="A431" t="s">
        <v>1310</v>
      </c>
      <c r="B431" s="29">
        <v>46313.64434027778</v>
      </c>
      <c r="C431">
        <v>1327</v>
      </c>
      <c r="D431" t="s">
        <v>41</v>
      </c>
      <c r="E431">
        <v>7</v>
      </c>
      <c r="F431" t="s">
        <v>41</v>
      </c>
      <c r="G431" t="s">
        <v>41</v>
      </c>
      <c r="H431" t="s">
        <v>1396</v>
      </c>
      <c r="I431" s="29">
        <v>46313.646354166667</v>
      </c>
      <c r="J431" t="s">
        <v>41</v>
      </c>
      <c r="K431" s="29">
        <v>46313.645844907405</v>
      </c>
      <c r="L431">
        <v>43</v>
      </c>
      <c r="O431" s="29">
        <v>46313.644247685188</v>
      </c>
      <c r="P431" t="s">
        <v>315</v>
      </c>
      <c r="Q431" t="s">
        <v>1312</v>
      </c>
      <c r="R431" t="s">
        <v>1397</v>
      </c>
      <c r="S431">
        <v>4247</v>
      </c>
      <c r="T431" t="s">
        <v>41</v>
      </c>
      <c r="U431" s="29">
        <v>46313.651747685188</v>
      </c>
      <c r="V431" s="29">
        <v>46313.650879629633</v>
      </c>
      <c r="W431" t="s">
        <v>1398</v>
      </c>
      <c r="X431">
        <v>22411</v>
      </c>
      <c r="Y431" s="29">
        <v>46313.663761574076</v>
      </c>
      <c r="Z431">
        <v>0</v>
      </c>
      <c r="AA431" s="30">
        <v>0.64374999999999993</v>
      </c>
      <c r="AB431">
        <v>7</v>
      </c>
      <c r="AC431" t="s">
        <v>41</v>
      </c>
    </row>
    <row r="432" spans="1:29">
      <c r="A432" t="s">
        <v>1336</v>
      </c>
      <c r="B432" s="29">
        <v>46313.6409375</v>
      </c>
      <c r="C432">
        <v>1701</v>
      </c>
      <c r="D432" t="s">
        <v>41</v>
      </c>
      <c r="E432">
        <v>6</v>
      </c>
      <c r="F432" t="s">
        <v>41</v>
      </c>
      <c r="G432" t="s">
        <v>41</v>
      </c>
      <c r="H432" t="s">
        <v>1399</v>
      </c>
      <c r="I432" s="29">
        <v>46313.641643518517</v>
      </c>
      <c r="J432" t="s">
        <v>41</v>
      </c>
      <c r="K432" s="29">
        <v>46313.64135416667</v>
      </c>
      <c r="L432">
        <v>24</v>
      </c>
      <c r="O432" s="29">
        <v>46313.640798611108</v>
      </c>
      <c r="P432" t="s">
        <v>43</v>
      </c>
      <c r="Q432" t="s">
        <v>1338</v>
      </c>
      <c r="R432" t="s">
        <v>1400</v>
      </c>
      <c r="S432">
        <v>4247</v>
      </c>
      <c r="T432" t="s">
        <v>41</v>
      </c>
      <c r="U432" s="29">
        <v>46313.645555555559</v>
      </c>
      <c r="V432" s="29">
        <v>46313.645370370374</v>
      </c>
      <c r="W432" t="s">
        <v>1401</v>
      </c>
      <c r="X432">
        <v>22411</v>
      </c>
      <c r="Z432">
        <v>0</v>
      </c>
      <c r="AA432" s="30">
        <v>0.64027777777777783</v>
      </c>
      <c r="AB432">
        <v>5</v>
      </c>
      <c r="AC432" t="s">
        <v>41</v>
      </c>
    </row>
    <row r="433" spans="1:29">
      <c r="A433" t="s">
        <v>77</v>
      </c>
      <c r="B433" s="29">
        <v>46313.638437499998</v>
      </c>
      <c r="C433">
        <v>2070</v>
      </c>
      <c r="D433" t="s">
        <v>41</v>
      </c>
      <c r="E433">
        <v>5</v>
      </c>
      <c r="F433" t="s">
        <v>41</v>
      </c>
      <c r="G433" t="s">
        <v>41</v>
      </c>
      <c r="H433" t="s">
        <v>1402</v>
      </c>
      <c r="I433" s="29">
        <v>46313.639178240737</v>
      </c>
      <c r="J433" t="s">
        <v>41</v>
      </c>
      <c r="K433" s="29">
        <v>46313.638842592591</v>
      </c>
      <c r="L433">
        <v>28</v>
      </c>
      <c r="O433" s="29">
        <v>46313.638321759259</v>
      </c>
      <c r="P433" t="s">
        <v>315</v>
      </c>
      <c r="Q433" t="s">
        <v>79</v>
      </c>
      <c r="R433" t="s">
        <v>1403</v>
      </c>
      <c r="S433">
        <v>4247</v>
      </c>
      <c r="T433" t="s">
        <v>41</v>
      </c>
      <c r="U433" s="29">
        <v>46313.643854166665</v>
      </c>
      <c r="V433" s="29">
        <v>46313.642453703702</v>
      </c>
      <c r="W433" t="s">
        <v>1404</v>
      </c>
      <c r="X433">
        <v>22411</v>
      </c>
      <c r="Y433" s="29">
        <v>46313.647083333337</v>
      </c>
      <c r="Z433">
        <v>0</v>
      </c>
      <c r="AA433" s="30">
        <v>0.6381944444444444</v>
      </c>
      <c r="AB433">
        <v>5</v>
      </c>
      <c r="AC433" t="s">
        <v>41</v>
      </c>
    </row>
    <row r="434" spans="1:29">
      <c r="A434" t="s">
        <v>734</v>
      </c>
      <c r="B434" s="29">
        <v>46313.637662037036</v>
      </c>
      <c r="C434">
        <v>1357</v>
      </c>
      <c r="D434" t="s">
        <v>41</v>
      </c>
      <c r="E434">
        <v>4</v>
      </c>
      <c r="F434" t="s">
        <v>41</v>
      </c>
      <c r="G434" t="s">
        <v>41</v>
      </c>
      <c r="H434" t="s">
        <v>1405</v>
      </c>
      <c r="I434" s="29">
        <v>46313.63853009259</v>
      </c>
      <c r="J434" t="s">
        <v>41</v>
      </c>
      <c r="K434" s="29">
        <v>46313.638182870367</v>
      </c>
      <c r="L434">
        <v>29</v>
      </c>
      <c r="O434" s="29">
        <v>46313.637557870374</v>
      </c>
      <c r="P434" t="s">
        <v>43</v>
      </c>
      <c r="Q434" t="s">
        <v>736</v>
      </c>
      <c r="R434" t="s">
        <v>1406</v>
      </c>
      <c r="S434">
        <v>4247</v>
      </c>
      <c r="T434" t="s">
        <v>41</v>
      </c>
      <c r="U434" s="29">
        <v>46313.641793981478</v>
      </c>
      <c r="V434" s="29">
        <v>46313.640925925924</v>
      </c>
      <c r="W434" t="s">
        <v>1407</v>
      </c>
      <c r="X434">
        <v>22411</v>
      </c>
      <c r="Z434">
        <v>0</v>
      </c>
      <c r="AA434" s="30">
        <v>0.63750000000000007</v>
      </c>
      <c r="AB434">
        <v>3</v>
      </c>
      <c r="AC434" t="s">
        <v>41</v>
      </c>
    </row>
    <row r="435" spans="1:29">
      <c r="A435" t="s">
        <v>339</v>
      </c>
      <c r="B435" s="29">
        <v>46313.636064814818</v>
      </c>
      <c r="C435">
        <v>2162</v>
      </c>
      <c r="D435" t="s">
        <v>41</v>
      </c>
      <c r="E435">
        <v>7</v>
      </c>
      <c r="F435" t="s">
        <v>41</v>
      </c>
      <c r="G435" t="s">
        <v>41</v>
      </c>
      <c r="H435" t="s">
        <v>1408</v>
      </c>
      <c r="I435" s="29">
        <v>46313.637685185182</v>
      </c>
      <c r="J435" t="s">
        <v>41</v>
      </c>
      <c r="K435" s="29">
        <v>46313.637256944443</v>
      </c>
      <c r="L435">
        <v>36</v>
      </c>
      <c r="O435" s="29">
        <v>46313.635949074072</v>
      </c>
      <c r="P435" t="s">
        <v>43</v>
      </c>
      <c r="Q435" t="s">
        <v>341</v>
      </c>
      <c r="R435" t="s">
        <v>1409</v>
      </c>
      <c r="S435">
        <v>4247</v>
      </c>
      <c r="T435" t="s">
        <v>41</v>
      </c>
      <c r="U435" s="29">
        <v>46313.644166666665</v>
      </c>
      <c r="V435" s="29">
        <v>46313.641956018517</v>
      </c>
      <c r="W435" t="s">
        <v>1410</v>
      </c>
      <c r="X435">
        <v>22411</v>
      </c>
      <c r="Z435">
        <v>0</v>
      </c>
      <c r="AA435" s="30">
        <v>0.63541666666666663</v>
      </c>
      <c r="AB435">
        <v>6</v>
      </c>
      <c r="AC435" t="s">
        <v>41</v>
      </c>
    </row>
    <row r="436" spans="1:29">
      <c r="A436" t="s">
        <v>98</v>
      </c>
      <c r="B436" s="29">
        <v>46313.635393518518</v>
      </c>
      <c r="C436">
        <v>1308</v>
      </c>
      <c r="D436" t="s">
        <v>41</v>
      </c>
      <c r="E436">
        <v>4</v>
      </c>
      <c r="F436" t="s">
        <v>41</v>
      </c>
      <c r="G436" t="s">
        <v>41</v>
      </c>
      <c r="H436" t="s">
        <v>1411</v>
      </c>
      <c r="I436" s="29">
        <v>46313.636689814812</v>
      </c>
      <c r="J436" t="s">
        <v>41</v>
      </c>
      <c r="K436" s="29">
        <v>46313.636296296296</v>
      </c>
      <c r="L436">
        <v>33</v>
      </c>
      <c r="O436" s="29">
        <v>46313.635300925926</v>
      </c>
      <c r="P436" t="s">
        <v>43</v>
      </c>
      <c r="Q436" t="s">
        <v>3005</v>
      </c>
      <c r="R436" t="s">
        <v>1412</v>
      </c>
      <c r="S436">
        <v>4247</v>
      </c>
      <c r="T436" t="s">
        <v>41</v>
      </c>
      <c r="U436" s="29">
        <v>46313.640613425923</v>
      </c>
      <c r="V436" s="29">
        <v>46313.639131944445</v>
      </c>
      <c r="W436" t="s">
        <v>1413</v>
      </c>
      <c r="X436">
        <v>22411</v>
      </c>
      <c r="Z436">
        <v>0</v>
      </c>
      <c r="AA436" s="30">
        <v>0.63472222222222219</v>
      </c>
      <c r="AB436">
        <v>4</v>
      </c>
      <c r="AC436" t="s">
        <v>41</v>
      </c>
    </row>
    <row r="437" spans="1:29">
      <c r="A437" t="s">
        <v>1239</v>
      </c>
      <c r="B437" s="29">
        <v>46313.634155092594</v>
      </c>
      <c r="C437">
        <v>508</v>
      </c>
      <c r="D437" t="s">
        <v>41</v>
      </c>
      <c r="E437">
        <v>3</v>
      </c>
      <c r="F437" t="s">
        <v>41</v>
      </c>
      <c r="G437" t="s">
        <v>41</v>
      </c>
      <c r="H437" t="s">
        <v>1414</v>
      </c>
      <c r="I437" s="29">
        <v>46313.635289351849</v>
      </c>
      <c r="J437" t="s">
        <v>41</v>
      </c>
      <c r="K437" s="29">
        <v>46313.63490740741</v>
      </c>
      <c r="L437">
        <v>32</v>
      </c>
      <c r="O437" s="29">
        <v>46313.633900462963</v>
      </c>
      <c r="P437" t="s">
        <v>43</v>
      </c>
      <c r="Q437" t="s">
        <v>1241</v>
      </c>
      <c r="R437" t="s">
        <v>1415</v>
      </c>
      <c r="S437">
        <v>4247</v>
      </c>
      <c r="T437" t="s">
        <v>41</v>
      </c>
      <c r="U437" s="29">
        <v>46313.637037037035</v>
      </c>
      <c r="V437" s="29">
        <v>46313.637129629627</v>
      </c>
      <c r="W437" t="s">
        <v>1416</v>
      </c>
      <c r="X437">
        <v>22411</v>
      </c>
      <c r="Z437">
        <v>0</v>
      </c>
      <c r="AA437" s="30">
        <v>0.63402777777777775</v>
      </c>
      <c r="AB437">
        <v>3</v>
      </c>
      <c r="AC437" t="s">
        <v>41</v>
      </c>
    </row>
    <row r="438" spans="1:29">
      <c r="A438" t="s">
        <v>1136</v>
      </c>
      <c r="B438" s="29">
        <v>46313.633449074077</v>
      </c>
      <c r="C438">
        <v>2690</v>
      </c>
      <c r="D438" t="s">
        <v>41</v>
      </c>
      <c r="E438">
        <v>9</v>
      </c>
      <c r="F438" t="s">
        <v>41</v>
      </c>
      <c r="G438" t="s">
        <v>41</v>
      </c>
      <c r="H438" t="s">
        <v>1417</v>
      </c>
      <c r="I438" s="29">
        <v>46313.634282407409</v>
      </c>
      <c r="J438" t="s">
        <v>41</v>
      </c>
      <c r="K438" s="29">
        <v>46313.633784722224</v>
      </c>
      <c r="L438">
        <v>42</v>
      </c>
      <c r="O438" s="29">
        <v>46313.633321759262</v>
      </c>
      <c r="P438" t="s">
        <v>43</v>
      </c>
      <c r="Q438" t="s">
        <v>1138</v>
      </c>
      <c r="R438" t="s">
        <v>1418</v>
      </c>
      <c r="S438">
        <v>4247</v>
      </c>
      <c r="T438" t="s">
        <v>41</v>
      </c>
      <c r="U438" s="29">
        <v>46313.640960648147</v>
      </c>
      <c r="V438" s="29">
        <v>46313.639918981484</v>
      </c>
      <c r="W438" t="s">
        <v>1419</v>
      </c>
      <c r="X438">
        <v>22411</v>
      </c>
      <c r="Z438">
        <v>0</v>
      </c>
      <c r="AA438" s="30">
        <v>0.6333333333333333</v>
      </c>
      <c r="AB438">
        <v>8</v>
      </c>
      <c r="AC438" t="s">
        <v>41</v>
      </c>
    </row>
    <row r="439" spans="1:29">
      <c r="A439" t="s">
        <v>1365</v>
      </c>
      <c r="B439" s="29">
        <v>46313.63140046296</v>
      </c>
      <c r="C439">
        <v>1254</v>
      </c>
      <c r="D439" t="s">
        <v>41</v>
      </c>
      <c r="E439">
        <v>5</v>
      </c>
      <c r="F439" t="s">
        <v>41</v>
      </c>
      <c r="G439" t="s">
        <v>41</v>
      </c>
      <c r="H439" t="s">
        <v>1420</v>
      </c>
      <c r="I439" s="29">
        <v>46313.632187499999</v>
      </c>
      <c r="J439" t="s">
        <v>41</v>
      </c>
      <c r="K439" s="29">
        <v>46313.631643518522</v>
      </c>
      <c r="L439">
        <v>46</v>
      </c>
      <c r="O439" s="29">
        <v>46313.631249999999</v>
      </c>
      <c r="P439" t="s">
        <v>43</v>
      </c>
      <c r="Q439" t="s">
        <v>1367</v>
      </c>
      <c r="R439" t="s">
        <v>1421</v>
      </c>
      <c r="S439">
        <v>4247</v>
      </c>
      <c r="T439" t="s">
        <v>41</v>
      </c>
      <c r="U439" s="29">
        <v>46313.636747685188</v>
      </c>
      <c r="V439" s="29">
        <v>46313.635138888887</v>
      </c>
      <c r="W439" t="s">
        <v>1422</v>
      </c>
      <c r="X439">
        <v>22411</v>
      </c>
      <c r="Z439">
        <v>0</v>
      </c>
      <c r="AA439" s="30">
        <v>0.63124999999999998</v>
      </c>
      <c r="AB439">
        <v>4</v>
      </c>
      <c r="AC439" t="s">
        <v>41</v>
      </c>
    </row>
    <row r="440" spans="1:29">
      <c r="A440" t="s">
        <v>379</v>
      </c>
      <c r="B440" s="29">
        <v>46313.629618055558</v>
      </c>
      <c r="C440">
        <v>776</v>
      </c>
      <c r="D440" t="s">
        <v>41</v>
      </c>
      <c r="E440">
        <v>12</v>
      </c>
      <c r="F440" t="s">
        <v>41</v>
      </c>
      <c r="G440" t="s">
        <v>41</v>
      </c>
      <c r="H440" t="s">
        <v>1423</v>
      </c>
      <c r="I440" s="29">
        <v>46313.630208333336</v>
      </c>
      <c r="J440" t="s">
        <v>41</v>
      </c>
      <c r="K440" s="29">
        <v>46313.629837962966</v>
      </c>
      <c r="L440">
        <v>31</v>
      </c>
      <c r="O440" s="29">
        <v>46313.62940972222</v>
      </c>
      <c r="P440" t="s">
        <v>43</v>
      </c>
      <c r="Q440" t="s">
        <v>381</v>
      </c>
      <c r="R440" t="s">
        <v>1424</v>
      </c>
      <c r="S440">
        <v>4247</v>
      </c>
      <c r="T440" t="s">
        <v>41</v>
      </c>
      <c r="U440" s="29">
        <v>46313.632569444446</v>
      </c>
      <c r="V440" s="29">
        <v>46313.638252314813</v>
      </c>
      <c r="W440" t="s">
        <v>1425</v>
      </c>
      <c r="X440">
        <v>22411</v>
      </c>
      <c r="Z440">
        <v>0</v>
      </c>
      <c r="AA440" s="30">
        <v>0.62916666666666665</v>
      </c>
      <c r="AB440">
        <v>12</v>
      </c>
      <c r="AC440" t="s">
        <v>41</v>
      </c>
    </row>
    <row r="441" spans="1:29">
      <c r="A441" t="s">
        <v>93</v>
      </c>
      <c r="B441" s="29">
        <v>46313.629340277781</v>
      </c>
      <c r="C441">
        <v>1150</v>
      </c>
      <c r="D441" t="s">
        <v>41</v>
      </c>
      <c r="E441">
        <v>3</v>
      </c>
      <c r="F441" t="s">
        <v>41</v>
      </c>
      <c r="G441" t="s">
        <v>41</v>
      </c>
      <c r="H441" t="s">
        <v>1426</v>
      </c>
      <c r="I441" s="29">
        <v>46313.630381944444</v>
      </c>
      <c r="J441" t="s">
        <v>41</v>
      </c>
      <c r="K441" s="29">
        <v>46313.629942129628</v>
      </c>
      <c r="L441">
        <v>37</v>
      </c>
      <c r="O441" s="29">
        <v>46313.629074074073</v>
      </c>
      <c r="P441" t="s">
        <v>43</v>
      </c>
      <c r="Q441" t="s">
        <v>95</v>
      </c>
      <c r="R441" t="s">
        <v>1427</v>
      </c>
      <c r="S441">
        <v>4247</v>
      </c>
      <c r="T441" t="s">
        <v>41</v>
      </c>
      <c r="U441" s="29">
        <v>46313.633680555555</v>
      </c>
      <c r="V441" s="29">
        <v>46313.632326388892</v>
      </c>
      <c r="W441" t="s">
        <v>1428</v>
      </c>
      <c r="X441">
        <v>22411</v>
      </c>
      <c r="Z441">
        <v>0</v>
      </c>
      <c r="AA441" s="30">
        <v>0.62916666666666665</v>
      </c>
      <c r="AB441">
        <v>3</v>
      </c>
      <c r="AC441" t="s">
        <v>41</v>
      </c>
    </row>
    <row r="442" spans="1:29">
      <c r="A442" t="s">
        <v>72</v>
      </c>
      <c r="B442" s="29">
        <v>46313.628622685188</v>
      </c>
      <c r="C442">
        <v>1987</v>
      </c>
      <c r="D442" t="s">
        <v>41</v>
      </c>
      <c r="E442">
        <v>9</v>
      </c>
      <c r="F442" t="s">
        <v>41</v>
      </c>
      <c r="G442" t="s">
        <v>41</v>
      </c>
      <c r="H442" t="s">
        <v>1429</v>
      </c>
      <c r="I442" s="29">
        <v>46313.630833333336</v>
      </c>
      <c r="J442" t="s">
        <v>41</v>
      </c>
      <c r="K442" s="29">
        <v>46313.630416666667</v>
      </c>
      <c r="L442">
        <v>35</v>
      </c>
      <c r="O442" s="29">
        <v>46313.628553240742</v>
      </c>
      <c r="P442" t="s">
        <v>43</v>
      </c>
      <c r="Q442" t="s">
        <v>74</v>
      </c>
      <c r="R442" t="s">
        <v>1430</v>
      </c>
      <c r="S442">
        <v>4247</v>
      </c>
      <c r="T442" t="s">
        <v>41</v>
      </c>
      <c r="U442" s="29">
        <v>46313.637037037035</v>
      </c>
      <c r="V442" s="29">
        <v>46313.636840277781</v>
      </c>
      <c r="W442" t="s">
        <v>1431</v>
      </c>
      <c r="X442">
        <v>22411</v>
      </c>
      <c r="Z442">
        <v>0</v>
      </c>
      <c r="AA442" s="30">
        <v>0.62847222222222221</v>
      </c>
      <c r="AB442">
        <v>9</v>
      </c>
      <c r="AC442" t="s">
        <v>41</v>
      </c>
    </row>
    <row r="443" spans="1:29">
      <c r="A443" t="s">
        <v>198</v>
      </c>
      <c r="B443" s="29">
        <v>46313.627245370371</v>
      </c>
      <c r="C443">
        <v>2337</v>
      </c>
      <c r="D443" t="s">
        <v>41</v>
      </c>
      <c r="E443">
        <v>7</v>
      </c>
      <c r="F443" t="s">
        <v>41</v>
      </c>
      <c r="G443" t="s">
        <v>41</v>
      </c>
      <c r="H443" t="s">
        <v>1432</v>
      </c>
      <c r="I443" s="29">
        <v>46313.62809027778</v>
      </c>
      <c r="J443" t="s">
        <v>41</v>
      </c>
      <c r="K443" s="29">
        <v>46313.627754629626</v>
      </c>
      <c r="L443">
        <v>28</v>
      </c>
      <c r="O443" s="29">
        <v>46313.627106481479</v>
      </c>
      <c r="P443" t="s">
        <v>43</v>
      </c>
      <c r="Q443" t="s">
        <v>3008</v>
      </c>
      <c r="R443" t="s">
        <v>1433</v>
      </c>
      <c r="S443">
        <v>4247</v>
      </c>
      <c r="T443" t="s">
        <v>41</v>
      </c>
      <c r="U443" s="29">
        <v>46313.634583333333</v>
      </c>
      <c r="V443" s="29">
        <v>46313.63244212963</v>
      </c>
      <c r="W443" t="s">
        <v>1434</v>
      </c>
      <c r="X443">
        <v>22411</v>
      </c>
      <c r="Z443">
        <v>0</v>
      </c>
      <c r="AA443" s="30">
        <v>0.62708333333333333</v>
      </c>
      <c r="AB443">
        <v>6</v>
      </c>
      <c r="AC443" t="s">
        <v>41</v>
      </c>
    </row>
    <row r="444" spans="1:29">
      <c r="A444" t="s">
        <v>1310</v>
      </c>
      <c r="B444" s="29">
        <v>46313.622604166667</v>
      </c>
      <c r="C444">
        <v>719</v>
      </c>
      <c r="D444" t="s">
        <v>41</v>
      </c>
      <c r="E444">
        <v>3</v>
      </c>
      <c r="F444" t="s">
        <v>41</v>
      </c>
      <c r="G444" t="s">
        <v>41</v>
      </c>
      <c r="H444" t="s">
        <v>1435</v>
      </c>
      <c r="I444" s="29">
        <v>46313.623148148145</v>
      </c>
      <c r="J444" t="s">
        <v>41</v>
      </c>
      <c r="K444" s="29">
        <v>46313.62296296296</v>
      </c>
      <c r="L444">
        <v>15</v>
      </c>
      <c r="O444" s="29">
        <v>46313.622523148151</v>
      </c>
      <c r="P444" t="s">
        <v>43</v>
      </c>
      <c r="Q444" t="s">
        <v>1312</v>
      </c>
      <c r="R444" t="s">
        <v>1436</v>
      </c>
      <c r="S444">
        <v>4247</v>
      </c>
      <c r="T444" t="s">
        <v>41</v>
      </c>
      <c r="U444" s="29">
        <v>46313.625300925924</v>
      </c>
      <c r="V444" s="29">
        <v>46313.625231481485</v>
      </c>
      <c r="W444" t="s">
        <v>1437</v>
      </c>
      <c r="X444">
        <v>22411</v>
      </c>
      <c r="Z444">
        <v>0</v>
      </c>
      <c r="AA444" s="30">
        <v>0.62222222222222223</v>
      </c>
      <c r="AB444">
        <v>3</v>
      </c>
      <c r="AC444" t="s">
        <v>41</v>
      </c>
    </row>
    <row r="445" spans="1:29">
      <c r="A445" t="s">
        <v>62</v>
      </c>
      <c r="B445" s="29">
        <v>46313.622303240743</v>
      </c>
      <c r="C445">
        <v>2272</v>
      </c>
      <c r="D445" t="s">
        <v>41</v>
      </c>
      <c r="E445">
        <v>6</v>
      </c>
      <c r="F445" t="s">
        <v>41</v>
      </c>
      <c r="G445" t="s">
        <v>41</v>
      </c>
      <c r="H445" t="s">
        <v>1438</v>
      </c>
      <c r="I445" s="29">
        <v>46313.623865740738</v>
      </c>
      <c r="J445" t="s">
        <v>41</v>
      </c>
      <c r="K445" s="29">
        <v>46313.623715277776</v>
      </c>
      <c r="L445">
        <v>12</v>
      </c>
      <c r="O445" s="29">
        <v>46313.622199074074</v>
      </c>
      <c r="P445" t="s">
        <v>43</v>
      </c>
      <c r="Q445" t="s">
        <v>64</v>
      </c>
      <c r="R445" t="s">
        <v>1439</v>
      </c>
      <c r="S445">
        <v>4247</v>
      </c>
      <c r="T445" t="s">
        <v>41</v>
      </c>
      <c r="U445" s="29">
        <v>46313.63008101852</v>
      </c>
      <c r="V445" s="29">
        <v>46313.62777777778</v>
      </c>
      <c r="W445" t="s">
        <v>1440</v>
      </c>
      <c r="X445">
        <v>22411</v>
      </c>
      <c r="Z445">
        <v>0</v>
      </c>
      <c r="AA445" s="30">
        <v>0.62222222222222223</v>
      </c>
      <c r="AB445">
        <v>6</v>
      </c>
      <c r="AC445" t="s">
        <v>41</v>
      </c>
    </row>
    <row r="446" spans="1:29">
      <c r="A446" t="s">
        <v>734</v>
      </c>
      <c r="B446" s="29">
        <v>46313.62127314815</v>
      </c>
      <c r="C446">
        <v>1908</v>
      </c>
      <c r="D446" t="s">
        <v>41</v>
      </c>
      <c r="E446">
        <v>5</v>
      </c>
      <c r="F446" t="s">
        <v>41</v>
      </c>
      <c r="G446" t="s">
        <v>41</v>
      </c>
      <c r="H446" t="s">
        <v>1441</v>
      </c>
      <c r="I446" s="29">
        <v>46313.622037037036</v>
      </c>
      <c r="J446" t="s">
        <v>41</v>
      </c>
      <c r="K446" s="29">
        <v>46313.621967592589</v>
      </c>
      <c r="L446">
        <v>5</v>
      </c>
      <c r="O446" s="29">
        <v>46313.621122685188</v>
      </c>
      <c r="P446" t="s">
        <v>43</v>
      </c>
      <c r="Q446" t="s">
        <v>736</v>
      </c>
      <c r="R446" t="s">
        <v>1442</v>
      </c>
      <c r="S446">
        <v>4247</v>
      </c>
      <c r="T446" t="s">
        <v>41</v>
      </c>
      <c r="U446" s="29">
        <v>46313.626620370371</v>
      </c>
      <c r="V446" s="29">
        <v>46313.625694444447</v>
      </c>
      <c r="W446" t="s">
        <v>1443</v>
      </c>
      <c r="X446">
        <v>22411</v>
      </c>
      <c r="Z446">
        <v>0</v>
      </c>
      <c r="AA446" s="30">
        <v>0.62083333333333335</v>
      </c>
      <c r="AB446">
        <v>5</v>
      </c>
      <c r="AC446" t="s">
        <v>41</v>
      </c>
    </row>
    <row r="447" spans="1:29">
      <c r="A447" t="s">
        <v>125</v>
      </c>
      <c r="B447" s="29">
        <v>46313.619513888887</v>
      </c>
      <c r="C447">
        <v>2477</v>
      </c>
      <c r="D447" t="s">
        <v>41</v>
      </c>
      <c r="E447">
        <v>8</v>
      </c>
      <c r="F447" t="s">
        <v>41</v>
      </c>
      <c r="G447" t="s">
        <v>41</v>
      </c>
      <c r="H447" t="s">
        <v>1444</v>
      </c>
      <c r="I447" s="29">
        <v>46313.620844907404</v>
      </c>
      <c r="J447" t="s">
        <v>41</v>
      </c>
      <c r="K447" s="29">
        <v>46313.620763888888</v>
      </c>
      <c r="L447">
        <v>6</v>
      </c>
      <c r="O447" s="29">
        <v>46313.619409722225</v>
      </c>
      <c r="P447" t="s">
        <v>43</v>
      </c>
      <c r="Q447" t="s">
        <v>3006</v>
      </c>
      <c r="R447" t="s">
        <v>1445</v>
      </c>
      <c r="S447">
        <v>4247</v>
      </c>
      <c r="T447" t="s">
        <v>41</v>
      </c>
      <c r="U447" s="29">
        <v>46313.626851851855</v>
      </c>
      <c r="V447" s="29">
        <v>46313.626388888886</v>
      </c>
      <c r="W447" t="s">
        <v>1446</v>
      </c>
      <c r="X447">
        <v>22411</v>
      </c>
      <c r="Z447">
        <v>0</v>
      </c>
      <c r="AA447" s="30">
        <v>0.61944444444444446</v>
      </c>
      <c r="AB447">
        <v>8</v>
      </c>
      <c r="AC447" t="s">
        <v>41</v>
      </c>
    </row>
    <row r="448" spans="1:29">
      <c r="A448" t="s">
        <v>1391</v>
      </c>
      <c r="B448" s="29">
        <v>46313.61923611111</v>
      </c>
      <c r="C448">
        <v>2152</v>
      </c>
      <c r="D448" t="s">
        <v>41</v>
      </c>
      <c r="E448">
        <v>4</v>
      </c>
      <c r="F448" t="s">
        <v>41</v>
      </c>
      <c r="G448" t="s">
        <v>41</v>
      </c>
      <c r="H448" t="s">
        <v>1447</v>
      </c>
      <c r="I448" s="29">
        <v>46313.620196759257</v>
      </c>
      <c r="J448" t="s">
        <v>41</v>
      </c>
      <c r="K448" s="29">
        <v>46313.62</v>
      </c>
      <c r="L448">
        <v>16</v>
      </c>
      <c r="O448" s="29">
        <v>46313.619097222225</v>
      </c>
      <c r="P448" t="s">
        <v>43</v>
      </c>
      <c r="Q448" t="s">
        <v>1393</v>
      </c>
      <c r="R448" t="s">
        <v>1448</v>
      </c>
      <c r="S448">
        <v>4247</v>
      </c>
      <c r="T448" t="s">
        <v>41</v>
      </c>
      <c r="U448" s="29">
        <v>46313.626562500001</v>
      </c>
      <c r="V448" s="29">
        <v>46313.622928240744</v>
      </c>
      <c r="W448" t="s">
        <v>1449</v>
      </c>
      <c r="X448">
        <v>22411</v>
      </c>
      <c r="Z448">
        <v>0</v>
      </c>
      <c r="AA448" s="30">
        <v>0.61875000000000002</v>
      </c>
      <c r="AB448">
        <v>4</v>
      </c>
      <c r="AC448" t="s">
        <v>41</v>
      </c>
    </row>
    <row r="449" spans="1:29">
      <c r="A449" t="s">
        <v>185</v>
      </c>
      <c r="B449" s="29">
        <v>46313.618993055556</v>
      </c>
      <c r="C449">
        <v>2218</v>
      </c>
      <c r="D449" t="s">
        <v>41</v>
      </c>
      <c r="E449">
        <v>6</v>
      </c>
      <c r="F449" t="s">
        <v>41</v>
      </c>
      <c r="G449" t="s">
        <v>41</v>
      </c>
      <c r="H449" t="s">
        <v>1447</v>
      </c>
      <c r="I449" s="29">
        <v>46313.620451388888</v>
      </c>
      <c r="J449" t="s">
        <v>41</v>
      </c>
      <c r="K449" s="29">
        <v>46313.619756944441</v>
      </c>
      <c r="L449">
        <v>59</v>
      </c>
      <c r="O449" s="29">
        <v>46313.618854166663</v>
      </c>
      <c r="P449" t="s">
        <v>43</v>
      </c>
      <c r="Q449" t="s">
        <v>3007</v>
      </c>
      <c r="R449" t="s">
        <v>1450</v>
      </c>
      <c r="S449">
        <v>4247</v>
      </c>
      <c r="T449" t="s">
        <v>41</v>
      </c>
      <c r="U449" s="29">
        <v>46313.625625000001</v>
      </c>
      <c r="V449" s="29">
        <v>46313.62400462963</v>
      </c>
      <c r="W449" t="s">
        <v>1451</v>
      </c>
      <c r="X449">
        <v>22411</v>
      </c>
      <c r="Z449">
        <v>0</v>
      </c>
      <c r="AA449" s="30">
        <v>0.61875000000000002</v>
      </c>
      <c r="AB449">
        <v>5</v>
      </c>
      <c r="AC449" t="s">
        <v>41</v>
      </c>
    </row>
    <row r="450" spans="1:29">
      <c r="A450" t="s">
        <v>77</v>
      </c>
      <c r="B450" s="29">
        <v>46313.618298611109</v>
      </c>
      <c r="C450">
        <v>2298</v>
      </c>
      <c r="D450" t="s">
        <v>41</v>
      </c>
      <c r="E450">
        <v>6</v>
      </c>
      <c r="F450" t="s">
        <v>41</v>
      </c>
      <c r="G450" t="s">
        <v>41</v>
      </c>
      <c r="H450" t="s">
        <v>1452</v>
      </c>
      <c r="I450" s="29">
        <v>46313.620532407411</v>
      </c>
      <c r="J450" t="s">
        <v>41</v>
      </c>
      <c r="K450" s="29">
        <v>46313.620208333334</v>
      </c>
      <c r="L450">
        <v>27</v>
      </c>
      <c r="O450" s="29">
        <v>46313.618217592593</v>
      </c>
      <c r="P450" t="s">
        <v>43</v>
      </c>
      <c r="Q450" t="s">
        <v>79</v>
      </c>
      <c r="R450" t="s">
        <v>1453</v>
      </c>
      <c r="S450">
        <v>4247</v>
      </c>
      <c r="T450" t="s">
        <v>41</v>
      </c>
      <c r="U450" s="29">
        <v>46313.627291666664</v>
      </c>
      <c r="V450" s="29">
        <v>46313.624282407407</v>
      </c>
      <c r="W450" t="s">
        <v>1454</v>
      </c>
      <c r="X450">
        <v>22411</v>
      </c>
      <c r="Z450">
        <v>0</v>
      </c>
      <c r="AA450" s="30">
        <v>0.61805555555555558</v>
      </c>
      <c r="AB450">
        <v>5</v>
      </c>
      <c r="AC450" t="s">
        <v>41</v>
      </c>
    </row>
    <row r="451" spans="1:29">
      <c r="A451" t="s">
        <v>1365</v>
      </c>
      <c r="B451" s="29">
        <v>46313.616203703707</v>
      </c>
      <c r="C451">
        <v>659</v>
      </c>
      <c r="D451" t="s">
        <v>41</v>
      </c>
      <c r="E451">
        <v>2</v>
      </c>
      <c r="F451" t="s">
        <v>41</v>
      </c>
      <c r="G451" t="s">
        <v>41</v>
      </c>
      <c r="H451" t="s">
        <v>1455</v>
      </c>
      <c r="I451" s="29">
        <v>46313.616840277777</v>
      </c>
      <c r="J451" t="s">
        <v>41</v>
      </c>
      <c r="K451" s="29">
        <v>46313.616724537038</v>
      </c>
      <c r="L451">
        <v>9</v>
      </c>
      <c r="O451" s="29">
        <v>46313.616111111114</v>
      </c>
      <c r="P451" t="s">
        <v>43</v>
      </c>
      <c r="Q451" t="s">
        <v>1367</v>
      </c>
      <c r="R451" t="s">
        <v>1456</v>
      </c>
      <c r="S451">
        <v>4247</v>
      </c>
      <c r="T451" t="s">
        <v>41</v>
      </c>
      <c r="U451" s="29">
        <v>46313.619340277779</v>
      </c>
      <c r="V451" s="29">
        <v>46313.618171296293</v>
      </c>
      <c r="W451" t="s">
        <v>1457</v>
      </c>
      <c r="X451">
        <v>22411</v>
      </c>
      <c r="Z451">
        <v>0</v>
      </c>
      <c r="AA451" s="30">
        <v>0.61597222222222225</v>
      </c>
      <c r="AB451">
        <v>2</v>
      </c>
      <c r="AC451" t="s">
        <v>41</v>
      </c>
    </row>
    <row r="452" spans="1:29">
      <c r="A452" t="s">
        <v>1239</v>
      </c>
      <c r="B452" s="29">
        <v>46313.614224537036</v>
      </c>
      <c r="C452">
        <v>1891</v>
      </c>
      <c r="D452" t="s">
        <v>41</v>
      </c>
      <c r="E452">
        <v>5</v>
      </c>
      <c r="F452" t="s">
        <v>41</v>
      </c>
      <c r="G452" t="s">
        <v>41</v>
      </c>
      <c r="H452" t="s">
        <v>1458</v>
      </c>
      <c r="I452" s="29">
        <v>46313.615208333336</v>
      </c>
      <c r="J452" t="s">
        <v>41</v>
      </c>
      <c r="K452" s="29">
        <v>46313.61509259259</v>
      </c>
      <c r="L452">
        <v>9</v>
      </c>
      <c r="O452" s="29">
        <v>46313.614004629628</v>
      </c>
      <c r="P452" t="s">
        <v>43</v>
      </c>
      <c r="Q452" t="s">
        <v>1241</v>
      </c>
      <c r="R452" t="s">
        <v>1459</v>
      </c>
      <c r="S452">
        <v>4247</v>
      </c>
      <c r="T452" t="s">
        <v>41</v>
      </c>
      <c r="U452" s="29">
        <v>46313.619699074072</v>
      </c>
      <c r="V452" s="29">
        <v>46313.618576388886</v>
      </c>
      <c r="W452" t="s">
        <v>1460</v>
      </c>
      <c r="X452">
        <v>22411</v>
      </c>
      <c r="Z452">
        <v>0</v>
      </c>
      <c r="AA452" s="30">
        <v>0.61388888888888882</v>
      </c>
      <c r="AB452">
        <v>5</v>
      </c>
      <c r="AC452" t="s">
        <v>41</v>
      </c>
    </row>
    <row r="453" spans="1:29">
      <c r="A453" t="s">
        <v>1461</v>
      </c>
      <c r="B453" s="29">
        <v>46313.613703703704</v>
      </c>
      <c r="C453">
        <v>2503</v>
      </c>
      <c r="D453" t="s">
        <v>41</v>
      </c>
      <c r="E453">
        <v>7</v>
      </c>
      <c r="F453" t="s">
        <v>41</v>
      </c>
      <c r="G453" t="s">
        <v>41</v>
      </c>
      <c r="H453" t="s">
        <v>1462</v>
      </c>
      <c r="I453" s="29">
        <v>46313.614664351851</v>
      </c>
      <c r="J453" t="s">
        <v>41</v>
      </c>
      <c r="K453" s="29">
        <v>46313.614571759259</v>
      </c>
      <c r="L453">
        <v>7</v>
      </c>
      <c r="O453" s="29">
        <v>46313.613506944443</v>
      </c>
      <c r="P453" t="s">
        <v>43</v>
      </c>
      <c r="Q453" t="s">
        <v>1463</v>
      </c>
      <c r="R453" t="s">
        <v>1464</v>
      </c>
      <c r="S453">
        <v>4247</v>
      </c>
      <c r="T453" t="s">
        <v>41</v>
      </c>
      <c r="U453" s="29">
        <v>46313.62054398148</v>
      </c>
      <c r="V453" s="29">
        <v>46313.619247685187</v>
      </c>
      <c r="W453" t="s">
        <v>1465</v>
      </c>
      <c r="X453">
        <v>22411</v>
      </c>
      <c r="Z453">
        <v>0</v>
      </c>
      <c r="AA453" s="30">
        <v>0.61319444444444449</v>
      </c>
      <c r="AB453">
        <v>7</v>
      </c>
      <c r="AC453" t="s">
        <v>41</v>
      </c>
    </row>
    <row r="454" spans="1:29">
      <c r="A454" t="s">
        <v>1336</v>
      </c>
      <c r="B454" s="29">
        <v>46313.61347222222</v>
      </c>
      <c r="C454">
        <v>2654</v>
      </c>
      <c r="D454" t="s">
        <v>41</v>
      </c>
      <c r="E454">
        <v>7</v>
      </c>
      <c r="F454" t="s">
        <v>41</v>
      </c>
      <c r="G454" t="s">
        <v>41</v>
      </c>
      <c r="H454" t="s">
        <v>1466</v>
      </c>
      <c r="I454" s="29">
        <v>46313.614259259259</v>
      </c>
      <c r="J454" t="s">
        <v>41</v>
      </c>
      <c r="K454" s="29">
        <v>46313.61414351852</v>
      </c>
      <c r="L454">
        <v>9</v>
      </c>
      <c r="O454" s="29">
        <v>46313.612233796295</v>
      </c>
      <c r="P454" t="s">
        <v>43</v>
      </c>
      <c r="Q454" t="s">
        <v>1338</v>
      </c>
      <c r="R454" t="s">
        <v>1467</v>
      </c>
      <c r="S454">
        <v>4247</v>
      </c>
      <c r="T454" t="s">
        <v>41</v>
      </c>
      <c r="U454" s="29">
        <v>46313.620023148149</v>
      </c>
      <c r="V454" s="29">
        <v>46313.61891203704</v>
      </c>
      <c r="W454" t="s">
        <v>1468</v>
      </c>
      <c r="X454">
        <v>22411</v>
      </c>
      <c r="Z454">
        <v>0</v>
      </c>
      <c r="AA454" s="30">
        <v>0.61319444444444449</v>
      </c>
      <c r="AB454">
        <v>7</v>
      </c>
      <c r="AC454" t="s">
        <v>41</v>
      </c>
    </row>
    <row r="455" spans="1:29">
      <c r="A455" t="s">
        <v>198</v>
      </c>
      <c r="B455" s="29">
        <v>46313.612546296295</v>
      </c>
      <c r="C455">
        <v>1955</v>
      </c>
      <c r="D455" t="s">
        <v>41</v>
      </c>
      <c r="E455">
        <v>9</v>
      </c>
      <c r="F455" t="s">
        <v>41</v>
      </c>
      <c r="G455" t="s">
        <v>41</v>
      </c>
      <c r="H455" t="s">
        <v>1469</v>
      </c>
      <c r="I455" s="29">
        <v>46313.615543981483</v>
      </c>
      <c r="J455" t="s">
        <v>41</v>
      </c>
      <c r="K455" s="29">
        <v>46313.61546296296</v>
      </c>
      <c r="L455">
        <v>6</v>
      </c>
      <c r="O455" s="29">
        <v>46313.612025462964</v>
      </c>
      <c r="P455" t="s">
        <v>315</v>
      </c>
      <c r="Q455" t="s">
        <v>3008</v>
      </c>
      <c r="R455" t="s">
        <v>1470</v>
      </c>
      <c r="S455">
        <v>4247</v>
      </c>
      <c r="T455" t="s">
        <v>41</v>
      </c>
      <c r="U455" s="29">
        <v>46313.620162037034</v>
      </c>
      <c r="W455" t="s">
        <v>1471</v>
      </c>
      <c r="X455">
        <v>22411</v>
      </c>
      <c r="Y455" s="29">
        <v>46313.619976851849</v>
      </c>
      <c r="Z455">
        <v>0</v>
      </c>
      <c r="AA455" s="30">
        <v>0.61249999999999993</v>
      </c>
      <c r="AB455">
        <v>9</v>
      </c>
      <c r="AC455" t="s">
        <v>41</v>
      </c>
    </row>
    <row r="456" spans="1:29">
      <c r="A456" t="s">
        <v>62</v>
      </c>
      <c r="B456" s="29">
        <v>46313.61173611111</v>
      </c>
      <c r="C456">
        <v>1116</v>
      </c>
      <c r="D456" t="s">
        <v>41</v>
      </c>
      <c r="E456">
        <v>4</v>
      </c>
      <c r="F456" t="s">
        <v>41</v>
      </c>
      <c r="G456" t="s">
        <v>41</v>
      </c>
      <c r="H456" t="s">
        <v>1472</v>
      </c>
      <c r="I456" s="29">
        <v>46313.612083333333</v>
      </c>
      <c r="J456" t="s">
        <v>41</v>
      </c>
      <c r="K456" s="29">
        <v>46313.610185185185</v>
      </c>
      <c r="L456">
        <v>30</v>
      </c>
      <c r="O456" s="29">
        <v>46313.609803240739</v>
      </c>
      <c r="P456" t="s">
        <v>43</v>
      </c>
      <c r="Q456" t="s">
        <v>64</v>
      </c>
      <c r="R456" t="s">
        <v>1473</v>
      </c>
      <c r="S456">
        <v>4247</v>
      </c>
      <c r="T456" t="s">
        <v>41</v>
      </c>
      <c r="U456" s="29">
        <v>46313.615844907406</v>
      </c>
      <c r="V456" s="29">
        <v>46313.614814814813</v>
      </c>
      <c r="W456" t="s">
        <v>1474</v>
      </c>
      <c r="X456">
        <v>22411</v>
      </c>
      <c r="Z456">
        <v>0</v>
      </c>
      <c r="AA456" s="30">
        <v>0.61111111111111105</v>
      </c>
      <c r="AB456">
        <v>4</v>
      </c>
      <c r="AC456" t="s">
        <v>41</v>
      </c>
    </row>
    <row r="457" spans="1:29">
      <c r="A457" t="s">
        <v>379</v>
      </c>
      <c r="B457" s="29">
        <v>46313.611608796295</v>
      </c>
      <c r="C457">
        <v>2295</v>
      </c>
      <c r="D457" t="s">
        <v>41</v>
      </c>
      <c r="E457">
        <v>7</v>
      </c>
      <c r="F457" t="s">
        <v>41</v>
      </c>
      <c r="G457" t="s">
        <v>41</v>
      </c>
      <c r="H457" t="s">
        <v>1475</v>
      </c>
      <c r="I457" s="29">
        <v>46313.611990740741</v>
      </c>
      <c r="J457" t="s">
        <v>41</v>
      </c>
      <c r="K457" s="29">
        <v>46313.608958333331</v>
      </c>
      <c r="L457">
        <v>33</v>
      </c>
      <c r="O457" s="29">
        <v>46313.607743055552</v>
      </c>
      <c r="P457" t="s">
        <v>43</v>
      </c>
      <c r="Q457" t="s">
        <v>381</v>
      </c>
      <c r="R457" t="s">
        <v>1476</v>
      </c>
      <c r="S457">
        <v>4247</v>
      </c>
      <c r="T457" t="s">
        <v>41</v>
      </c>
      <c r="U457" s="29">
        <v>46313.617013888892</v>
      </c>
      <c r="V457" s="29">
        <v>46313.616446759261</v>
      </c>
      <c r="W457" t="s">
        <v>1477</v>
      </c>
      <c r="X457">
        <v>22411</v>
      </c>
      <c r="Z457">
        <v>0</v>
      </c>
      <c r="AA457" s="30">
        <v>0.61111111111111105</v>
      </c>
      <c r="AB457">
        <v>6</v>
      </c>
      <c r="AC457" t="s">
        <v>41</v>
      </c>
    </row>
    <row r="458" spans="1:29">
      <c r="A458" t="s">
        <v>67</v>
      </c>
      <c r="B458" s="29">
        <v>46313.61105324074</v>
      </c>
      <c r="C458">
        <v>1065</v>
      </c>
      <c r="D458" t="s">
        <v>41</v>
      </c>
      <c r="E458">
        <v>4</v>
      </c>
      <c r="F458" t="s">
        <v>41</v>
      </c>
      <c r="G458" t="s">
        <v>41</v>
      </c>
      <c r="H458" t="s">
        <v>1478</v>
      </c>
      <c r="I458" s="29">
        <v>46313.611331018517</v>
      </c>
      <c r="J458" t="s">
        <v>41</v>
      </c>
      <c r="K458" s="29">
        <v>46313.609259259261</v>
      </c>
      <c r="L458">
        <v>24</v>
      </c>
      <c r="O458" s="29">
        <v>46313.606273148151</v>
      </c>
      <c r="P458" t="s">
        <v>43</v>
      </c>
      <c r="Q458" t="s">
        <v>69</v>
      </c>
      <c r="R458" t="s">
        <v>1479</v>
      </c>
      <c r="S458">
        <v>4247</v>
      </c>
      <c r="T458" t="s">
        <v>41</v>
      </c>
      <c r="U458" s="29">
        <v>46313.61446759259</v>
      </c>
      <c r="V458" s="29">
        <v>46313.613634259258</v>
      </c>
      <c r="W458" t="s">
        <v>1480</v>
      </c>
      <c r="X458">
        <v>22411</v>
      </c>
      <c r="Z458">
        <v>0</v>
      </c>
      <c r="AA458" s="30">
        <v>0.61041666666666672</v>
      </c>
      <c r="AB458">
        <v>3</v>
      </c>
      <c r="AC458" t="s">
        <v>41</v>
      </c>
    </row>
    <row r="459" spans="1:29">
      <c r="A459" t="s">
        <v>1136</v>
      </c>
      <c r="B459" s="29">
        <v>46313.610949074071</v>
      </c>
      <c r="C459">
        <v>1973</v>
      </c>
      <c r="D459" t="s">
        <v>41</v>
      </c>
      <c r="E459">
        <v>7</v>
      </c>
      <c r="F459" t="s">
        <v>41</v>
      </c>
      <c r="G459" t="s">
        <v>41</v>
      </c>
      <c r="H459" t="s">
        <v>1481</v>
      </c>
      <c r="I459" s="29">
        <v>46313.611261574071</v>
      </c>
      <c r="J459" t="s">
        <v>41</v>
      </c>
      <c r="K459" s="29">
        <v>46313.606851851851</v>
      </c>
      <c r="L459">
        <v>27</v>
      </c>
      <c r="O459" s="29">
        <v>46313.606006944443</v>
      </c>
      <c r="P459" t="s">
        <v>43</v>
      </c>
      <c r="Q459" t="s">
        <v>1138</v>
      </c>
      <c r="R459" t="s">
        <v>1482</v>
      </c>
      <c r="S459">
        <v>4247</v>
      </c>
      <c r="T459" t="s">
        <v>41</v>
      </c>
      <c r="U459" s="29">
        <v>46313.616400462961</v>
      </c>
      <c r="V459" s="29">
        <v>46313.615763888891</v>
      </c>
      <c r="W459" t="s">
        <v>1483</v>
      </c>
      <c r="X459">
        <v>22411</v>
      </c>
      <c r="Z459">
        <v>0</v>
      </c>
      <c r="AA459" s="30">
        <v>0.61041666666666672</v>
      </c>
      <c r="AB459">
        <v>6</v>
      </c>
      <c r="AC459" t="s">
        <v>41</v>
      </c>
    </row>
    <row r="460" spans="1:29">
      <c r="A460" t="s">
        <v>1310</v>
      </c>
      <c r="B460" s="29">
        <v>46313.609305555554</v>
      </c>
      <c r="C460">
        <v>2076</v>
      </c>
      <c r="D460" t="s">
        <v>41</v>
      </c>
      <c r="E460">
        <v>6</v>
      </c>
      <c r="F460" t="s">
        <v>41</v>
      </c>
      <c r="G460" t="s">
        <v>41</v>
      </c>
      <c r="H460" t="s">
        <v>1484</v>
      </c>
      <c r="I460" s="29">
        <v>46313.609560185185</v>
      </c>
      <c r="J460" t="s">
        <v>41</v>
      </c>
      <c r="K460" s="29">
        <v>46313.607060185182</v>
      </c>
      <c r="L460">
        <v>22</v>
      </c>
      <c r="O460" s="29">
        <v>46313.605844907404</v>
      </c>
      <c r="P460" t="s">
        <v>43</v>
      </c>
      <c r="Q460" t="s">
        <v>1312</v>
      </c>
      <c r="R460" t="s">
        <v>1485</v>
      </c>
      <c r="S460">
        <v>4247</v>
      </c>
      <c r="T460" t="s">
        <v>41</v>
      </c>
      <c r="U460" s="29">
        <v>46313.614849537036</v>
      </c>
      <c r="V460" s="29">
        <v>46313.613321759258</v>
      </c>
      <c r="W460" t="s">
        <v>1486</v>
      </c>
      <c r="X460">
        <v>22411</v>
      </c>
      <c r="Z460">
        <v>0</v>
      </c>
      <c r="AA460" s="30">
        <v>0.60902777777777783</v>
      </c>
      <c r="AB460">
        <v>5</v>
      </c>
      <c r="AC460" t="s">
        <v>41</v>
      </c>
    </row>
    <row r="461" spans="1:29">
      <c r="A461" t="s">
        <v>734</v>
      </c>
      <c r="B461" s="29">
        <v>46313.608182870368</v>
      </c>
      <c r="C461">
        <v>1807</v>
      </c>
      <c r="D461" t="s">
        <v>41</v>
      </c>
      <c r="E461">
        <v>6</v>
      </c>
      <c r="F461" t="s">
        <v>41</v>
      </c>
      <c r="G461" t="s">
        <v>41</v>
      </c>
      <c r="H461" t="s">
        <v>1487</v>
      </c>
      <c r="I461" s="29">
        <v>46313.608344907407</v>
      </c>
      <c r="J461" t="s">
        <v>41</v>
      </c>
      <c r="K461" s="29">
        <v>46313.606493055559</v>
      </c>
      <c r="L461">
        <v>14</v>
      </c>
      <c r="O461" s="29">
        <v>46313.605810185189</v>
      </c>
      <c r="P461" t="s">
        <v>43</v>
      </c>
      <c r="Q461" t="s">
        <v>736</v>
      </c>
      <c r="R461" t="s">
        <v>1488</v>
      </c>
      <c r="S461">
        <v>4247</v>
      </c>
      <c r="T461" t="s">
        <v>41</v>
      </c>
      <c r="U461" s="29">
        <v>46313.614201388889</v>
      </c>
      <c r="V461" s="29">
        <v>46313.612326388888</v>
      </c>
      <c r="W461" t="s">
        <v>1489</v>
      </c>
      <c r="X461">
        <v>22411</v>
      </c>
      <c r="Z461">
        <v>0</v>
      </c>
      <c r="AA461" s="30">
        <v>0.60763888888888895</v>
      </c>
      <c r="AB461">
        <v>6</v>
      </c>
      <c r="AC461" t="s">
        <v>41</v>
      </c>
    </row>
    <row r="462" spans="1:29">
      <c r="A462" t="s">
        <v>40</v>
      </c>
      <c r="B462" s="29">
        <v>46313.606620370374</v>
      </c>
      <c r="C462">
        <v>2340</v>
      </c>
      <c r="D462" t="s">
        <v>41</v>
      </c>
      <c r="E462">
        <v>8</v>
      </c>
      <c r="F462" t="s">
        <v>41</v>
      </c>
      <c r="G462" t="s">
        <v>41</v>
      </c>
      <c r="H462" t="s">
        <v>1490</v>
      </c>
      <c r="I462" s="29">
        <v>46313.607638888891</v>
      </c>
      <c r="J462" t="s">
        <v>41</v>
      </c>
      <c r="K462" s="29">
        <v>46313.607476851852</v>
      </c>
      <c r="L462">
        <v>13</v>
      </c>
      <c r="O462" s="29">
        <v>46313.605671296296</v>
      </c>
      <c r="P462" t="s">
        <v>43</v>
      </c>
      <c r="Q462" t="s">
        <v>44</v>
      </c>
      <c r="R462" t="s">
        <v>1491</v>
      </c>
      <c r="S462">
        <v>4247</v>
      </c>
      <c r="T462" t="s">
        <v>41</v>
      </c>
      <c r="U462" s="29">
        <v>46313.614618055559</v>
      </c>
      <c r="V462" s="29">
        <v>46313.612986111111</v>
      </c>
      <c r="W462" t="s">
        <v>1492</v>
      </c>
      <c r="X462">
        <v>22411</v>
      </c>
      <c r="Z462">
        <v>0</v>
      </c>
      <c r="AA462" s="30">
        <v>0.60625000000000007</v>
      </c>
      <c r="AB462">
        <v>8</v>
      </c>
      <c r="AC462" t="s">
        <v>41</v>
      </c>
    </row>
    <row r="463" spans="1:29">
      <c r="A463" t="s">
        <v>77</v>
      </c>
      <c r="B463" s="29">
        <v>46313.606377314813</v>
      </c>
      <c r="C463">
        <v>1353</v>
      </c>
      <c r="D463" t="s">
        <v>41</v>
      </c>
      <c r="E463">
        <v>4</v>
      </c>
      <c r="F463" t="s">
        <v>41</v>
      </c>
      <c r="G463" t="s">
        <v>41</v>
      </c>
      <c r="H463" t="s">
        <v>1493</v>
      </c>
      <c r="I463" s="29">
        <v>46313.606620370374</v>
      </c>
      <c r="J463" t="s">
        <v>41</v>
      </c>
      <c r="K463" s="29">
        <v>46313.605231481481</v>
      </c>
      <c r="L463">
        <v>21</v>
      </c>
      <c r="O463" s="29">
        <v>46313.604733796295</v>
      </c>
      <c r="P463" t="s">
        <v>43</v>
      </c>
      <c r="Q463" t="s">
        <v>79</v>
      </c>
      <c r="R463" t="s">
        <v>1494</v>
      </c>
      <c r="S463">
        <v>4247</v>
      </c>
      <c r="T463" t="s">
        <v>41</v>
      </c>
      <c r="U463" s="29">
        <v>46313.611342592594</v>
      </c>
      <c r="V463" s="29">
        <v>46313.609016203707</v>
      </c>
      <c r="W463" t="s">
        <v>1495</v>
      </c>
      <c r="X463">
        <v>22411</v>
      </c>
      <c r="Z463">
        <v>0</v>
      </c>
      <c r="AA463" s="30">
        <v>0.60625000000000007</v>
      </c>
      <c r="AB463">
        <v>3</v>
      </c>
      <c r="AC463" t="s">
        <v>41</v>
      </c>
    </row>
    <row r="464" spans="1:29">
      <c r="A464" t="s">
        <v>1239</v>
      </c>
      <c r="B464" s="29">
        <v>46313.605138888888</v>
      </c>
      <c r="C464">
        <v>793</v>
      </c>
      <c r="D464" t="s">
        <v>41</v>
      </c>
      <c r="E464">
        <v>3</v>
      </c>
      <c r="F464" t="s">
        <v>41</v>
      </c>
      <c r="G464" t="s">
        <v>41</v>
      </c>
      <c r="H464" t="s">
        <v>1496</v>
      </c>
      <c r="I464" s="29">
        <v>46313.605416666665</v>
      </c>
      <c r="J464" t="s">
        <v>41</v>
      </c>
      <c r="K464" s="29">
        <v>46313.604930555557</v>
      </c>
      <c r="L464">
        <v>24</v>
      </c>
      <c r="O464" s="29">
        <v>46313.603912037041</v>
      </c>
      <c r="P464" t="s">
        <v>43</v>
      </c>
      <c r="Q464" t="s">
        <v>1241</v>
      </c>
      <c r="R464" t="s">
        <v>1497</v>
      </c>
      <c r="S464">
        <v>4247</v>
      </c>
      <c r="T464" t="s">
        <v>41</v>
      </c>
      <c r="U464" s="29">
        <v>46313.608287037037</v>
      </c>
      <c r="V464" s="29">
        <v>46313.607465277775</v>
      </c>
      <c r="W464" t="s">
        <v>1498</v>
      </c>
      <c r="X464">
        <v>22411</v>
      </c>
      <c r="Z464">
        <v>0</v>
      </c>
      <c r="AA464" s="30">
        <v>0.60486111111111118</v>
      </c>
      <c r="AB464">
        <v>3</v>
      </c>
      <c r="AC464" t="s">
        <v>41</v>
      </c>
    </row>
    <row r="465" spans="1:29">
      <c r="A465" t="s">
        <v>1391</v>
      </c>
      <c r="B465" s="29">
        <v>46313.60527777778</v>
      </c>
      <c r="C465">
        <v>1954</v>
      </c>
      <c r="D465" t="s">
        <v>41</v>
      </c>
      <c r="E465">
        <v>6</v>
      </c>
      <c r="F465" t="s">
        <v>41</v>
      </c>
      <c r="G465" t="s">
        <v>41</v>
      </c>
      <c r="H465" t="s">
        <v>1499</v>
      </c>
      <c r="I465" s="29">
        <v>46313.605486111112</v>
      </c>
      <c r="J465" t="s">
        <v>41</v>
      </c>
      <c r="K465" s="29">
        <v>46313.60324074074</v>
      </c>
      <c r="L465">
        <v>18</v>
      </c>
      <c r="O465" s="29">
        <v>46313.60260416667</v>
      </c>
      <c r="P465" t="s">
        <v>43</v>
      </c>
      <c r="Q465" t="s">
        <v>1393</v>
      </c>
      <c r="R465" t="s">
        <v>1500</v>
      </c>
      <c r="S465">
        <v>4247</v>
      </c>
      <c r="T465" t="s">
        <v>41</v>
      </c>
      <c r="U465" s="29">
        <v>46313.610138888886</v>
      </c>
      <c r="V465" s="29">
        <v>46313.609768518516</v>
      </c>
      <c r="W465" t="s">
        <v>1501</v>
      </c>
      <c r="X465">
        <v>22411</v>
      </c>
      <c r="Z465">
        <v>0</v>
      </c>
      <c r="AA465" s="30">
        <v>0.60486111111111118</v>
      </c>
      <c r="AB465">
        <v>6</v>
      </c>
      <c r="AC465" t="s">
        <v>41</v>
      </c>
    </row>
    <row r="466" spans="1:29">
      <c r="A466" t="s">
        <v>62</v>
      </c>
      <c r="B466" s="29">
        <v>46313.60324074074</v>
      </c>
      <c r="C466">
        <v>1125</v>
      </c>
      <c r="D466" t="s">
        <v>41</v>
      </c>
      <c r="E466">
        <v>4</v>
      </c>
      <c r="F466" t="s">
        <v>41</v>
      </c>
      <c r="G466" t="s">
        <v>41</v>
      </c>
      <c r="H466" t="s">
        <v>1502</v>
      </c>
      <c r="I466" s="29">
        <v>46313.603379629632</v>
      </c>
      <c r="J466" t="s">
        <v>41</v>
      </c>
      <c r="K466" s="29">
        <v>46313.602789351855</v>
      </c>
      <c r="L466">
        <v>12</v>
      </c>
      <c r="O466" s="29">
        <v>46313.602002314816</v>
      </c>
      <c r="P466" t="s">
        <v>43</v>
      </c>
      <c r="Q466" t="s">
        <v>64</v>
      </c>
      <c r="R466" t="s">
        <v>1503</v>
      </c>
      <c r="S466">
        <v>4247</v>
      </c>
      <c r="T466" t="s">
        <v>41</v>
      </c>
      <c r="U466" s="29">
        <v>46313.606319444443</v>
      </c>
      <c r="V466" s="29">
        <v>46313.605902777781</v>
      </c>
      <c r="W466" t="s">
        <v>1504</v>
      </c>
      <c r="X466">
        <v>22411</v>
      </c>
      <c r="Z466">
        <v>0</v>
      </c>
      <c r="AA466" s="30">
        <v>0.60277777777777775</v>
      </c>
      <c r="AB466">
        <v>4</v>
      </c>
      <c r="AC466" t="s">
        <v>41</v>
      </c>
    </row>
    <row r="467" spans="1:29">
      <c r="A467" t="s">
        <v>1461</v>
      </c>
      <c r="B467" s="29">
        <v>46313.601770833331</v>
      </c>
      <c r="C467">
        <v>2088</v>
      </c>
      <c r="D467" t="s">
        <v>41</v>
      </c>
      <c r="E467">
        <v>6</v>
      </c>
      <c r="F467" t="s">
        <v>41</v>
      </c>
      <c r="G467" t="s">
        <v>41</v>
      </c>
      <c r="H467" t="s">
        <v>1505</v>
      </c>
      <c r="I467" s="29">
        <v>46313.602037037039</v>
      </c>
      <c r="J467" t="s">
        <v>41</v>
      </c>
      <c r="K467" s="29">
        <v>46313.600358796299</v>
      </c>
      <c r="L467">
        <v>23</v>
      </c>
      <c r="O467" s="29">
        <v>46313.599305555559</v>
      </c>
      <c r="P467" t="s">
        <v>43</v>
      </c>
      <c r="Q467" t="s">
        <v>1463</v>
      </c>
      <c r="R467" t="s">
        <v>1506</v>
      </c>
      <c r="S467">
        <v>4247</v>
      </c>
      <c r="T467" t="s">
        <v>41</v>
      </c>
      <c r="U467" s="29">
        <v>46313.60728009259</v>
      </c>
      <c r="V467" s="29">
        <v>46313.606111111112</v>
      </c>
      <c r="W467" t="s">
        <v>1507</v>
      </c>
      <c r="X467">
        <v>22411</v>
      </c>
      <c r="Z467">
        <v>0</v>
      </c>
      <c r="AA467" s="30">
        <v>0.60138888888888886</v>
      </c>
      <c r="AB467">
        <v>6</v>
      </c>
      <c r="AC467" t="s">
        <v>41</v>
      </c>
    </row>
    <row r="468" spans="1:29">
      <c r="A468" t="s">
        <v>185</v>
      </c>
      <c r="B468" s="29">
        <v>46313.600266203706</v>
      </c>
      <c r="C468">
        <v>2240</v>
      </c>
      <c r="D468" t="s">
        <v>41</v>
      </c>
      <c r="E468">
        <v>7</v>
      </c>
      <c r="F468" t="s">
        <v>41</v>
      </c>
      <c r="G468" t="s">
        <v>41</v>
      </c>
      <c r="H468" t="s">
        <v>1508</v>
      </c>
      <c r="I468" s="29">
        <v>46313.600462962961</v>
      </c>
      <c r="J468" t="s">
        <v>41</v>
      </c>
      <c r="K468" s="29">
        <v>46313.599768518521</v>
      </c>
      <c r="L468">
        <v>17</v>
      </c>
      <c r="O468" s="29">
        <v>46313.599212962959</v>
      </c>
      <c r="P468" t="s">
        <v>43</v>
      </c>
      <c r="Q468" t="s">
        <v>3007</v>
      </c>
      <c r="R468" t="s">
        <v>1509</v>
      </c>
      <c r="S468">
        <v>4247</v>
      </c>
      <c r="T468" t="s">
        <v>41</v>
      </c>
      <c r="U468" s="29">
        <v>46313.606678240743</v>
      </c>
      <c r="V468" s="29">
        <v>46313.605451388888</v>
      </c>
      <c r="W468" t="s">
        <v>1510</v>
      </c>
      <c r="X468">
        <v>22411</v>
      </c>
      <c r="Z468">
        <v>0</v>
      </c>
      <c r="AA468" s="30">
        <v>0.6</v>
      </c>
      <c r="AB468">
        <v>7</v>
      </c>
      <c r="AC468" t="s">
        <v>41</v>
      </c>
    </row>
    <row r="469" spans="1:29">
      <c r="A469" t="s">
        <v>198</v>
      </c>
      <c r="B469" s="29">
        <v>46313.599328703705</v>
      </c>
      <c r="C469">
        <v>1890</v>
      </c>
      <c r="D469" t="s">
        <v>41</v>
      </c>
      <c r="E469">
        <v>11</v>
      </c>
      <c r="F469" t="s">
        <v>41</v>
      </c>
      <c r="G469" t="s">
        <v>41</v>
      </c>
      <c r="H469" t="s">
        <v>1511</v>
      </c>
      <c r="I469" s="29">
        <v>46313.599675925929</v>
      </c>
      <c r="J469" t="s">
        <v>41</v>
      </c>
      <c r="K469" s="29">
        <v>46313.599548611113</v>
      </c>
      <c r="L469">
        <v>10</v>
      </c>
      <c r="O469" s="29">
        <v>46313.599120370367</v>
      </c>
      <c r="P469" t="s">
        <v>43</v>
      </c>
      <c r="Q469" t="s">
        <v>3008</v>
      </c>
      <c r="R469" t="s">
        <v>1512</v>
      </c>
      <c r="S469">
        <v>4247</v>
      </c>
      <c r="T469" t="s">
        <v>41</v>
      </c>
      <c r="U469" s="29">
        <v>46313.604224537034</v>
      </c>
      <c r="V469" s="29">
        <v>46313.606932870367</v>
      </c>
      <c r="W469" t="s">
        <v>1513</v>
      </c>
      <c r="X469">
        <v>22411</v>
      </c>
      <c r="Z469">
        <v>0</v>
      </c>
      <c r="AA469" s="30">
        <v>0.59930555555555554</v>
      </c>
      <c r="AB469">
        <v>10</v>
      </c>
      <c r="AC469" t="s">
        <v>41</v>
      </c>
    </row>
    <row r="470" spans="1:29">
      <c r="A470" t="s">
        <v>1336</v>
      </c>
      <c r="B470" s="29">
        <v>46313.59920138889</v>
      </c>
      <c r="C470">
        <v>1763</v>
      </c>
      <c r="D470" t="s">
        <v>41</v>
      </c>
      <c r="E470">
        <v>9</v>
      </c>
      <c r="F470" t="s">
        <v>41</v>
      </c>
      <c r="G470" t="s">
        <v>41</v>
      </c>
      <c r="H470" t="s">
        <v>1514</v>
      </c>
      <c r="I470" s="29">
        <v>46313.600081018521</v>
      </c>
      <c r="J470" t="s">
        <v>41</v>
      </c>
      <c r="K470" s="29">
        <v>46313.599988425929</v>
      </c>
      <c r="L470">
        <v>7</v>
      </c>
      <c r="O470" s="29">
        <v>46313.599108796298</v>
      </c>
      <c r="P470" t="s">
        <v>43</v>
      </c>
      <c r="Q470" t="s">
        <v>1338</v>
      </c>
      <c r="R470" t="s">
        <v>1515</v>
      </c>
      <c r="S470">
        <v>4247</v>
      </c>
      <c r="T470" t="s">
        <v>41</v>
      </c>
      <c r="U470" s="29">
        <v>46313.605856481481</v>
      </c>
      <c r="V470" s="29">
        <v>46313.60601851852</v>
      </c>
      <c r="W470" t="s">
        <v>1516</v>
      </c>
      <c r="X470">
        <v>22411</v>
      </c>
      <c r="Z470">
        <v>0</v>
      </c>
      <c r="AA470" s="30">
        <v>0.59861111111111109</v>
      </c>
      <c r="AB470">
        <v>9</v>
      </c>
      <c r="AC470" t="s">
        <v>41</v>
      </c>
    </row>
    <row r="471" spans="1:29">
      <c r="A471" t="s">
        <v>734</v>
      </c>
      <c r="B471" s="29">
        <v>46313.598009259258</v>
      </c>
      <c r="C471">
        <v>1637</v>
      </c>
      <c r="D471" t="s">
        <v>41</v>
      </c>
      <c r="E471">
        <v>4</v>
      </c>
      <c r="F471" t="s">
        <v>41</v>
      </c>
      <c r="G471" t="s">
        <v>41</v>
      </c>
      <c r="H471" t="s">
        <v>1517</v>
      </c>
      <c r="I471" s="29">
        <v>46313.598634259259</v>
      </c>
      <c r="J471" t="s">
        <v>41</v>
      </c>
      <c r="K471" s="29">
        <v>46313.59851851852</v>
      </c>
      <c r="L471">
        <v>9</v>
      </c>
      <c r="O471" s="29">
        <v>46313.597858796296</v>
      </c>
      <c r="P471" t="s">
        <v>43</v>
      </c>
      <c r="Q471" t="s">
        <v>736</v>
      </c>
      <c r="R471" t="s">
        <v>1518</v>
      </c>
      <c r="S471">
        <v>4247</v>
      </c>
      <c r="T471" t="s">
        <v>41</v>
      </c>
      <c r="U471" s="29">
        <v>46313.60361111111</v>
      </c>
      <c r="V471" s="29">
        <v>46313.6015162037</v>
      </c>
      <c r="W471" t="s">
        <v>1519</v>
      </c>
      <c r="X471">
        <v>22411</v>
      </c>
      <c r="Z471">
        <v>0</v>
      </c>
      <c r="AA471" s="30">
        <v>0.59791666666666665</v>
      </c>
      <c r="AB471">
        <v>4</v>
      </c>
      <c r="AC471" t="s">
        <v>41</v>
      </c>
    </row>
    <row r="472" spans="1:29">
      <c r="A472" t="s">
        <v>379</v>
      </c>
      <c r="B472" s="29">
        <v>46313.597951388889</v>
      </c>
      <c r="C472">
        <v>1880</v>
      </c>
      <c r="D472" t="s">
        <v>41</v>
      </c>
      <c r="E472">
        <v>7</v>
      </c>
      <c r="F472" t="s">
        <v>41</v>
      </c>
      <c r="G472" t="s">
        <v>41</v>
      </c>
      <c r="H472" t="s">
        <v>1520</v>
      </c>
      <c r="I472" s="29">
        <v>46313.598124999997</v>
      </c>
      <c r="J472" t="s">
        <v>41</v>
      </c>
      <c r="K472" s="29">
        <v>46313.597997685189</v>
      </c>
      <c r="L472">
        <v>10</v>
      </c>
      <c r="O472" s="29">
        <v>46313.597569444442</v>
      </c>
      <c r="P472" t="s">
        <v>43</v>
      </c>
      <c r="Q472" t="s">
        <v>381</v>
      </c>
      <c r="R472" t="s">
        <v>1521</v>
      </c>
      <c r="S472">
        <v>4247</v>
      </c>
      <c r="T472" t="s">
        <v>41</v>
      </c>
      <c r="U472" s="29">
        <v>46313.602708333332</v>
      </c>
      <c r="V472" s="29">
        <v>46313.602789351855</v>
      </c>
      <c r="W472" t="s">
        <v>1522</v>
      </c>
      <c r="X472">
        <v>22411</v>
      </c>
      <c r="Z472">
        <v>0</v>
      </c>
      <c r="AA472" s="30">
        <v>0.59791666666666665</v>
      </c>
      <c r="AB472">
        <v>7</v>
      </c>
      <c r="AC472" t="s">
        <v>41</v>
      </c>
    </row>
    <row r="473" spans="1:29">
      <c r="A473" t="s">
        <v>72</v>
      </c>
      <c r="B473" s="29">
        <v>46313.596805555557</v>
      </c>
      <c r="C473">
        <v>2333</v>
      </c>
      <c r="D473" t="s">
        <v>41</v>
      </c>
      <c r="E473">
        <v>8</v>
      </c>
      <c r="F473" t="s">
        <v>41</v>
      </c>
      <c r="G473" t="s">
        <v>41</v>
      </c>
      <c r="H473" t="s">
        <v>1523</v>
      </c>
      <c r="I473" s="29">
        <v>46313.59715277778</v>
      </c>
      <c r="J473" t="s">
        <v>41</v>
      </c>
      <c r="K473" s="29">
        <v>46313.597060185188</v>
      </c>
      <c r="L473">
        <v>7</v>
      </c>
      <c r="O473" s="29">
        <v>46313.596712962964</v>
      </c>
      <c r="P473" t="s">
        <v>43</v>
      </c>
      <c r="Q473" t="s">
        <v>74</v>
      </c>
      <c r="R473" t="s">
        <v>1524</v>
      </c>
      <c r="S473">
        <v>4247</v>
      </c>
      <c r="T473" t="s">
        <v>41</v>
      </c>
      <c r="U473" s="29">
        <v>46313.604097222225</v>
      </c>
      <c r="V473" s="29">
        <v>46313.602719907409</v>
      </c>
      <c r="W473" t="s">
        <v>1525</v>
      </c>
      <c r="X473">
        <v>22411</v>
      </c>
      <c r="Z473">
        <v>0</v>
      </c>
      <c r="AA473" s="30">
        <v>0.59652777777777777</v>
      </c>
      <c r="AB473">
        <v>8</v>
      </c>
      <c r="AC473" t="s">
        <v>41</v>
      </c>
    </row>
    <row r="474" spans="1:29">
      <c r="A474" t="s">
        <v>1239</v>
      </c>
      <c r="B474" s="29">
        <v>46313.595856481479</v>
      </c>
      <c r="C474">
        <v>539</v>
      </c>
      <c r="D474" t="s">
        <v>41</v>
      </c>
      <c r="E474">
        <v>3</v>
      </c>
      <c r="F474" t="s">
        <v>41</v>
      </c>
      <c r="G474" t="s">
        <v>41</v>
      </c>
      <c r="H474" t="s">
        <v>1526</v>
      </c>
      <c r="I474" s="29">
        <v>46313.596342592595</v>
      </c>
      <c r="J474" t="s">
        <v>41</v>
      </c>
      <c r="K474" s="29">
        <v>46313.59615740741</v>
      </c>
      <c r="L474">
        <v>15</v>
      </c>
      <c r="O474" s="29">
        <v>46313.595752314817</v>
      </c>
      <c r="P474" t="s">
        <v>43</v>
      </c>
      <c r="Q474" t="s">
        <v>1241</v>
      </c>
      <c r="R474" t="s">
        <v>1527</v>
      </c>
      <c r="S474">
        <v>4247</v>
      </c>
      <c r="T474" t="s">
        <v>41</v>
      </c>
      <c r="U474" s="29">
        <v>46313.598576388889</v>
      </c>
      <c r="V474" s="29">
        <v>46313.598310185182</v>
      </c>
      <c r="W474" t="s">
        <v>1528</v>
      </c>
      <c r="X474">
        <v>22411</v>
      </c>
      <c r="Z474">
        <v>0</v>
      </c>
      <c r="AA474" s="30">
        <v>0.59583333333333333</v>
      </c>
      <c r="AB474">
        <v>3</v>
      </c>
      <c r="AC474" t="s">
        <v>41</v>
      </c>
    </row>
    <row r="475" spans="1:29">
      <c r="A475" t="s">
        <v>711</v>
      </c>
      <c r="B475" s="29">
        <v>46313.594513888886</v>
      </c>
      <c r="C475">
        <v>2833</v>
      </c>
      <c r="D475" t="s">
        <v>41</v>
      </c>
      <c r="E475">
        <v>8</v>
      </c>
      <c r="F475" t="s">
        <v>41</v>
      </c>
      <c r="G475" t="s">
        <v>41</v>
      </c>
      <c r="H475" t="s">
        <v>1529</v>
      </c>
      <c r="I475" s="29">
        <v>46313.596030092594</v>
      </c>
      <c r="J475" t="s">
        <v>41</v>
      </c>
      <c r="K475" s="29">
        <v>46313.595949074072</v>
      </c>
      <c r="L475">
        <v>6</v>
      </c>
      <c r="O475" s="29">
        <v>46313.594444444447</v>
      </c>
      <c r="P475" t="s">
        <v>43</v>
      </c>
      <c r="Q475" t="s">
        <v>713</v>
      </c>
      <c r="R475" t="s">
        <v>1530</v>
      </c>
      <c r="S475">
        <v>4247</v>
      </c>
      <c r="T475" t="s">
        <v>41</v>
      </c>
      <c r="U475" s="29">
        <v>46313.603634259256</v>
      </c>
      <c r="V475" s="29">
        <v>46313.6016087963</v>
      </c>
      <c r="W475" t="s">
        <v>1531</v>
      </c>
      <c r="X475">
        <v>22411</v>
      </c>
      <c r="Z475">
        <v>0</v>
      </c>
      <c r="AA475" s="30">
        <v>0.59444444444444444</v>
      </c>
      <c r="AB475">
        <v>8</v>
      </c>
      <c r="AC475" t="s">
        <v>41</v>
      </c>
    </row>
    <row r="476" spans="1:29">
      <c r="A476" t="s">
        <v>1171</v>
      </c>
      <c r="B476" s="29">
        <v>46313.594074074077</v>
      </c>
      <c r="C476">
        <v>2978</v>
      </c>
      <c r="D476" t="s">
        <v>41</v>
      </c>
      <c r="E476">
        <v>7</v>
      </c>
      <c r="F476" t="s">
        <v>41</v>
      </c>
      <c r="G476" t="s">
        <v>41</v>
      </c>
      <c r="H476" t="s">
        <v>1532</v>
      </c>
      <c r="I476" s="29">
        <v>46313.594699074078</v>
      </c>
      <c r="J476" t="s">
        <v>41</v>
      </c>
      <c r="K476" s="29">
        <v>46313.59447916667</v>
      </c>
      <c r="L476">
        <v>18</v>
      </c>
      <c r="O476" s="29">
        <v>46313.5937962963</v>
      </c>
      <c r="P476" t="s">
        <v>43</v>
      </c>
      <c r="Q476" t="s">
        <v>1173</v>
      </c>
      <c r="R476" t="s">
        <v>1533</v>
      </c>
      <c r="S476">
        <v>4247</v>
      </c>
      <c r="T476" t="s">
        <v>41</v>
      </c>
      <c r="U476" s="29">
        <v>46313.601967592593</v>
      </c>
      <c r="V476" s="29">
        <v>46313.599224537036</v>
      </c>
      <c r="W476" t="s">
        <v>1534</v>
      </c>
      <c r="X476">
        <v>22411</v>
      </c>
      <c r="Z476">
        <v>0</v>
      </c>
      <c r="AA476" s="30">
        <v>0.59375</v>
      </c>
      <c r="AB476">
        <v>7</v>
      </c>
      <c r="AC476" t="s">
        <v>41</v>
      </c>
    </row>
    <row r="477" spans="1:29">
      <c r="A477" t="s">
        <v>185</v>
      </c>
      <c r="B477" s="29">
        <v>46313.593668981484</v>
      </c>
      <c r="C477">
        <v>380</v>
      </c>
      <c r="D477" t="s">
        <v>41</v>
      </c>
      <c r="E477">
        <v>0</v>
      </c>
      <c r="F477" t="s">
        <v>41</v>
      </c>
      <c r="G477" t="s">
        <v>41</v>
      </c>
      <c r="H477" t="s">
        <v>1535</v>
      </c>
      <c r="I477" s="29">
        <v>46313.594259259262</v>
      </c>
      <c r="J477" t="s">
        <v>41</v>
      </c>
      <c r="K477" s="29">
        <v>46313.594155092593</v>
      </c>
      <c r="L477">
        <v>8</v>
      </c>
      <c r="O477" s="29">
        <v>46313.593472222223</v>
      </c>
      <c r="P477" t="s">
        <v>43</v>
      </c>
      <c r="Q477" t="s">
        <v>3007</v>
      </c>
      <c r="R477" t="s">
        <v>1536</v>
      </c>
      <c r="S477">
        <v>4247</v>
      </c>
      <c r="T477" t="s">
        <v>41</v>
      </c>
      <c r="U477" s="29">
        <v>46313.596145833333</v>
      </c>
      <c r="V477" s="29">
        <v>46313.594351851854</v>
      </c>
      <c r="W477" t="s">
        <v>1537</v>
      </c>
      <c r="X477">
        <v>22411</v>
      </c>
      <c r="Z477">
        <v>0</v>
      </c>
      <c r="AA477" s="30">
        <v>0.59305555555555556</v>
      </c>
      <c r="AB477">
        <v>0</v>
      </c>
      <c r="AC477" t="s">
        <v>41</v>
      </c>
    </row>
    <row r="478" spans="1:29">
      <c r="A478" t="s">
        <v>190</v>
      </c>
      <c r="B478" s="29">
        <v>46313.592291666668</v>
      </c>
      <c r="C478">
        <v>1767</v>
      </c>
      <c r="D478" t="s">
        <v>41</v>
      </c>
      <c r="E478">
        <v>6</v>
      </c>
      <c r="F478" t="s">
        <v>41</v>
      </c>
      <c r="G478" t="s">
        <v>41</v>
      </c>
      <c r="H478" t="s">
        <v>1538</v>
      </c>
      <c r="I478" s="29">
        <v>46313.595196759263</v>
      </c>
      <c r="J478" t="s">
        <v>41</v>
      </c>
      <c r="K478" s="29">
        <v>46313.594872685186</v>
      </c>
      <c r="L478">
        <v>27</v>
      </c>
      <c r="O478" s="29">
        <v>46313.592187499999</v>
      </c>
      <c r="P478" t="s">
        <v>43</v>
      </c>
      <c r="Q478" t="s">
        <v>192</v>
      </c>
      <c r="R478" t="s">
        <v>1539</v>
      </c>
      <c r="S478">
        <v>4247</v>
      </c>
      <c r="T478" t="s">
        <v>41</v>
      </c>
      <c r="U478" s="29">
        <v>46313.601041666669</v>
      </c>
      <c r="V478" s="29">
        <v>46313.599224537036</v>
      </c>
      <c r="W478" t="s">
        <v>1540</v>
      </c>
      <c r="X478">
        <v>22411</v>
      </c>
      <c r="Z478">
        <v>0</v>
      </c>
      <c r="AA478" s="30">
        <v>0.59166666666666667</v>
      </c>
      <c r="AB478">
        <v>6</v>
      </c>
      <c r="AC478" t="s">
        <v>41</v>
      </c>
    </row>
    <row r="479" spans="1:29">
      <c r="A479" t="s">
        <v>62</v>
      </c>
      <c r="B479" s="29">
        <v>46313.591886574075</v>
      </c>
      <c r="C479">
        <v>1326</v>
      </c>
      <c r="D479" t="s">
        <v>41</v>
      </c>
      <c r="E479">
        <v>4</v>
      </c>
      <c r="F479" t="s">
        <v>41</v>
      </c>
      <c r="G479" t="s">
        <v>41</v>
      </c>
      <c r="H479" t="s">
        <v>1541</v>
      </c>
      <c r="I479" s="29">
        <v>46313.592106481483</v>
      </c>
      <c r="J479" t="s">
        <v>41</v>
      </c>
      <c r="K479" s="29">
        <v>46313.591828703706</v>
      </c>
      <c r="L479">
        <v>20</v>
      </c>
      <c r="O479" s="29">
        <v>46313.591099537036</v>
      </c>
      <c r="P479" t="s">
        <v>43</v>
      </c>
      <c r="Q479" t="s">
        <v>64</v>
      </c>
      <c r="R479" t="s">
        <v>1542</v>
      </c>
      <c r="S479">
        <v>4247</v>
      </c>
      <c r="T479" t="s">
        <v>41</v>
      </c>
      <c r="U479" s="29">
        <v>46313.595486111109</v>
      </c>
      <c r="V479" s="29">
        <v>46313.594641203701</v>
      </c>
      <c r="W479" t="s">
        <v>1543</v>
      </c>
      <c r="X479">
        <v>22411</v>
      </c>
      <c r="Z479">
        <v>0</v>
      </c>
      <c r="AA479" s="30">
        <v>0.59166666666666667</v>
      </c>
      <c r="AB479">
        <v>4</v>
      </c>
      <c r="AC479" t="s">
        <v>41</v>
      </c>
    </row>
    <row r="480" spans="1:29">
      <c r="A480" t="s">
        <v>67</v>
      </c>
      <c r="B480" s="29">
        <v>46313.591041666667</v>
      </c>
      <c r="C480">
        <v>2883</v>
      </c>
      <c r="D480" t="s">
        <v>41</v>
      </c>
      <c r="E480">
        <v>9</v>
      </c>
      <c r="F480" t="s">
        <v>41</v>
      </c>
      <c r="G480" t="s">
        <v>41</v>
      </c>
      <c r="H480" t="s">
        <v>1544</v>
      </c>
      <c r="I480" s="29">
        <v>46313.591851851852</v>
      </c>
      <c r="J480" t="s">
        <v>41</v>
      </c>
      <c r="K480" s="29">
        <v>46313.59175925926</v>
      </c>
      <c r="L480">
        <v>7</v>
      </c>
      <c r="O480" s="29">
        <v>46313.590949074074</v>
      </c>
      <c r="P480" t="s">
        <v>43</v>
      </c>
      <c r="Q480" t="s">
        <v>69</v>
      </c>
      <c r="R480" t="s">
        <v>1545</v>
      </c>
      <c r="S480">
        <v>4247</v>
      </c>
      <c r="T480" t="s">
        <v>41</v>
      </c>
      <c r="U480" s="29">
        <v>46313.59920138889</v>
      </c>
      <c r="V480" s="29">
        <v>46313.59820601852</v>
      </c>
      <c r="W480" t="s">
        <v>1546</v>
      </c>
      <c r="X480">
        <v>22411</v>
      </c>
      <c r="Z480">
        <v>0</v>
      </c>
      <c r="AA480" s="30">
        <v>0.59097222222222223</v>
      </c>
      <c r="AB480">
        <v>9</v>
      </c>
      <c r="AC480" t="s">
        <v>41</v>
      </c>
    </row>
    <row r="481" spans="1:29">
      <c r="A481" t="s">
        <v>1136</v>
      </c>
      <c r="B481" s="29">
        <v>46313.590787037036</v>
      </c>
      <c r="C481">
        <v>1290</v>
      </c>
      <c r="D481" t="s">
        <v>41</v>
      </c>
      <c r="E481">
        <v>4</v>
      </c>
      <c r="F481" t="s">
        <v>41</v>
      </c>
      <c r="G481" t="s">
        <v>41</v>
      </c>
      <c r="H481" t="s">
        <v>1547</v>
      </c>
      <c r="I481" s="29">
        <v>46313.591099537036</v>
      </c>
      <c r="J481" t="s">
        <v>41</v>
      </c>
      <c r="K481" s="29">
        <v>46313.591006944444</v>
      </c>
      <c r="L481">
        <v>7</v>
      </c>
      <c r="O481" s="29">
        <v>46313.590671296297</v>
      </c>
      <c r="P481" t="s">
        <v>43</v>
      </c>
      <c r="Q481" t="s">
        <v>1138</v>
      </c>
      <c r="R481" t="s">
        <v>1548</v>
      </c>
      <c r="S481">
        <v>4247</v>
      </c>
      <c r="T481" t="s">
        <v>41</v>
      </c>
      <c r="U481" s="29">
        <v>46313.594907407409</v>
      </c>
      <c r="V481" s="29">
        <v>46313.593541666669</v>
      </c>
      <c r="W481" t="s">
        <v>1549</v>
      </c>
      <c r="X481">
        <v>22411</v>
      </c>
      <c r="Z481">
        <v>0</v>
      </c>
      <c r="AA481" s="30">
        <v>0.59027777777777779</v>
      </c>
      <c r="AB481">
        <v>4</v>
      </c>
      <c r="AC481" t="s">
        <v>41</v>
      </c>
    </row>
    <row r="482" spans="1:29">
      <c r="A482" t="s">
        <v>1461</v>
      </c>
      <c r="B482" s="29">
        <v>46313.589930555558</v>
      </c>
      <c r="C482">
        <v>2219</v>
      </c>
      <c r="D482" t="s">
        <v>41</v>
      </c>
      <c r="E482">
        <v>7</v>
      </c>
      <c r="F482" t="s">
        <v>41</v>
      </c>
      <c r="G482" t="s">
        <v>41</v>
      </c>
      <c r="H482" t="s">
        <v>1550</v>
      </c>
      <c r="I482" s="29">
        <v>46313.590474537035</v>
      </c>
      <c r="J482" t="s">
        <v>41</v>
      </c>
      <c r="K482" s="29">
        <v>46313.590370370373</v>
      </c>
      <c r="L482">
        <v>8</v>
      </c>
      <c r="O482" s="29">
        <v>46313.58971064815</v>
      </c>
      <c r="P482" t="s">
        <v>43</v>
      </c>
      <c r="Q482" t="s">
        <v>1463</v>
      </c>
      <c r="R482" t="s">
        <v>1551</v>
      </c>
      <c r="S482">
        <v>4247</v>
      </c>
      <c r="T482" t="s">
        <v>41</v>
      </c>
      <c r="U482" s="29">
        <v>46313.596134259256</v>
      </c>
      <c r="V482" s="29">
        <v>46313.595081018517</v>
      </c>
      <c r="W482" t="s">
        <v>1552</v>
      </c>
      <c r="X482">
        <v>22411</v>
      </c>
      <c r="Z482">
        <v>0</v>
      </c>
      <c r="AA482" s="30">
        <v>0.58958333333333335</v>
      </c>
      <c r="AB482">
        <v>7</v>
      </c>
      <c r="AC482" t="s">
        <v>41</v>
      </c>
    </row>
    <row r="483" spans="1:29">
      <c r="A483" t="s">
        <v>1336</v>
      </c>
      <c r="B483" s="29">
        <v>46313.589467592596</v>
      </c>
      <c r="C483">
        <v>782</v>
      </c>
      <c r="D483" t="s">
        <v>41</v>
      </c>
      <c r="E483">
        <v>7</v>
      </c>
      <c r="F483" t="s">
        <v>41</v>
      </c>
      <c r="G483" t="s">
        <v>41</v>
      </c>
      <c r="H483" t="s">
        <v>1553</v>
      </c>
      <c r="I483" s="29">
        <v>46313.590057870373</v>
      </c>
      <c r="J483" t="s">
        <v>41</v>
      </c>
      <c r="K483" s="29">
        <v>46313.589722222219</v>
      </c>
      <c r="L483">
        <v>28</v>
      </c>
      <c r="O483" s="29">
        <v>46313.589305555557</v>
      </c>
      <c r="P483" t="s">
        <v>43</v>
      </c>
      <c r="Q483" t="s">
        <v>1338</v>
      </c>
      <c r="R483" t="s">
        <v>1554</v>
      </c>
      <c r="S483">
        <v>4247</v>
      </c>
      <c r="T483" t="s">
        <v>41</v>
      </c>
      <c r="U483" s="29">
        <v>46313.59238425926</v>
      </c>
      <c r="V483" s="29">
        <v>46313.594814814816</v>
      </c>
      <c r="W483" t="s">
        <v>1555</v>
      </c>
      <c r="X483">
        <v>22411</v>
      </c>
      <c r="Z483">
        <v>0</v>
      </c>
      <c r="AA483" s="30">
        <v>0.58888888888888891</v>
      </c>
      <c r="AB483">
        <v>7</v>
      </c>
      <c r="AC483" t="s">
        <v>41</v>
      </c>
    </row>
    <row r="484" spans="1:29">
      <c r="A484" t="s">
        <v>1391</v>
      </c>
      <c r="B484" s="29">
        <v>46313.589236111111</v>
      </c>
      <c r="C484">
        <v>2151</v>
      </c>
      <c r="D484" t="s">
        <v>41</v>
      </c>
      <c r="E484">
        <v>5</v>
      </c>
      <c r="F484" t="s">
        <v>41</v>
      </c>
      <c r="G484" t="s">
        <v>41</v>
      </c>
      <c r="H484" t="s">
        <v>1556</v>
      </c>
      <c r="I484" s="29">
        <v>46313.589606481481</v>
      </c>
      <c r="J484" t="s">
        <v>41</v>
      </c>
      <c r="K484" s="29">
        <v>46313.589432870373</v>
      </c>
      <c r="L484">
        <v>14</v>
      </c>
      <c r="O484" s="29">
        <v>46313.58902777778</v>
      </c>
      <c r="P484" t="s">
        <v>43</v>
      </c>
      <c r="Q484" t="s">
        <v>1393</v>
      </c>
      <c r="R484" t="s">
        <v>1557</v>
      </c>
      <c r="S484">
        <v>4247</v>
      </c>
      <c r="T484" t="s">
        <v>41</v>
      </c>
      <c r="U484" s="29">
        <v>46313.59579861111</v>
      </c>
      <c r="V484" s="29">
        <v>46313.592743055553</v>
      </c>
      <c r="W484" t="s">
        <v>1558</v>
      </c>
      <c r="X484">
        <v>22411</v>
      </c>
      <c r="Z484">
        <v>0</v>
      </c>
      <c r="AA484" s="30">
        <v>0.58888888888888891</v>
      </c>
      <c r="AB484">
        <v>5</v>
      </c>
      <c r="AC484" t="s">
        <v>41</v>
      </c>
    </row>
    <row r="485" spans="1:29">
      <c r="A485" t="s">
        <v>734</v>
      </c>
      <c r="B485" s="29">
        <v>46313.587812500002</v>
      </c>
      <c r="C485">
        <v>1347</v>
      </c>
      <c r="D485" t="s">
        <v>41</v>
      </c>
      <c r="E485">
        <v>4</v>
      </c>
      <c r="F485" t="s">
        <v>41</v>
      </c>
      <c r="G485" t="s">
        <v>41</v>
      </c>
      <c r="H485" t="s">
        <v>1559</v>
      </c>
      <c r="I485" s="29">
        <v>46313.588599537034</v>
      </c>
      <c r="J485" t="s">
        <v>41</v>
      </c>
      <c r="K485" s="29">
        <v>46313.588530092595</v>
      </c>
      <c r="L485">
        <v>5</v>
      </c>
      <c r="O485" s="29">
        <v>46313.587673611109</v>
      </c>
      <c r="P485" t="s">
        <v>43</v>
      </c>
      <c r="Q485" t="s">
        <v>736</v>
      </c>
      <c r="R485" t="s">
        <v>1560</v>
      </c>
      <c r="S485">
        <v>4247</v>
      </c>
      <c r="T485" t="s">
        <v>41</v>
      </c>
      <c r="U485" s="29">
        <v>46313.591793981483</v>
      </c>
      <c r="V485" s="29">
        <v>46313.591585648152</v>
      </c>
      <c r="W485" t="s">
        <v>1561</v>
      </c>
      <c r="X485">
        <v>22411</v>
      </c>
      <c r="Z485">
        <v>0</v>
      </c>
      <c r="AA485" s="30">
        <v>0.58750000000000002</v>
      </c>
      <c r="AB485">
        <v>4</v>
      </c>
      <c r="AC485" t="s">
        <v>41</v>
      </c>
    </row>
    <row r="486" spans="1:29">
      <c r="A486" t="s">
        <v>1171</v>
      </c>
      <c r="B486" s="29">
        <v>46313.587083333332</v>
      </c>
      <c r="C486">
        <v>780</v>
      </c>
      <c r="D486" t="s">
        <v>41</v>
      </c>
      <c r="E486">
        <v>3</v>
      </c>
      <c r="F486" t="s">
        <v>41</v>
      </c>
      <c r="G486" t="s">
        <v>41</v>
      </c>
      <c r="H486" t="s">
        <v>1562</v>
      </c>
      <c r="I486" s="29">
        <v>46313.588437500002</v>
      </c>
      <c r="J486" t="s">
        <v>41</v>
      </c>
      <c r="K486" s="29">
        <v>46313.588310185187</v>
      </c>
      <c r="L486">
        <v>10</v>
      </c>
      <c r="O486" s="29">
        <v>46313.587002314816</v>
      </c>
      <c r="P486" t="s">
        <v>43</v>
      </c>
      <c r="Q486" t="s">
        <v>1173</v>
      </c>
      <c r="R486" t="s">
        <v>1563</v>
      </c>
      <c r="S486">
        <v>4247</v>
      </c>
      <c r="T486" t="s">
        <v>41</v>
      </c>
      <c r="U486" s="29">
        <v>46313.590844907405</v>
      </c>
      <c r="V486" s="29">
        <v>46313.590613425928</v>
      </c>
      <c r="W486" t="s">
        <v>1564</v>
      </c>
      <c r="X486">
        <v>22411</v>
      </c>
      <c r="Z486">
        <v>0</v>
      </c>
      <c r="AA486" s="30">
        <v>0.58680555555555558</v>
      </c>
      <c r="AB486">
        <v>3</v>
      </c>
      <c r="AC486" t="s">
        <v>41</v>
      </c>
    </row>
    <row r="487" spans="1:29">
      <c r="A487" t="s">
        <v>198</v>
      </c>
      <c r="B487" s="29">
        <v>46313.585613425923</v>
      </c>
      <c r="C487">
        <v>2157</v>
      </c>
      <c r="D487" t="s">
        <v>41</v>
      </c>
      <c r="E487">
        <v>7</v>
      </c>
      <c r="F487" t="s">
        <v>41</v>
      </c>
      <c r="G487" t="s">
        <v>41</v>
      </c>
      <c r="H487" t="s">
        <v>1565</v>
      </c>
      <c r="I487" s="29">
        <v>46313.586550925924</v>
      </c>
      <c r="J487" t="s">
        <v>41</v>
      </c>
      <c r="K487" s="29">
        <v>46313.586412037039</v>
      </c>
      <c r="L487">
        <v>11</v>
      </c>
      <c r="O487" s="29">
        <v>46313.58556712963</v>
      </c>
      <c r="P487" t="s">
        <v>43</v>
      </c>
      <c r="Q487" t="s">
        <v>3008</v>
      </c>
      <c r="R487" t="s">
        <v>1566</v>
      </c>
      <c r="S487">
        <v>4247</v>
      </c>
      <c r="T487" t="s">
        <v>41</v>
      </c>
      <c r="U487" s="29">
        <v>46313.592488425929</v>
      </c>
      <c r="V487" s="29">
        <v>46313.591203703705</v>
      </c>
      <c r="W487" t="s">
        <v>1567</v>
      </c>
      <c r="X487">
        <v>22411</v>
      </c>
      <c r="Z487">
        <v>0</v>
      </c>
      <c r="AA487" s="30">
        <v>0.5854166666666667</v>
      </c>
      <c r="AB487">
        <v>7</v>
      </c>
      <c r="AC487" t="s">
        <v>41</v>
      </c>
    </row>
    <row r="488" spans="1:29">
      <c r="A488" t="s">
        <v>1239</v>
      </c>
      <c r="B488" s="29">
        <v>46313.584178240744</v>
      </c>
      <c r="C488">
        <v>2124</v>
      </c>
      <c r="D488" t="s">
        <v>41</v>
      </c>
      <c r="E488">
        <v>5</v>
      </c>
      <c r="F488" t="s">
        <v>41</v>
      </c>
      <c r="G488" t="s">
        <v>41</v>
      </c>
      <c r="H488" t="s">
        <v>1568</v>
      </c>
      <c r="I488" s="29">
        <v>46313.585046296299</v>
      </c>
      <c r="J488" t="s">
        <v>41</v>
      </c>
      <c r="K488" s="29">
        <v>46313.584699074076</v>
      </c>
      <c r="L488">
        <v>29</v>
      </c>
      <c r="O488" s="29">
        <v>46313.584062499998</v>
      </c>
      <c r="P488" t="s">
        <v>43</v>
      </c>
      <c r="Q488" t="s">
        <v>1241</v>
      </c>
      <c r="R488" t="s">
        <v>1569</v>
      </c>
      <c r="S488">
        <v>4247</v>
      </c>
      <c r="T488" t="s">
        <v>41</v>
      </c>
      <c r="U488" s="29">
        <v>46313.591307870367</v>
      </c>
      <c r="V488" s="29">
        <v>46313.587916666664</v>
      </c>
      <c r="W488" t="s">
        <v>1570</v>
      </c>
      <c r="X488">
        <v>22411</v>
      </c>
      <c r="Z488">
        <v>0</v>
      </c>
      <c r="AA488" s="30">
        <v>0.58402777777777781</v>
      </c>
      <c r="AB488">
        <v>4</v>
      </c>
      <c r="AC488" t="s">
        <v>41</v>
      </c>
    </row>
    <row r="489" spans="1:29">
      <c r="A489" t="s">
        <v>77</v>
      </c>
      <c r="B489" s="29">
        <v>46313.584236111114</v>
      </c>
      <c r="C489">
        <v>2883</v>
      </c>
      <c r="D489" t="s">
        <v>41</v>
      </c>
      <c r="E489">
        <v>8</v>
      </c>
      <c r="F489" t="s">
        <v>41</v>
      </c>
      <c r="G489" t="s">
        <v>41</v>
      </c>
      <c r="H489" t="s">
        <v>1571</v>
      </c>
      <c r="I489" s="29">
        <v>46313.586354166669</v>
      </c>
      <c r="J489" t="s">
        <v>41</v>
      </c>
      <c r="K489" s="29">
        <v>46313.586134259262</v>
      </c>
      <c r="L489">
        <v>18</v>
      </c>
      <c r="O489" s="29">
        <v>46313.583993055552</v>
      </c>
      <c r="P489" t="s">
        <v>43</v>
      </c>
      <c r="Q489" t="s">
        <v>79</v>
      </c>
      <c r="R489" t="s">
        <v>1572</v>
      </c>
      <c r="S489">
        <v>4247</v>
      </c>
      <c r="T489" t="s">
        <v>41</v>
      </c>
      <c r="U489" s="29">
        <v>46313.5937037037</v>
      </c>
      <c r="V489" s="29">
        <v>46313.591979166667</v>
      </c>
      <c r="W489" t="s">
        <v>1573</v>
      </c>
      <c r="X489">
        <v>22411</v>
      </c>
      <c r="Z489">
        <v>0</v>
      </c>
      <c r="AA489" s="30">
        <v>0.58402777777777781</v>
      </c>
      <c r="AB489">
        <v>8</v>
      </c>
      <c r="AC489" t="s">
        <v>41</v>
      </c>
    </row>
    <row r="490" spans="1:29">
      <c r="A490" t="s">
        <v>72</v>
      </c>
      <c r="B490" s="29">
        <v>46313.584039351852</v>
      </c>
      <c r="C490">
        <v>1960</v>
      </c>
      <c r="D490" t="s">
        <v>41</v>
      </c>
      <c r="E490">
        <v>5</v>
      </c>
      <c r="F490" t="s">
        <v>41</v>
      </c>
      <c r="G490" t="s">
        <v>41</v>
      </c>
      <c r="H490" t="s">
        <v>1574</v>
      </c>
      <c r="I490" s="29">
        <v>46313.584432870368</v>
      </c>
      <c r="J490" t="s">
        <v>41</v>
      </c>
      <c r="K490" s="29">
        <v>46313.584131944444</v>
      </c>
      <c r="L490">
        <v>25</v>
      </c>
      <c r="O490" s="29">
        <v>46313.583807870367</v>
      </c>
      <c r="P490" t="s">
        <v>43</v>
      </c>
      <c r="Q490" t="s">
        <v>74</v>
      </c>
      <c r="R490" t="s">
        <v>1575</v>
      </c>
      <c r="S490">
        <v>4247</v>
      </c>
      <c r="T490" t="s">
        <v>41</v>
      </c>
      <c r="U490" s="29">
        <v>46313.589074074072</v>
      </c>
      <c r="V490" s="29">
        <v>46313.587650462963</v>
      </c>
      <c r="W490" t="s">
        <v>1576</v>
      </c>
      <c r="X490">
        <v>22411</v>
      </c>
      <c r="Z490">
        <v>0</v>
      </c>
      <c r="AA490" s="30">
        <v>0.58402777777777781</v>
      </c>
      <c r="AB490">
        <v>5</v>
      </c>
      <c r="AC490" t="s">
        <v>41</v>
      </c>
    </row>
    <row r="491" spans="1:29">
      <c r="A491" t="s">
        <v>1461</v>
      </c>
      <c r="B491" s="29">
        <v>46313.583310185182</v>
      </c>
      <c r="C491">
        <v>743</v>
      </c>
      <c r="D491" t="s">
        <v>41</v>
      </c>
      <c r="E491">
        <v>3</v>
      </c>
      <c r="F491" t="s">
        <v>41</v>
      </c>
      <c r="G491" t="s">
        <v>41</v>
      </c>
      <c r="H491" t="s">
        <v>1577</v>
      </c>
      <c r="I491" s="29">
        <v>46313.584502314814</v>
      </c>
      <c r="J491" t="s">
        <v>41</v>
      </c>
      <c r="K491" s="29">
        <v>46313.584178240744</v>
      </c>
      <c r="L491">
        <v>27</v>
      </c>
      <c r="O491" s="29">
        <v>46313.583090277774</v>
      </c>
      <c r="P491" t="s">
        <v>43</v>
      </c>
      <c r="Q491" t="s">
        <v>1463</v>
      </c>
      <c r="R491" t="s">
        <v>1578</v>
      </c>
      <c r="S491">
        <v>4247</v>
      </c>
      <c r="T491" t="s">
        <v>41</v>
      </c>
      <c r="U491" s="29">
        <v>46313.586956018517</v>
      </c>
      <c r="V491" s="29">
        <v>46313.586087962962</v>
      </c>
      <c r="W491" t="s">
        <v>1579</v>
      </c>
      <c r="X491">
        <v>22411</v>
      </c>
      <c r="Z491">
        <v>0</v>
      </c>
      <c r="AA491" s="30">
        <v>0.58263888888888882</v>
      </c>
      <c r="AB491">
        <v>2</v>
      </c>
      <c r="AC491" t="s">
        <v>41</v>
      </c>
    </row>
    <row r="492" spans="1:29">
      <c r="A492" t="s">
        <v>190</v>
      </c>
      <c r="B492" s="29">
        <v>46313.582974537036</v>
      </c>
      <c r="C492">
        <v>1300</v>
      </c>
      <c r="D492" t="s">
        <v>41</v>
      </c>
      <c r="E492">
        <v>4</v>
      </c>
      <c r="F492" t="s">
        <v>41</v>
      </c>
      <c r="G492" t="s">
        <v>41</v>
      </c>
      <c r="H492" t="s">
        <v>1580</v>
      </c>
      <c r="I492" s="29">
        <v>46313.583703703705</v>
      </c>
      <c r="J492" t="s">
        <v>41</v>
      </c>
      <c r="K492" s="29">
        <v>46313.583333333336</v>
      </c>
      <c r="L492">
        <v>31</v>
      </c>
      <c r="O492" s="29">
        <v>46313.58289351852</v>
      </c>
      <c r="P492" t="s">
        <v>43</v>
      </c>
      <c r="Q492" t="s">
        <v>192</v>
      </c>
      <c r="R492" t="s">
        <v>1581</v>
      </c>
      <c r="S492">
        <v>4247</v>
      </c>
      <c r="T492" t="s">
        <v>41</v>
      </c>
      <c r="U492" s="29">
        <v>46313.587546296294</v>
      </c>
      <c r="V492" s="29">
        <v>46313.585844907408</v>
      </c>
      <c r="W492" t="s">
        <v>1582</v>
      </c>
      <c r="X492">
        <v>22411</v>
      </c>
      <c r="Z492">
        <v>0</v>
      </c>
      <c r="AA492" s="30">
        <v>0.58263888888888882</v>
      </c>
      <c r="AB492">
        <v>3</v>
      </c>
      <c r="AC492" t="s">
        <v>41</v>
      </c>
    </row>
    <row r="493" spans="1:29">
      <c r="A493" t="s">
        <v>1136</v>
      </c>
      <c r="B493" s="29">
        <v>46313.582442129627</v>
      </c>
      <c r="C493">
        <v>390</v>
      </c>
      <c r="D493" t="s">
        <v>41</v>
      </c>
      <c r="E493">
        <v>2</v>
      </c>
      <c r="F493" t="s">
        <v>41</v>
      </c>
      <c r="G493" t="s">
        <v>41</v>
      </c>
      <c r="H493" t="s">
        <v>1583</v>
      </c>
      <c r="I493" s="29">
        <v>46313.583055555559</v>
      </c>
      <c r="J493" t="s">
        <v>41</v>
      </c>
      <c r="K493" s="29">
        <v>46313.582951388889</v>
      </c>
      <c r="L493">
        <v>8</v>
      </c>
      <c r="O493" s="29">
        <v>46313.582314814812</v>
      </c>
      <c r="P493" t="s">
        <v>43</v>
      </c>
      <c r="Q493" t="s">
        <v>1138</v>
      </c>
      <c r="R493" t="s">
        <v>1584</v>
      </c>
      <c r="S493">
        <v>4247</v>
      </c>
      <c r="T493" t="s">
        <v>41</v>
      </c>
      <c r="U493" s="29">
        <v>46313.585081018522</v>
      </c>
      <c r="V493" s="29">
        <v>46313.58421296296</v>
      </c>
      <c r="W493" t="s">
        <v>1585</v>
      </c>
      <c r="X493">
        <v>22411</v>
      </c>
      <c r="Z493">
        <v>0</v>
      </c>
      <c r="AA493" s="30">
        <v>0.58194444444444449</v>
      </c>
      <c r="AB493">
        <v>2</v>
      </c>
      <c r="AC493" t="s">
        <v>41</v>
      </c>
    </row>
    <row r="494" spans="1:29">
      <c r="A494" t="s">
        <v>52</v>
      </c>
      <c r="B494" s="29">
        <v>46313.580833333333</v>
      </c>
      <c r="C494">
        <v>2498</v>
      </c>
      <c r="D494" t="s">
        <v>41</v>
      </c>
      <c r="E494">
        <v>7</v>
      </c>
      <c r="F494" t="s">
        <v>41</v>
      </c>
      <c r="G494" t="s">
        <v>41</v>
      </c>
      <c r="H494" t="s">
        <v>1586</v>
      </c>
      <c r="I494" s="29">
        <v>46313.581793981481</v>
      </c>
      <c r="J494" t="s">
        <v>41</v>
      </c>
      <c r="K494" s="29">
        <v>46313.581643518519</v>
      </c>
      <c r="L494">
        <v>12</v>
      </c>
      <c r="O494" s="29">
        <v>46313.580555555556</v>
      </c>
      <c r="P494" t="s">
        <v>43</v>
      </c>
      <c r="Q494" t="s">
        <v>54</v>
      </c>
      <c r="R494" t="s">
        <v>1587</v>
      </c>
      <c r="S494">
        <v>4247</v>
      </c>
      <c r="T494" t="s">
        <v>41</v>
      </c>
      <c r="U494" s="29">
        <v>46313.587696759256</v>
      </c>
      <c r="V494" s="29">
        <v>46313.586400462962</v>
      </c>
      <c r="W494" t="s">
        <v>1588</v>
      </c>
      <c r="X494">
        <v>22411</v>
      </c>
      <c r="Z494">
        <v>0</v>
      </c>
      <c r="AA494" s="30">
        <v>0.5805555555555556</v>
      </c>
      <c r="AB494">
        <v>7</v>
      </c>
      <c r="AC494" t="s">
        <v>41</v>
      </c>
    </row>
    <row r="495" spans="1:29">
      <c r="A495" t="s">
        <v>379</v>
      </c>
      <c r="B495" s="29">
        <v>46313.580451388887</v>
      </c>
      <c r="C495">
        <v>1897</v>
      </c>
      <c r="D495" t="s">
        <v>41</v>
      </c>
      <c r="E495">
        <v>7</v>
      </c>
      <c r="F495" t="s">
        <v>41</v>
      </c>
      <c r="G495" t="s">
        <v>41</v>
      </c>
      <c r="H495" t="s">
        <v>1589</v>
      </c>
      <c r="I495" s="29">
        <v>46313.581342592595</v>
      </c>
      <c r="J495" t="s">
        <v>41</v>
      </c>
      <c r="K495" s="29">
        <v>46313.581064814818</v>
      </c>
      <c r="L495">
        <v>23</v>
      </c>
      <c r="O495" s="29">
        <v>46313.580347222225</v>
      </c>
      <c r="P495" t="s">
        <v>43</v>
      </c>
      <c r="Q495" t="s">
        <v>381</v>
      </c>
      <c r="R495" t="s">
        <v>1590</v>
      </c>
      <c r="S495">
        <v>4247</v>
      </c>
      <c r="T495" t="s">
        <v>41</v>
      </c>
      <c r="U495" s="29">
        <v>46313.585949074077</v>
      </c>
      <c r="V495" s="29">
        <v>46313.585682870369</v>
      </c>
      <c r="W495" t="s">
        <v>1591</v>
      </c>
      <c r="X495">
        <v>22411</v>
      </c>
      <c r="Z495">
        <v>0</v>
      </c>
      <c r="AA495" s="30">
        <v>0.57986111111111105</v>
      </c>
      <c r="AB495">
        <v>6</v>
      </c>
      <c r="AC495" t="s">
        <v>41</v>
      </c>
    </row>
    <row r="496" spans="1:29">
      <c r="A496" t="s">
        <v>1592</v>
      </c>
      <c r="B496" s="29">
        <v>46313.58021990741</v>
      </c>
      <c r="C496">
        <v>2982</v>
      </c>
      <c r="D496" t="s">
        <v>41</v>
      </c>
      <c r="E496">
        <v>11</v>
      </c>
      <c r="F496" t="s">
        <v>41</v>
      </c>
      <c r="G496" t="s">
        <v>41</v>
      </c>
      <c r="H496" t="s">
        <v>1593</v>
      </c>
      <c r="I496" s="29">
        <v>46313.581886574073</v>
      </c>
      <c r="J496" t="s">
        <v>41</v>
      </c>
      <c r="K496" s="29">
        <v>46313.581736111111</v>
      </c>
      <c r="L496">
        <v>12</v>
      </c>
      <c r="O496" s="29">
        <v>46313.58011574074</v>
      </c>
      <c r="P496" t="s">
        <v>43</v>
      </c>
      <c r="Q496" t="s">
        <v>1594</v>
      </c>
      <c r="R496" t="s">
        <v>1595</v>
      </c>
      <c r="S496">
        <v>4247</v>
      </c>
      <c r="T496" t="s">
        <v>41</v>
      </c>
      <c r="U496" s="29">
        <v>46313.590092592596</v>
      </c>
      <c r="V496" s="29">
        <v>46313.589548611111</v>
      </c>
      <c r="W496" t="s">
        <v>1596</v>
      </c>
      <c r="X496">
        <v>22411</v>
      </c>
      <c r="Z496">
        <v>0</v>
      </c>
      <c r="AA496" s="30">
        <v>0.57986111111111105</v>
      </c>
      <c r="AB496">
        <v>11</v>
      </c>
      <c r="AC496" t="s">
        <v>41</v>
      </c>
    </row>
    <row r="497" spans="1:29">
      <c r="A497" t="s">
        <v>106</v>
      </c>
      <c r="B497" s="29">
        <v>46313.577870370369</v>
      </c>
      <c r="C497">
        <v>1541</v>
      </c>
      <c r="D497" t="s">
        <v>41</v>
      </c>
      <c r="E497">
        <v>6</v>
      </c>
      <c r="F497" t="s">
        <v>41</v>
      </c>
      <c r="G497" t="s">
        <v>41</v>
      </c>
      <c r="H497" t="s">
        <v>1597</v>
      </c>
      <c r="I497" s="29">
        <v>46313.580995370372</v>
      </c>
      <c r="J497" t="s">
        <v>41</v>
      </c>
      <c r="K497" s="29">
        <v>46313.580833333333</v>
      </c>
      <c r="L497">
        <v>13</v>
      </c>
      <c r="O497" s="29">
        <v>46313.577708333331</v>
      </c>
      <c r="P497" t="s">
        <v>43</v>
      </c>
      <c r="Q497" t="s">
        <v>108</v>
      </c>
      <c r="R497" t="s">
        <v>1598</v>
      </c>
      <c r="S497">
        <v>4247</v>
      </c>
      <c r="T497" t="s">
        <v>41</v>
      </c>
      <c r="U497" s="29">
        <v>46313.584606481483</v>
      </c>
      <c r="V497" s="29">
        <v>46313.585046296299</v>
      </c>
      <c r="W497" t="s">
        <v>1599</v>
      </c>
      <c r="X497">
        <v>22411</v>
      </c>
      <c r="Z497">
        <v>0</v>
      </c>
      <c r="AA497" s="30">
        <v>0.57777777777777783</v>
      </c>
      <c r="AB497">
        <v>6</v>
      </c>
      <c r="AC497" t="s">
        <v>41</v>
      </c>
    </row>
    <row r="498" spans="1:29">
      <c r="A498" t="s">
        <v>347</v>
      </c>
      <c r="B498" s="29">
        <v>46313.576979166668</v>
      </c>
      <c r="C498">
        <v>1267</v>
      </c>
      <c r="D498" t="s">
        <v>41</v>
      </c>
      <c r="E498">
        <v>4</v>
      </c>
      <c r="F498" t="s">
        <v>41</v>
      </c>
      <c r="G498" t="s">
        <v>41</v>
      </c>
      <c r="H498" t="s">
        <v>1600</v>
      </c>
      <c r="I498" s="29">
        <v>46313.578310185185</v>
      </c>
      <c r="J498" t="s">
        <v>41</v>
      </c>
      <c r="K498" s="29">
        <v>46313.578159722223</v>
      </c>
      <c r="L498">
        <v>12</v>
      </c>
      <c r="O498" s="29">
        <v>46313.576886574076</v>
      </c>
      <c r="P498" t="s">
        <v>43</v>
      </c>
      <c r="Q498" t="s">
        <v>349</v>
      </c>
      <c r="R498" t="s">
        <v>1601</v>
      </c>
      <c r="S498">
        <v>4247</v>
      </c>
      <c r="T498" t="s">
        <v>41</v>
      </c>
      <c r="U498" s="29">
        <v>46313.582824074074</v>
      </c>
      <c r="V498" s="29">
        <v>46313.581134259257</v>
      </c>
      <c r="W498" t="s">
        <v>1602</v>
      </c>
      <c r="X498">
        <v>22411</v>
      </c>
      <c r="Z498">
        <v>0</v>
      </c>
      <c r="AA498" s="30">
        <v>0.57638888888888895</v>
      </c>
      <c r="AB498">
        <v>4</v>
      </c>
      <c r="AC498" t="s">
        <v>41</v>
      </c>
    </row>
    <row r="499" spans="1:29">
      <c r="A499" t="s">
        <v>62</v>
      </c>
      <c r="B499" s="29">
        <v>46313.576840277776</v>
      </c>
      <c r="C499">
        <v>2624</v>
      </c>
      <c r="D499" t="s">
        <v>41</v>
      </c>
      <c r="E499">
        <v>7</v>
      </c>
      <c r="F499" t="s">
        <v>41</v>
      </c>
      <c r="G499" t="s">
        <v>41</v>
      </c>
      <c r="H499" t="s">
        <v>1603</v>
      </c>
      <c r="I499" s="29">
        <v>46313.578819444447</v>
      </c>
      <c r="J499" t="s">
        <v>41</v>
      </c>
      <c r="K499" s="29">
        <v>46313.578449074077</v>
      </c>
      <c r="L499">
        <v>31</v>
      </c>
      <c r="O499" s="29">
        <v>46313.576747685183</v>
      </c>
      <c r="P499" t="s">
        <v>43</v>
      </c>
      <c r="Q499" t="s">
        <v>64</v>
      </c>
      <c r="R499" t="s">
        <v>1604</v>
      </c>
      <c r="S499">
        <v>4247</v>
      </c>
      <c r="T499" t="s">
        <v>41</v>
      </c>
      <c r="U499" s="29">
        <v>46313.584930555553</v>
      </c>
      <c r="V499" s="29">
        <v>46313.583148148151</v>
      </c>
      <c r="W499" t="s">
        <v>1605</v>
      </c>
      <c r="X499">
        <v>22411</v>
      </c>
      <c r="Z499">
        <v>0</v>
      </c>
      <c r="AA499" s="30">
        <v>0.57638888888888895</v>
      </c>
      <c r="AB499">
        <v>6</v>
      </c>
      <c r="AC499" t="s">
        <v>41</v>
      </c>
    </row>
    <row r="500" spans="1:29">
      <c r="A500" t="s">
        <v>1077</v>
      </c>
      <c r="B500" s="29">
        <v>46313.576458333337</v>
      </c>
      <c r="C500">
        <v>2739</v>
      </c>
      <c r="D500" t="s">
        <v>41</v>
      </c>
      <c r="E500">
        <v>6</v>
      </c>
      <c r="F500" t="s">
        <v>41</v>
      </c>
      <c r="G500" t="s">
        <v>41</v>
      </c>
      <c r="H500" t="s">
        <v>1606</v>
      </c>
      <c r="I500" s="29">
        <v>46313.577766203707</v>
      </c>
      <c r="J500" t="s">
        <v>41</v>
      </c>
      <c r="K500" s="29">
        <v>46313.577557870369</v>
      </c>
      <c r="L500">
        <v>17</v>
      </c>
      <c r="O500" s="29">
        <v>46313.576412037037</v>
      </c>
      <c r="P500" t="s">
        <v>43</v>
      </c>
      <c r="Q500" t="s">
        <v>1079</v>
      </c>
      <c r="R500" t="s">
        <v>1607</v>
      </c>
      <c r="S500">
        <v>4247</v>
      </c>
      <c r="T500" t="s">
        <v>41</v>
      </c>
      <c r="U500" s="29">
        <v>46313.585335648146</v>
      </c>
      <c r="V500" s="29">
        <v>46313.581979166665</v>
      </c>
      <c r="W500" t="s">
        <v>1608</v>
      </c>
      <c r="X500">
        <v>22411</v>
      </c>
      <c r="Z500">
        <v>0</v>
      </c>
      <c r="AA500" s="30">
        <v>0.57638888888888895</v>
      </c>
      <c r="AB500">
        <v>6</v>
      </c>
      <c r="AC500" t="s">
        <v>41</v>
      </c>
    </row>
    <row r="501" spans="1:29">
      <c r="A501" t="s">
        <v>1391</v>
      </c>
      <c r="B501" s="29">
        <v>46313.575532407405</v>
      </c>
      <c r="C501">
        <v>2083</v>
      </c>
      <c r="D501" t="s">
        <v>41</v>
      </c>
      <c r="E501">
        <v>6</v>
      </c>
      <c r="F501" t="s">
        <v>41</v>
      </c>
      <c r="G501" t="s">
        <v>41</v>
      </c>
      <c r="H501" t="s">
        <v>1609</v>
      </c>
      <c r="I501" s="29">
        <v>46313.577662037038</v>
      </c>
      <c r="J501" t="s">
        <v>41</v>
      </c>
      <c r="K501" s="29">
        <v>46313.57744212963</v>
      </c>
      <c r="L501">
        <v>18</v>
      </c>
      <c r="O501" s="29">
        <v>46313.575474537036</v>
      </c>
      <c r="P501" t="s">
        <v>43</v>
      </c>
      <c r="Q501" t="s">
        <v>1393</v>
      </c>
      <c r="R501" t="s">
        <v>1610</v>
      </c>
      <c r="S501">
        <v>4247</v>
      </c>
      <c r="T501" t="s">
        <v>41</v>
      </c>
      <c r="U501" s="29">
        <v>46313.583055555559</v>
      </c>
      <c r="V501" s="29">
        <v>46313.581631944442</v>
      </c>
      <c r="W501" t="s">
        <v>1611</v>
      </c>
      <c r="X501">
        <v>22411</v>
      </c>
      <c r="Z501">
        <v>0</v>
      </c>
      <c r="AA501" s="30">
        <v>0.57500000000000007</v>
      </c>
      <c r="AB501">
        <v>6</v>
      </c>
      <c r="AC501" t="s">
        <v>41</v>
      </c>
    </row>
    <row r="502" spans="1:29">
      <c r="A502" t="s">
        <v>711</v>
      </c>
      <c r="B502" s="29">
        <v>46313.575324074074</v>
      </c>
      <c r="C502">
        <v>2386</v>
      </c>
      <c r="D502" t="s">
        <v>41</v>
      </c>
      <c r="E502">
        <v>10</v>
      </c>
      <c r="F502" t="s">
        <v>41</v>
      </c>
      <c r="G502" t="s">
        <v>41</v>
      </c>
      <c r="H502" t="s">
        <v>1612</v>
      </c>
      <c r="I502" s="29">
        <v>46313.576261574075</v>
      </c>
      <c r="J502" t="s">
        <v>41</v>
      </c>
      <c r="K502" s="29">
        <v>46313.575925925928</v>
      </c>
      <c r="L502">
        <v>28</v>
      </c>
      <c r="O502" s="29">
        <v>46313.575150462966</v>
      </c>
      <c r="P502" t="s">
        <v>43</v>
      </c>
      <c r="Q502" t="s">
        <v>713</v>
      </c>
      <c r="R502" t="s">
        <v>1613</v>
      </c>
      <c r="S502">
        <v>4247</v>
      </c>
      <c r="T502" t="s">
        <v>41</v>
      </c>
      <c r="U502" s="29">
        <v>46313.582141203704</v>
      </c>
      <c r="V502" s="29">
        <v>46313.582627314812</v>
      </c>
      <c r="W502" t="s">
        <v>1614</v>
      </c>
      <c r="X502">
        <v>22411</v>
      </c>
      <c r="Z502">
        <v>0</v>
      </c>
      <c r="AA502" s="30">
        <v>0.57500000000000007</v>
      </c>
      <c r="AB502">
        <v>9</v>
      </c>
      <c r="AC502" t="s">
        <v>41</v>
      </c>
    </row>
    <row r="503" spans="1:29">
      <c r="A503" t="s">
        <v>1171</v>
      </c>
      <c r="B503" s="29">
        <v>46313.574386574073</v>
      </c>
      <c r="C503">
        <v>2117</v>
      </c>
      <c r="D503" t="s">
        <v>41</v>
      </c>
      <c r="E503">
        <v>5</v>
      </c>
      <c r="F503" t="s">
        <v>41</v>
      </c>
      <c r="G503" t="s">
        <v>41</v>
      </c>
      <c r="H503" t="s">
        <v>1615</v>
      </c>
      <c r="I503" s="29">
        <v>46313.574907407405</v>
      </c>
      <c r="J503" t="s">
        <v>41</v>
      </c>
      <c r="K503" s="29">
        <v>46313.57472222222</v>
      </c>
      <c r="L503">
        <v>15</v>
      </c>
      <c r="O503" s="29">
        <v>46313.574108796296</v>
      </c>
      <c r="P503" t="s">
        <v>43</v>
      </c>
      <c r="Q503" t="s">
        <v>1173</v>
      </c>
      <c r="R503" t="s">
        <v>1616</v>
      </c>
      <c r="S503">
        <v>4247</v>
      </c>
      <c r="T503" t="s">
        <v>41</v>
      </c>
      <c r="U503" s="29">
        <v>46313.580474537041</v>
      </c>
      <c r="V503" s="29">
        <v>46313.578530092593</v>
      </c>
      <c r="W503" t="s">
        <v>1617</v>
      </c>
      <c r="X503">
        <v>22411</v>
      </c>
      <c r="Z503">
        <v>0</v>
      </c>
      <c r="AA503" s="30">
        <v>0.57430555555555551</v>
      </c>
      <c r="AB503">
        <v>5</v>
      </c>
      <c r="AC503" t="s">
        <v>41</v>
      </c>
    </row>
    <row r="504" spans="1:29">
      <c r="A504" t="s">
        <v>1461</v>
      </c>
      <c r="B504" s="29">
        <v>46313.572488425925</v>
      </c>
      <c r="C504">
        <v>745</v>
      </c>
      <c r="D504" t="s">
        <v>41</v>
      </c>
      <c r="E504">
        <v>3</v>
      </c>
      <c r="F504" t="s">
        <v>41</v>
      </c>
      <c r="G504" t="s">
        <v>41</v>
      </c>
      <c r="H504" t="s">
        <v>1618</v>
      </c>
      <c r="I504" s="29">
        <v>46313.574513888889</v>
      </c>
      <c r="J504" t="s">
        <v>41</v>
      </c>
      <c r="K504" s="29">
        <v>46313.574259259258</v>
      </c>
      <c r="L504">
        <v>21</v>
      </c>
      <c r="O504" s="29">
        <v>46313.572395833333</v>
      </c>
      <c r="P504" t="s">
        <v>43</v>
      </c>
      <c r="Q504" t="s">
        <v>1463</v>
      </c>
      <c r="R504" t="s">
        <v>1619</v>
      </c>
      <c r="S504">
        <v>4247</v>
      </c>
      <c r="T504" t="s">
        <v>41</v>
      </c>
      <c r="U504" s="29">
        <v>46313.577199074076</v>
      </c>
      <c r="V504" s="29">
        <v>46313.576423611114</v>
      </c>
      <c r="W504" t="s">
        <v>1620</v>
      </c>
      <c r="X504">
        <v>22411</v>
      </c>
      <c r="Z504">
        <v>0</v>
      </c>
      <c r="AA504" s="30">
        <v>0.57222222222222219</v>
      </c>
      <c r="AB504">
        <v>3</v>
      </c>
      <c r="AC504" t="s">
        <v>41</v>
      </c>
    </row>
    <row r="505" spans="1:29">
      <c r="A505" t="s">
        <v>1365</v>
      </c>
      <c r="B505" s="29">
        <v>46313.572175925925</v>
      </c>
      <c r="C505">
        <v>1830</v>
      </c>
      <c r="D505" t="s">
        <v>41</v>
      </c>
      <c r="E505">
        <v>7</v>
      </c>
      <c r="F505" t="s">
        <v>41</v>
      </c>
      <c r="G505" t="s">
        <v>41</v>
      </c>
      <c r="H505" t="s">
        <v>1621</v>
      </c>
      <c r="I505" s="29">
        <v>46313.573391203703</v>
      </c>
      <c r="J505" t="s">
        <v>41</v>
      </c>
      <c r="K505" s="29">
        <v>46313.573101851849</v>
      </c>
      <c r="L505">
        <v>24</v>
      </c>
      <c r="O505" s="29">
        <v>46313.572048611109</v>
      </c>
      <c r="P505" t="s">
        <v>43</v>
      </c>
      <c r="Q505" t="s">
        <v>1367</v>
      </c>
      <c r="R505" t="s">
        <v>1622</v>
      </c>
      <c r="S505">
        <v>4247</v>
      </c>
      <c r="T505" t="s">
        <v>41</v>
      </c>
      <c r="U505" s="29">
        <v>46313.579189814816</v>
      </c>
      <c r="V505" s="29">
        <v>46313.577962962961</v>
      </c>
      <c r="W505" t="s">
        <v>1623</v>
      </c>
      <c r="X505">
        <v>22411</v>
      </c>
      <c r="Z505">
        <v>0</v>
      </c>
      <c r="AA505" s="30">
        <v>0.57152777777777775</v>
      </c>
      <c r="AB505">
        <v>7</v>
      </c>
      <c r="AC505" t="s">
        <v>41</v>
      </c>
    </row>
    <row r="506" spans="1:29">
      <c r="A506" t="s">
        <v>1624</v>
      </c>
      <c r="B506" s="29">
        <v>46313.57203703704</v>
      </c>
      <c r="C506">
        <v>2386</v>
      </c>
      <c r="D506" t="s">
        <v>41</v>
      </c>
      <c r="E506">
        <v>7</v>
      </c>
      <c r="F506" t="s">
        <v>41</v>
      </c>
      <c r="G506" t="s">
        <v>41</v>
      </c>
      <c r="H506" t="s">
        <v>1625</v>
      </c>
      <c r="I506" s="29">
        <v>46313.572754629633</v>
      </c>
      <c r="J506" t="s">
        <v>41</v>
      </c>
      <c r="K506" s="29">
        <v>46313.572592592594</v>
      </c>
      <c r="L506">
        <v>13</v>
      </c>
      <c r="O506" s="29">
        <v>46313.571956018517</v>
      </c>
      <c r="P506" t="s">
        <v>43</v>
      </c>
      <c r="Q506" t="s">
        <v>1626</v>
      </c>
      <c r="R506" t="s">
        <v>1627</v>
      </c>
      <c r="S506">
        <v>4247</v>
      </c>
      <c r="T506" t="s">
        <v>41</v>
      </c>
      <c r="U506" s="29">
        <v>46313.577974537038</v>
      </c>
      <c r="V506" s="29">
        <v>46313.577719907407</v>
      </c>
      <c r="W506" t="s">
        <v>1628</v>
      </c>
      <c r="X506">
        <v>22411</v>
      </c>
      <c r="Z506">
        <v>0</v>
      </c>
      <c r="AA506" s="30">
        <v>0.57152777777777775</v>
      </c>
      <c r="AB506">
        <v>7</v>
      </c>
      <c r="AC506" t="s">
        <v>41</v>
      </c>
    </row>
    <row r="507" spans="1:29">
      <c r="A507" t="s">
        <v>67</v>
      </c>
      <c r="B507" s="29">
        <v>46313.571782407409</v>
      </c>
      <c r="C507">
        <v>2327</v>
      </c>
      <c r="D507" t="s">
        <v>41</v>
      </c>
      <c r="E507">
        <v>9</v>
      </c>
      <c r="F507" t="s">
        <v>41</v>
      </c>
      <c r="G507" t="s">
        <v>41</v>
      </c>
      <c r="H507" t="s">
        <v>1629</v>
      </c>
      <c r="I507" s="29">
        <v>46313.575243055559</v>
      </c>
      <c r="J507" t="s">
        <v>41</v>
      </c>
      <c r="K507" s="29">
        <v>46313.575115740743</v>
      </c>
      <c r="L507">
        <v>10</v>
      </c>
      <c r="O507" s="29">
        <v>46313.571712962963</v>
      </c>
      <c r="P507" t="s">
        <v>43</v>
      </c>
      <c r="Q507" t="s">
        <v>69</v>
      </c>
      <c r="R507" t="s">
        <v>1630</v>
      </c>
      <c r="S507">
        <v>4247</v>
      </c>
      <c r="T507" t="s">
        <v>41</v>
      </c>
      <c r="U507" s="29">
        <v>46313.580451388887</v>
      </c>
      <c r="V507" s="29">
        <v>46313.581620370373</v>
      </c>
      <c r="W507" t="s">
        <v>1631</v>
      </c>
      <c r="X507">
        <v>22411</v>
      </c>
      <c r="Z507">
        <v>0</v>
      </c>
      <c r="AA507" s="30">
        <v>0.57152777777777775</v>
      </c>
      <c r="AB507">
        <v>9</v>
      </c>
      <c r="AC507" t="s">
        <v>41</v>
      </c>
    </row>
    <row r="508" spans="1:29">
      <c r="A508" t="s">
        <v>190</v>
      </c>
      <c r="B508" s="29">
        <v>46313.570567129631</v>
      </c>
      <c r="C508">
        <v>1177</v>
      </c>
      <c r="D508" t="s">
        <v>41</v>
      </c>
      <c r="E508">
        <v>4</v>
      </c>
      <c r="F508" t="s">
        <v>41</v>
      </c>
      <c r="G508" t="s">
        <v>41</v>
      </c>
      <c r="H508" t="s">
        <v>1632</v>
      </c>
      <c r="I508" s="29">
        <v>46313.572824074072</v>
      </c>
      <c r="J508" t="s">
        <v>41</v>
      </c>
      <c r="K508" s="29">
        <v>46313.572557870371</v>
      </c>
      <c r="L508">
        <v>22</v>
      </c>
      <c r="O508" s="29">
        <v>46313.570486111108</v>
      </c>
      <c r="P508" t="s">
        <v>43</v>
      </c>
      <c r="Q508" t="s">
        <v>192</v>
      </c>
      <c r="R508" t="s">
        <v>1633</v>
      </c>
      <c r="S508">
        <v>4247</v>
      </c>
      <c r="T508" t="s">
        <v>41</v>
      </c>
      <c r="U508" s="29">
        <v>46313.575798611113</v>
      </c>
      <c r="V508" s="29">
        <v>46313.575578703705</v>
      </c>
      <c r="W508" t="s">
        <v>1634</v>
      </c>
      <c r="X508">
        <v>22411</v>
      </c>
      <c r="Z508">
        <v>0</v>
      </c>
      <c r="AA508" s="30">
        <v>0.57013888888888886</v>
      </c>
      <c r="AB508">
        <v>4</v>
      </c>
      <c r="AC508" t="s">
        <v>41</v>
      </c>
    </row>
    <row r="509" spans="1:29">
      <c r="A509" t="s">
        <v>40</v>
      </c>
      <c r="B509" s="29">
        <v>46313.569837962961</v>
      </c>
      <c r="C509">
        <v>868</v>
      </c>
      <c r="D509" t="s">
        <v>41</v>
      </c>
      <c r="E509">
        <v>4</v>
      </c>
      <c r="F509" t="s">
        <v>41</v>
      </c>
      <c r="G509" t="s">
        <v>41</v>
      </c>
      <c r="H509" t="s">
        <v>1635</v>
      </c>
      <c r="I509" s="29">
        <v>46313.571875000001</v>
      </c>
      <c r="J509" t="s">
        <v>41</v>
      </c>
      <c r="K509" s="29">
        <v>46313.571689814817</v>
      </c>
      <c r="L509">
        <v>15</v>
      </c>
      <c r="O509" s="29">
        <v>46313.569664351853</v>
      </c>
      <c r="P509" t="s">
        <v>43</v>
      </c>
      <c r="Q509" t="s">
        <v>44</v>
      </c>
      <c r="R509" t="s">
        <v>1636</v>
      </c>
      <c r="S509">
        <v>4247</v>
      </c>
      <c r="T509" t="s">
        <v>41</v>
      </c>
      <c r="U509" s="29">
        <v>46313.574629629627</v>
      </c>
      <c r="V509" s="29">
        <v>46313.574756944443</v>
      </c>
      <c r="W509" t="s">
        <v>1637</v>
      </c>
      <c r="X509">
        <v>22411</v>
      </c>
      <c r="Z509">
        <v>0</v>
      </c>
      <c r="AA509" s="30">
        <v>0.56944444444444442</v>
      </c>
      <c r="AB509">
        <v>4</v>
      </c>
      <c r="AC509" t="s">
        <v>41</v>
      </c>
    </row>
    <row r="510" spans="1:29">
      <c r="A510" t="s">
        <v>57</v>
      </c>
      <c r="B510" s="29">
        <v>46313.569363425922</v>
      </c>
      <c r="C510">
        <v>2241</v>
      </c>
      <c r="D510" t="s">
        <v>41</v>
      </c>
      <c r="E510">
        <v>4</v>
      </c>
      <c r="F510" t="s">
        <v>41</v>
      </c>
      <c r="G510" t="s">
        <v>41</v>
      </c>
      <c r="H510" t="s">
        <v>1638</v>
      </c>
      <c r="I510" s="29">
        <v>46313.570543981485</v>
      </c>
      <c r="J510" t="s">
        <v>41</v>
      </c>
      <c r="K510" s="29">
        <v>46313.570381944446</v>
      </c>
      <c r="L510">
        <v>13</v>
      </c>
      <c r="O510" s="29">
        <v>46313.56931712963</v>
      </c>
      <c r="P510" t="s">
        <v>43</v>
      </c>
      <c r="Q510" t="s">
        <v>59</v>
      </c>
      <c r="R510" t="s">
        <v>1639</v>
      </c>
      <c r="S510">
        <v>4247</v>
      </c>
      <c r="T510" t="s">
        <v>41</v>
      </c>
      <c r="U510" s="29">
        <v>46313.57675925926</v>
      </c>
      <c r="V510" s="29">
        <v>46313.573321759257</v>
      </c>
      <c r="W510" t="s">
        <v>1640</v>
      </c>
      <c r="X510">
        <v>22411</v>
      </c>
      <c r="Z510">
        <v>0</v>
      </c>
      <c r="AA510" s="30">
        <v>0.56874999999999998</v>
      </c>
      <c r="AB510">
        <v>4</v>
      </c>
      <c r="AC510" t="s">
        <v>41</v>
      </c>
    </row>
    <row r="511" spans="1:29">
      <c r="A511" t="s">
        <v>52</v>
      </c>
      <c r="B511" s="29">
        <v>46313.568807870368</v>
      </c>
      <c r="C511">
        <v>1567</v>
      </c>
      <c r="D511" t="s">
        <v>41</v>
      </c>
      <c r="E511">
        <v>4</v>
      </c>
      <c r="F511" t="s">
        <v>41</v>
      </c>
      <c r="G511" t="s">
        <v>41</v>
      </c>
      <c r="H511" t="s">
        <v>1641</v>
      </c>
      <c r="I511" s="29">
        <v>46313.569675925923</v>
      </c>
      <c r="J511" t="s">
        <v>41</v>
      </c>
      <c r="K511" s="29">
        <v>46313.569456018522</v>
      </c>
      <c r="L511">
        <v>18</v>
      </c>
      <c r="O511" s="29">
        <v>46313.568645833337</v>
      </c>
      <c r="P511" t="s">
        <v>43</v>
      </c>
      <c r="Q511" t="s">
        <v>54</v>
      </c>
      <c r="R511" t="s">
        <v>1642</v>
      </c>
      <c r="S511">
        <v>4247</v>
      </c>
      <c r="T511" t="s">
        <v>41</v>
      </c>
      <c r="U511" s="29">
        <v>46313.573275462964</v>
      </c>
      <c r="V511" s="29">
        <v>46313.572384259256</v>
      </c>
      <c r="W511" t="s">
        <v>1643</v>
      </c>
      <c r="X511">
        <v>22411</v>
      </c>
      <c r="Z511">
        <v>0</v>
      </c>
      <c r="AA511" s="30">
        <v>0.56874999999999998</v>
      </c>
      <c r="AB511">
        <v>4</v>
      </c>
      <c r="AC511" t="s">
        <v>41</v>
      </c>
    </row>
    <row r="512" spans="1:29">
      <c r="A512" t="s">
        <v>72</v>
      </c>
      <c r="B512" s="29">
        <v>46313.567256944443</v>
      </c>
      <c r="C512">
        <v>2334</v>
      </c>
      <c r="D512" t="s">
        <v>41</v>
      </c>
      <c r="E512">
        <v>8</v>
      </c>
      <c r="F512" t="s">
        <v>41</v>
      </c>
      <c r="G512" t="s">
        <v>41</v>
      </c>
      <c r="H512" t="s">
        <v>1644</v>
      </c>
      <c r="I512" s="29">
        <v>46313.568206018521</v>
      </c>
      <c r="J512" t="s">
        <v>41</v>
      </c>
      <c r="K512" s="29">
        <v>46313.568067129629</v>
      </c>
      <c r="L512">
        <v>11</v>
      </c>
      <c r="O512" s="29">
        <v>46313.567175925928</v>
      </c>
      <c r="P512" t="s">
        <v>43</v>
      </c>
      <c r="Q512" t="s">
        <v>74</v>
      </c>
      <c r="R512" t="s">
        <v>1645</v>
      </c>
      <c r="S512">
        <v>4247</v>
      </c>
      <c r="T512" t="s">
        <v>41</v>
      </c>
      <c r="U512" s="29">
        <v>46313.574583333335</v>
      </c>
      <c r="V512" s="29">
        <v>46313.573368055557</v>
      </c>
      <c r="W512" t="s">
        <v>1646</v>
      </c>
      <c r="X512">
        <v>22411</v>
      </c>
      <c r="Z512">
        <v>0</v>
      </c>
      <c r="AA512" s="30">
        <v>0.56666666666666665</v>
      </c>
      <c r="AB512">
        <v>7</v>
      </c>
      <c r="AC512" t="s">
        <v>41</v>
      </c>
    </row>
    <row r="513" spans="1:29">
      <c r="A513" t="s">
        <v>1391</v>
      </c>
      <c r="B513" s="29">
        <v>46313.565208333333</v>
      </c>
      <c r="C513">
        <v>678</v>
      </c>
      <c r="D513" t="s">
        <v>41</v>
      </c>
      <c r="E513">
        <v>2</v>
      </c>
      <c r="F513" t="s">
        <v>41</v>
      </c>
      <c r="G513" t="s">
        <v>41</v>
      </c>
      <c r="H513" t="s">
        <v>1647</v>
      </c>
      <c r="I513" s="29">
        <v>46313.565706018519</v>
      </c>
      <c r="J513" t="s">
        <v>41</v>
      </c>
      <c r="K513" s="29">
        <v>46313.565509259257</v>
      </c>
      <c r="L513">
        <v>16</v>
      </c>
      <c r="O513" s="29">
        <v>46313.565081018518</v>
      </c>
      <c r="P513" t="s">
        <v>43</v>
      </c>
      <c r="Q513" t="s">
        <v>1393</v>
      </c>
      <c r="R513" t="s">
        <v>1648</v>
      </c>
      <c r="S513">
        <v>4247</v>
      </c>
      <c r="T513" t="s">
        <v>41</v>
      </c>
      <c r="U513" s="29">
        <v>46313.568310185183</v>
      </c>
      <c r="V513" s="29">
        <v>46313.567164351851</v>
      </c>
      <c r="W513" t="s">
        <v>1649</v>
      </c>
      <c r="X513">
        <v>22411</v>
      </c>
      <c r="Z513">
        <v>0</v>
      </c>
      <c r="AA513" s="30">
        <v>0.56458333333333333</v>
      </c>
      <c r="AB513">
        <v>2</v>
      </c>
      <c r="AC513" t="s">
        <v>41</v>
      </c>
    </row>
    <row r="514" spans="1:29">
      <c r="A514" t="s">
        <v>185</v>
      </c>
      <c r="B514" s="29">
        <v>46313.56454861111</v>
      </c>
      <c r="C514">
        <v>2703</v>
      </c>
      <c r="D514" t="s">
        <v>41</v>
      </c>
      <c r="E514">
        <v>8</v>
      </c>
      <c r="F514" t="s">
        <v>41</v>
      </c>
      <c r="G514" t="s">
        <v>41</v>
      </c>
      <c r="H514" t="s">
        <v>1650</v>
      </c>
      <c r="I514" s="29">
        <v>46313.565381944441</v>
      </c>
      <c r="J514" t="s">
        <v>41</v>
      </c>
      <c r="K514" s="29">
        <v>46313.565115740741</v>
      </c>
      <c r="L514">
        <v>22</v>
      </c>
      <c r="O514" s="29">
        <v>46313.564421296294</v>
      </c>
      <c r="P514" t="s">
        <v>43</v>
      </c>
      <c r="Q514" t="s">
        <v>3007</v>
      </c>
      <c r="R514" t="s">
        <v>1651</v>
      </c>
      <c r="S514">
        <v>4247</v>
      </c>
      <c r="T514" t="s">
        <v>41</v>
      </c>
      <c r="U514" s="29">
        <v>46313.572812500002</v>
      </c>
      <c r="V514" s="29">
        <v>46313.570844907408</v>
      </c>
      <c r="W514" t="s">
        <v>1652</v>
      </c>
      <c r="X514">
        <v>22411</v>
      </c>
      <c r="Z514">
        <v>0</v>
      </c>
      <c r="AA514" s="30">
        <v>0.56388888888888888</v>
      </c>
      <c r="AB514">
        <v>8</v>
      </c>
      <c r="AC514" t="s">
        <v>41</v>
      </c>
    </row>
    <row r="515" spans="1:29">
      <c r="A515" t="s">
        <v>1136</v>
      </c>
      <c r="B515" s="29">
        <v>46313.563738425924</v>
      </c>
      <c r="C515">
        <v>1960</v>
      </c>
      <c r="D515" t="s">
        <v>41</v>
      </c>
      <c r="E515">
        <v>6</v>
      </c>
      <c r="F515" t="s">
        <v>41</v>
      </c>
      <c r="G515" t="s">
        <v>41</v>
      </c>
      <c r="H515" t="s">
        <v>1653</v>
      </c>
      <c r="I515" s="29">
        <v>46313.565034722225</v>
      </c>
      <c r="J515" t="s">
        <v>41</v>
      </c>
      <c r="K515" s="29">
        <v>46313.564930555556</v>
      </c>
      <c r="L515">
        <v>8</v>
      </c>
      <c r="O515" s="29">
        <v>46313.563414351855</v>
      </c>
      <c r="P515" t="s">
        <v>43</v>
      </c>
      <c r="Q515" t="s">
        <v>1138</v>
      </c>
      <c r="R515" t="s">
        <v>1654</v>
      </c>
      <c r="S515">
        <v>4247</v>
      </c>
      <c r="T515" t="s">
        <v>41</v>
      </c>
      <c r="U515" s="29">
        <v>46313.571469907409</v>
      </c>
      <c r="V515" s="29">
        <v>46313.569074074076</v>
      </c>
      <c r="W515" t="s">
        <v>1655</v>
      </c>
      <c r="X515">
        <v>22411</v>
      </c>
      <c r="Z515">
        <v>0</v>
      </c>
      <c r="AA515" s="30">
        <v>0.56319444444444444</v>
      </c>
      <c r="AB515">
        <v>6</v>
      </c>
      <c r="AC515" t="s">
        <v>41</v>
      </c>
    </row>
    <row r="516" spans="1:29">
      <c r="A516" t="s">
        <v>190</v>
      </c>
      <c r="B516" s="29">
        <v>46313.563310185185</v>
      </c>
      <c r="C516">
        <v>324</v>
      </c>
      <c r="D516" t="s">
        <v>41</v>
      </c>
      <c r="E516">
        <v>2</v>
      </c>
      <c r="F516" t="s">
        <v>41</v>
      </c>
      <c r="G516" t="s">
        <v>41</v>
      </c>
      <c r="H516" t="s">
        <v>1656</v>
      </c>
      <c r="I516" s="29">
        <v>46313.563564814816</v>
      </c>
      <c r="J516" t="s">
        <v>41</v>
      </c>
      <c r="K516" s="29">
        <v>46313.563263888886</v>
      </c>
      <c r="L516">
        <v>22</v>
      </c>
      <c r="O516" s="29">
        <v>46313.562523148146</v>
      </c>
      <c r="P516" t="s">
        <v>43</v>
      </c>
      <c r="Q516" t="s">
        <v>192</v>
      </c>
      <c r="R516" t="s">
        <v>1657</v>
      </c>
      <c r="S516">
        <v>4247</v>
      </c>
      <c r="T516" t="s">
        <v>41</v>
      </c>
      <c r="U516" s="29">
        <v>46313.565150462964</v>
      </c>
      <c r="V516" s="29">
        <v>46313.564479166664</v>
      </c>
      <c r="W516" t="s">
        <v>1658</v>
      </c>
      <c r="X516">
        <v>22411</v>
      </c>
      <c r="Z516">
        <v>0</v>
      </c>
      <c r="AA516" s="30">
        <v>0.56319444444444444</v>
      </c>
      <c r="AB516">
        <v>1</v>
      </c>
      <c r="AC516" t="s">
        <v>41</v>
      </c>
    </row>
    <row r="517" spans="1:29">
      <c r="A517" t="s">
        <v>655</v>
      </c>
      <c r="B517" s="29">
        <v>46313.562835648147</v>
      </c>
      <c r="C517">
        <v>2085</v>
      </c>
      <c r="D517" t="s">
        <v>41</v>
      </c>
      <c r="E517">
        <v>4</v>
      </c>
      <c r="F517" t="s">
        <v>41</v>
      </c>
      <c r="G517" t="s">
        <v>41</v>
      </c>
      <c r="H517" t="s">
        <v>1659</v>
      </c>
      <c r="I517" s="29">
        <v>46313.563726851855</v>
      </c>
      <c r="J517" t="s">
        <v>41</v>
      </c>
      <c r="K517" s="29">
        <v>46313.563611111109</v>
      </c>
      <c r="L517">
        <v>9</v>
      </c>
      <c r="O517" s="29">
        <v>46313.562199074076</v>
      </c>
      <c r="P517" t="s">
        <v>43</v>
      </c>
      <c r="Q517" t="s">
        <v>657</v>
      </c>
      <c r="R517" t="s">
        <v>1660</v>
      </c>
      <c r="S517">
        <v>4247</v>
      </c>
      <c r="T517" t="s">
        <v>41</v>
      </c>
      <c r="U517" s="29">
        <v>46313.568541666667</v>
      </c>
      <c r="V517" s="29">
        <v>46313.566712962966</v>
      </c>
      <c r="W517" t="s">
        <v>1661</v>
      </c>
      <c r="X517">
        <v>22411</v>
      </c>
      <c r="Z517">
        <v>0</v>
      </c>
      <c r="AA517" s="30">
        <v>0.5625</v>
      </c>
      <c r="AB517">
        <v>4</v>
      </c>
      <c r="AC517" t="s">
        <v>41</v>
      </c>
    </row>
    <row r="518" spans="1:29">
      <c r="A518" t="s">
        <v>77</v>
      </c>
      <c r="B518" s="29">
        <v>46313.562673611108</v>
      </c>
      <c r="C518">
        <v>2867</v>
      </c>
      <c r="D518" t="s">
        <v>41</v>
      </c>
      <c r="E518">
        <v>7</v>
      </c>
      <c r="F518" t="s">
        <v>41</v>
      </c>
      <c r="G518" t="s">
        <v>41</v>
      </c>
      <c r="H518" t="s">
        <v>1662</v>
      </c>
      <c r="I518" s="29">
        <v>46313.56417824074</v>
      </c>
      <c r="J518" t="s">
        <v>41</v>
      </c>
      <c r="K518" s="29">
        <v>46313.563969907409</v>
      </c>
      <c r="L518">
        <v>17</v>
      </c>
      <c r="O518" s="29">
        <v>46313.56145833333</v>
      </c>
      <c r="P518" t="s">
        <v>43</v>
      </c>
      <c r="Q518" t="s">
        <v>79</v>
      </c>
      <c r="R518" t="s">
        <v>1663</v>
      </c>
      <c r="S518">
        <v>4247</v>
      </c>
      <c r="T518" t="s">
        <v>41</v>
      </c>
      <c r="U518" s="29">
        <v>46313.571608796294</v>
      </c>
      <c r="V518" s="29">
        <v>46313.569085648145</v>
      </c>
      <c r="W518" t="s">
        <v>1664</v>
      </c>
      <c r="X518">
        <v>22411</v>
      </c>
      <c r="Z518">
        <v>0</v>
      </c>
      <c r="AA518" s="30">
        <v>0.5625</v>
      </c>
      <c r="AB518">
        <v>7</v>
      </c>
      <c r="AC518" t="s">
        <v>41</v>
      </c>
    </row>
    <row r="519" spans="1:29">
      <c r="A519" t="s">
        <v>347</v>
      </c>
      <c r="B519" s="29">
        <v>46313.562534722223</v>
      </c>
      <c r="C519">
        <v>1636</v>
      </c>
      <c r="D519" t="s">
        <v>41</v>
      </c>
      <c r="E519">
        <v>4</v>
      </c>
      <c r="F519" t="s">
        <v>41</v>
      </c>
      <c r="G519" t="s">
        <v>41</v>
      </c>
      <c r="H519" t="s">
        <v>1665</v>
      </c>
      <c r="I519" s="29">
        <v>46313.562685185185</v>
      </c>
      <c r="J519" t="s">
        <v>41</v>
      </c>
      <c r="K519" s="29">
        <v>46313.56177083333</v>
      </c>
      <c r="L519">
        <v>13</v>
      </c>
      <c r="O519" s="29">
        <v>46313.561238425929</v>
      </c>
      <c r="P519" t="s">
        <v>43</v>
      </c>
      <c r="Q519" t="s">
        <v>349</v>
      </c>
      <c r="R519" t="s">
        <v>1666</v>
      </c>
      <c r="S519">
        <v>4247</v>
      </c>
      <c r="T519" t="s">
        <v>41</v>
      </c>
      <c r="U519" s="29">
        <v>46313.567164351851</v>
      </c>
      <c r="V519" s="29">
        <v>46313.565509259257</v>
      </c>
      <c r="W519" t="s">
        <v>1667</v>
      </c>
      <c r="X519">
        <v>22411</v>
      </c>
      <c r="Z519">
        <v>0</v>
      </c>
      <c r="AA519" s="30">
        <v>0.5625</v>
      </c>
      <c r="AB519">
        <v>4</v>
      </c>
      <c r="AC519" t="s">
        <v>41</v>
      </c>
    </row>
    <row r="520" spans="1:29">
      <c r="A520" t="s">
        <v>106</v>
      </c>
      <c r="B520" s="29">
        <v>46313.561909722222</v>
      </c>
      <c r="C520">
        <v>2353</v>
      </c>
      <c r="D520" t="s">
        <v>41</v>
      </c>
      <c r="E520">
        <v>7</v>
      </c>
      <c r="F520" t="s">
        <v>41</v>
      </c>
      <c r="G520" t="s">
        <v>41</v>
      </c>
      <c r="H520" t="s">
        <v>1668</v>
      </c>
      <c r="I520" s="29">
        <v>46313.563136574077</v>
      </c>
      <c r="J520" t="s">
        <v>41</v>
      </c>
      <c r="K520" s="29">
        <v>46313.562881944446</v>
      </c>
      <c r="L520">
        <v>21</v>
      </c>
      <c r="O520" s="29">
        <v>46313.56077546296</v>
      </c>
      <c r="P520" t="s">
        <v>43</v>
      </c>
      <c r="Q520" t="s">
        <v>108</v>
      </c>
      <c r="R520" t="s">
        <v>1669</v>
      </c>
      <c r="S520">
        <v>4247</v>
      </c>
      <c r="T520" t="s">
        <v>41</v>
      </c>
      <c r="U520" s="29">
        <v>46313.568912037037</v>
      </c>
      <c r="V520" s="29">
        <v>46313.568009259259</v>
      </c>
      <c r="W520" t="s">
        <v>1670</v>
      </c>
      <c r="X520">
        <v>22411</v>
      </c>
      <c r="Z520">
        <v>0</v>
      </c>
      <c r="AA520" s="30">
        <v>0.56180555555555556</v>
      </c>
      <c r="AB520">
        <v>7</v>
      </c>
      <c r="AC520" t="s">
        <v>41</v>
      </c>
    </row>
    <row r="521" spans="1:29">
      <c r="A521" t="s">
        <v>67</v>
      </c>
      <c r="B521" s="29">
        <v>46313.561747685184</v>
      </c>
      <c r="C521">
        <v>1011</v>
      </c>
      <c r="D521" t="s">
        <v>41</v>
      </c>
      <c r="E521">
        <v>3</v>
      </c>
      <c r="F521" t="s">
        <v>41</v>
      </c>
      <c r="G521" t="s">
        <v>41</v>
      </c>
      <c r="H521" t="s">
        <v>1671</v>
      </c>
      <c r="I521" s="29">
        <v>46313.56181712963</v>
      </c>
      <c r="J521" t="s">
        <v>41</v>
      </c>
      <c r="K521" s="29">
        <v>46313.561192129629</v>
      </c>
      <c r="L521">
        <v>7</v>
      </c>
      <c r="O521" s="29">
        <v>46313.560300925928</v>
      </c>
      <c r="P521" t="s">
        <v>43</v>
      </c>
      <c r="Q521" t="s">
        <v>69</v>
      </c>
      <c r="R521" t="s">
        <v>1672</v>
      </c>
      <c r="S521">
        <v>4247</v>
      </c>
      <c r="T521" t="s">
        <v>41</v>
      </c>
      <c r="U521" s="29">
        <v>46313.565497685187</v>
      </c>
      <c r="V521" s="29">
        <v>46313.56391203704</v>
      </c>
      <c r="W521" t="s">
        <v>1673</v>
      </c>
      <c r="X521">
        <v>22411</v>
      </c>
      <c r="Z521">
        <v>0</v>
      </c>
      <c r="AA521" s="30">
        <v>0.56111111111111112</v>
      </c>
      <c r="AB521">
        <v>3</v>
      </c>
      <c r="AC521" t="s">
        <v>41</v>
      </c>
    </row>
    <row r="522" spans="1:29">
      <c r="B522" s="29">
        <v>46313.561736111114</v>
      </c>
      <c r="C522">
        <v>413</v>
      </c>
      <c r="D522" t="s">
        <v>41</v>
      </c>
      <c r="E522" t="s">
        <v>1674</v>
      </c>
      <c r="F522" t="s">
        <v>41</v>
      </c>
      <c r="G522" t="s">
        <v>41</v>
      </c>
      <c r="H522" t="s">
        <v>1675</v>
      </c>
      <c r="J522" t="s">
        <v>41</v>
      </c>
      <c r="K522" t="s">
        <v>41</v>
      </c>
      <c r="L522" t="s">
        <v>1674</v>
      </c>
      <c r="O522" s="29">
        <v>46313.560115740744</v>
      </c>
      <c r="P522" t="s">
        <v>1676</v>
      </c>
      <c r="Q522" t="s">
        <v>1674</v>
      </c>
      <c r="R522" t="s">
        <v>1677</v>
      </c>
      <c r="S522">
        <v>4247</v>
      </c>
      <c r="T522" t="s">
        <v>41</v>
      </c>
      <c r="U522" s="29">
        <v>46313.565243055556</v>
      </c>
      <c r="W522" t="s">
        <v>1678</v>
      </c>
      <c r="X522">
        <v>22411</v>
      </c>
      <c r="Z522">
        <v>0</v>
      </c>
      <c r="AA522" s="30">
        <v>0.56111111111111112</v>
      </c>
      <c r="AB522" t="s">
        <v>1674</v>
      </c>
      <c r="AC522" t="s">
        <v>41</v>
      </c>
    </row>
    <row r="523" spans="1:29">
      <c r="A523" t="s">
        <v>62</v>
      </c>
      <c r="B523" s="29">
        <v>46313.56145833333</v>
      </c>
      <c r="C523">
        <v>1994</v>
      </c>
      <c r="D523" t="s">
        <v>41</v>
      </c>
      <c r="E523">
        <v>4</v>
      </c>
      <c r="F523" t="s">
        <v>41</v>
      </c>
      <c r="G523" t="s">
        <v>41</v>
      </c>
      <c r="H523" t="s">
        <v>1679</v>
      </c>
      <c r="I523" s="29">
        <v>46313.561550925922</v>
      </c>
      <c r="J523" t="s">
        <v>41</v>
      </c>
      <c r="K523" s="29">
        <v>46313.560520833336</v>
      </c>
      <c r="L523">
        <v>8</v>
      </c>
      <c r="O523" s="29">
        <v>46313.559166666666</v>
      </c>
      <c r="P523" t="s">
        <v>43</v>
      </c>
      <c r="Q523" t="s">
        <v>64</v>
      </c>
      <c r="R523" t="s">
        <v>1680</v>
      </c>
      <c r="S523">
        <v>4247</v>
      </c>
      <c r="T523" t="s">
        <v>41</v>
      </c>
      <c r="U523" s="29">
        <v>46313.566423611112</v>
      </c>
      <c r="V523" s="29">
        <v>46313.564016203702</v>
      </c>
      <c r="W523" t="s">
        <v>1681</v>
      </c>
      <c r="X523">
        <v>22411</v>
      </c>
      <c r="Z523">
        <v>0</v>
      </c>
      <c r="AA523" s="30">
        <v>0.56111111111111112</v>
      </c>
      <c r="AB523">
        <v>4</v>
      </c>
      <c r="AC523" t="s">
        <v>41</v>
      </c>
    </row>
    <row r="524" spans="1:29">
      <c r="A524" t="s">
        <v>1171</v>
      </c>
      <c r="B524" s="29">
        <v>46313.560439814813</v>
      </c>
      <c r="C524">
        <v>2495</v>
      </c>
      <c r="D524" t="s">
        <v>41</v>
      </c>
      <c r="E524">
        <v>6</v>
      </c>
      <c r="F524" t="s">
        <v>41</v>
      </c>
      <c r="G524" t="s">
        <v>41</v>
      </c>
      <c r="H524" t="s">
        <v>1682</v>
      </c>
      <c r="I524" s="29">
        <v>46313.560740740744</v>
      </c>
      <c r="J524" t="s">
        <v>41</v>
      </c>
      <c r="K524" s="29">
        <v>46313.560486111113</v>
      </c>
      <c r="L524">
        <v>21</v>
      </c>
      <c r="O524" s="29">
        <v>46313.559120370373</v>
      </c>
      <c r="P524" t="s">
        <v>43</v>
      </c>
      <c r="Q524" t="s">
        <v>1173</v>
      </c>
      <c r="R524" t="s">
        <v>1683</v>
      </c>
      <c r="S524">
        <v>4247</v>
      </c>
      <c r="T524" t="s">
        <v>41</v>
      </c>
      <c r="U524" s="29">
        <v>46313.567013888889</v>
      </c>
      <c r="V524" s="29">
        <v>46313.564733796295</v>
      </c>
      <c r="W524" t="s">
        <v>1684</v>
      </c>
      <c r="X524">
        <v>22411</v>
      </c>
      <c r="Z524">
        <v>0</v>
      </c>
      <c r="AA524" s="30">
        <v>0.56041666666666667</v>
      </c>
      <c r="AB524">
        <v>6</v>
      </c>
      <c r="AC524" t="s">
        <v>41</v>
      </c>
    </row>
    <row r="525" spans="1:29">
      <c r="A525" t="s">
        <v>1461</v>
      </c>
      <c r="B525" s="29">
        <v>46313.560439814813</v>
      </c>
      <c r="C525">
        <v>1369</v>
      </c>
      <c r="D525" t="s">
        <v>41</v>
      </c>
      <c r="E525">
        <v>5</v>
      </c>
      <c r="F525" t="s">
        <v>41</v>
      </c>
      <c r="G525" t="s">
        <v>41</v>
      </c>
      <c r="H525" t="s">
        <v>1685</v>
      </c>
      <c r="I525" s="29">
        <v>46313.560833333337</v>
      </c>
      <c r="J525" t="s">
        <v>41</v>
      </c>
      <c r="K525" s="29">
        <v>46313.559918981482</v>
      </c>
      <c r="L525">
        <v>34</v>
      </c>
      <c r="O525" s="29">
        <v>46313.558993055558</v>
      </c>
      <c r="P525" t="s">
        <v>43</v>
      </c>
      <c r="Q525" t="s">
        <v>1463</v>
      </c>
      <c r="R525" t="s">
        <v>1686</v>
      </c>
      <c r="S525">
        <v>4247</v>
      </c>
      <c r="T525" t="s">
        <v>41</v>
      </c>
      <c r="U525" s="29">
        <v>46313.565613425926</v>
      </c>
      <c r="V525" s="29">
        <v>46313.563634259262</v>
      </c>
      <c r="W525" t="s">
        <v>1687</v>
      </c>
      <c r="X525">
        <v>22411</v>
      </c>
      <c r="Z525">
        <v>0</v>
      </c>
      <c r="AA525" s="30">
        <v>0.56041666666666667</v>
      </c>
      <c r="AB525">
        <v>4</v>
      </c>
      <c r="AC525" t="s">
        <v>41</v>
      </c>
    </row>
    <row r="526" spans="1:29">
      <c r="A526" t="s">
        <v>1592</v>
      </c>
      <c r="B526" s="29">
        <v>46313.559606481482</v>
      </c>
      <c r="C526">
        <v>3051</v>
      </c>
      <c r="D526" t="s">
        <v>41</v>
      </c>
      <c r="E526">
        <v>9</v>
      </c>
      <c r="F526" t="s">
        <v>41</v>
      </c>
      <c r="G526" t="s">
        <v>41</v>
      </c>
      <c r="H526" t="s">
        <v>1688</v>
      </c>
      <c r="I526" s="29">
        <v>46313.562615740739</v>
      </c>
      <c r="J526" t="s">
        <v>41</v>
      </c>
      <c r="K526" s="29">
        <v>46313.562465277777</v>
      </c>
      <c r="L526">
        <v>12</v>
      </c>
      <c r="O526" s="29">
        <v>46313.558807870373</v>
      </c>
      <c r="P526" t="s">
        <v>43</v>
      </c>
      <c r="Q526" t="s">
        <v>1594</v>
      </c>
      <c r="R526" t="s">
        <v>1689</v>
      </c>
      <c r="S526">
        <v>4247</v>
      </c>
      <c r="T526" t="s">
        <v>41</v>
      </c>
      <c r="U526" s="29">
        <v>46313.570254629631</v>
      </c>
      <c r="V526" s="29">
        <v>46313.569062499999</v>
      </c>
      <c r="W526" t="s">
        <v>1690</v>
      </c>
      <c r="X526">
        <v>22411</v>
      </c>
      <c r="Z526">
        <v>0</v>
      </c>
      <c r="AA526" s="30">
        <v>0.55902777777777779</v>
      </c>
      <c r="AB526">
        <v>9</v>
      </c>
      <c r="AC526" t="s">
        <v>41</v>
      </c>
    </row>
    <row r="527" spans="1:29">
      <c r="A527" t="s">
        <v>57</v>
      </c>
      <c r="B527" s="29">
        <v>46313.559606481482</v>
      </c>
      <c r="C527">
        <v>944</v>
      </c>
      <c r="D527" t="s">
        <v>41</v>
      </c>
      <c r="E527">
        <v>3</v>
      </c>
      <c r="F527" t="s">
        <v>41</v>
      </c>
      <c r="G527" t="s">
        <v>41</v>
      </c>
      <c r="H527" t="s">
        <v>1691</v>
      </c>
      <c r="I527" s="29">
        <v>46313.560810185183</v>
      </c>
      <c r="J527" t="s">
        <v>41</v>
      </c>
      <c r="K527" s="29">
        <v>46313.560636574075</v>
      </c>
      <c r="L527">
        <v>14</v>
      </c>
      <c r="O527" s="29">
        <v>46313.558310185188</v>
      </c>
      <c r="P527" t="s">
        <v>43</v>
      </c>
      <c r="Q527" t="s">
        <v>59</v>
      </c>
      <c r="R527" t="s">
        <v>1692</v>
      </c>
      <c r="S527">
        <v>4247</v>
      </c>
      <c r="T527" t="s">
        <v>41</v>
      </c>
      <c r="U527" s="29">
        <v>46313.563206018516</v>
      </c>
      <c r="V527" s="29">
        <v>46313.562835648147</v>
      </c>
      <c r="W527" t="s">
        <v>1693</v>
      </c>
      <c r="X527">
        <v>22411</v>
      </c>
      <c r="Z527">
        <v>0</v>
      </c>
      <c r="AA527" s="30">
        <v>0.55902777777777779</v>
      </c>
      <c r="AB527">
        <v>3</v>
      </c>
      <c r="AC527" t="s">
        <v>41</v>
      </c>
    </row>
    <row r="528" spans="1:29">
      <c r="A528" t="s">
        <v>379</v>
      </c>
      <c r="B528" s="29">
        <v>46313.559583333335</v>
      </c>
      <c r="C528">
        <v>1981</v>
      </c>
      <c r="D528" t="s">
        <v>41</v>
      </c>
      <c r="E528">
        <v>7</v>
      </c>
      <c r="F528" t="s">
        <v>41</v>
      </c>
      <c r="G528" t="s">
        <v>41</v>
      </c>
      <c r="H528" t="s">
        <v>1694</v>
      </c>
      <c r="I528" s="29">
        <v>46313.560104166667</v>
      </c>
      <c r="J528" t="s">
        <v>41</v>
      </c>
      <c r="K528" s="29">
        <v>46313.559872685182</v>
      </c>
      <c r="L528">
        <v>19</v>
      </c>
      <c r="O528" s="29">
        <v>46313.558067129627</v>
      </c>
      <c r="P528" t="s">
        <v>43</v>
      </c>
      <c r="Q528" t="s">
        <v>381</v>
      </c>
      <c r="R528" t="s">
        <v>1695</v>
      </c>
      <c r="S528">
        <v>4247</v>
      </c>
      <c r="T528" t="s">
        <v>41</v>
      </c>
      <c r="U528" s="29">
        <v>46313.566018518519</v>
      </c>
      <c r="V528" s="29">
        <v>46313.565057870372</v>
      </c>
      <c r="W528" t="s">
        <v>1696</v>
      </c>
      <c r="X528">
        <v>22411</v>
      </c>
      <c r="Z528">
        <v>0</v>
      </c>
      <c r="AA528" s="30">
        <v>0.55902777777777779</v>
      </c>
      <c r="AB528">
        <v>7</v>
      </c>
      <c r="AC528" t="s">
        <v>41</v>
      </c>
    </row>
    <row r="529" spans="1:29">
      <c r="A529" t="s">
        <v>1624</v>
      </c>
      <c r="B529" s="29">
        <v>46313.559270833335</v>
      </c>
      <c r="C529">
        <v>1202</v>
      </c>
      <c r="D529" t="s">
        <v>41</v>
      </c>
      <c r="E529">
        <v>6</v>
      </c>
      <c r="F529" t="s">
        <v>41</v>
      </c>
      <c r="G529" t="s">
        <v>41</v>
      </c>
      <c r="H529" t="s">
        <v>1697</v>
      </c>
      <c r="I529" s="29">
        <v>46313.559537037036</v>
      </c>
      <c r="J529" t="s">
        <v>41</v>
      </c>
      <c r="K529" s="29">
        <v>46313.55940972222</v>
      </c>
      <c r="L529">
        <v>10</v>
      </c>
      <c r="O529" s="29">
        <v>46313.557916666665</v>
      </c>
      <c r="P529" t="s">
        <v>43</v>
      </c>
      <c r="Q529" t="s">
        <v>1626</v>
      </c>
      <c r="R529" t="s">
        <v>1698</v>
      </c>
      <c r="S529">
        <v>4247</v>
      </c>
      <c r="T529" t="s">
        <v>41</v>
      </c>
      <c r="U529" s="29">
        <v>46313.563599537039</v>
      </c>
      <c r="V529" s="29">
        <v>46313.563692129632</v>
      </c>
      <c r="W529" t="s">
        <v>1699</v>
      </c>
      <c r="X529">
        <v>22411</v>
      </c>
      <c r="Z529">
        <v>0</v>
      </c>
      <c r="AA529" s="30">
        <v>0.55902777777777779</v>
      </c>
      <c r="AB529">
        <v>6</v>
      </c>
      <c r="AC529" t="s">
        <v>41</v>
      </c>
    </row>
    <row r="530" spans="1:29">
      <c r="A530" t="s">
        <v>711</v>
      </c>
      <c r="B530" s="29">
        <v>46313.55840277778</v>
      </c>
      <c r="C530">
        <v>1521</v>
      </c>
      <c r="D530" t="s">
        <v>41</v>
      </c>
      <c r="E530">
        <v>5</v>
      </c>
      <c r="F530" t="s">
        <v>41</v>
      </c>
      <c r="G530" t="s">
        <v>41</v>
      </c>
      <c r="H530" t="s">
        <v>1700</v>
      </c>
      <c r="I530" s="29">
        <v>46313.559699074074</v>
      </c>
      <c r="J530" t="s">
        <v>41</v>
      </c>
      <c r="K530" s="29">
        <v>46313.559583333335</v>
      </c>
      <c r="L530">
        <v>9</v>
      </c>
      <c r="O530" s="29">
        <v>46313.557696759257</v>
      </c>
      <c r="P530" t="s">
        <v>43</v>
      </c>
      <c r="Q530" t="s">
        <v>713</v>
      </c>
      <c r="R530" t="s">
        <v>1701</v>
      </c>
      <c r="S530">
        <v>4247</v>
      </c>
      <c r="T530" t="s">
        <v>41</v>
      </c>
      <c r="U530" s="29">
        <v>46313.564340277779</v>
      </c>
      <c r="V530" s="29">
        <v>46313.563090277778</v>
      </c>
      <c r="W530" t="s">
        <v>1702</v>
      </c>
      <c r="X530">
        <v>22411</v>
      </c>
      <c r="Z530">
        <v>0</v>
      </c>
      <c r="AA530" s="30">
        <v>0.55833333333333335</v>
      </c>
      <c r="AB530">
        <v>5</v>
      </c>
      <c r="AC530" t="s">
        <v>41</v>
      </c>
    </row>
    <row r="531" spans="1:29">
      <c r="A531" t="s">
        <v>72</v>
      </c>
      <c r="B531" s="29">
        <v>46313.557847222219</v>
      </c>
      <c r="C531">
        <v>507</v>
      </c>
      <c r="D531" t="s">
        <v>41</v>
      </c>
      <c r="E531">
        <v>3</v>
      </c>
      <c r="F531" t="s">
        <v>41</v>
      </c>
      <c r="G531" t="s">
        <v>41</v>
      </c>
      <c r="H531" t="s">
        <v>1703</v>
      </c>
      <c r="I531" s="29">
        <v>46313.558599537035</v>
      </c>
      <c r="J531" t="s">
        <v>41</v>
      </c>
      <c r="K531" s="29">
        <v>46313.558472222219</v>
      </c>
      <c r="L531">
        <v>10</v>
      </c>
      <c r="O531" s="29">
        <v>46313.556504629632</v>
      </c>
      <c r="P531" t="s">
        <v>43</v>
      </c>
      <c r="Q531" t="s">
        <v>74</v>
      </c>
      <c r="R531" t="s">
        <v>1704</v>
      </c>
      <c r="S531">
        <v>4247</v>
      </c>
      <c r="T531" t="s">
        <v>41</v>
      </c>
      <c r="U531" s="29">
        <v>46313.560439814813</v>
      </c>
      <c r="V531" s="29">
        <v>46313.560312499998</v>
      </c>
      <c r="W531" t="s">
        <v>1705</v>
      </c>
      <c r="X531">
        <v>22411</v>
      </c>
      <c r="Z531">
        <v>0</v>
      </c>
      <c r="AA531" s="30">
        <v>0.55763888888888891</v>
      </c>
      <c r="AB531">
        <v>2</v>
      </c>
      <c r="AC531" t="s">
        <v>41</v>
      </c>
    </row>
    <row r="532" spans="1:29">
      <c r="A532" t="s">
        <v>1391</v>
      </c>
      <c r="B532" s="29">
        <v>46313.556238425925</v>
      </c>
      <c r="C532">
        <v>1187</v>
      </c>
      <c r="D532" t="s">
        <v>41</v>
      </c>
      <c r="E532">
        <v>4</v>
      </c>
      <c r="F532" t="s">
        <v>41</v>
      </c>
      <c r="G532" t="s">
        <v>41</v>
      </c>
      <c r="H532" t="s">
        <v>1706</v>
      </c>
      <c r="I532" s="29">
        <v>46313.556458333333</v>
      </c>
      <c r="J532" t="s">
        <v>41</v>
      </c>
      <c r="K532" s="29">
        <v>46313.555254629631</v>
      </c>
      <c r="L532">
        <v>19</v>
      </c>
      <c r="O532" s="29">
        <v>46313.554490740738</v>
      </c>
      <c r="P532" t="s">
        <v>43</v>
      </c>
      <c r="Q532" t="s">
        <v>1393</v>
      </c>
      <c r="R532" t="s">
        <v>1707</v>
      </c>
      <c r="S532">
        <v>4247</v>
      </c>
      <c r="T532" t="s">
        <v>41</v>
      </c>
      <c r="U532" s="29">
        <v>46313.560057870367</v>
      </c>
      <c r="V532" s="29">
        <v>46313.559131944443</v>
      </c>
      <c r="W532" t="s">
        <v>1708</v>
      </c>
      <c r="X532">
        <v>22411</v>
      </c>
      <c r="Z532">
        <v>0</v>
      </c>
      <c r="AA532" s="30">
        <v>0.55555555555555558</v>
      </c>
      <c r="AB532">
        <v>4</v>
      </c>
      <c r="AC532" t="s">
        <v>41</v>
      </c>
    </row>
    <row r="533" spans="1:29">
      <c r="A533" t="s">
        <v>40</v>
      </c>
      <c r="B533" s="29">
        <v>46313.555694444447</v>
      </c>
      <c r="C533">
        <v>2011</v>
      </c>
      <c r="D533" t="s">
        <v>41</v>
      </c>
      <c r="E533">
        <v>7</v>
      </c>
      <c r="F533" t="s">
        <v>41</v>
      </c>
      <c r="G533" t="s">
        <v>41</v>
      </c>
      <c r="H533" t="s">
        <v>1709</v>
      </c>
      <c r="I533" s="29">
        <v>46313.556215277778</v>
      </c>
      <c r="J533" t="s">
        <v>41</v>
      </c>
      <c r="K533" s="29">
        <v>46313.555949074071</v>
      </c>
      <c r="L533">
        <v>22</v>
      </c>
      <c r="O533" s="29">
        <v>46313.554467592592</v>
      </c>
      <c r="P533" t="s">
        <v>43</v>
      </c>
      <c r="Q533" t="s">
        <v>44</v>
      </c>
      <c r="R533" t="s">
        <v>1710</v>
      </c>
      <c r="S533">
        <v>4247</v>
      </c>
      <c r="T533" t="s">
        <v>41</v>
      </c>
      <c r="U533" s="29">
        <v>46313.562268518515</v>
      </c>
      <c r="V533" s="29">
        <v>46313.560601851852</v>
      </c>
      <c r="W533" t="s">
        <v>1711</v>
      </c>
      <c r="X533">
        <v>22411</v>
      </c>
      <c r="Z533">
        <v>0</v>
      </c>
      <c r="AA533" s="30">
        <v>0.55555555555555558</v>
      </c>
      <c r="AB533">
        <v>6</v>
      </c>
      <c r="AC533" t="s">
        <v>41</v>
      </c>
    </row>
    <row r="534" spans="1:29">
      <c r="A534" t="s">
        <v>655</v>
      </c>
      <c r="B534" s="29">
        <v>46313.555590277778</v>
      </c>
      <c r="C534">
        <v>814</v>
      </c>
      <c r="D534" t="s">
        <v>41</v>
      </c>
      <c r="E534">
        <v>4</v>
      </c>
      <c r="F534" t="s">
        <v>41</v>
      </c>
      <c r="G534" t="s">
        <v>41</v>
      </c>
      <c r="H534" t="s">
        <v>1712</v>
      </c>
      <c r="I534" s="29">
        <v>46313.55672453704</v>
      </c>
      <c r="J534" t="s">
        <v>41</v>
      </c>
      <c r="K534" s="29">
        <v>46313.556388888886</v>
      </c>
      <c r="L534">
        <v>28</v>
      </c>
      <c r="O534" s="29">
        <v>46313.554432870369</v>
      </c>
      <c r="P534" t="s">
        <v>43</v>
      </c>
      <c r="Q534" t="s">
        <v>657</v>
      </c>
      <c r="R534" t="s">
        <v>1713</v>
      </c>
      <c r="S534">
        <v>4247</v>
      </c>
      <c r="T534" t="s">
        <v>41</v>
      </c>
      <c r="U534" s="29">
        <v>46313.559629629628</v>
      </c>
      <c r="V534" s="29">
        <v>46313.558854166666</v>
      </c>
      <c r="W534" t="s">
        <v>1714</v>
      </c>
      <c r="X534">
        <v>22411</v>
      </c>
      <c r="Z534">
        <v>0</v>
      </c>
      <c r="AA534" s="30">
        <v>0.55555555555555558</v>
      </c>
      <c r="AB534">
        <v>3</v>
      </c>
      <c r="AC534" t="s">
        <v>41</v>
      </c>
    </row>
    <row r="535" spans="1:29">
      <c r="A535" t="s">
        <v>67</v>
      </c>
      <c r="B535" s="29">
        <v>46313.555300925924</v>
      </c>
      <c r="C535">
        <v>1061</v>
      </c>
      <c r="D535" t="s">
        <v>41</v>
      </c>
      <c r="E535">
        <v>5</v>
      </c>
      <c r="F535" t="s">
        <v>41</v>
      </c>
      <c r="G535" t="s">
        <v>41</v>
      </c>
      <c r="H535" t="s">
        <v>1715</v>
      </c>
      <c r="I535" s="29">
        <v>46313.555509259262</v>
      </c>
      <c r="J535" t="s">
        <v>41</v>
      </c>
      <c r="K535" s="29">
        <v>46313.554594907408</v>
      </c>
      <c r="L535">
        <v>19</v>
      </c>
      <c r="O535" s="29">
        <v>46313.553865740738</v>
      </c>
      <c r="P535" t="s">
        <v>43</v>
      </c>
      <c r="Q535" t="s">
        <v>69</v>
      </c>
      <c r="R535" t="s">
        <v>1716</v>
      </c>
      <c r="S535">
        <v>4247</v>
      </c>
      <c r="T535" t="s">
        <v>41</v>
      </c>
      <c r="U535" s="29">
        <v>46313.558622685188</v>
      </c>
      <c r="V535" s="29">
        <v>46313.55872685185</v>
      </c>
      <c r="W535" t="s">
        <v>1717</v>
      </c>
      <c r="X535">
        <v>22411</v>
      </c>
      <c r="Z535">
        <v>0</v>
      </c>
      <c r="AA535" s="30">
        <v>0.55486111111111114</v>
      </c>
      <c r="AB535">
        <v>5</v>
      </c>
      <c r="AC535" t="s">
        <v>41</v>
      </c>
    </row>
    <row r="536" spans="1:29">
      <c r="A536" t="s">
        <v>57</v>
      </c>
      <c r="B536" s="29">
        <v>46313.555185185185</v>
      </c>
      <c r="C536">
        <v>236</v>
      </c>
      <c r="D536" t="s">
        <v>41</v>
      </c>
      <c r="E536">
        <v>0</v>
      </c>
      <c r="F536" t="s">
        <v>41</v>
      </c>
      <c r="G536" t="s">
        <v>41</v>
      </c>
      <c r="H536" t="s">
        <v>1718</v>
      </c>
      <c r="I536" s="29">
        <v>46313.555381944447</v>
      </c>
      <c r="J536" t="s">
        <v>41</v>
      </c>
      <c r="K536" s="29">
        <v>46313.553506944445</v>
      </c>
      <c r="L536">
        <v>17</v>
      </c>
      <c r="O536" s="29">
        <v>46313.552581018521</v>
      </c>
      <c r="P536" t="s">
        <v>43</v>
      </c>
      <c r="Q536" t="s">
        <v>59</v>
      </c>
      <c r="R536" t="s">
        <v>1719</v>
      </c>
      <c r="S536">
        <v>4247</v>
      </c>
      <c r="T536" t="s">
        <v>41</v>
      </c>
      <c r="U536" s="29">
        <v>46313.556770833333</v>
      </c>
      <c r="V536" s="29">
        <v>46313.555439814816</v>
      </c>
      <c r="W536" t="s">
        <v>1720</v>
      </c>
      <c r="X536">
        <v>22411</v>
      </c>
      <c r="Z536">
        <v>0</v>
      </c>
      <c r="AA536" s="30">
        <v>0.55486111111111114</v>
      </c>
      <c r="AB536">
        <v>0</v>
      </c>
      <c r="AC536" t="s">
        <v>41</v>
      </c>
    </row>
    <row r="537" spans="1:29">
      <c r="A537" t="s">
        <v>52</v>
      </c>
      <c r="B537" s="29">
        <v>46313.554722222223</v>
      </c>
      <c r="C537">
        <v>2358</v>
      </c>
      <c r="D537" t="s">
        <v>41</v>
      </c>
      <c r="E537">
        <v>8</v>
      </c>
      <c r="F537" t="s">
        <v>41</v>
      </c>
      <c r="G537" t="s">
        <v>41</v>
      </c>
      <c r="H537" t="s">
        <v>1721</v>
      </c>
      <c r="I537" s="29">
        <v>46313.555034722223</v>
      </c>
      <c r="J537" t="s">
        <v>41</v>
      </c>
      <c r="K537" s="29">
        <v>46313.554027777776</v>
      </c>
      <c r="L537">
        <v>27</v>
      </c>
      <c r="O537" s="29">
        <v>46313.552372685182</v>
      </c>
      <c r="P537" t="s">
        <v>43</v>
      </c>
      <c r="Q537" t="s">
        <v>54</v>
      </c>
      <c r="R537" t="s">
        <v>1722</v>
      </c>
      <c r="S537">
        <v>4247</v>
      </c>
      <c r="T537" t="s">
        <v>41</v>
      </c>
      <c r="U537" s="29">
        <v>46313.562048611115</v>
      </c>
      <c r="V537" s="29">
        <v>46313.560023148151</v>
      </c>
      <c r="W537" t="s">
        <v>1723</v>
      </c>
      <c r="X537">
        <v>22411</v>
      </c>
      <c r="Z537">
        <v>0</v>
      </c>
      <c r="AA537" s="30">
        <v>0.5541666666666667</v>
      </c>
      <c r="AB537">
        <v>7</v>
      </c>
      <c r="AC537" t="s">
        <v>41</v>
      </c>
    </row>
    <row r="538" spans="1:29">
      <c r="A538" t="s">
        <v>1077</v>
      </c>
      <c r="B538" s="29">
        <v>46313.554502314815</v>
      </c>
      <c r="C538">
        <v>1438</v>
      </c>
      <c r="D538" t="s">
        <v>41</v>
      </c>
      <c r="E538">
        <v>5</v>
      </c>
      <c r="F538" t="s">
        <v>41</v>
      </c>
      <c r="G538" t="s">
        <v>41</v>
      </c>
      <c r="H538" t="s">
        <v>1724</v>
      </c>
      <c r="I538" s="29">
        <v>46313.5546875</v>
      </c>
      <c r="J538" t="s">
        <v>41</v>
      </c>
      <c r="K538" s="29">
        <v>46313.552916666667</v>
      </c>
      <c r="L538">
        <v>16</v>
      </c>
      <c r="O538" s="29">
        <v>46313.552245370367</v>
      </c>
      <c r="P538" t="s">
        <v>43</v>
      </c>
      <c r="Q538" t="s">
        <v>1079</v>
      </c>
      <c r="R538" t="s">
        <v>1725</v>
      </c>
      <c r="S538">
        <v>4247</v>
      </c>
      <c r="T538" t="s">
        <v>41</v>
      </c>
      <c r="U538" s="29">
        <v>46313.558831018519</v>
      </c>
      <c r="V538" s="29">
        <v>46313.558009259257</v>
      </c>
      <c r="W538" t="s">
        <v>1726</v>
      </c>
      <c r="X538">
        <v>22411</v>
      </c>
      <c r="Z538">
        <v>0</v>
      </c>
      <c r="AA538" s="30">
        <v>0.5541666666666667</v>
      </c>
      <c r="AB538">
        <v>5</v>
      </c>
      <c r="AC538" t="s">
        <v>41</v>
      </c>
    </row>
    <row r="539" spans="1:29">
      <c r="A539" t="s">
        <v>347</v>
      </c>
      <c r="B539" s="29">
        <v>46313.553946759261</v>
      </c>
      <c r="C539">
        <v>1312</v>
      </c>
      <c r="D539" t="s">
        <v>41</v>
      </c>
      <c r="E539">
        <v>4</v>
      </c>
      <c r="F539" t="s">
        <v>41</v>
      </c>
      <c r="G539" t="s">
        <v>41</v>
      </c>
      <c r="H539" t="s">
        <v>1727</v>
      </c>
      <c r="I539" s="29">
        <v>46313.554178240738</v>
      </c>
      <c r="J539" t="s">
        <v>41</v>
      </c>
      <c r="K539" s="29">
        <v>46313.551828703705</v>
      </c>
      <c r="L539">
        <v>20</v>
      </c>
      <c r="O539" s="29">
        <v>46313.550995370373</v>
      </c>
      <c r="P539" t="s">
        <v>43</v>
      </c>
      <c r="Q539" t="s">
        <v>349</v>
      </c>
      <c r="R539" t="s">
        <v>1728</v>
      </c>
      <c r="S539">
        <v>4247</v>
      </c>
      <c r="T539" t="s">
        <v>41</v>
      </c>
      <c r="U539" s="29">
        <v>46313.558877314812</v>
      </c>
      <c r="V539" s="29">
        <v>46313.556458333333</v>
      </c>
      <c r="W539" t="s">
        <v>1729</v>
      </c>
      <c r="X539">
        <v>22411</v>
      </c>
      <c r="Z539">
        <v>0</v>
      </c>
      <c r="AA539" s="30">
        <v>0.55347222222222225</v>
      </c>
      <c r="AB539">
        <v>3</v>
      </c>
      <c r="AC539" t="s">
        <v>41</v>
      </c>
    </row>
    <row r="540" spans="1:29">
      <c r="A540" t="s">
        <v>1136</v>
      </c>
      <c r="B540" s="29">
        <v>46313.553402777776</v>
      </c>
      <c r="C540">
        <v>1045</v>
      </c>
      <c r="D540" t="s">
        <v>41</v>
      </c>
      <c r="E540">
        <v>4</v>
      </c>
      <c r="F540" t="s">
        <v>41</v>
      </c>
      <c r="G540" t="s">
        <v>41</v>
      </c>
      <c r="H540" t="s">
        <v>1730</v>
      </c>
      <c r="I540" s="29">
        <v>46313.553622685184</v>
      </c>
      <c r="J540" t="s">
        <v>41</v>
      </c>
      <c r="K540" s="29">
        <v>46313.551030092596</v>
      </c>
      <c r="L540">
        <v>19</v>
      </c>
      <c r="O540" s="29">
        <v>46313.549791666665</v>
      </c>
      <c r="P540" t="s">
        <v>43</v>
      </c>
      <c r="Q540" t="s">
        <v>1138</v>
      </c>
      <c r="R540" t="s">
        <v>1731</v>
      </c>
      <c r="S540">
        <v>4247</v>
      </c>
      <c r="T540" t="s">
        <v>41</v>
      </c>
      <c r="U540" s="29">
        <v>46313.556655092594</v>
      </c>
      <c r="V540" s="29">
        <v>46313.556516203702</v>
      </c>
      <c r="W540" t="s">
        <v>1732</v>
      </c>
      <c r="X540">
        <v>22411</v>
      </c>
      <c r="Z540">
        <v>0</v>
      </c>
      <c r="AA540" s="30">
        <v>0.55277777777777781</v>
      </c>
      <c r="AB540">
        <v>4</v>
      </c>
      <c r="AC540" t="s">
        <v>41</v>
      </c>
    </row>
    <row r="541" spans="1:29">
      <c r="A541" t="s">
        <v>1365</v>
      </c>
      <c r="B541" s="29">
        <v>46313.553032407406</v>
      </c>
      <c r="C541">
        <v>3143</v>
      </c>
      <c r="D541" t="s">
        <v>41</v>
      </c>
      <c r="E541">
        <v>9</v>
      </c>
      <c r="F541" t="s">
        <v>41</v>
      </c>
      <c r="G541" t="s">
        <v>41</v>
      </c>
      <c r="H541" t="s">
        <v>1733</v>
      </c>
      <c r="I541" s="29">
        <v>46313.553194444445</v>
      </c>
      <c r="J541" t="s">
        <v>41</v>
      </c>
      <c r="K541" s="29">
        <v>46313.551215277781</v>
      </c>
      <c r="L541">
        <v>15</v>
      </c>
      <c r="O541" s="29">
        <v>46313.54928240741</v>
      </c>
      <c r="P541" t="s">
        <v>43</v>
      </c>
      <c r="Q541" t="s">
        <v>1367</v>
      </c>
      <c r="R541" t="s">
        <v>1734</v>
      </c>
      <c r="S541">
        <v>4247</v>
      </c>
      <c r="T541" t="s">
        <v>41</v>
      </c>
      <c r="U541" s="29">
        <v>46313.561145833337</v>
      </c>
      <c r="V541" s="29">
        <v>46313.558958333335</v>
      </c>
      <c r="W541" t="s">
        <v>1735</v>
      </c>
      <c r="X541">
        <v>22411</v>
      </c>
      <c r="Z541">
        <v>0</v>
      </c>
      <c r="AA541" s="30">
        <v>0.55277777777777781</v>
      </c>
      <c r="AB541">
        <v>8</v>
      </c>
      <c r="AC541" t="s">
        <v>41</v>
      </c>
    </row>
    <row r="542" spans="1:29">
      <c r="A542" t="s">
        <v>190</v>
      </c>
      <c r="B542" s="29">
        <v>46313.552905092591</v>
      </c>
      <c r="C542">
        <v>2301</v>
      </c>
      <c r="D542" t="s">
        <v>41</v>
      </c>
      <c r="E542">
        <v>6</v>
      </c>
      <c r="F542" t="s">
        <v>41</v>
      </c>
      <c r="G542" t="s">
        <v>41</v>
      </c>
      <c r="H542" t="s">
        <v>1736</v>
      </c>
      <c r="I542" s="29">
        <v>46313.552997685183</v>
      </c>
      <c r="J542" t="s">
        <v>41</v>
      </c>
      <c r="K542" s="29">
        <v>46313.550636574073</v>
      </c>
      <c r="L542">
        <v>9</v>
      </c>
      <c r="O542" s="29">
        <v>46313.549224537041</v>
      </c>
      <c r="P542" t="s">
        <v>43</v>
      </c>
      <c r="Q542" t="s">
        <v>192</v>
      </c>
      <c r="R542" t="s">
        <v>1737</v>
      </c>
      <c r="S542">
        <v>4247</v>
      </c>
      <c r="T542" t="s">
        <v>41</v>
      </c>
      <c r="U542" s="29">
        <v>46313.559756944444</v>
      </c>
      <c r="V542" s="29">
        <v>46313.557106481479</v>
      </c>
      <c r="W542" t="s">
        <v>1738</v>
      </c>
      <c r="X542">
        <v>22411</v>
      </c>
      <c r="Z542">
        <v>0</v>
      </c>
      <c r="AA542" s="30">
        <v>0.55277777777777781</v>
      </c>
      <c r="AB542">
        <v>6</v>
      </c>
      <c r="AC542" t="s">
        <v>41</v>
      </c>
    </row>
    <row r="543" spans="1:29">
      <c r="A543" t="s">
        <v>1171</v>
      </c>
      <c r="B543" s="29">
        <v>46313.552627314813</v>
      </c>
      <c r="C543">
        <v>1884</v>
      </c>
      <c r="D543" t="s">
        <v>41</v>
      </c>
      <c r="E543">
        <v>5</v>
      </c>
      <c r="F543" t="s">
        <v>41</v>
      </c>
      <c r="G543" t="s">
        <v>41</v>
      </c>
      <c r="H543" t="s">
        <v>1739</v>
      </c>
      <c r="I543" s="29">
        <v>46313.552766203706</v>
      </c>
      <c r="J543" t="s">
        <v>41</v>
      </c>
      <c r="K543" s="29">
        <v>46313.550057870372</v>
      </c>
      <c r="L543">
        <v>12</v>
      </c>
      <c r="O543" s="29">
        <v>46313.549027777779</v>
      </c>
      <c r="P543" t="s">
        <v>43</v>
      </c>
      <c r="Q543" t="s">
        <v>1173</v>
      </c>
      <c r="R543" t="s">
        <v>1740</v>
      </c>
      <c r="S543">
        <v>4247</v>
      </c>
      <c r="T543" t="s">
        <v>41</v>
      </c>
      <c r="U543" s="29">
        <v>46313.55736111111</v>
      </c>
      <c r="V543" s="29">
        <v>46313.556296296294</v>
      </c>
      <c r="W543" t="s">
        <v>1741</v>
      </c>
      <c r="X543">
        <v>22411</v>
      </c>
      <c r="Z543">
        <v>0</v>
      </c>
      <c r="AA543" s="30">
        <v>0.55208333333333337</v>
      </c>
      <c r="AB543">
        <v>5</v>
      </c>
      <c r="AC543" t="s">
        <v>41</v>
      </c>
    </row>
    <row r="544" spans="1:29">
      <c r="A544" t="s">
        <v>57</v>
      </c>
      <c r="B544" s="29">
        <v>46313.551296296297</v>
      </c>
      <c r="C544">
        <v>433</v>
      </c>
      <c r="D544" t="s">
        <v>41</v>
      </c>
      <c r="E544">
        <v>2</v>
      </c>
      <c r="F544" t="s">
        <v>41</v>
      </c>
      <c r="G544" t="s">
        <v>41</v>
      </c>
      <c r="H544" t="s">
        <v>1742</v>
      </c>
      <c r="I544" s="29">
        <v>46313.551504629628</v>
      </c>
      <c r="J544" t="s">
        <v>41</v>
      </c>
      <c r="K544" s="29">
        <v>46313.549629629626</v>
      </c>
      <c r="L544">
        <v>18</v>
      </c>
      <c r="O544" s="29">
        <v>46313.548483796294</v>
      </c>
      <c r="P544" t="s">
        <v>43</v>
      </c>
      <c r="Q544" t="s">
        <v>59</v>
      </c>
      <c r="R544" t="s">
        <v>1743</v>
      </c>
      <c r="S544">
        <v>4247</v>
      </c>
      <c r="T544" t="s">
        <v>41</v>
      </c>
      <c r="U544" s="29">
        <v>46313.553564814814</v>
      </c>
      <c r="V544" s="29">
        <v>46313.552928240744</v>
      </c>
      <c r="W544" t="s">
        <v>1744</v>
      </c>
      <c r="X544">
        <v>22411</v>
      </c>
      <c r="Z544">
        <v>0</v>
      </c>
      <c r="AA544" s="30">
        <v>0.55069444444444449</v>
      </c>
      <c r="AB544">
        <v>2</v>
      </c>
      <c r="AC544" t="s">
        <v>41</v>
      </c>
    </row>
    <row r="545" spans="1:29">
      <c r="A545" t="s">
        <v>1624</v>
      </c>
      <c r="B545" s="29">
        <v>46313.551261574074</v>
      </c>
      <c r="C545">
        <v>1060</v>
      </c>
      <c r="D545" t="s">
        <v>41</v>
      </c>
      <c r="E545">
        <v>5</v>
      </c>
      <c r="F545" t="s">
        <v>41</v>
      </c>
      <c r="G545" t="s">
        <v>41</v>
      </c>
      <c r="H545" t="s">
        <v>1745</v>
      </c>
      <c r="I545" s="29">
        <v>46313.551724537036</v>
      </c>
      <c r="J545" t="s">
        <v>41</v>
      </c>
      <c r="K545" s="29">
        <v>46313.549328703702</v>
      </c>
      <c r="L545">
        <v>40</v>
      </c>
      <c r="O545" s="29">
        <v>46313.548344907409</v>
      </c>
      <c r="P545" t="s">
        <v>43</v>
      </c>
      <c r="Q545" t="s">
        <v>1626</v>
      </c>
      <c r="R545" t="s">
        <v>1746</v>
      </c>
      <c r="S545">
        <v>4247</v>
      </c>
      <c r="T545" t="s">
        <v>41</v>
      </c>
      <c r="U545" s="29">
        <v>46313.554930555554</v>
      </c>
      <c r="V545" s="29">
        <v>46313.554606481484</v>
      </c>
      <c r="W545" t="s">
        <v>1747</v>
      </c>
      <c r="X545">
        <v>22411</v>
      </c>
      <c r="Z545">
        <v>0</v>
      </c>
      <c r="AA545" s="30">
        <v>0.55069444444444449</v>
      </c>
      <c r="AB545">
        <v>4</v>
      </c>
      <c r="AC545" t="s">
        <v>41</v>
      </c>
    </row>
    <row r="546" spans="1:29">
      <c r="A546" t="s">
        <v>62</v>
      </c>
      <c r="B546" s="29">
        <v>46313.551006944443</v>
      </c>
      <c r="C546">
        <v>1566</v>
      </c>
      <c r="D546" t="s">
        <v>41</v>
      </c>
      <c r="E546">
        <v>4</v>
      </c>
      <c r="F546" t="s">
        <v>41</v>
      </c>
      <c r="G546" t="s">
        <v>41</v>
      </c>
      <c r="H546" t="s">
        <v>1748</v>
      </c>
      <c r="I546" s="29">
        <v>46313.551168981481</v>
      </c>
      <c r="J546" t="s">
        <v>41</v>
      </c>
      <c r="K546" s="29">
        <v>46313.548310185186</v>
      </c>
      <c r="L546">
        <v>14</v>
      </c>
      <c r="O546" s="29">
        <v>46313.547939814816</v>
      </c>
      <c r="P546" t="s">
        <v>43</v>
      </c>
      <c r="Q546" t="s">
        <v>64</v>
      </c>
      <c r="R546" t="s">
        <v>1749</v>
      </c>
      <c r="S546">
        <v>4247</v>
      </c>
      <c r="T546" t="s">
        <v>41</v>
      </c>
      <c r="U546" s="29">
        <v>46313.5547337963</v>
      </c>
      <c r="V546" s="29">
        <v>46313.554120370369</v>
      </c>
      <c r="W546" t="s">
        <v>1750</v>
      </c>
      <c r="X546">
        <v>22411</v>
      </c>
      <c r="Z546">
        <v>0</v>
      </c>
      <c r="AA546" s="30">
        <v>0.55069444444444449</v>
      </c>
      <c r="AB546">
        <v>4</v>
      </c>
      <c r="AC546" t="s">
        <v>41</v>
      </c>
    </row>
    <row r="547" spans="1:29">
      <c r="A547" t="s">
        <v>1592</v>
      </c>
      <c r="B547" s="29">
        <v>46313.549421296295</v>
      </c>
      <c r="C547">
        <v>1389</v>
      </c>
      <c r="D547" t="s">
        <v>41</v>
      </c>
      <c r="E547">
        <v>5</v>
      </c>
      <c r="F547" t="s">
        <v>41</v>
      </c>
      <c r="G547" t="s">
        <v>41</v>
      </c>
      <c r="H547" t="s">
        <v>1751</v>
      </c>
      <c r="I547" s="29">
        <v>46313.549791666665</v>
      </c>
      <c r="J547" t="s">
        <v>41</v>
      </c>
      <c r="K547" s="29">
        <v>46313.548993055556</v>
      </c>
      <c r="L547">
        <v>32</v>
      </c>
      <c r="O547" s="29">
        <v>46313.547569444447</v>
      </c>
      <c r="P547" t="s">
        <v>43</v>
      </c>
      <c r="Q547" t="s">
        <v>1594</v>
      </c>
      <c r="R547" t="s">
        <v>1752</v>
      </c>
      <c r="S547">
        <v>4247</v>
      </c>
      <c r="T547" t="s">
        <v>41</v>
      </c>
      <c r="U547" s="29">
        <v>46313.554375</v>
      </c>
      <c r="V547" s="29">
        <v>46313.553078703706</v>
      </c>
      <c r="W547" t="s">
        <v>1753</v>
      </c>
      <c r="X547">
        <v>22411</v>
      </c>
      <c r="Z547">
        <v>0</v>
      </c>
      <c r="AA547" s="30">
        <v>0.5493055555555556</v>
      </c>
      <c r="AB547">
        <v>5</v>
      </c>
      <c r="AC547" t="s">
        <v>41</v>
      </c>
    </row>
    <row r="548" spans="1:29">
      <c r="A548" t="s">
        <v>106</v>
      </c>
      <c r="B548" s="29">
        <v>46313.549409722225</v>
      </c>
      <c r="C548">
        <v>1419</v>
      </c>
      <c r="D548" t="s">
        <v>41</v>
      </c>
      <c r="E548">
        <v>5</v>
      </c>
      <c r="F548" t="s">
        <v>41</v>
      </c>
      <c r="G548" t="s">
        <v>41</v>
      </c>
      <c r="H548" t="s">
        <v>1754</v>
      </c>
      <c r="I548" s="29">
        <v>46313.549722222226</v>
      </c>
      <c r="J548" t="s">
        <v>41</v>
      </c>
      <c r="K548" s="29">
        <v>46313.548043981478</v>
      </c>
      <c r="L548">
        <v>27</v>
      </c>
      <c r="O548" s="29">
        <v>46313.546944444446</v>
      </c>
      <c r="P548" t="s">
        <v>43</v>
      </c>
      <c r="Q548" t="s">
        <v>108</v>
      </c>
      <c r="R548" t="s">
        <v>1755</v>
      </c>
      <c r="S548">
        <v>4247</v>
      </c>
      <c r="T548" t="s">
        <v>41</v>
      </c>
      <c r="U548" s="29">
        <v>46313.553842592592</v>
      </c>
      <c r="V548" s="29">
        <v>46313.552766203706</v>
      </c>
      <c r="W548" t="s">
        <v>1756</v>
      </c>
      <c r="X548">
        <v>22411</v>
      </c>
      <c r="Z548">
        <v>0</v>
      </c>
      <c r="AA548" s="30">
        <v>0.5493055555555556</v>
      </c>
      <c r="AB548">
        <v>4</v>
      </c>
      <c r="AC548" t="s">
        <v>41</v>
      </c>
    </row>
    <row r="549" spans="1:29">
      <c r="A549" t="s">
        <v>52</v>
      </c>
      <c r="B549" s="29">
        <v>46313.548935185187</v>
      </c>
      <c r="C549">
        <v>691</v>
      </c>
      <c r="D549" t="s">
        <v>41</v>
      </c>
      <c r="E549">
        <v>3</v>
      </c>
      <c r="F549" t="s">
        <v>41</v>
      </c>
      <c r="G549" t="s">
        <v>41</v>
      </c>
      <c r="H549" t="s">
        <v>1757</v>
      </c>
      <c r="I549" s="29">
        <v>46313.549166666664</v>
      </c>
      <c r="J549" t="s">
        <v>41</v>
      </c>
      <c r="K549" s="29">
        <v>46313.547743055555</v>
      </c>
      <c r="L549">
        <v>20</v>
      </c>
      <c r="O549" s="29">
        <v>46313.546342592592</v>
      </c>
      <c r="P549" t="s">
        <v>43</v>
      </c>
      <c r="Q549" t="s">
        <v>54</v>
      </c>
      <c r="R549" t="s">
        <v>1758</v>
      </c>
      <c r="S549">
        <v>4247</v>
      </c>
      <c r="T549" t="s">
        <v>41</v>
      </c>
      <c r="U549" s="29">
        <v>46313.551863425928</v>
      </c>
      <c r="V549" s="29">
        <v>46313.550682870373</v>
      </c>
      <c r="W549" t="s">
        <v>1759</v>
      </c>
      <c r="X549">
        <v>22411</v>
      </c>
      <c r="Z549">
        <v>0</v>
      </c>
      <c r="AA549" s="30">
        <v>0.54861111111111105</v>
      </c>
      <c r="AB549">
        <v>2</v>
      </c>
      <c r="AC549" t="s">
        <v>41</v>
      </c>
    </row>
    <row r="550" spans="1:29">
      <c r="A550" t="s">
        <v>711</v>
      </c>
      <c r="B550" s="29">
        <v>46313.548587962963</v>
      </c>
      <c r="C550">
        <v>1831</v>
      </c>
      <c r="D550" t="s">
        <v>41</v>
      </c>
      <c r="E550">
        <v>5</v>
      </c>
      <c r="F550" t="s">
        <v>41</v>
      </c>
      <c r="G550" t="s">
        <v>41</v>
      </c>
      <c r="H550" t="s">
        <v>1760</v>
      </c>
      <c r="I550" s="29">
        <v>46313.548819444448</v>
      </c>
      <c r="J550" t="s">
        <v>41</v>
      </c>
      <c r="K550" s="29">
        <v>46313.545636574076</v>
      </c>
      <c r="L550">
        <v>20</v>
      </c>
      <c r="O550" s="29">
        <v>46313.544652777775</v>
      </c>
      <c r="P550" t="s">
        <v>43</v>
      </c>
      <c r="Q550" t="s">
        <v>713</v>
      </c>
      <c r="R550" t="s">
        <v>1761</v>
      </c>
      <c r="S550">
        <v>4247</v>
      </c>
      <c r="T550" t="s">
        <v>41</v>
      </c>
      <c r="U550" s="29">
        <v>46313.553287037037</v>
      </c>
      <c r="V550" s="29">
        <v>46313.551932870374</v>
      </c>
      <c r="W550" t="s">
        <v>1762</v>
      </c>
      <c r="X550">
        <v>22411</v>
      </c>
      <c r="Z550">
        <v>0</v>
      </c>
      <c r="AA550" s="30">
        <v>0.54791666666666672</v>
      </c>
      <c r="AB550">
        <v>4</v>
      </c>
      <c r="AC550" t="s">
        <v>41</v>
      </c>
    </row>
    <row r="551" spans="1:29">
      <c r="A551" t="s">
        <v>347</v>
      </c>
      <c r="B551" s="29">
        <v>46313.546273148146</v>
      </c>
      <c r="C551">
        <v>1358</v>
      </c>
      <c r="D551" t="s">
        <v>41</v>
      </c>
      <c r="E551">
        <v>4</v>
      </c>
      <c r="F551" t="s">
        <v>41</v>
      </c>
      <c r="G551" t="s">
        <v>41</v>
      </c>
      <c r="H551" t="s">
        <v>1763</v>
      </c>
      <c r="I551" s="29">
        <v>46313.546527777777</v>
      </c>
      <c r="J551" t="s">
        <v>41</v>
      </c>
      <c r="K551" s="29">
        <v>46313.54482638889</v>
      </c>
      <c r="L551">
        <v>22</v>
      </c>
      <c r="O551" s="29">
        <v>46313.544004629628</v>
      </c>
      <c r="P551" t="s">
        <v>43</v>
      </c>
      <c r="Q551" t="s">
        <v>349</v>
      </c>
      <c r="R551" t="s">
        <v>1764</v>
      </c>
      <c r="S551">
        <v>4247</v>
      </c>
      <c r="T551" t="s">
        <v>41</v>
      </c>
      <c r="U551" s="29">
        <v>46313.549733796295</v>
      </c>
      <c r="V551" s="29">
        <v>46313.549212962964</v>
      </c>
      <c r="W551" t="s">
        <v>1765</v>
      </c>
      <c r="X551">
        <v>22411</v>
      </c>
      <c r="Z551">
        <v>0</v>
      </c>
      <c r="AA551" s="30">
        <v>0.54583333333333328</v>
      </c>
      <c r="AB551">
        <v>4</v>
      </c>
      <c r="AC551" t="s">
        <v>41</v>
      </c>
    </row>
    <row r="552" spans="1:29">
      <c r="A552" t="s">
        <v>734</v>
      </c>
      <c r="B552" s="29">
        <v>46313.545972222222</v>
      </c>
      <c r="C552">
        <v>3728</v>
      </c>
      <c r="D552" t="s">
        <v>41</v>
      </c>
      <c r="E552">
        <v>12</v>
      </c>
      <c r="F552" t="s">
        <v>41</v>
      </c>
      <c r="G552" t="s">
        <v>41</v>
      </c>
      <c r="H552" t="s">
        <v>1766</v>
      </c>
      <c r="I552" s="29">
        <v>46313.546261574076</v>
      </c>
      <c r="J552" t="s">
        <v>41</v>
      </c>
      <c r="K552" s="29">
        <v>46313.543611111112</v>
      </c>
      <c r="L552">
        <v>25</v>
      </c>
      <c r="O552" s="29">
        <v>46313.542824074073</v>
      </c>
      <c r="P552" t="s">
        <v>43</v>
      </c>
      <c r="Q552" t="s">
        <v>736</v>
      </c>
      <c r="R552" t="s">
        <v>1767</v>
      </c>
      <c r="S552">
        <v>4247</v>
      </c>
      <c r="T552" t="s">
        <v>41</v>
      </c>
      <c r="U552" s="29">
        <v>46313.555138888885</v>
      </c>
      <c r="V552" s="29">
        <v>46313.553981481484</v>
      </c>
      <c r="W552" t="s">
        <v>1768</v>
      </c>
      <c r="X552">
        <v>22411</v>
      </c>
      <c r="Z552">
        <v>0</v>
      </c>
      <c r="AA552" s="30">
        <v>0.54583333333333328</v>
      </c>
      <c r="AB552">
        <v>11</v>
      </c>
      <c r="AC552" t="s">
        <v>41</v>
      </c>
    </row>
    <row r="553" spans="1:29">
      <c r="A553" t="s">
        <v>379</v>
      </c>
      <c r="B553" s="29">
        <v>46313.545810185184</v>
      </c>
      <c r="C553">
        <v>2294</v>
      </c>
      <c r="D553" t="s">
        <v>41</v>
      </c>
      <c r="E553">
        <v>8</v>
      </c>
      <c r="F553" t="s">
        <v>41</v>
      </c>
      <c r="G553" t="s">
        <v>41</v>
      </c>
      <c r="H553" t="s">
        <v>1769</v>
      </c>
      <c r="I553" s="29">
        <v>46313.546168981484</v>
      </c>
      <c r="J553" t="s">
        <v>41</v>
      </c>
      <c r="K553" s="29">
        <v>46313.542800925927</v>
      </c>
      <c r="L553">
        <v>31</v>
      </c>
      <c r="O553" s="29">
        <v>46313.542326388888</v>
      </c>
      <c r="P553" t="s">
        <v>43</v>
      </c>
      <c r="Q553" t="s">
        <v>381</v>
      </c>
      <c r="R553" t="s">
        <v>1770</v>
      </c>
      <c r="S553">
        <v>4247</v>
      </c>
      <c r="T553" t="s">
        <v>41</v>
      </c>
      <c r="U553" s="29">
        <v>46313.552916666667</v>
      </c>
      <c r="V553" s="29">
        <v>46313.551018518519</v>
      </c>
      <c r="W553" t="s">
        <v>1771</v>
      </c>
      <c r="X553">
        <v>22411</v>
      </c>
      <c r="Z553">
        <v>0</v>
      </c>
      <c r="AA553" s="30">
        <v>0.54513888888888895</v>
      </c>
      <c r="AB553">
        <v>7</v>
      </c>
      <c r="AC553" t="s">
        <v>41</v>
      </c>
    </row>
    <row r="554" spans="1:29">
      <c r="A554" t="s">
        <v>1391</v>
      </c>
      <c r="B554" s="29">
        <v>46313.545740740738</v>
      </c>
      <c r="C554">
        <v>1244</v>
      </c>
      <c r="D554" t="s">
        <v>41</v>
      </c>
      <c r="E554">
        <v>4</v>
      </c>
      <c r="F554" t="s">
        <v>41</v>
      </c>
      <c r="G554" t="s">
        <v>41</v>
      </c>
      <c r="H554" t="s">
        <v>1772</v>
      </c>
      <c r="I554" s="29">
        <v>46313.545914351853</v>
      </c>
      <c r="J554" t="s">
        <v>41</v>
      </c>
      <c r="K554" s="29">
        <v>46313.543356481481</v>
      </c>
      <c r="L554">
        <v>15</v>
      </c>
      <c r="O554" s="29">
        <v>46313.541562500002</v>
      </c>
      <c r="P554" t="s">
        <v>43</v>
      </c>
      <c r="Q554" t="s">
        <v>1393</v>
      </c>
      <c r="R554" t="s">
        <v>1773</v>
      </c>
      <c r="S554">
        <v>4247</v>
      </c>
      <c r="T554" t="s">
        <v>41</v>
      </c>
      <c r="U554" s="29">
        <v>46313.549953703703</v>
      </c>
      <c r="V554" s="29">
        <v>46313.548634259256</v>
      </c>
      <c r="W554" t="s">
        <v>1774</v>
      </c>
      <c r="X554">
        <v>22411</v>
      </c>
      <c r="Z554">
        <v>0</v>
      </c>
      <c r="AA554" s="30">
        <v>0.54513888888888895</v>
      </c>
      <c r="AB554">
        <v>4</v>
      </c>
      <c r="AC554" t="s">
        <v>41</v>
      </c>
    </row>
    <row r="555" spans="1:29">
      <c r="A555" t="s">
        <v>1461</v>
      </c>
      <c r="B555" s="29">
        <v>46313.545358796298</v>
      </c>
      <c r="C555">
        <v>2761</v>
      </c>
      <c r="D555" t="s">
        <v>41</v>
      </c>
      <c r="E555">
        <v>9</v>
      </c>
      <c r="F555" t="s">
        <v>41</v>
      </c>
      <c r="G555" t="s">
        <v>41</v>
      </c>
      <c r="H555" t="s">
        <v>1775</v>
      </c>
      <c r="I555" s="29">
        <v>46313.545601851853</v>
      </c>
      <c r="J555" t="s">
        <v>41</v>
      </c>
      <c r="K555" s="29">
        <v>46313.541863425926</v>
      </c>
      <c r="L555">
        <v>22</v>
      </c>
      <c r="O555" s="29">
        <v>46313.541342592594</v>
      </c>
      <c r="P555" t="s">
        <v>43</v>
      </c>
      <c r="Q555" t="s">
        <v>1463</v>
      </c>
      <c r="R555" t="s">
        <v>1776</v>
      </c>
      <c r="S555">
        <v>4247</v>
      </c>
      <c r="T555" t="s">
        <v>41</v>
      </c>
      <c r="U555" s="29">
        <v>46313.553090277775</v>
      </c>
      <c r="V555" s="29">
        <v>46313.551249999997</v>
      </c>
      <c r="W555" t="s">
        <v>1777</v>
      </c>
      <c r="X555">
        <v>22411</v>
      </c>
      <c r="Z555">
        <v>0</v>
      </c>
      <c r="AA555" s="30">
        <v>0.54513888888888895</v>
      </c>
      <c r="AB555">
        <v>8</v>
      </c>
      <c r="AC555" t="s">
        <v>41</v>
      </c>
    </row>
    <row r="556" spans="1:29">
      <c r="A556" t="s">
        <v>1336</v>
      </c>
      <c r="B556" s="29">
        <v>46313.54483796296</v>
      </c>
      <c r="C556">
        <v>2036</v>
      </c>
      <c r="D556" t="s">
        <v>41</v>
      </c>
      <c r="E556">
        <v>6</v>
      </c>
      <c r="F556" t="s">
        <v>41</v>
      </c>
      <c r="G556" t="s">
        <v>41</v>
      </c>
      <c r="H556" t="s">
        <v>1778</v>
      </c>
      <c r="I556" s="29">
        <v>46313.545069444444</v>
      </c>
      <c r="J556" t="s">
        <v>41</v>
      </c>
      <c r="K556" s="29">
        <v>46313.541388888887</v>
      </c>
      <c r="L556">
        <v>20</v>
      </c>
      <c r="O556" s="29">
        <v>46313.540763888886</v>
      </c>
      <c r="P556" t="s">
        <v>43</v>
      </c>
      <c r="Q556" t="s">
        <v>1338</v>
      </c>
      <c r="R556" t="s">
        <v>1779</v>
      </c>
      <c r="S556">
        <v>4247</v>
      </c>
      <c r="T556" t="s">
        <v>41</v>
      </c>
      <c r="U556" s="29">
        <v>46313.551469907405</v>
      </c>
      <c r="V556" s="29">
        <v>46313.549027777779</v>
      </c>
      <c r="W556" t="s">
        <v>1780</v>
      </c>
      <c r="X556">
        <v>22411</v>
      </c>
      <c r="Z556">
        <v>0</v>
      </c>
      <c r="AA556" s="30">
        <v>0.5444444444444444</v>
      </c>
      <c r="AB556">
        <v>6</v>
      </c>
      <c r="AC556" t="s">
        <v>41</v>
      </c>
    </row>
    <row r="557" spans="1:29">
      <c r="A557" t="s">
        <v>1310</v>
      </c>
      <c r="B557" s="29">
        <v>46313.544652777775</v>
      </c>
      <c r="C557">
        <v>1983</v>
      </c>
      <c r="D557" t="s">
        <v>41</v>
      </c>
      <c r="E557">
        <v>7</v>
      </c>
      <c r="F557" t="s">
        <v>41</v>
      </c>
      <c r="G557" t="s">
        <v>41</v>
      </c>
      <c r="H557" t="s">
        <v>1778</v>
      </c>
      <c r="I557" s="29">
        <v>46313.544745370367</v>
      </c>
      <c r="J557" t="s">
        <v>41</v>
      </c>
      <c r="K557" s="29">
        <v>46313.540914351855</v>
      </c>
      <c r="L557">
        <v>8</v>
      </c>
      <c r="O557" s="29">
        <v>46313.540277777778</v>
      </c>
      <c r="P557" t="s">
        <v>43</v>
      </c>
      <c r="Q557" t="s">
        <v>1312</v>
      </c>
      <c r="R557" t="s">
        <v>1781</v>
      </c>
      <c r="S557">
        <v>4247</v>
      </c>
      <c r="T557" t="s">
        <v>41</v>
      </c>
      <c r="U557" s="29">
        <v>46313.54954861111</v>
      </c>
      <c r="V557" s="29">
        <v>46313.549687500003</v>
      </c>
      <c r="W557" t="s">
        <v>1782</v>
      </c>
      <c r="X557">
        <v>22411</v>
      </c>
      <c r="Z557">
        <v>0</v>
      </c>
      <c r="AA557" s="30">
        <v>0.5444444444444444</v>
      </c>
      <c r="AB557">
        <v>7</v>
      </c>
      <c r="AC557" t="s">
        <v>41</v>
      </c>
    </row>
    <row r="558" spans="1:29">
      <c r="A558" t="s">
        <v>106</v>
      </c>
      <c r="B558" s="29">
        <v>46313.544768518521</v>
      </c>
      <c r="C558">
        <v>201</v>
      </c>
      <c r="D558" t="s">
        <v>41</v>
      </c>
      <c r="E558">
        <v>1</v>
      </c>
      <c r="F558" t="s">
        <v>41</v>
      </c>
      <c r="G558" t="s">
        <v>41</v>
      </c>
      <c r="H558" t="s">
        <v>1783</v>
      </c>
      <c r="I558" s="29">
        <v>46313.544976851852</v>
      </c>
      <c r="J558" t="s">
        <v>41</v>
      </c>
      <c r="K558" s="29">
        <v>46313.541365740741</v>
      </c>
      <c r="L558">
        <v>18</v>
      </c>
      <c r="O558" s="29">
        <v>46313.540231481478</v>
      </c>
      <c r="P558" t="s">
        <v>43</v>
      </c>
      <c r="Q558" t="s">
        <v>108</v>
      </c>
      <c r="R558" t="s">
        <v>1784</v>
      </c>
      <c r="S558">
        <v>4247</v>
      </c>
      <c r="T558" t="s">
        <v>41</v>
      </c>
      <c r="U558" s="29">
        <v>46313.546180555553</v>
      </c>
      <c r="V558" s="29">
        <v>46313.545138888891</v>
      </c>
      <c r="W558" t="s">
        <v>1785</v>
      </c>
      <c r="X558">
        <v>22411</v>
      </c>
      <c r="Z558">
        <v>0</v>
      </c>
      <c r="AA558" s="30">
        <v>0.5444444444444444</v>
      </c>
      <c r="AB558">
        <v>0</v>
      </c>
      <c r="AC558" t="s">
        <v>41</v>
      </c>
    </row>
    <row r="559" spans="1:29">
      <c r="A559" t="s">
        <v>190</v>
      </c>
      <c r="B559" s="29">
        <v>46313.544421296298</v>
      </c>
      <c r="C559">
        <v>1293</v>
      </c>
      <c r="D559" t="s">
        <v>41</v>
      </c>
      <c r="E559">
        <v>4</v>
      </c>
      <c r="F559" t="s">
        <v>41</v>
      </c>
      <c r="G559" t="s">
        <v>41</v>
      </c>
      <c r="H559" t="s">
        <v>1786</v>
      </c>
      <c r="I559" s="29">
        <v>46313.544641203705</v>
      </c>
      <c r="J559" t="s">
        <v>41</v>
      </c>
      <c r="K559" s="29">
        <v>46313.541377314818</v>
      </c>
      <c r="L559">
        <v>19</v>
      </c>
      <c r="O559" s="29">
        <v>46313.539363425924</v>
      </c>
      <c r="P559" t="s">
        <v>43</v>
      </c>
      <c r="Q559" t="s">
        <v>192</v>
      </c>
      <c r="R559" t="s">
        <v>1787</v>
      </c>
      <c r="S559">
        <v>4247</v>
      </c>
      <c r="T559" t="s">
        <v>41</v>
      </c>
      <c r="U559" s="29">
        <v>46313.54886574074</v>
      </c>
      <c r="V559" s="29">
        <v>46313.547314814816</v>
      </c>
      <c r="W559" t="s">
        <v>1788</v>
      </c>
      <c r="X559">
        <v>22411</v>
      </c>
      <c r="Z559">
        <v>0</v>
      </c>
      <c r="AA559" s="30">
        <v>0.54375000000000007</v>
      </c>
      <c r="AB559">
        <v>4</v>
      </c>
      <c r="AC559" t="s">
        <v>41</v>
      </c>
    </row>
    <row r="560" spans="1:29">
      <c r="A560" t="s">
        <v>711</v>
      </c>
      <c r="B560" s="29">
        <v>46313.543703703705</v>
      </c>
      <c r="C560">
        <v>341</v>
      </c>
      <c r="D560" t="s">
        <v>41</v>
      </c>
      <c r="E560">
        <v>3</v>
      </c>
      <c r="F560" t="s">
        <v>41</v>
      </c>
      <c r="G560" t="s">
        <v>41</v>
      </c>
      <c r="H560" t="s">
        <v>1789</v>
      </c>
      <c r="I560" s="29">
        <v>46313.543854166666</v>
      </c>
      <c r="J560" t="s">
        <v>41</v>
      </c>
      <c r="K560" s="29">
        <v>46313.540613425925</v>
      </c>
      <c r="L560">
        <v>13</v>
      </c>
      <c r="O560" s="29">
        <v>46313.539155092592</v>
      </c>
      <c r="P560" t="s">
        <v>43</v>
      </c>
      <c r="Q560" t="s">
        <v>713</v>
      </c>
      <c r="R560" t="s">
        <v>1790</v>
      </c>
      <c r="S560">
        <v>4247</v>
      </c>
      <c r="T560" t="s">
        <v>41</v>
      </c>
      <c r="U560" s="29">
        <v>46313.545532407406</v>
      </c>
      <c r="V560" s="29">
        <v>46313.545567129629</v>
      </c>
      <c r="W560" t="s">
        <v>1791</v>
      </c>
      <c r="X560">
        <v>22411</v>
      </c>
      <c r="Z560">
        <v>0</v>
      </c>
      <c r="AA560" s="30">
        <v>0.54305555555555551</v>
      </c>
      <c r="AB560">
        <v>2</v>
      </c>
      <c r="AC560" t="s">
        <v>41</v>
      </c>
    </row>
    <row r="561" spans="1:29">
      <c r="A561" t="s">
        <v>1365</v>
      </c>
      <c r="B561" s="29">
        <v>46313.543182870373</v>
      </c>
      <c r="C561">
        <v>1189</v>
      </c>
      <c r="D561" t="s">
        <v>41</v>
      </c>
      <c r="E561">
        <v>4</v>
      </c>
      <c r="F561" t="s">
        <v>41</v>
      </c>
      <c r="G561" t="s">
        <v>41</v>
      </c>
      <c r="H561" t="s">
        <v>1792</v>
      </c>
      <c r="I561" s="29">
        <v>46313.543425925927</v>
      </c>
      <c r="J561" t="s">
        <v>41</v>
      </c>
      <c r="K561" s="29">
        <v>46313.540300925924</v>
      </c>
      <c r="L561">
        <v>21</v>
      </c>
      <c r="O561" s="29">
        <v>46313.538807870369</v>
      </c>
      <c r="P561" t="s">
        <v>43</v>
      </c>
      <c r="Q561" t="s">
        <v>1367</v>
      </c>
      <c r="R561" t="s">
        <v>1793</v>
      </c>
      <c r="S561">
        <v>4247</v>
      </c>
      <c r="T561" t="s">
        <v>41</v>
      </c>
      <c r="U561" s="29">
        <v>46313.547789351855</v>
      </c>
      <c r="V561" s="29">
        <v>46313.545972222222</v>
      </c>
      <c r="W561" t="s">
        <v>1794</v>
      </c>
      <c r="X561">
        <v>22411</v>
      </c>
      <c r="Z561">
        <v>0</v>
      </c>
      <c r="AA561" s="30">
        <v>0.54305555555555551</v>
      </c>
      <c r="AB561">
        <v>4</v>
      </c>
      <c r="AC561" t="s">
        <v>41</v>
      </c>
    </row>
    <row r="562" spans="1:29">
      <c r="A562" t="s">
        <v>1136</v>
      </c>
      <c r="B562" s="29">
        <v>46313.541689814818</v>
      </c>
      <c r="C562">
        <v>2313</v>
      </c>
      <c r="D562" t="s">
        <v>41</v>
      </c>
      <c r="E562">
        <v>5</v>
      </c>
      <c r="F562" t="s">
        <v>41</v>
      </c>
      <c r="G562" t="s">
        <v>41</v>
      </c>
      <c r="H562" t="s">
        <v>1795</v>
      </c>
      <c r="I562" s="29">
        <v>46313.54179398148</v>
      </c>
      <c r="J562" t="s">
        <v>41</v>
      </c>
      <c r="K562" s="29">
        <v>46313.538969907408</v>
      </c>
      <c r="L562">
        <v>9</v>
      </c>
      <c r="O562" s="29">
        <v>46313.538101851853</v>
      </c>
      <c r="P562" t="s">
        <v>43</v>
      </c>
      <c r="Q562" t="s">
        <v>1138</v>
      </c>
      <c r="R562" t="s">
        <v>1796</v>
      </c>
      <c r="S562">
        <v>4247</v>
      </c>
      <c r="T562" t="s">
        <v>41</v>
      </c>
      <c r="U562" s="29">
        <v>46313.549050925925</v>
      </c>
      <c r="V562" s="29">
        <v>46313.54546296296</v>
      </c>
      <c r="W562" t="s">
        <v>1797</v>
      </c>
      <c r="X562">
        <v>22411</v>
      </c>
      <c r="Z562">
        <v>0</v>
      </c>
      <c r="AA562" s="30">
        <v>0.54166666666666663</v>
      </c>
      <c r="AB562">
        <v>5</v>
      </c>
      <c r="AC562" t="s">
        <v>41</v>
      </c>
    </row>
    <row r="563" spans="1:29">
      <c r="A563" t="s">
        <v>1592</v>
      </c>
      <c r="B563" s="29">
        <v>46313.541724537034</v>
      </c>
      <c r="C563">
        <v>1207</v>
      </c>
      <c r="D563" t="s">
        <v>41</v>
      </c>
      <c r="E563">
        <v>4</v>
      </c>
      <c r="F563" t="s">
        <v>41</v>
      </c>
      <c r="G563" t="s">
        <v>41</v>
      </c>
      <c r="H563" t="s">
        <v>1798</v>
      </c>
      <c r="I563" s="29">
        <v>46313.541932870372</v>
      </c>
      <c r="J563" t="s">
        <v>41</v>
      </c>
      <c r="K563" s="29">
        <v>46313.538530092592</v>
      </c>
      <c r="L563">
        <v>18</v>
      </c>
      <c r="O563" s="29">
        <v>46313.537847222222</v>
      </c>
      <c r="P563" t="s">
        <v>43</v>
      </c>
      <c r="Q563" t="s">
        <v>1594</v>
      </c>
      <c r="R563" t="s">
        <v>1799</v>
      </c>
      <c r="S563">
        <v>4247</v>
      </c>
      <c r="T563" t="s">
        <v>41</v>
      </c>
      <c r="U563" s="29">
        <v>46313.545787037037</v>
      </c>
      <c r="V563" s="29">
        <v>46313.544247685182</v>
      </c>
      <c r="W563" t="s">
        <v>1800</v>
      </c>
      <c r="X563">
        <v>22411</v>
      </c>
      <c r="Z563">
        <v>0</v>
      </c>
      <c r="AA563" s="30">
        <v>0.54166666666666663</v>
      </c>
      <c r="AB563">
        <v>3</v>
      </c>
      <c r="AC563" t="s">
        <v>41</v>
      </c>
    </row>
    <row r="564" spans="1:29">
      <c r="A564" t="s">
        <v>57</v>
      </c>
      <c r="B564" s="29">
        <v>46313.541273148148</v>
      </c>
      <c r="C564">
        <v>2027</v>
      </c>
      <c r="D564" t="s">
        <v>41</v>
      </c>
      <c r="E564">
        <v>6</v>
      </c>
      <c r="F564" t="s">
        <v>41</v>
      </c>
      <c r="G564" t="s">
        <v>41</v>
      </c>
      <c r="H564" t="s">
        <v>1801</v>
      </c>
      <c r="I564" s="29">
        <v>46313.541377314818</v>
      </c>
      <c r="J564" t="s">
        <v>41</v>
      </c>
      <c r="K564" s="29">
        <v>46313.537430555552</v>
      </c>
      <c r="L564">
        <v>10</v>
      </c>
      <c r="O564" s="29">
        <v>46313.536979166667</v>
      </c>
      <c r="P564" t="s">
        <v>43</v>
      </c>
      <c r="Q564" t="s">
        <v>59</v>
      </c>
      <c r="R564" t="s">
        <v>1802</v>
      </c>
      <c r="S564">
        <v>4247</v>
      </c>
      <c r="T564" t="s">
        <v>41</v>
      </c>
      <c r="U564" s="29">
        <v>46313.546851851854</v>
      </c>
      <c r="V564" s="29">
        <v>46313.545347222222</v>
      </c>
      <c r="W564" t="s">
        <v>1803</v>
      </c>
      <c r="X564">
        <v>22411</v>
      </c>
      <c r="Z564">
        <v>0</v>
      </c>
      <c r="AA564" s="30">
        <v>0.54097222222222219</v>
      </c>
      <c r="AB564">
        <v>6</v>
      </c>
      <c r="AC564" t="s">
        <v>41</v>
      </c>
    </row>
    <row r="565" spans="1:29">
      <c r="A565" t="s">
        <v>655</v>
      </c>
      <c r="B565" s="29">
        <v>46313.541388888887</v>
      </c>
      <c r="C565">
        <v>3456</v>
      </c>
      <c r="D565" t="s">
        <v>41</v>
      </c>
      <c r="E565">
        <v>8</v>
      </c>
      <c r="F565" t="s">
        <v>41</v>
      </c>
      <c r="G565" t="s">
        <v>41</v>
      </c>
      <c r="H565" t="s">
        <v>1804</v>
      </c>
      <c r="I565" s="29">
        <v>46313.541481481479</v>
      </c>
      <c r="J565" t="s">
        <v>41</v>
      </c>
      <c r="K565" s="29">
        <v>46313.536064814813</v>
      </c>
      <c r="L565">
        <v>8</v>
      </c>
      <c r="O565" s="29">
        <v>46313.535393518519</v>
      </c>
      <c r="P565" t="s">
        <v>43</v>
      </c>
      <c r="Q565" t="s">
        <v>657</v>
      </c>
      <c r="R565" t="s">
        <v>1805</v>
      </c>
      <c r="S565">
        <v>4247</v>
      </c>
      <c r="T565" t="s">
        <v>41</v>
      </c>
      <c r="U565" s="29">
        <v>46313.550381944442</v>
      </c>
      <c r="V565" s="29">
        <v>46313.546782407408</v>
      </c>
      <c r="W565" t="s">
        <v>1806</v>
      </c>
      <c r="X565">
        <v>22411</v>
      </c>
      <c r="Z565">
        <v>0</v>
      </c>
      <c r="AA565" s="30">
        <v>0.54097222222222219</v>
      </c>
      <c r="AB565">
        <v>8</v>
      </c>
      <c r="AC565" t="s">
        <v>41</v>
      </c>
    </row>
    <row r="566" spans="1:29">
      <c r="A566" t="s">
        <v>1310</v>
      </c>
      <c r="B566" s="29">
        <v>46313.539780092593</v>
      </c>
      <c r="C566">
        <v>356</v>
      </c>
      <c r="D566" t="s">
        <v>41</v>
      </c>
      <c r="E566">
        <v>1</v>
      </c>
      <c r="F566" t="s">
        <v>41</v>
      </c>
      <c r="G566" t="s">
        <v>41</v>
      </c>
      <c r="H566" t="s">
        <v>1807</v>
      </c>
      <c r="I566" s="29">
        <v>46313.540046296293</v>
      </c>
      <c r="J566" t="s">
        <v>41</v>
      </c>
      <c r="K566" s="29">
        <v>46313.536076388889</v>
      </c>
      <c r="L566">
        <v>24</v>
      </c>
      <c r="O566" s="29">
        <v>46313.535000000003</v>
      </c>
      <c r="P566" t="s">
        <v>43</v>
      </c>
      <c r="Q566" t="s">
        <v>1312</v>
      </c>
      <c r="R566" t="s">
        <v>1808</v>
      </c>
      <c r="S566">
        <v>4247</v>
      </c>
      <c r="T566" t="s">
        <v>41</v>
      </c>
      <c r="U566" s="29">
        <v>46313.541909722226</v>
      </c>
      <c r="V566" s="29">
        <v>46313.540706018517</v>
      </c>
      <c r="W566" t="s">
        <v>1809</v>
      </c>
      <c r="X566">
        <v>22411</v>
      </c>
      <c r="Z566">
        <v>0</v>
      </c>
      <c r="AA566" s="30">
        <v>0.5395833333333333</v>
      </c>
      <c r="AB566">
        <v>1</v>
      </c>
      <c r="AC566" t="s">
        <v>41</v>
      </c>
    </row>
    <row r="567" spans="1:29">
      <c r="A567" t="s">
        <v>1171</v>
      </c>
      <c r="B567" s="29">
        <v>46313.538854166669</v>
      </c>
      <c r="C567">
        <v>2784</v>
      </c>
      <c r="D567" t="s">
        <v>41</v>
      </c>
      <c r="E567">
        <v>8</v>
      </c>
      <c r="F567" t="s">
        <v>41</v>
      </c>
      <c r="G567" t="s">
        <v>41</v>
      </c>
      <c r="H567" t="s">
        <v>1810</v>
      </c>
      <c r="I567" s="29">
        <v>46313.539467592593</v>
      </c>
      <c r="J567" t="s">
        <v>41</v>
      </c>
      <c r="K567" s="29">
        <v>46313.535590277781</v>
      </c>
      <c r="L567">
        <v>53</v>
      </c>
      <c r="O567" s="29">
        <v>46313.534942129627</v>
      </c>
      <c r="P567" t="s">
        <v>43</v>
      </c>
      <c r="Q567" t="s">
        <v>1173</v>
      </c>
      <c r="R567" t="s">
        <v>1811</v>
      </c>
      <c r="S567">
        <v>4247</v>
      </c>
      <c r="T567" t="s">
        <v>41</v>
      </c>
      <c r="U567" s="29">
        <v>46313.547083333331</v>
      </c>
      <c r="V567" s="29">
        <v>46313.544629629629</v>
      </c>
      <c r="W567" t="s">
        <v>1812</v>
      </c>
      <c r="X567">
        <v>22411</v>
      </c>
      <c r="Z567">
        <v>0</v>
      </c>
      <c r="AA567" s="30">
        <v>0.53819444444444442</v>
      </c>
      <c r="AB567">
        <v>7</v>
      </c>
      <c r="AC567" t="s">
        <v>41</v>
      </c>
    </row>
    <row r="568" spans="1:29">
      <c r="A568" t="s">
        <v>185</v>
      </c>
      <c r="B568" s="29">
        <v>46313.538703703707</v>
      </c>
      <c r="C568">
        <v>1969</v>
      </c>
      <c r="D568" t="s">
        <v>41</v>
      </c>
      <c r="E568">
        <v>8</v>
      </c>
      <c r="F568" t="s">
        <v>41</v>
      </c>
      <c r="G568" t="s">
        <v>41</v>
      </c>
      <c r="H568" t="s">
        <v>1813</v>
      </c>
      <c r="I568" s="29">
        <v>46313.539340277777</v>
      </c>
      <c r="J568" t="s">
        <v>41</v>
      </c>
      <c r="K568" s="29">
        <v>46313.535439814812</v>
      </c>
      <c r="L568">
        <v>56</v>
      </c>
      <c r="O568" s="29">
        <v>46313.534687500003</v>
      </c>
      <c r="P568" t="s">
        <v>43</v>
      </c>
      <c r="Q568" t="s">
        <v>3007</v>
      </c>
      <c r="R568" t="s">
        <v>1814</v>
      </c>
      <c r="S568">
        <v>4247</v>
      </c>
      <c r="T568" t="s">
        <v>41</v>
      </c>
      <c r="U568" s="29">
        <v>46313.544745370367</v>
      </c>
      <c r="V568" s="29">
        <v>46313.544432870367</v>
      </c>
      <c r="W568" t="s">
        <v>1815</v>
      </c>
      <c r="X568">
        <v>22411</v>
      </c>
      <c r="Z568">
        <v>0</v>
      </c>
      <c r="AA568" s="30">
        <v>0.53819444444444442</v>
      </c>
      <c r="AB568">
        <v>7</v>
      </c>
      <c r="AC568" t="s">
        <v>41</v>
      </c>
    </row>
    <row r="569" spans="1:29">
      <c r="A569" t="s">
        <v>62</v>
      </c>
      <c r="B569" s="29">
        <v>46313.538680555554</v>
      </c>
      <c r="C569">
        <v>2133</v>
      </c>
      <c r="D569" t="s">
        <v>41</v>
      </c>
      <c r="E569">
        <v>6</v>
      </c>
      <c r="F569" t="s">
        <v>41</v>
      </c>
      <c r="G569" t="s">
        <v>41</v>
      </c>
      <c r="H569" t="s">
        <v>1816</v>
      </c>
      <c r="I569" s="29">
        <v>46313.539386574077</v>
      </c>
      <c r="J569" t="s">
        <v>41</v>
      </c>
      <c r="K569" s="29">
        <v>46313.535057870373</v>
      </c>
      <c r="L569">
        <v>61</v>
      </c>
      <c r="O569" s="29">
        <v>46313.533645833333</v>
      </c>
      <c r="P569" t="s">
        <v>43</v>
      </c>
      <c r="Q569" t="s">
        <v>64</v>
      </c>
      <c r="R569" t="s">
        <v>1817</v>
      </c>
      <c r="S569">
        <v>4247</v>
      </c>
      <c r="T569" t="s">
        <v>41</v>
      </c>
      <c r="U569" s="29">
        <v>46313.544930555552</v>
      </c>
      <c r="V569" s="29">
        <v>46313.54310185185</v>
      </c>
      <c r="W569" t="s">
        <v>1818</v>
      </c>
      <c r="X569">
        <v>22411</v>
      </c>
      <c r="Z569">
        <v>0</v>
      </c>
      <c r="AA569" s="30">
        <v>0.53819444444444442</v>
      </c>
      <c r="AB569">
        <v>5</v>
      </c>
      <c r="AC569" t="s">
        <v>41</v>
      </c>
    </row>
    <row r="570" spans="1:29">
      <c r="A570" t="s">
        <v>67</v>
      </c>
      <c r="B570" s="29">
        <v>46313.538518518515</v>
      </c>
      <c r="C570">
        <v>3299</v>
      </c>
      <c r="D570" t="s">
        <v>41</v>
      </c>
      <c r="E570">
        <v>10</v>
      </c>
      <c r="F570" t="s">
        <v>41</v>
      </c>
      <c r="G570" t="s">
        <v>41</v>
      </c>
      <c r="H570" t="s">
        <v>1819</v>
      </c>
      <c r="I570" s="29">
        <v>46313.53869212963</v>
      </c>
      <c r="J570" t="s">
        <v>41</v>
      </c>
      <c r="K570" s="29">
        <v>46313.534108796295</v>
      </c>
      <c r="L570">
        <v>16</v>
      </c>
      <c r="O570" s="29">
        <v>46313.533437500002</v>
      </c>
      <c r="P570" t="s">
        <v>43</v>
      </c>
      <c r="Q570" t="s">
        <v>69</v>
      </c>
      <c r="R570" t="s">
        <v>1820</v>
      </c>
      <c r="S570">
        <v>4247</v>
      </c>
      <c r="T570" t="s">
        <v>41</v>
      </c>
      <c r="U570" s="29">
        <v>46313.547847222224</v>
      </c>
      <c r="V570" s="29">
        <v>46313.545370370368</v>
      </c>
      <c r="W570" t="s">
        <v>1821</v>
      </c>
      <c r="X570">
        <v>22411</v>
      </c>
      <c r="Z570">
        <v>0</v>
      </c>
      <c r="AA570" s="30">
        <v>0.53819444444444442</v>
      </c>
      <c r="AB570">
        <v>10</v>
      </c>
      <c r="AC570" t="s">
        <v>41</v>
      </c>
    </row>
    <row r="571" spans="1:29">
      <c r="A571" t="s">
        <v>1461</v>
      </c>
      <c r="B571" s="29">
        <v>46313.538275462961</v>
      </c>
      <c r="C571">
        <v>1067</v>
      </c>
      <c r="D571" t="s">
        <v>41</v>
      </c>
      <c r="E571">
        <v>4</v>
      </c>
      <c r="F571" t="s">
        <v>41</v>
      </c>
      <c r="G571" t="s">
        <v>41</v>
      </c>
      <c r="H571" t="s">
        <v>1822</v>
      </c>
      <c r="I571" s="29">
        <v>46313.538587962961</v>
      </c>
      <c r="J571" t="s">
        <v>41</v>
      </c>
      <c r="K571" s="29">
        <v>46313.53329861111</v>
      </c>
      <c r="L571">
        <v>27</v>
      </c>
      <c r="O571" s="29">
        <v>46313.532766203702</v>
      </c>
      <c r="P571" t="s">
        <v>43</v>
      </c>
      <c r="Q571" t="s">
        <v>1463</v>
      </c>
      <c r="R571" t="s">
        <v>1823</v>
      </c>
      <c r="S571">
        <v>4247</v>
      </c>
      <c r="T571" t="s">
        <v>41</v>
      </c>
      <c r="U571" s="29">
        <v>46313.541273148148</v>
      </c>
      <c r="V571" s="29">
        <v>46313.54109953704</v>
      </c>
      <c r="W571" t="s">
        <v>1824</v>
      </c>
      <c r="X571">
        <v>22411</v>
      </c>
      <c r="Z571">
        <v>0</v>
      </c>
      <c r="AA571" s="30">
        <v>0.53819444444444442</v>
      </c>
      <c r="AB571">
        <v>4</v>
      </c>
      <c r="AC571" t="s">
        <v>41</v>
      </c>
    </row>
    <row r="572" spans="1:29">
      <c r="A572" t="s">
        <v>734</v>
      </c>
      <c r="B572" s="29">
        <v>46313.537881944445</v>
      </c>
      <c r="C572">
        <v>1195</v>
      </c>
      <c r="D572" t="s">
        <v>41</v>
      </c>
      <c r="E572">
        <v>5</v>
      </c>
      <c r="F572" t="s">
        <v>41</v>
      </c>
      <c r="G572" t="s">
        <v>41</v>
      </c>
      <c r="H572" t="s">
        <v>1825</v>
      </c>
      <c r="I572" s="29">
        <v>46313.538287037038</v>
      </c>
      <c r="J572" t="s">
        <v>41</v>
      </c>
      <c r="K572" s="29">
        <v>46313.533148148148</v>
      </c>
      <c r="L572">
        <v>35</v>
      </c>
      <c r="O572" s="29">
        <v>46313.532361111109</v>
      </c>
      <c r="P572" t="s">
        <v>43</v>
      </c>
      <c r="Q572" t="s">
        <v>736</v>
      </c>
      <c r="R572" t="s">
        <v>1826</v>
      </c>
      <c r="S572">
        <v>4247</v>
      </c>
      <c r="T572" t="s">
        <v>41</v>
      </c>
      <c r="U572" s="29">
        <v>46313.542488425926</v>
      </c>
      <c r="V572" s="29">
        <v>46313.541192129633</v>
      </c>
      <c r="W572" t="s">
        <v>1827</v>
      </c>
      <c r="X572">
        <v>22411</v>
      </c>
      <c r="Z572">
        <v>0</v>
      </c>
      <c r="AA572" s="30">
        <v>0.53749999999999998</v>
      </c>
      <c r="AB572">
        <v>4</v>
      </c>
      <c r="AC572" t="s">
        <v>41</v>
      </c>
    </row>
    <row r="573" spans="1:29">
      <c r="A573" t="s">
        <v>1365</v>
      </c>
      <c r="B573" s="29">
        <v>46313.537638888891</v>
      </c>
      <c r="C573">
        <v>1152</v>
      </c>
      <c r="D573" t="s">
        <v>41</v>
      </c>
      <c r="E573">
        <v>3</v>
      </c>
      <c r="F573" t="s">
        <v>41</v>
      </c>
      <c r="G573" t="s">
        <v>41</v>
      </c>
      <c r="H573" t="s">
        <v>1825</v>
      </c>
      <c r="I573" s="29">
        <v>46313.537847222222</v>
      </c>
      <c r="J573" t="s">
        <v>41</v>
      </c>
      <c r="K573" s="29">
        <v>46313.533020833333</v>
      </c>
      <c r="L573">
        <v>18</v>
      </c>
      <c r="O573" s="29">
        <v>46313.532187500001</v>
      </c>
      <c r="P573" t="s">
        <v>43</v>
      </c>
      <c r="Q573" t="s">
        <v>1367</v>
      </c>
      <c r="R573" t="s">
        <v>1828</v>
      </c>
      <c r="S573">
        <v>4247</v>
      </c>
      <c r="T573" t="s">
        <v>41</v>
      </c>
      <c r="U573" s="29">
        <v>46313.540706018517</v>
      </c>
      <c r="V573" s="29">
        <v>46313.539386574077</v>
      </c>
      <c r="W573" t="s">
        <v>1829</v>
      </c>
      <c r="X573">
        <v>22411</v>
      </c>
      <c r="Z573">
        <v>0</v>
      </c>
      <c r="AA573" s="30">
        <v>0.53749999999999998</v>
      </c>
      <c r="AB573">
        <v>2</v>
      </c>
      <c r="AC573" t="s">
        <v>41</v>
      </c>
    </row>
    <row r="574" spans="1:29">
      <c r="A574" t="s">
        <v>711</v>
      </c>
      <c r="B574" s="29">
        <v>46313.535474537035</v>
      </c>
      <c r="C574">
        <v>993</v>
      </c>
      <c r="D574" t="s">
        <v>41</v>
      </c>
      <c r="E574">
        <v>3</v>
      </c>
      <c r="F574" t="s">
        <v>41</v>
      </c>
      <c r="G574" t="s">
        <v>41</v>
      </c>
      <c r="H574" t="s">
        <v>1830</v>
      </c>
      <c r="I574" s="29">
        <v>46313.53570601852</v>
      </c>
      <c r="J574" t="s">
        <v>41</v>
      </c>
      <c r="K574" s="29">
        <v>46313.533587962964</v>
      </c>
      <c r="L574">
        <v>20</v>
      </c>
      <c r="O574" s="29">
        <v>46313.531909722224</v>
      </c>
      <c r="P574" t="s">
        <v>43</v>
      </c>
      <c r="Q574" t="s">
        <v>713</v>
      </c>
      <c r="R574" t="s">
        <v>1831</v>
      </c>
      <c r="S574">
        <v>4247</v>
      </c>
      <c r="T574" t="s">
        <v>41</v>
      </c>
      <c r="U574" s="29">
        <v>46313.538657407407</v>
      </c>
      <c r="V574" s="29">
        <v>46313.537766203706</v>
      </c>
      <c r="W574" t="s">
        <v>1832</v>
      </c>
      <c r="X574">
        <v>22411</v>
      </c>
      <c r="Z574">
        <v>0</v>
      </c>
      <c r="AA574" s="30">
        <v>0.53541666666666665</v>
      </c>
      <c r="AB574">
        <v>3</v>
      </c>
      <c r="AC574" t="s">
        <v>41</v>
      </c>
    </row>
    <row r="575" spans="1:29">
      <c r="A575" t="s">
        <v>106</v>
      </c>
      <c r="B575" s="29">
        <v>46313.535416666666</v>
      </c>
      <c r="C575">
        <v>1719</v>
      </c>
      <c r="D575" t="s">
        <v>41</v>
      </c>
      <c r="E575">
        <v>5</v>
      </c>
      <c r="F575" t="s">
        <v>41</v>
      </c>
      <c r="G575" t="s">
        <v>41</v>
      </c>
      <c r="H575" t="s">
        <v>1833</v>
      </c>
      <c r="I575" s="29">
        <v>46313.535624999997</v>
      </c>
      <c r="J575" t="s">
        <v>41</v>
      </c>
      <c r="K575" s="29">
        <v>46313.532442129632</v>
      </c>
      <c r="L575">
        <v>18</v>
      </c>
      <c r="O575" s="29">
        <v>46313.531759259262</v>
      </c>
      <c r="P575" t="s">
        <v>43</v>
      </c>
      <c r="Q575" t="s">
        <v>108</v>
      </c>
      <c r="R575" t="s">
        <v>1834</v>
      </c>
      <c r="S575">
        <v>4247</v>
      </c>
      <c r="T575" t="s">
        <v>41</v>
      </c>
      <c r="U575" s="29">
        <v>46313.53979166667</v>
      </c>
      <c r="V575" s="29">
        <v>46313.539178240739</v>
      </c>
      <c r="W575" t="s">
        <v>1835</v>
      </c>
      <c r="X575">
        <v>22411</v>
      </c>
      <c r="Z575">
        <v>0</v>
      </c>
      <c r="AA575" s="30">
        <v>0.53541666666666665</v>
      </c>
      <c r="AB575">
        <v>5</v>
      </c>
      <c r="AC575" t="s">
        <v>41</v>
      </c>
    </row>
    <row r="576" spans="1:29">
      <c r="A576" t="s">
        <v>1336</v>
      </c>
      <c r="B576" s="29">
        <v>46313.534409722219</v>
      </c>
      <c r="C576">
        <v>2141</v>
      </c>
      <c r="D576" t="s">
        <v>41</v>
      </c>
      <c r="E576">
        <v>7</v>
      </c>
      <c r="F576" t="s">
        <v>41</v>
      </c>
      <c r="G576" t="s">
        <v>41</v>
      </c>
      <c r="H576" t="s">
        <v>1836</v>
      </c>
      <c r="I576" s="29">
        <v>46313.534803240742</v>
      </c>
      <c r="J576" t="s">
        <v>41</v>
      </c>
      <c r="K576" s="29">
        <v>46313.532581018517</v>
      </c>
      <c r="L576">
        <v>34</v>
      </c>
      <c r="O576" s="29">
        <v>46313.531006944446</v>
      </c>
      <c r="P576" t="s">
        <v>43</v>
      </c>
      <c r="Q576" t="s">
        <v>1338</v>
      </c>
      <c r="R576" t="s">
        <v>1837</v>
      </c>
      <c r="S576">
        <v>4247</v>
      </c>
      <c r="T576" t="s">
        <v>41</v>
      </c>
      <c r="U576" s="29">
        <v>46313.53974537037</v>
      </c>
      <c r="V576" s="29">
        <v>46313.539039351854</v>
      </c>
      <c r="W576" t="s">
        <v>1838</v>
      </c>
      <c r="X576">
        <v>22411</v>
      </c>
      <c r="Z576">
        <v>0</v>
      </c>
      <c r="AA576" s="30">
        <v>0.53402777777777777</v>
      </c>
      <c r="AB576">
        <v>6</v>
      </c>
      <c r="AC576" t="s">
        <v>41</v>
      </c>
    </row>
    <row r="577" spans="1:29">
      <c r="A577" t="s">
        <v>1624</v>
      </c>
      <c r="B577" s="29">
        <v>46313.533912037034</v>
      </c>
      <c r="C577">
        <v>2576</v>
      </c>
      <c r="D577" t="s">
        <v>41</v>
      </c>
      <c r="E577">
        <v>8</v>
      </c>
      <c r="F577" t="s">
        <v>41</v>
      </c>
      <c r="G577" t="s">
        <v>41</v>
      </c>
      <c r="H577" t="s">
        <v>1839</v>
      </c>
      <c r="I577" s="29">
        <v>46313.534131944441</v>
      </c>
      <c r="J577" t="s">
        <v>41</v>
      </c>
      <c r="K577" s="29">
        <v>46313.531793981485</v>
      </c>
      <c r="L577">
        <v>19</v>
      </c>
      <c r="O577" s="29">
        <v>46313.530972222223</v>
      </c>
      <c r="P577" t="s">
        <v>43</v>
      </c>
      <c r="Q577" t="s">
        <v>1626</v>
      </c>
      <c r="R577" t="s">
        <v>1840</v>
      </c>
      <c r="S577">
        <v>4247</v>
      </c>
      <c r="T577" t="s">
        <v>41</v>
      </c>
      <c r="U577" s="29">
        <v>46313.540439814817</v>
      </c>
      <c r="V577" s="29">
        <v>46313.539375</v>
      </c>
      <c r="W577" t="s">
        <v>1841</v>
      </c>
      <c r="X577">
        <v>22411</v>
      </c>
      <c r="Z577">
        <v>0</v>
      </c>
      <c r="AA577" s="30">
        <v>0.53333333333333333</v>
      </c>
      <c r="AB577">
        <v>8</v>
      </c>
      <c r="AC577" t="s">
        <v>41</v>
      </c>
    </row>
    <row r="578" spans="1:29">
      <c r="A578" t="s">
        <v>40</v>
      </c>
      <c r="B578" s="29">
        <v>46313.53324074074</v>
      </c>
      <c r="C578">
        <v>3643</v>
      </c>
      <c r="D578" t="s">
        <v>41</v>
      </c>
      <c r="E578">
        <v>13</v>
      </c>
      <c r="F578" t="s">
        <v>41</v>
      </c>
      <c r="G578" t="s">
        <v>41</v>
      </c>
      <c r="H578" t="s">
        <v>1842</v>
      </c>
      <c r="I578" s="29">
        <v>46313.533472222225</v>
      </c>
      <c r="J578" t="s">
        <v>41</v>
      </c>
      <c r="K578" s="29">
        <v>46313.532488425924</v>
      </c>
      <c r="L578">
        <v>20</v>
      </c>
      <c r="O578" s="29">
        <v>46313.530856481484</v>
      </c>
      <c r="P578" t="s">
        <v>43</v>
      </c>
      <c r="Q578" t="s">
        <v>44</v>
      </c>
      <c r="R578" t="s">
        <v>1843</v>
      </c>
      <c r="S578">
        <v>4247</v>
      </c>
      <c r="T578" t="s">
        <v>41</v>
      </c>
      <c r="U578" s="29">
        <v>46313.54210648148</v>
      </c>
      <c r="V578" s="29">
        <v>46313.542314814818</v>
      </c>
      <c r="W578" t="s">
        <v>1844</v>
      </c>
      <c r="X578">
        <v>22411</v>
      </c>
      <c r="Z578">
        <v>0</v>
      </c>
      <c r="AA578" s="30">
        <v>0.53263888888888888</v>
      </c>
      <c r="AB578">
        <v>13</v>
      </c>
      <c r="AC578" t="s">
        <v>41</v>
      </c>
    </row>
    <row r="579" spans="1:29">
      <c r="A579" t="s">
        <v>190</v>
      </c>
      <c r="B579" s="29">
        <v>46313.533148148148</v>
      </c>
      <c r="C579">
        <v>2386</v>
      </c>
      <c r="D579" t="s">
        <v>41</v>
      </c>
      <c r="E579">
        <v>8</v>
      </c>
      <c r="F579" t="s">
        <v>41</v>
      </c>
      <c r="G579" t="s">
        <v>41</v>
      </c>
      <c r="H579" t="s">
        <v>1845</v>
      </c>
      <c r="I579" s="29">
        <v>46313.533356481479</v>
      </c>
      <c r="J579" t="s">
        <v>41</v>
      </c>
      <c r="K579" s="29">
        <v>46313.531921296293</v>
      </c>
      <c r="L579">
        <v>18</v>
      </c>
      <c r="O579" s="29">
        <v>46313.530578703707</v>
      </c>
      <c r="P579" t="s">
        <v>43</v>
      </c>
      <c r="Q579" t="s">
        <v>192</v>
      </c>
      <c r="R579" t="s">
        <v>1846</v>
      </c>
      <c r="S579">
        <v>4247</v>
      </c>
      <c r="T579" t="s">
        <v>41</v>
      </c>
      <c r="U579" s="29">
        <v>46313.538761574076</v>
      </c>
      <c r="V579" s="29">
        <v>46313.538912037038</v>
      </c>
      <c r="W579" t="s">
        <v>1847</v>
      </c>
      <c r="X579">
        <v>22411</v>
      </c>
      <c r="Z579">
        <v>0</v>
      </c>
      <c r="AA579" s="30">
        <v>0.53263888888888888</v>
      </c>
      <c r="AB579">
        <v>8</v>
      </c>
      <c r="AC579" t="s">
        <v>41</v>
      </c>
    </row>
    <row r="580" spans="1:29">
      <c r="A580" t="s">
        <v>1077</v>
      </c>
      <c r="B580" s="29">
        <v>46313.532824074071</v>
      </c>
      <c r="C580">
        <v>3058</v>
      </c>
      <c r="D580" t="s">
        <v>41</v>
      </c>
      <c r="E580">
        <v>9</v>
      </c>
      <c r="F580" t="s">
        <v>41</v>
      </c>
      <c r="G580" t="s">
        <v>41</v>
      </c>
      <c r="H580" t="s">
        <v>1848</v>
      </c>
      <c r="I580" s="29">
        <v>46313.532916666663</v>
      </c>
      <c r="J580" t="s">
        <v>41</v>
      </c>
      <c r="K580" s="29">
        <v>46313.530682870369</v>
      </c>
      <c r="L580">
        <v>8</v>
      </c>
      <c r="O580" s="29">
        <v>46313.530289351853</v>
      </c>
      <c r="P580" t="s">
        <v>43</v>
      </c>
      <c r="Q580" t="s">
        <v>1079</v>
      </c>
      <c r="R580" t="s">
        <v>1849</v>
      </c>
      <c r="S580">
        <v>4247</v>
      </c>
      <c r="T580" t="s">
        <v>41</v>
      </c>
      <c r="U580" s="29">
        <v>46313.541967592595</v>
      </c>
      <c r="V580" s="29">
        <v>46313.538923611108</v>
      </c>
      <c r="W580" t="s">
        <v>1850</v>
      </c>
      <c r="X580">
        <v>22411</v>
      </c>
      <c r="Z580">
        <v>0</v>
      </c>
      <c r="AA580" s="30">
        <v>0.53263888888888888</v>
      </c>
      <c r="AB580">
        <v>9</v>
      </c>
      <c r="AC580" t="s">
        <v>41</v>
      </c>
    </row>
    <row r="581" spans="1:29">
      <c r="A581" t="s">
        <v>1171</v>
      </c>
      <c r="B581" s="29">
        <v>46313.531469907408</v>
      </c>
      <c r="C581">
        <v>1646</v>
      </c>
      <c r="D581" t="s">
        <v>41</v>
      </c>
      <c r="E581">
        <v>5</v>
      </c>
      <c r="F581" t="s">
        <v>41</v>
      </c>
      <c r="G581" t="s">
        <v>41</v>
      </c>
      <c r="H581" t="s">
        <v>1851</v>
      </c>
      <c r="I581" s="29">
        <v>46313.531782407408</v>
      </c>
      <c r="J581" t="s">
        <v>41</v>
      </c>
      <c r="K581" s="29">
        <v>46313.530127314814</v>
      </c>
      <c r="L581">
        <v>27</v>
      </c>
      <c r="O581" s="29">
        <v>46313.529618055552</v>
      </c>
      <c r="P581" t="s">
        <v>43</v>
      </c>
      <c r="Q581" t="s">
        <v>1173</v>
      </c>
      <c r="R581" t="s">
        <v>1852</v>
      </c>
      <c r="S581">
        <v>4247</v>
      </c>
      <c r="T581" t="s">
        <v>41</v>
      </c>
      <c r="U581" s="29">
        <v>46313.535567129627</v>
      </c>
      <c r="V581" s="29">
        <v>46313.535092592596</v>
      </c>
      <c r="W581" t="s">
        <v>1853</v>
      </c>
      <c r="X581">
        <v>22411</v>
      </c>
      <c r="Z581">
        <v>0</v>
      </c>
      <c r="AA581" s="30">
        <v>0.53125</v>
      </c>
      <c r="AB581">
        <v>5</v>
      </c>
      <c r="AC581" t="s">
        <v>41</v>
      </c>
    </row>
    <row r="582" spans="1:29">
      <c r="A582" t="s">
        <v>57</v>
      </c>
      <c r="B582" s="29">
        <v>46313.531469907408</v>
      </c>
      <c r="C582">
        <v>2190</v>
      </c>
      <c r="D582" t="s">
        <v>41</v>
      </c>
      <c r="E582">
        <v>6</v>
      </c>
      <c r="F582" t="s">
        <v>41</v>
      </c>
      <c r="G582" t="s">
        <v>41</v>
      </c>
      <c r="H582" t="s">
        <v>1854</v>
      </c>
      <c r="I582" s="29">
        <v>46313.531712962962</v>
      </c>
      <c r="J582" t="s">
        <v>41</v>
      </c>
      <c r="K582" s="29">
        <v>46313.530393518522</v>
      </c>
      <c r="L582">
        <v>21</v>
      </c>
      <c r="O582" s="29">
        <v>46313.528993055559</v>
      </c>
      <c r="P582" t="s">
        <v>43</v>
      </c>
      <c r="Q582" t="s">
        <v>59</v>
      </c>
      <c r="R582" t="s">
        <v>1855</v>
      </c>
      <c r="S582">
        <v>4247</v>
      </c>
      <c r="T582" t="s">
        <v>41</v>
      </c>
      <c r="U582" s="29">
        <v>46313.536909722221</v>
      </c>
      <c r="V582" s="29">
        <v>46313.535740740743</v>
      </c>
      <c r="W582" t="s">
        <v>1856</v>
      </c>
      <c r="X582">
        <v>22411</v>
      </c>
      <c r="Z582">
        <v>0</v>
      </c>
      <c r="AA582" s="30">
        <v>0.53125</v>
      </c>
      <c r="AB582">
        <v>6</v>
      </c>
      <c r="AC582" t="s">
        <v>41</v>
      </c>
    </row>
    <row r="583" spans="1:29">
      <c r="A583" t="s">
        <v>1365</v>
      </c>
      <c r="B583" s="29">
        <v>46313.528877314813</v>
      </c>
      <c r="C583">
        <v>1201</v>
      </c>
      <c r="D583" t="s">
        <v>41</v>
      </c>
      <c r="E583">
        <v>4</v>
      </c>
      <c r="F583" t="s">
        <v>41</v>
      </c>
      <c r="G583" t="s">
        <v>41</v>
      </c>
      <c r="H583" t="s">
        <v>1857</v>
      </c>
      <c r="I583" s="29">
        <v>46313.529895833337</v>
      </c>
      <c r="J583" t="s">
        <v>41</v>
      </c>
      <c r="K583" s="29">
        <v>46313.529710648145</v>
      </c>
      <c r="L583">
        <v>15</v>
      </c>
      <c r="O583" s="29">
        <v>46313.528796296298</v>
      </c>
      <c r="P583" t="s">
        <v>43</v>
      </c>
      <c r="Q583" t="s">
        <v>1367</v>
      </c>
      <c r="R583" t="s">
        <v>1858</v>
      </c>
      <c r="S583">
        <v>4247</v>
      </c>
      <c r="T583" t="s">
        <v>41</v>
      </c>
      <c r="U583" s="29">
        <v>46313.533750000002</v>
      </c>
      <c r="V583" s="29">
        <v>46313.53266203704</v>
      </c>
      <c r="W583" t="s">
        <v>1859</v>
      </c>
      <c r="X583">
        <v>22411</v>
      </c>
      <c r="Z583">
        <v>0</v>
      </c>
      <c r="AA583" s="30">
        <v>0.52847222222222223</v>
      </c>
      <c r="AB583">
        <v>4</v>
      </c>
      <c r="AC583" t="s">
        <v>41</v>
      </c>
    </row>
    <row r="584" spans="1:29">
      <c r="A584" t="s">
        <v>379</v>
      </c>
      <c r="B584" s="29">
        <v>46313.52888888889</v>
      </c>
      <c r="C584">
        <v>2326</v>
      </c>
      <c r="D584" t="s">
        <v>41</v>
      </c>
      <c r="E584">
        <v>8</v>
      </c>
      <c r="F584" t="s">
        <v>41</v>
      </c>
      <c r="G584" t="s">
        <v>41</v>
      </c>
      <c r="H584" t="s">
        <v>1860</v>
      </c>
      <c r="I584" s="29">
        <v>46313.529803240737</v>
      </c>
      <c r="J584" t="s">
        <v>41</v>
      </c>
      <c r="K584" s="29">
        <v>46313.529583333337</v>
      </c>
      <c r="L584">
        <v>18</v>
      </c>
      <c r="O584" s="29">
        <v>46313.528657407405</v>
      </c>
      <c r="P584" t="s">
        <v>43</v>
      </c>
      <c r="Q584" t="s">
        <v>381</v>
      </c>
      <c r="R584" t="s">
        <v>1861</v>
      </c>
      <c r="S584">
        <v>4247</v>
      </c>
      <c r="T584" t="s">
        <v>41</v>
      </c>
      <c r="U584" s="29">
        <v>46313.536689814813</v>
      </c>
      <c r="V584" s="29">
        <v>46313.534942129627</v>
      </c>
      <c r="W584" t="s">
        <v>1862</v>
      </c>
      <c r="X584">
        <v>22411</v>
      </c>
      <c r="Z584">
        <v>0</v>
      </c>
      <c r="AA584" s="30">
        <v>0.52847222222222223</v>
      </c>
      <c r="AB584">
        <v>7</v>
      </c>
      <c r="AC584" t="s">
        <v>41</v>
      </c>
    </row>
    <row r="585" spans="1:29">
      <c r="A585" t="s">
        <v>1592</v>
      </c>
      <c r="B585" s="29">
        <v>46313.528344907405</v>
      </c>
      <c r="C585">
        <v>2429</v>
      </c>
      <c r="D585" t="s">
        <v>41</v>
      </c>
      <c r="E585">
        <v>8</v>
      </c>
      <c r="F585" t="s">
        <v>41</v>
      </c>
      <c r="G585" t="s">
        <v>41</v>
      </c>
      <c r="H585" t="s">
        <v>1863</v>
      </c>
      <c r="I585" s="29">
        <v>46313.529456018521</v>
      </c>
      <c r="J585" t="s">
        <v>41</v>
      </c>
      <c r="K585" s="29">
        <v>46313.529328703706</v>
      </c>
      <c r="L585">
        <v>10</v>
      </c>
      <c r="O585" s="29">
        <v>46313.528182870374</v>
      </c>
      <c r="P585" t="s">
        <v>43</v>
      </c>
      <c r="Q585" t="s">
        <v>1594</v>
      </c>
      <c r="R585" t="s">
        <v>1864</v>
      </c>
      <c r="S585">
        <v>4247</v>
      </c>
      <c r="T585" t="s">
        <v>41</v>
      </c>
      <c r="U585" s="29">
        <v>46313.534953703704</v>
      </c>
      <c r="V585" s="29">
        <v>46313.534722222219</v>
      </c>
      <c r="W585" t="s">
        <v>1865</v>
      </c>
      <c r="X585">
        <v>22411</v>
      </c>
      <c r="Z585">
        <v>0</v>
      </c>
      <c r="AA585" s="30">
        <v>0.52777777777777779</v>
      </c>
      <c r="AB585">
        <v>8</v>
      </c>
      <c r="AC585" t="s">
        <v>41</v>
      </c>
    </row>
    <row r="586" spans="1:29">
      <c r="A586" t="s">
        <v>1310</v>
      </c>
      <c r="B586" s="29">
        <v>46313.527928240743</v>
      </c>
      <c r="C586">
        <v>1831</v>
      </c>
      <c r="D586" t="s">
        <v>41</v>
      </c>
      <c r="E586">
        <v>6</v>
      </c>
      <c r="F586" t="s">
        <v>41</v>
      </c>
      <c r="G586" t="s">
        <v>41</v>
      </c>
      <c r="H586" t="s">
        <v>1866</v>
      </c>
      <c r="I586" s="29">
        <v>46313.52884259259</v>
      </c>
      <c r="J586" t="s">
        <v>41</v>
      </c>
      <c r="K586" s="29">
        <v>46313.528692129628</v>
      </c>
      <c r="L586">
        <v>12</v>
      </c>
      <c r="O586" s="29">
        <v>46313.527789351851</v>
      </c>
      <c r="P586" t="s">
        <v>43</v>
      </c>
      <c r="Q586" t="s">
        <v>1312</v>
      </c>
      <c r="R586" t="s">
        <v>1867</v>
      </c>
      <c r="S586">
        <v>4247</v>
      </c>
      <c r="T586" t="s">
        <v>41</v>
      </c>
      <c r="U586" s="29">
        <v>46313.53328703704</v>
      </c>
      <c r="V586" s="29">
        <v>46313.53266203704</v>
      </c>
      <c r="W586" t="s">
        <v>1868</v>
      </c>
      <c r="X586">
        <v>22411</v>
      </c>
      <c r="Z586">
        <v>0</v>
      </c>
      <c r="AA586" s="30">
        <v>0.52777777777777779</v>
      </c>
      <c r="AB586">
        <v>6</v>
      </c>
      <c r="AC586" t="s">
        <v>41</v>
      </c>
    </row>
    <row r="587" spans="1:29">
      <c r="A587" t="s">
        <v>655</v>
      </c>
      <c r="B587" s="29">
        <v>46313.526307870372</v>
      </c>
      <c r="C587">
        <v>2040</v>
      </c>
      <c r="D587" t="s">
        <v>41</v>
      </c>
      <c r="E587">
        <v>6</v>
      </c>
      <c r="F587" t="s">
        <v>41</v>
      </c>
      <c r="G587" t="s">
        <v>41</v>
      </c>
      <c r="H587" t="s">
        <v>1869</v>
      </c>
      <c r="I587" s="29">
        <v>46313.529560185183</v>
      </c>
      <c r="J587" t="s">
        <v>41</v>
      </c>
      <c r="K587" s="29">
        <v>46313.529317129629</v>
      </c>
      <c r="L587">
        <v>20</v>
      </c>
      <c r="O587" s="29">
        <v>46313.526192129626</v>
      </c>
      <c r="P587" t="s">
        <v>43</v>
      </c>
      <c r="Q587" t="s">
        <v>657</v>
      </c>
      <c r="R587" t="s">
        <v>1870</v>
      </c>
      <c r="S587">
        <v>4247</v>
      </c>
      <c r="T587" t="s">
        <v>41</v>
      </c>
      <c r="U587" s="29">
        <v>46313.535960648151</v>
      </c>
      <c r="V587" s="29">
        <v>46313.533368055556</v>
      </c>
      <c r="W587" t="s">
        <v>1871</v>
      </c>
      <c r="X587">
        <v>22411</v>
      </c>
      <c r="Z587">
        <v>0</v>
      </c>
      <c r="AA587" s="30">
        <v>0.52569444444444446</v>
      </c>
      <c r="AB587">
        <v>5</v>
      </c>
      <c r="AC587" t="s">
        <v>41</v>
      </c>
    </row>
    <row r="588" spans="1:29">
      <c r="A588" t="s">
        <v>1461</v>
      </c>
      <c r="B588" s="29">
        <v>46313.526203703703</v>
      </c>
      <c r="C588">
        <v>1919</v>
      </c>
      <c r="D588" t="s">
        <v>41</v>
      </c>
      <c r="E588">
        <v>5</v>
      </c>
      <c r="F588" t="s">
        <v>41</v>
      </c>
      <c r="G588" t="s">
        <v>41</v>
      </c>
      <c r="H588" t="s">
        <v>1872</v>
      </c>
      <c r="I588" s="29">
        <v>46313.526689814818</v>
      </c>
      <c r="J588" t="s">
        <v>41</v>
      </c>
      <c r="K588" s="29">
        <v>46313.526504629626</v>
      </c>
      <c r="L588">
        <v>15</v>
      </c>
      <c r="O588" s="29">
        <v>46313.52611111111</v>
      </c>
      <c r="P588" t="s">
        <v>43</v>
      </c>
      <c r="Q588" t="s">
        <v>1463</v>
      </c>
      <c r="R588" t="s">
        <v>1873</v>
      </c>
      <c r="S588">
        <v>4247</v>
      </c>
      <c r="T588" t="s">
        <v>41</v>
      </c>
      <c r="U588" s="29">
        <v>46313.531412037039</v>
      </c>
      <c r="V588" s="29">
        <v>46313.530173611114</v>
      </c>
      <c r="W588" t="s">
        <v>1874</v>
      </c>
      <c r="X588">
        <v>22411</v>
      </c>
      <c r="Z588">
        <v>0</v>
      </c>
      <c r="AA588" s="30">
        <v>0.52569444444444446</v>
      </c>
      <c r="AB588">
        <v>5</v>
      </c>
      <c r="AC588" t="s">
        <v>41</v>
      </c>
    </row>
    <row r="589" spans="1:29">
      <c r="A589" t="s">
        <v>1136</v>
      </c>
      <c r="B589" s="29">
        <v>46313.526203703703</v>
      </c>
      <c r="C589">
        <v>2357</v>
      </c>
      <c r="D589" t="s">
        <v>41</v>
      </c>
      <c r="E589">
        <v>6</v>
      </c>
      <c r="F589" t="s">
        <v>41</v>
      </c>
      <c r="G589" t="s">
        <v>41</v>
      </c>
      <c r="H589" t="s">
        <v>1875</v>
      </c>
      <c r="I589" s="29">
        <v>46313.527361111112</v>
      </c>
      <c r="J589" t="s">
        <v>41</v>
      </c>
      <c r="K589" s="29">
        <v>46313.527129629627</v>
      </c>
      <c r="L589">
        <v>19</v>
      </c>
      <c r="O589" s="29">
        <v>46313.526006944441</v>
      </c>
      <c r="P589" t="s">
        <v>43</v>
      </c>
      <c r="Q589" t="s">
        <v>1138</v>
      </c>
      <c r="R589" t="s">
        <v>1876</v>
      </c>
      <c r="S589">
        <v>4247</v>
      </c>
      <c r="T589" t="s">
        <v>41</v>
      </c>
      <c r="U589" s="29">
        <v>46313.534837962965</v>
      </c>
      <c r="V589" s="29">
        <v>46313.531354166669</v>
      </c>
      <c r="W589" t="s">
        <v>1877</v>
      </c>
      <c r="X589">
        <v>22411</v>
      </c>
      <c r="Z589">
        <v>0</v>
      </c>
      <c r="AA589" s="30">
        <v>0.52569444444444446</v>
      </c>
      <c r="AB589">
        <v>6</v>
      </c>
      <c r="AC589" t="s">
        <v>41</v>
      </c>
    </row>
    <row r="590" spans="1:29">
      <c r="A590" t="s">
        <v>347</v>
      </c>
      <c r="B590" s="29">
        <v>46313.525092592594</v>
      </c>
      <c r="C590">
        <v>3754</v>
      </c>
      <c r="D590" t="s">
        <v>41</v>
      </c>
      <c r="E590">
        <v>9</v>
      </c>
      <c r="F590" t="s">
        <v>41</v>
      </c>
      <c r="G590" t="s">
        <v>41</v>
      </c>
      <c r="H590" t="s">
        <v>1878</v>
      </c>
      <c r="I590" s="29">
        <v>46313.526493055557</v>
      </c>
      <c r="J590" t="s">
        <v>41</v>
      </c>
      <c r="K590" s="29">
        <v>46313.526319444441</v>
      </c>
      <c r="L590">
        <v>14</v>
      </c>
      <c r="O590" s="29">
        <v>46313.525011574071</v>
      </c>
      <c r="P590" t="s">
        <v>43</v>
      </c>
      <c r="Q590" t="s">
        <v>349</v>
      </c>
      <c r="R590" t="s">
        <v>1879</v>
      </c>
      <c r="S590">
        <v>4247</v>
      </c>
      <c r="T590" t="s">
        <v>41</v>
      </c>
      <c r="U590" s="29">
        <v>46313.535509259258</v>
      </c>
      <c r="V590" s="29">
        <v>46313.53229166667</v>
      </c>
      <c r="W590" t="s">
        <v>1880</v>
      </c>
      <c r="X590">
        <v>22411</v>
      </c>
      <c r="Z590">
        <v>0</v>
      </c>
      <c r="AA590" s="30">
        <v>0.52500000000000002</v>
      </c>
      <c r="AB590">
        <v>8</v>
      </c>
      <c r="AC590" t="s">
        <v>41</v>
      </c>
    </row>
    <row r="591" spans="1:29">
      <c r="A591" t="s">
        <v>52</v>
      </c>
      <c r="B591" s="29">
        <v>46313.525092592594</v>
      </c>
      <c r="C591">
        <v>2359</v>
      </c>
      <c r="D591" t="s">
        <v>41</v>
      </c>
      <c r="E591">
        <v>7</v>
      </c>
      <c r="F591" t="s">
        <v>41</v>
      </c>
      <c r="G591" t="s">
        <v>41</v>
      </c>
      <c r="H591" t="s">
        <v>1881</v>
      </c>
      <c r="I591" s="29">
        <v>46313.526134259257</v>
      </c>
      <c r="J591" t="s">
        <v>41</v>
      </c>
      <c r="K591" s="29">
        <v>46313.525972222225</v>
      </c>
      <c r="L591">
        <v>13</v>
      </c>
      <c r="O591" s="29">
        <v>46313.525011574071</v>
      </c>
      <c r="P591" t="s">
        <v>43</v>
      </c>
      <c r="Q591" t="s">
        <v>54</v>
      </c>
      <c r="R591" t="s">
        <v>1882</v>
      </c>
      <c r="S591">
        <v>4247</v>
      </c>
      <c r="T591" t="s">
        <v>41</v>
      </c>
      <c r="U591" s="29">
        <v>46313.533148148148</v>
      </c>
      <c r="V591" s="29">
        <v>46313.530821759261</v>
      </c>
      <c r="W591" t="s">
        <v>1883</v>
      </c>
      <c r="X591">
        <v>22411</v>
      </c>
      <c r="Z591">
        <v>0</v>
      </c>
      <c r="AA591" s="30">
        <v>0.52500000000000002</v>
      </c>
      <c r="AB591">
        <v>7</v>
      </c>
      <c r="AC591" t="s">
        <v>41</v>
      </c>
    </row>
    <row r="592" spans="1:29">
      <c r="A592" t="s">
        <v>1336</v>
      </c>
      <c r="B592" s="29">
        <v>46313.525104166663</v>
      </c>
      <c r="C592">
        <v>1086</v>
      </c>
      <c r="D592" t="s">
        <v>41</v>
      </c>
      <c r="E592">
        <v>4</v>
      </c>
      <c r="F592" t="s">
        <v>41</v>
      </c>
      <c r="G592" t="s">
        <v>41</v>
      </c>
      <c r="H592" t="s">
        <v>1884</v>
      </c>
      <c r="I592" s="29">
        <v>46313.526342592595</v>
      </c>
      <c r="J592" t="s">
        <v>41</v>
      </c>
      <c r="K592" s="29">
        <v>46313.526134259257</v>
      </c>
      <c r="L592">
        <v>17</v>
      </c>
      <c r="O592" s="29">
        <v>46313.524930555555</v>
      </c>
      <c r="P592" t="s">
        <v>43</v>
      </c>
      <c r="Q592" t="s">
        <v>1338</v>
      </c>
      <c r="R592" t="s">
        <v>1885</v>
      </c>
      <c r="S592">
        <v>4247</v>
      </c>
      <c r="T592" t="s">
        <v>41</v>
      </c>
      <c r="U592" s="29">
        <v>46313.529444444444</v>
      </c>
      <c r="V592" s="29">
        <v>46313.528854166667</v>
      </c>
      <c r="W592" t="s">
        <v>1886</v>
      </c>
      <c r="X592">
        <v>22411</v>
      </c>
      <c r="Z592">
        <v>0</v>
      </c>
      <c r="AA592" s="30">
        <v>0.52500000000000002</v>
      </c>
      <c r="AB592">
        <v>4</v>
      </c>
      <c r="AC592" t="s">
        <v>41</v>
      </c>
    </row>
    <row r="593" spans="1:29">
      <c r="A593" t="s">
        <v>1391</v>
      </c>
      <c r="B593" s="29">
        <v>46313.524155092593</v>
      </c>
      <c r="C593">
        <v>2125</v>
      </c>
      <c r="D593" t="s">
        <v>41</v>
      </c>
      <c r="E593">
        <v>6</v>
      </c>
      <c r="F593" t="s">
        <v>41</v>
      </c>
      <c r="G593" t="s">
        <v>41</v>
      </c>
      <c r="H593" t="s">
        <v>1887</v>
      </c>
      <c r="I593" s="29">
        <v>46313.525694444441</v>
      </c>
      <c r="J593" t="s">
        <v>41</v>
      </c>
      <c r="K593" s="29">
        <v>46313.525439814817</v>
      </c>
      <c r="L593">
        <v>21</v>
      </c>
      <c r="O593" s="29">
        <v>46313.524062500001</v>
      </c>
      <c r="P593" t="s">
        <v>43</v>
      </c>
      <c r="Q593" t="s">
        <v>1393</v>
      </c>
      <c r="R593" t="s">
        <v>1888</v>
      </c>
      <c r="S593">
        <v>4247</v>
      </c>
      <c r="T593" t="s">
        <v>41</v>
      </c>
      <c r="U593" s="29">
        <v>46313.532476851855</v>
      </c>
      <c r="V593" s="29">
        <v>46313.529293981483</v>
      </c>
      <c r="W593" t="s">
        <v>1889</v>
      </c>
      <c r="X593">
        <v>22411</v>
      </c>
      <c r="Z593">
        <v>0</v>
      </c>
      <c r="AA593" s="30">
        <v>0.52361111111111114</v>
      </c>
      <c r="AB593">
        <v>5</v>
      </c>
      <c r="AC593" t="s">
        <v>41</v>
      </c>
    </row>
    <row r="594" spans="1:29">
      <c r="A594" t="s">
        <v>734</v>
      </c>
      <c r="B594" s="29">
        <v>46313.523449074077</v>
      </c>
      <c r="C594">
        <v>2061</v>
      </c>
      <c r="D594" t="s">
        <v>41</v>
      </c>
      <c r="E594">
        <v>5</v>
      </c>
      <c r="F594" t="s">
        <v>41</v>
      </c>
      <c r="G594" t="s">
        <v>41</v>
      </c>
      <c r="H594" t="s">
        <v>1890</v>
      </c>
      <c r="I594" s="29">
        <v>46313.525636574072</v>
      </c>
      <c r="J594" t="s">
        <v>41</v>
      </c>
      <c r="K594" s="29">
        <v>46313.525381944448</v>
      </c>
      <c r="L594">
        <v>21</v>
      </c>
      <c r="O594" s="29">
        <v>46313.523263888892</v>
      </c>
      <c r="P594" t="s">
        <v>43</v>
      </c>
      <c r="Q594" t="s">
        <v>736</v>
      </c>
      <c r="R594" t="s">
        <v>1891</v>
      </c>
      <c r="S594">
        <v>4247</v>
      </c>
      <c r="T594" t="s">
        <v>41</v>
      </c>
      <c r="U594" s="29">
        <v>46313.530682870369</v>
      </c>
      <c r="V594" s="29">
        <v>46313.529085648152</v>
      </c>
      <c r="W594" t="s">
        <v>1892</v>
      </c>
      <c r="X594">
        <v>22411</v>
      </c>
      <c r="Z594">
        <v>0</v>
      </c>
      <c r="AA594" s="30">
        <v>0.5229166666666667</v>
      </c>
      <c r="AB594">
        <v>5</v>
      </c>
      <c r="AC594" t="s">
        <v>41</v>
      </c>
    </row>
    <row r="595" spans="1:29">
      <c r="A595" t="s">
        <v>67</v>
      </c>
      <c r="B595" s="29">
        <v>46313.523819444446</v>
      </c>
      <c r="C595">
        <v>2251</v>
      </c>
      <c r="D595" t="s">
        <v>41</v>
      </c>
      <c r="E595">
        <v>10</v>
      </c>
      <c r="F595" t="s">
        <v>41</v>
      </c>
      <c r="G595" t="s">
        <v>41</v>
      </c>
      <c r="H595" t="s">
        <v>1893</v>
      </c>
      <c r="I595" s="29">
        <v>46313.525185185186</v>
      </c>
      <c r="J595" t="s">
        <v>41</v>
      </c>
      <c r="K595" s="29">
        <v>46313.524456018517</v>
      </c>
      <c r="L595">
        <v>62</v>
      </c>
      <c r="O595" s="29">
        <v>46313.523136574076</v>
      </c>
      <c r="P595" t="s">
        <v>43</v>
      </c>
      <c r="Q595" t="s">
        <v>69</v>
      </c>
      <c r="R595" t="s">
        <v>1894</v>
      </c>
      <c r="S595">
        <v>4247</v>
      </c>
      <c r="T595" t="s">
        <v>41</v>
      </c>
      <c r="U595" s="29">
        <v>46313.531435185185</v>
      </c>
      <c r="V595" s="29">
        <v>46313.531192129631</v>
      </c>
      <c r="W595" t="s">
        <v>1895</v>
      </c>
      <c r="X595">
        <v>22411</v>
      </c>
      <c r="Z595">
        <v>0</v>
      </c>
      <c r="AA595" s="30">
        <v>0.52361111111111114</v>
      </c>
      <c r="AB595">
        <v>9</v>
      </c>
      <c r="AC595" t="s">
        <v>41</v>
      </c>
    </row>
    <row r="596" spans="1:29">
      <c r="A596" t="s">
        <v>185</v>
      </c>
      <c r="B596" s="29">
        <v>46313.522789351853</v>
      </c>
      <c r="C596">
        <v>2162</v>
      </c>
      <c r="D596" t="s">
        <v>41</v>
      </c>
      <c r="E596">
        <v>7</v>
      </c>
      <c r="F596" t="s">
        <v>41</v>
      </c>
      <c r="G596" t="s">
        <v>41</v>
      </c>
      <c r="H596" t="s">
        <v>1896</v>
      </c>
      <c r="I596" s="29">
        <v>46313.524097222224</v>
      </c>
      <c r="J596" t="s">
        <v>41</v>
      </c>
      <c r="K596" s="29">
        <v>46313.523865740739</v>
      </c>
      <c r="L596">
        <v>19</v>
      </c>
      <c r="O596" s="29">
        <v>46313.522696759261</v>
      </c>
      <c r="P596" t="s">
        <v>43</v>
      </c>
      <c r="Q596" t="s">
        <v>3007</v>
      </c>
      <c r="R596" t="s">
        <v>1897</v>
      </c>
      <c r="S596">
        <v>4247</v>
      </c>
      <c r="T596" t="s">
        <v>41</v>
      </c>
      <c r="U596" s="29">
        <v>46313.529328703706</v>
      </c>
      <c r="V596" s="29">
        <v>46313.528391203705</v>
      </c>
      <c r="W596" t="s">
        <v>1898</v>
      </c>
      <c r="X596">
        <v>22411</v>
      </c>
      <c r="Z596">
        <v>0</v>
      </c>
      <c r="AA596" s="30">
        <v>0.52222222222222225</v>
      </c>
      <c r="AB596">
        <v>6</v>
      </c>
      <c r="AC596" t="s">
        <v>41</v>
      </c>
    </row>
    <row r="597" spans="1:29">
      <c r="A597" t="s">
        <v>190</v>
      </c>
      <c r="B597" s="29">
        <v>46313.521249999998</v>
      </c>
      <c r="C597">
        <v>1835</v>
      </c>
      <c r="D597" t="s">
        <v>41</v>
      </c>
      <c r="E597">
        <v>4</v>
      </c>
      <c r="F597" t="s">
        <v>41</v>
      </c>
      <c r="G597" t="s">
        <v>41</v>
      </c>
      <c r="H597" t="s">
        <v>1899</v>
      </c>
      <c r="I597" s="29">
        <v>46313.522372685184</v>
      </c>
      <c r="J597" t="s">
        <v>41</v>
      </c>
      <c r="K597" s="29">
        <v>46313.522048611114</v>
      </c>
      <c r="L597">
        <v>27</v>
      </c>
      <c r="O597" s="29">
        <v>46313.521087962959</v>
      </c>
      <c r="P597" t="s">
        <v>43</v>
      </c>
      <c r="Q597" t="s">
        <v>192</v>
      </c>
      <c r="R597" t="s">
        <v>1900</v>
      </c>
      <c r="S597">
        <v>4247</v>
      </c>
      <c r="T597" t="s">
        <v>41</v>
      </c>
      <c r="U597" s="29">
        <v>46313.526759259257</v>
      </c>
      <c r="V597" s="29">
        <v>46313.525150462963</v>
      </c>
      <c r="W597" t="s">
        <v>1901</v>
      </c>
      <c r="X597">
        <v>22411</v>
      </c>
      <c r="Z597">
        <v>0</v>
      </c>
      <c r="AA597" s="30">
        <v>0.52083333333333337</v>
      </c>
      <c r="AB597">
        <v>4</v>
      </c>
      <c r="AC597" t="s">
        <v>41</v>
      </c>
    </row>
    <row r="598" spans="1:29">
      <c r="A598" t="s">
        <v>1077</v>
      </c>
      <c r="B598" s="29">
        <v>46313.520995370367</v>
      </c>
      <c r="C598">
        <v>1605</v>
      </c>
      <c r="D598" t="s">
        <v>41</v>
      </c>
      <c r="E598">
        <v>6</v>
      </c>
      <c r="F598" t="s">
        <v>41</v>
      </c>
      <c r="G598" t="s">
        <v>41</v>
      </c>
      <c r="H598" t="s">
        <v>1902</v>
      </c>
      <c r="I598" s="29">
        <v>46313.521863425929</v>
      </c>
      <c r="J598" t="s">
        <v>41</v>
      </c>
      <c r="K598" s="29">
        <v>46313.521608796298</v>
      </c>
      <c r="L598">
        <v>21</v>
      </c>
      <c r="O598" s="29">
        <v>46313.520879629628</v>
      </c>
      <c r="P598" t="s">
        <v>43</v>
      </c>
      <c r="Q598" t="s">
        <v>1079</v>
      </c>
      <c r="R598" t="s">
        <v>1903</v>
      </c>
      <c r="S598">
        <v>4247</v>
      </c>
      <c r="T598" t="s">
        <v>41</v>
      </c>
      <c r="U598" s="29">
        <v>46313.526238425926</v>
      </c>
      <c r="V598" s="29">
        <v>46313.525613425925</v>
      </c>
      <c r="W598" t="s">
        <v>1904</v>
      </c>
      <c r="X598">
        <v>22411</v>
      </c>
      <c r="Z598">
        <v>0</v>
      </c>
      <c r="AA598" s="30">
        <v>0.52083333333333337</v>
      </c>
      <c r="AB598">
        <v>5</v>
      </c>
      <c r="AC598" t="s">
        <v>41</v>
      </c>
    </row>
    <row r="599" spans="1:29">
      <c r="A599" t="s">
        <v>57</v>
      </c>
      <c r="B599" s="29">
        <v>46313.520578703705</v>
      </c>
      <c r="C599">
        <v>1067</v>
      </c>
      <c r="D599" t="s">
        <v>41</v>
      </c>
      <c r="E599">
        <v>3</v>
      </c>
      <c r="F599" t="s">
        <v>41</v>
      </c>
      <c r="G599" t="s">
        <v>41</v>
      </c>
      <c r="H599" t="s">
        <v>1905</v>
      </c>
      <c r="I599" s="29">
        <v>46313.522314814814</v>
      </c>
      <c r="J599" t="s">
        <v>41</v>
      </c>
      <c r="K599" s="29">
        <v>46313.522094907406</v>
      </c>
      <c r="L599">
        <v>18</v>
      </c>
      <c r="O599" s="29">
        <v>46313.520497685182</v>
      </c>
      <c r="P599" t="s">
        <v>43</v>
      </c>
      <c r="Q599" t="s">
        <v>59</v>
      </c>
      <c r="R599" t="s">
        <v>1906</v>
      </c>
      <c r="S599">
        <v>4247</v>
      </c>
      <c r="T599" t="s">
        <v>41</v>
      </c>
      <c r="U599" s="29">
        <v>46313.524976851855</v>
      </c>
      <c r="V599" s="29">
        <v>46313.524259259262</v>
      </c>
      <c r="W599" t="s">
        <v>1907</v>
      </c>
      <c r="X599">
        <v>22411</v>
      </c>
      <c r="Z599">
        <v>0</v>
      </c>
      <c r="AA599" s="30">
        <v>0.52013888888888882</v>
      </c>
      <c r="AB599">
        <v>3</v>
      </c>
      <c r="AC599" t="s">
        <v>41</v>
      </c>
    </row>
    <row r="600" spans="1:29">
      <c r="A600" t="s">
        <v>106</v>
      </c>
      <c r="B600" s="29">
        <v>46313.517905092594</v>
      </c>
      <c r="C600">
        <v>2353</v>
      </c>
      <c r="D600" t="s">
        <v>41</v>
      </c>
      <c r="E600">
        <v>9</v>
      </c>
      <c r="F600" t="s">
        <v>41</v>
      </c>
      <c r="G600" t="s">
        <v>41</v>
      </c>
      <c r="H600" t="s">
        <v>1908</v>
      </c>
      <c r="I600" s="29">
        <v>46313.519756944443</v>
      </c>
      <c r="J600" t="s">
        <v>41</v>
      </c>
      <c r="K600" s="29">
        <v>46313.519444444442</v>
      </c>
      <c r="L600">
        <v>26</v>
      </c>
      <c r="O600" s="29">
        <v>46313.517789351848</v>
      </c>
      <c r="P600" t="s">
        <v>43</v>
      </c>
      <c r="Q600" t="s">
        <v>108</v>
      </c>
      <c r="R600" t="s">
        <v>1909</v>
      </c>
      <c r="S600">
        <v>4247</v>
      </c>
      <c r="T600" t="s">
        <v>41</v>
      </c>
      <c r="U600" s="29">
        <v>46313.525659722225</v>
      </c>
      <c r="V600" s="29">
        <v>46313.525509259256</v>
      </c>
      <c r="W600" t="s">
        <v>1910</v>
      </c>
      <c r="X600">
        <v>22411</v>
      </c>
      <c r="Z600">
        <v>0</v>
      </c>
      <c r="AA600" s="30">
        <v>0.51736111111111105</v>
      </c>
      <c r="AB600">
        <v>8</v>
      </c>
      <c r="AC600" t="s">
        <v>41</v>
      </c>
    </row>
    <row r="601" spans="1:29">
      <c r="A601" t="s">
        <v>40</v>
      </c>
      <c r="B601" s="29">
        <v>46313.515983796293</v>
      </c>
      <c r="C601">
        <v>1967</v>
      </c>
      <c r="D601" t="s">
        <v>41</v>
      </c>
      <c r="E601">
        <v>9</v>
      </c>
      <c r="F601" t="s">
        <v>41</v>
      </c>
      <c r="G601" t="s">
        <v>41</v>
      </c>
      <c r="H601" t="s">
        <v>1911</v>
      </c>
      <c r="I601" s="29">
        <v>46313.518483796295</v>
      </c>
      <c r="J601" t="s">
        <v>41</v>
      </c>
      <c r="K601" s="29">
        <v>46313.518159722225</v>
      </c>
      <c r="L601">
        <v>27</v>
      </c>
      <c r="O601" s="29">
        <v>46313.5158912037</v>
      </c>
      <c r="P601" t="s">
        <v>43</v>
      </c>
      <c r="Q601" t="s">
        <v>44</v>
      </c>
      <c r="R601" t="s">
        <v>1912</v>
      </c>
      <c r="S601">
        <v>4247</v>
      </c>
      <c r="T601" t="s">
        <v>41</v>
      </c>
      <c r="U601" s="29">
        <v>46313.524629629632</v>
      </c>
      <c r="V601" s="29">
        <v>46313.524293981478</v>
      </c>
      <c r="W601" t="s">
        <v>1913</v>
      </c>
      <c r="X601">
        <v>22411</v>
      </c>
      <c r="Z601">
        <v>0</v>
      </c>
      <c r="AA601" s="30">
        <v>0.51597222222222217</v>
      </c>
      <c r="AB601">
        <v>8</v>
      </c>
      <c r="AC601" t="s">
        <v>41</v>
      </c>
    </row>
    <row r="602" spans="1:29">
      <c r="A602" t="s">
        <v>1624</v>
      </c>
      <c r="B602" s="29">
        <v>46313.515439814815</v>
      </c>
      <c r="C602">
        <v>2782</v>
      </c>
      <c r="D602" t="s">
        <v>41</v>
      </c>
      <c r="E602">
        <v>13</v>
      </c>
      <c r="F602" t="s">
        <v>41</v>
      </c>
      <c r="G602" t="s">
        <v>41</v>
      </c>
      <c r="H602" t="s">
        <v>1914</v>
      </c>
      <c r="I602" s="29">
        <v>46313.516192129631</v>
      </c>
      <c r="J602" t="s">
        <v>41</v>
      </c>
      <c r="K602" s="29">
        <v>46313.516064814816</v>
      </c>
      <c r="L602">
        <v>10</v>
      </c>
      <c r="O602" s="29">
        <v>46313.515347222223</v>
      </c>
      <c r="P602" t="s">
        <v>43</v>
      </c>
      <c r="Q602" t="s">
        <v>1626</v>
      </c>
      <c r="R602" t="s">
        <v>1915</v>
      </c>
      <c r="S602">
        <v>4247</v>
      </c>
      <c r="T602" t="s">
        <v>41</v>
      </c>
      <c r="U602" s="29">
        <v>46313.523946759262</v>
      </c>
      <c r="V602" s="29">
        <v>46313.525092592594</v>
      </c>
      <c r="W602" t="s">
        <v>1916</v>
      </c>
      <c r="X602">
        <v>22411</v>
      </c>
      <c r="Z602">
        <v>0</v>
      </c>
      <c r="AA602" s="30">
        <v>0.51527777777777783</v>
      </c>
      <c r="AB602">
        <v>13</v>
      </c>
      <c r="AC602" t="s">
        <v>41</v>
      </c>
    </row>
    <row r="603" spans="1:29">
      <c r="A603" t="s">
        <v>1365</v>
      </c>
      <c r="B603" s="29">
        <v>46313.515277777777</v>
      </c>
      <c r="C603">
        <v>1637</v>
      </c>
      <c r="D603" t="s">
        <v>41</v>
      </c>
      <c r="E603">
        <v>4</v>
      </c>
      <c r="F603" t="s">
        <v>41</v>
      </c>
      <c r="G603" t="s">
        <v>41</v>
      </c>
      <c r="H603" t="s">
        <v>1917</v>
      </c>
      <c r="I603" s="29">
        <v>46313.516840277778</v>
      </c>
      <c r="J603" t="s">
        <v>41</v>
      </c>
      <c r="K603" s="29">
        <v>46313.516655092593</v>
      </c>
      <c r="L603">
        <v>15</v>
      </c>
      <c r="O603" s="29">
        <v>46313.515138888892</v>
      </c>
      <c r="P603" t="s">
        <v>43</v>
      </c>
      <c r="Q603" t="s">
        <v>1367</v>
      </c>
      <c r="R603" t="s">
        <v>1918</v>
      </c>
      <c r="S603">
        <v>4247</v>
      </c>
      <c r="T603" t="s">
        <v>41</v>
      </c>
      <c r="U603" s="29">
        <v>46313.521805555552</v>
      </c>
      <c r="V603" s="29">
        <v>46313.519270833334</v>
      </c>
      <c r="W603" t="s">
        <v>1919</v>
      </c>
      <c r="X603">
        <v>22411</v>
      </c>
      <c r="Z603">
        <v>0</v>
      </c>
      <c r="AA603" s="30">
        <v>0.51458333333333328</v>
      </c>
      <c r="AB603">
        <v>4</v>
      </c>
      <c r="AC603" t="s">
        <v>41</v>
      </c>
    </row>
    <row r="604" spans="1:29">
      <c r="A604" t="s">
        <v>1171</v>
      </c>
      <c r="B604" s="29">
        <v>46313.51390046296</v>
      </c>
      <c r="C604">
        <v>2072</v>
      </c>
      <c r="D604" t="s">
        <v>41</v>
      </c>
      <c r="E604">
        <v>6</v>
      </c>
      <c r="F604" t="s">
        <v>41</v>
      </c>
      <c r="G604" t="s">
        <v>41</v>
      </c>
      <c r="H604" t="s">
        <v>1920</v>
      </c>
      <c r="I604" s="29">
        <v>46313.515208333331</v>
      </c>
      <c r="J604" t="s">
        <v>41</v>
      </c>
      <c r="K604" s="29">
        <v>46313.515057870369</v>
      </c>
      <c r="L604">
        <v>12</v>
      </c>
      <c r="O604" s="29">
        <v>46313.513749999998</v>
      </c>
      <c r="P604" t="s">
        <v>43</v>
      </c>
      <c r="Q604" t="s">
        <v>1173</v>
      </c>
      <c r="R604" t="s">
        <v>1921</v>
      </c>
      <c r="S604">
        <v>4247</v>
      </c>
      <c r="T604" t="s">
        <v>41</v>
      </c>
      <c r="U604" s="29">
        <v>46313.520462962966</v>
      </c>
      <c r="V604" s="29">
        <v>46313.519143518519</v>
      </c>
      <c r="W604" t="s">
        <v>1922</v>
      </c>
      <c r="X604">
        <v>22411</v>
      </c>
      <c r="Z604">
        <v>0</v>
      </c>
      <c r="AA604" s="30">
        <v>0.51388888888888895</v>
      </c>
      <c r="AB604">
        <v>6</v>
      </c>
      <c r="AC604" t="s">
        <v>41</v>
      </c>
    </row>
    <row r="605" spans="1:29">
      <c r="A605" t="s">
        <v>347</v>
      </c>
      <c r="B605" s="29">
        <v>46313.51185185185</v>
      </c>
      <c r="C605">
        <v>1067</v>
      </c>
      <c r="D605" t="s">
        <v>41</v>
      </c>
      <c r="E605">
        <v>3</v>
      </c>
      <c r="F605" t="s">
        <v>41</v>
      </c>
      <c r="G605" t="s">
        <v>41</v>
      </c>
      <c r="H605" t="s">
        <v>1923</v>
      </c>
      <c r="I605" s="29">
        <v>46313.514166666668</v>
      </c>
      <c r="J605" t="s">
        <v>41</v>
      </c>
      <c r="K605" s="29">
        <v>46313.514004629629</v>
      </c>
      <c r="L605">
        <v>13</v>
      </c>
      <c r="O605" s="29">
        <v>46313.511736111112</v>
      </c>
      <c r="P605" t="s">
        <v>43</v>
      </c>
      <c r="Q605" t="s">
        <v>349</v>
      </c>
      <c r="R605" t="s">
        <v>1924</v>
      </c>
      <c r="S605">
        <v>4247</v>
      </c>
      <c r="T605" t="s">
        <v>41</v>
      </c>
      <c r="U605" s="29">
        <v>46313.516851851855</v>
      </c>
      <c r="V605" s="29">
        <v>46313.516388888886</v>
      </c>
      <c r="W605" t="s">
        <v>1925</v>
      </c>
      <c r="X605">
        <v>22411</v>
      </c>
      <c r="Z605">
        <v>0</v>
      </c>
      <c r="AA605" s="30">
        <v>0.51180555555555551</v>
      </c>
      <c r="AB605">
        <v>3</v>
      </c>
      <c r="AC605" t="s">
        <v>41</v>
      </c>
    </row>
    <row r="606" spans="1:29">
      <c r="A606" t="s">
        <v>1592</v>
      </c>
      <c r="B606" s="29">
        <v>46313.511331018519</v>
      </c>
      <c r="C606">
        <v>2055</v>
      </c>
      <c r="D606" t="s">
        <v>41</v>
      </c>
      <c r="E606">
        <v>5</v>
      </c>
      <c r="F606" t="s">
        <v>41</v>
      </c>
      <c r="G606" t="s">
        <v>41</v>
      </c>
      <c r="H606" t="s">
        <v>1926</v>
      </c>
      <c r="I606" s="29">
        <v>46313.512430555558</v>
      </c>
      <c r="J606" t="s">
        <v>41</v>
      </c>
      <c r="K606" s="29">
        <v>46313.512175925927</v>
      </c>
      <c r="L606">
        <v>21</v>
      </c>
      <c r="O606" s="29">
        <v>46313.511250000003</v>
      </c>
      <c r="P606" t="s">
        <v>43</v>
      </c>
      <c r="Q606" t="s">
        <v>1594</v>
      </c>
      <c r="R606" t="s">
        <v>1927</v>
      </c>
      <c r="S606">
        <v>4247</v>
      </c>
      <c r="T606" t="s">
        <v>41</v>
      </c>
      <c r="U606" s="29">
        <v>46313.517476851855</v>
      </c>
      <c r="V606" s="29">
        <v>46313.5156712963</v>
      </c>
      <c r="W606" t="s">
        <v>1928</v>
      </c>
      <c r="X606">
        <v>22411</v>
      </c>
      <c r="Z606">
        <v>0</v>
      </c>
      <c r="AA606" s="30">
        <v>0.51111111111111118</v>
      </c>
      <c r="AB606">
        <v>5</v>
      </c>
      <c r="AC606" t="s">
        <v>41</v>
      </c>
    </row>
    <row r="607" spans="1:29">
      <c r="A607" t="s">
        <v>52</v>
      </c>
      <c r="B607" s="29">
        <v>46313.510509259257</v>
      </c>
      <c r="C607">
        <v>961</v>
      </c>
      <c r="D607" t="s">
        <v>41</v>
      </c>
      <c r="E607">
        <v>4</v>
      </c>
      <c r="F607" t="s">
        <v>41</v>
      </c>
      <c r="G607" t="s">
        <v>41</v>
      </c>
      <c r="H607" t="s">
        <v>1929</v>
      </c>
      <c r="I607" s="29">
        <v>46313.51190972222</v>
      </c>
      <c r="J607" t="s">
        <v>41</v>
      </c>
      <c r="K607" s="29">
        <v>46313.511770833335</v>
      </c>
      <c r="L607">
        <v>11</v>
      </c>
      <c r="O607" s="29">
        <v>46313.510324074072</v>
      </c>
      <c r="P607" t="s">
        <v>43</v>
      </c>
      <c r="Q607" t="s">
        <v>54</v>
      </c>
      <c r="R607" t="s">
        <v>1930</v>
      </c>
      <c r="S607">
        <v>4247</v>
      </c>
      <c r="T607" t="s">
        <v>41</v>
      </c>
      <c r="U607" s="29">
        <v>46313.515625</v>
      </c>
      <c r="V607" s="29">
        <v>46313.51421296296</v>
      </c>
      <c r="W607" t="s">
        <v>1931</v>
      </c>
      <c r="X607">
        <v>22411</v>
      </c>
      <c r="Z607">
        <v>0</v>
      </c>
      <c r="AA607" s="30">
        <v>0.51041666666666663</v>
      </c>
      <c r="AB607">
        <v>3</v>
      </c>
      <c r="AC607" t="s">
        <v>41</v>
      </c>
    </row>
    <row r="608" spans="1:29">
      <c r="A608" t="s">
        <v>379</v>
      </c>
      <c r="B608" s="29">
        <v>46313.510289351849</v>
      </c>
      <c r="C608">
        <v>2557</v>
      </c>
      <c r="D608" t="s">
        <v>41</v>
      </c>
      <c r="E608">
        <v>8</v>
      </c>
      <c r="F608" t="s">
        <v>41</v>
      </c>
      <c r="G608" t="s">
        <v>41</v>
      </c>
      <c r="H608" t="s">
        <v>1932</v>
      </c>
      <c r="I608" s="29">
        <v>46313.510879629626</v>
      </c>
      <c r="J608" t="s">
        <v>41</v>
      </c>
      <c r="K608" s="29">
        <v>46313.510648148149</v>
      </c>
      <c r="L608">
        <v>19</v>
      </c>
      <c r="O608" s="29">
        <v>46313.510092592594</v>
      </c>
      <c r="P608" t="s">
        <v>43</v>
      </c>
      <c r="Q608" t="s">
        <v>381</v>
      </c>
      <c r="R608" t="s">
        <v>1933</v>
      </c>
      <c r="S608">
        <v>4247</v>
      </c>
      <c r="T608" t="s">
        <v>41</v>
      </c>
      <c r="U608" s="29">
        <v>46313.517013888886</v>
      </c>
      <c r="V608" s="29">
        <v>46313.516446759262</v>
      </c>
      <c r="W608" t="s">
        <v>1934</v>
      </c>
      <c r="X608">
        <v>22411</v>
      </c>
      <c r="Z608">
        <v>0</v>
      </c>
      <c r="AA608" s="30">
        <v>0.50972222222222219</v>
      </c>
      <c r="AB608">
        <v>8</v>
      </c>
      <c r="AC608" t="s">
        <v>41</v>
      </c>
    </row>
    <row r="609" spans="1:29">
      <c r="A609" t="s">
        <v>655</v>
      </c>
      <c r="B609" s="29">
        <v>46313.51021990741</v>
      </c>
      <c r="C609">
        <v>1819</v>
      </c>
      <c r="D609" t="s">
        <v>41</v>
      </c>
      <c r="E609">
        <v>6</v>
      </c>
      <c r="F609" t="s">
        <v>41</v>
      </c>
      <c r="G609" t="s">
        <v>41</v>
      </c>
      <c r="H609" t="s">
        <v>1935</v>
      </c>
      <c r="I609" s="29">
        <v>46313.510717592595</v>
      </c>
      <c r="J609" t="s">
        <v>41</v>
      </c>
      <c r="K609" s="29">
        <v>46313.51048611111</v>
      </c>
      <c r="L609">
        <v>19</v>
      </c>
      <c r="O609" s="29">
        <v>46313.510046296295</v>
      </c>
      <c r="P609" t="s">
        <v>43</v>
      </c>
      <c r="Q609" t="s">
        <v>657</v>
      </c>
      <c r="R609" t="s">
        <v>1936</v>
      </c>
      <c r="S609">
        <v>4247</v>
      </c>
      <c r="T609" t="s">
        <v>41</v>
      </c>
      <c r="U609" s="29">
        <v>46313.516145833331</v>
      </c>
      <c r="V609" s="29">
        <v>46313.514652777776</v>
      </c>
      <c r="W609" t="s">
        <v>1937</v>
      </c>
      <c r="X609">
        <v>22411</v>
      </c>
      <c r="Z609">
        <v>0</v>
      </c>
      <c r="AA609" s="30">
        <v>0.50972222222222219</v>
      </c>
      <c r="AB609">
        <v>6</v>
      </c>
      <c r="AC609" t="s">
        <v>41</v>
      </c>
    </row>
    <row r="610" spans="1:29">
      <c r="A610" t="s">
        <v>1136</v>
      </c>
      <c r="B610" s="29">
        <v>46313.508483796293</v>
      </c>
      <c r="C610">
        <v>2163</v>
      </c>
      <c r="D610" t="s">
        <v>41</v>
      </c>
      <c r="E610">
        <v>8</v>
      </c>
      <c r="F610" t="s">
        <v>41</v>
      </c>
      <c r="G610" t="s">
        <v>41</v>
      </c>
      <c r="H610" t="s">
        <v>1938</v>
      </c>
      <c r="I610" s="29">
        <v>46313.510196759256</v>
      </c>
      <c r="J610" t="s">
        <v>41</v>
      </c>
      <c r="K610" s="29">
        <v>46313.50984953704</v>
      </c>
      <c r="L610">
        <v>29</v>
      </c>
      <c r="O610" s="29">
        <v>46313.508321759262</v>
      </c>
      <c r="P610" t="s">
        <v>43</v>
      </c>
      <c r="Q610" t="s">
        <v>1138</v>
      </c>
      <c r="R610" t="s">
        <v>1939</v>
      </c>
      <c r="S610">
        <v>4247</v>
      </c>
      <c r="T610" t="s">
        <v>41</v>
      </c>
      <c r="U610" s="29">
        <v>46313.516585648147</v>
      </c>
      <c r="V610" s="29">
        <v>46313.515104166669</v>
      </c>
      <c r="W610" t="s">
        <v>1940</v>
      </c>
      <c r="X610">
        <v>22411</v>
      </c>
      <c r="Z610">
        <v>0</v>
      </c>
      <c r="AA610" s="30">
        <v>0.5083333333333333</v>
      </c>
      <c r="AB610">
        <v>7</v>
      </c>
      <c r="AC610" t="s">
        <v>41</v>
      </c>
    </row>
    <row r="611" spans="1:29">
      <c r="A611" t="s">
        <v>1310</v>
      </c>
      <c r="B611" s="29">
        <v>46313.50818287037</v>
      </c>
      <c r="C611">
        <v>2313</v>
      </c>
      <c r="D611" t="s">
        <v>41</v>
      </c>
      <c r="E611">
        <v>8</v>
      </c>
      <c r="F611" t="s">
        <v>41</v>
      </c>
      <c r="G611" t="s">
        <v>41</v>
      </c>
      <c r="H611" t="s">
        <v>1941</v>
      </c>
      <c r="I611" s="29">
        <v>46313.510231481479</v>
      </c>
      <c r="J611" t="s">
        <v>41</v>
      </c>
      <c r="K611" s="29">
        <v>46313.509525462963</v>
      </c>
      <c r="L611">
        <v>60</v>
      </c>
      <c r="O611" s="29">
        <v>46313.508090277777</v>
      </c>
      <c r="P611" t="s">
        <v>43</v>
      </c>
      <c r="Q611" t="s">
        <v>1312</v>
      </c>
      <c r="R611" t="s">
        <v>1942</v>
      </c>
      <c r="S611">
        <v>4247</v>
      </c>
      <c r="T611" t="s">
        <v>41</v>
      </c>
      <c r="U611" s="29">
        <v>46313.517488425925</v>
      </c>
      <c r="V611" s="29">
        <v>46313.514930555553</v>
      </c>
      <c r="W611" t="s">
        <v>1943</v>
      </c>
      <c r="X611">
        <v>22411</v>
      </c>
      <c r="Z611">
        <v>0</v>
      </c>
      <c r="AA611" s="30">
        <v>0.50763888888888886</v>
      </c>
      <c r="AB611">
        <v>7</v>
      </c>
      <c r="AC611" t="s">
        <v>41</v>
      </c>
    </row>
    <row r="612" spans="1:29">
      <c r="A612" t="s">
        <v>1461</v>
      </c>
      <c r="B612" s="29">
        <v>46313.507245370369</v>
      </c>
      <c r="C612">
        <v>2309</v>
      </c>
      <c r="D612" t="s">
        <v>41</v>
      </c>
      <c r="E612">
        <v>7</v>
      </c>
      <c r="F612" t="s">
        <v>41</v>
      </c>
      <c r="G612" t="s">
        <v>41</v>
      </c>
      <c r="H612" t="s">
        <v>1944</v>
      </c>
      <c r="I612" s="29">
        <v>46313.508483796293</v>
      </c>
      <c r="J612" t="s">
        <v>41</v>
      </c>
      <c r="K612" s="29">
        <v>46313.507905092592</v>
      </c>
      <c r="L612">
        <v>49</v>
      </c>
      <c r="O612" s="29">
        <v>46313.507013888891</v>
      </c>
      <c r="P612" t="s">
        <v>43</v>
      </c>
      <c r="Q612" t="s">
        <v>1463</v>
      </c>
      <c r="R612" t="s">
        <v>1945</v>
      </c>
      <c r="S612">
        <v>4247</v>
      </c>
      <c r="T612" t="s">
        <v>41</v>
      </c>
      <c r="U612" s="29">
        <v>46313.514861111114</v>
      </c>
      <c r="V612" s="29">
        <v>46313.512789351851</v>
      </c>
      <c r="W612" t="s">
        <v>1946</v>
      </c>
      <c r="X612">
        <v>22411</v>
      </c>
      <c r="Z612">
        <v>0</v>
      </c>
      <c r="AA612" s="30">
        <v>0.50694444444444442</v>
      </c>
      <c r="AB612">
        <v>6</v>
      </c>
      <c r="AC612" t="s">
        <v>41</v>
      </c>
    </row>
    <row r="613" spans="1:29">
      <c r="A613" t="s">
        <v>1391</v>
      </c>
      <c r="B613" s="29">
        <v>46313.504513888889</v>
      </c>
      <c r="C613">
        <v>1460</v>
      </c>
      <c r="D613" t="s">
        <v>41</v>
      </c>
      <c r="E613">
        <v>7</v>
      </c>
      <c r="F613" t="s">
        <v>41</v>
      </c>
      <c r="G613" t="s">
        <v>41</v>
      </c>
      <c r="H613" t="s">
        <v>1947</v>
      </c>
      <c r="I613" s="29">
        <v>46313.505231481482</v>
      </c>
      <c r="J613" t="s">
        <v>41</v>
      </c>
      <c r="K613" s="29">
        <v>46313.505057870374</v>
      </c>
      <c r="L613">
        <v>14</v>
      </c>
      <c r="O613" s="29">
        <v>46313.50445601852</v>
      </c>
      <c r="P613" t="s">
        <v>43</v>
      </c>
      <c r="Q613" t="s">
        <v>1393</v>
      </c>
      <c r="R613" t="s">
        <v>1948</v>
      </c>
      <c r="S613">
        <v>4247</v>
      </c>
      <c r="T613" t="s">
        <v>41</v>
      </c>
      <c r="U613" s="29">
        <v>46313.510092592594</v>
      </c>
      <c r="V613" s="29">
        <v>46313.510150462964</v>
      </c>
      <c r="W613" t="s">
        <v>1949</v>
      </c>
      <c r="X613">
        <v>22411</v>
      </c>
      <c r="Z613">
        <v>0</v>
      </c>
      <c r="AA613" s="30">
        <v>0.50416666666666665</v>
      </c>
      <c r="AB613">
        <v>7</v>
      </c>
      <c r="AC613" t="s">
        <v>41</v>
      </c>
    </row>
    <row r="614" spans="1:29">
      <c r="A614" t="s">
        <v>1336</v>
      </c>
      <c r="B614" s="29">
        <v>46313.503182870372</v>
      </c>
      <c r="C614">
        <v>2374</v>
      </c>
      <c r="D614" t="s">
        <v>41</v>
      </c>
      <c r="E614">
        <v>4</v>
      </c>
      <c r="F614" t="s">
        <v>41</v>
      </c>
      <c r="G614" t="s">
        <v>41</v>
      </c>
      <c r="H614" t="s">
        <v>1950</v>
      </c>
      <c r="I614" s="29">
        <v>46313.504282407404</v>
      </c>
      <c r="J614" t="s">
        <v>41</v>
      </c>
      <c r="K614" s="29">
        <v>46313.503946759258</v>
      </c>
      <c r="L614">
        <v>28</v>
      </c>
      <c r="O614" s="29">
        <v>46313.503009259257</v>
      </c>
      <c r="P614" t="s">
        <v>43</v>
      </c>
      <c r="Q614" t="s">
        <v>1338</v>
      </c>
      <c r="R614" t="s">
        <v>1951</v>
      </c>
      <c r="S614">
        <v>4247</v>
      </c>
      <c r="T614" t="s">
        <v>41</v>
      </c>
      <c r="U614" s="29">
        <v>46313.51185185185</v>
      </c>
      <c r="V614" s="29">
        <v>46313.506828703707</v>
      </c>
      <c r="W614" t="s">
        <v>1952</v>
      </c>
      <c r="X614">
        <v>22411</v>
      </c>
      <c r="Z614">
        <v>0</v>
      </c>
      <c r="AA614" s="30">
        <v>0.50277777777777777</v>
      </c>
      <c r="AB614">
        <v>4</v>
      </c>
      <c r="AC614" t="s">
        <v>41</v>
      </c>
    </row>
    <row r="615" spans="1:29">
      <c r="A615" t="s">
        <v>57</v>
      </c>
      <c r="B615" s="29">
        <v>46313.50304398148</v>
      </c>
      <c r="C615">
        <v>993</v>
      </c>
      <c r="D615" t="s">
        <v>41</v>
      </c>
      <c r="E615">
        <v>3</v>
      </c>
      <c r="F615" t="s">
        <v>41</v>
      </c>
      <c r="G615" t="s">
        <v>41</v>
      </c>
      <c r="H615" t="s">
        <v>1953</v>
      </c>
      <c r="I615" s="29">
        <v>46313.503645833334</v>
      </c>
      <c r="J615" t="s">
        <v>41</v>
      </c>
      <c r="K615" s="29">
        <v>46313.503530092596</v>
      </c>
      <c r="L615">
        <v>9</v>
      </c>
      <c r="O615" s="29">
        <v>46313.502893518518</v>
      </c>
      <c r="P615" t="s">
        <v>43</v>
      </c>
      <c r="Q615" t="s">
        <v>59</v>
      </c>
      <c r="R615" t="s">
        <v>1954</v>
      </c>
      <c r="S615">
        <v>4247</v>
      </c>
      <c r="T615" t="s">
        <v>41</v>
      </c>
      <c r="U615" s="29">
        <v>46313.506631944445</v>
      </c>
      <c r="V615" s="29">
        <v>46313.505324074074</v>
      </c>
      <c r="W615" t="s">
        <v>1955</v>
      </c>
      <c r="X615">
        <v>22411</v>
      </c>
      <c r="Z615">
        <v>0</v>
      </c>
      <c r="AA615" s="30">
        <v>0.50277777777777777</v>
      </c>
      <c r="AB615">
        <v>2</v>
      </c>
      <c r="AC615" t="s">
        <v>41</v>
      </c>
    </row>
    <row r="616" spans="1:29">
      <c r="A616" t="s">
        <v>1171</v>
      </c>
      <c r="B616" s="29">
        <v>46313.502511574072</v>
      </c>
      <c r="C616">
        <v>679</v>
      </c>
      <c r="D616" t="s">
        <v>41</v>
      </c>
      <c r="E616">
        <v>2</v>
      </c>
      <c r="F616" t="s">
        <v>41</v>
      </c>
      <c r="G616" t="s">
        <v>41</v>
      </c>
      <c r="H616" t="s">
        <v>1956</v>
      </c>
      <c r="I616" s="29">
        <v>46313.503206018519</v>
      </c>
      <c r="J616" t="s">
        <v>41</v>
      </c>
      <c r="K616" s="29">
        <v>46313.502905092595</v>
      </c>
      <c r="L616">
        <v>25</v>
      </c>
      <c r="O616" s="29">
        <v>46313.502430555556</v>
      </c>
      <c r="P616" t="s">
        <v>43</v>
      </c>
      <c r="Q616" t="s">
        <v>1173</v>
      </c>
      <c r="R616" t="s">
        <v>1957</v>
      </c>
      <c r="S616">
        <v>4247</v>
      </c>
      <c r="T616" t="s">
        <v>41</v>
      </c>
      <c r="U616" s="29">
        <v>46313.505162037036</v>
      </c>
      <c r="V616" s="29">
        <v>46313.504363425927</v>
      </c>
      <c r="W616" t="s">
        <v>1958</v>
      </c>
      <c r="X616">
        <v>22411</v>
      </c>
      <c r="Z616">
        <v>0</v>
      </c>
      <c r="AA616" s="30">
        <v>0.50208333333333333</v>
      </c>
      <c r="AB616">
        <v>2</v>
      </c>
      <c r="AC616" t="s">
        <v>41</v>
      </c>
    </row>
    <row r="617" spans="1:29">
      <c r="A617" t="s">
        <v>190</v>
      </c>
      <c r="B617" s="29">
        <v>46313.501770833333</v>
      </c>
      <c r="C617">
        <v>1329</v>
      </c>
      <c r="D617" t="s">
        <v>41</v>
      </c>
      <c r="E617">
        <v>4</v>
      </c>
      <c r="F617" t="s">
        <v>41</v>
      </c>
      <c r="G617" t="s">
        <v>41</v>
      </c>
      <c r="H617" t="s">
        <v>1959</v>
      </c>
      <c r="I617" s="29">
        <v>46313.502523148149</v>
      </c>
      <c r="J617" t="s">
        <v>41</v>
      </c>
      <c r="K617" s="29">
        <v>46313.502222222225</v>
      </c>
      <c r="L617">
        <v>25</v>
      </c>
      <c r="O617" s="29">
        <v>46313.501423611109</v>
      </c>
      <c r="P617" t="s">
        <v>43</v>
      </c>
      <c r="Q617" t="s">
        <v>192</v>
      </c>
      <c r="R617" t="s">
        <v>1960</v>
      </c>
      <c r="S617">
        <v>4247</v>
      </c>
      <c r="T617" t="s">
        <v>41</v>
      </c>
      <c r="U617" s="29">
        <v>46313.505844907406</v>
      </c>
      <c r="V617" s="29">
        <v>46313.504849537036</v>
      </c>
      <c r="W617" t="s">
        <v>1961</v>
      </c>
      <c r="X617">
        <v>22411</v>
      </c>
      <c r="Z617">
        <v>0</v>
      </c>
      <c r="AA617" s="30">
        <v>0.50138888888888888</v>
      </c>
      <c r="AB617">
        <v>3</v>
      </c>
      <c r="AC617" t="s">
        <v>41</v>
      </c>
    </row>
    <row r="618" spans="1:29">
      <c r="A618" t="s">
        <v>711</v>
      </c>
      <c r="B618" s="29">
        <v>46313.501423611109</v>
      </c>
      <c r="C618">
        <v>3599</v>
      </c>
      <c r="D618" t="s">
        <v>41</v>
      </c>
      <c r="E618">
        <v>12</v>
      </c>
      <c r="F618" t="s">
        <v>41</v>
      </c>
      <c r="G618" t="s">
        <v>41</v>
      </c>
      <c r="H618" t="s">
        <v>1962</v>
      </c>
      <c r="I618" s="29">
        <v>46313.501701388886</v>
      </c>
      <c r="J618" t="s">
        <v>41</v>
      </c>
      <c r="K618" s="29">
        <v>46313.500937500001</v>
      </c>
      <c r="L618">
        <v>24</v>
      </c>
      <c r="O618" s="29">
        <v>46313.500173611108</v>
      </c>
      <c r="P618" t="s">
        <v>43</v>
      </c>
      <c r="Q618" t="s">
        <v>713</v>
      </c>
      <c r="R618" t="s">
        <v>1963</v>
      </c>
      <c r="S618">
        <v>4247</v>
      </c>
      <c r="T618" t="s">
        <v>41</v>
      </c>
      <c r="U618" s="29">
        <v>46313.510069444441</v>
      </c>
      <c r="V618" s="29">
        <v>46313.509710648148</v>
      </c>
      <c r="W618" t="s">
        <v>1964</v>
      </c>
      <c r="X618">
        <v>22411</v>
      </c>
      <c r="Z618">
        <v>0</v>
      </c>
      <c r="AA618" s="30">
        <v>0.50138888888888888</v>
      </c>
      <c r="AB618">
        <v>12</v>
      </c>
      <c r="AC618" t="s">
        <v>41</v>
      </c>
    </row>
    <row r="619" spans="1:29">
      <c r="A619" t="s">
        <v>1965</v>
      </c>
      <c r="B619" s="29">
        <v>46313.501423611109</v>
      </c>
      <c r="C619">
        <v>2720</v>
      </c>
      <c r="D619" t="s">
        <v>41</v>
      </c>
      <c r="E619">
        <v>4</v>
      </c>
      <c r="F619" t="s">
        <v>41</v>
      </c>
      <c r="G619" t="s">
        <v>41</v>
      </c>
      <c r="H619" t="s">
        <v>1966</v>
      </c>
      <c r="I619" s="29">
        <v>46313.50271990741</v>
      </c>
      <c r="J619" t="s">
        <v>41</v>
      </c>
      <c r="K619" s="29">
        <v>46313.502546296295</v>
      </c>
      <c r="L619">
        <v>14</v>
      </c>
      <c r="O619" s="29">
        <v>46313.500011574077</v>
      </c>
      <c r="P619" t="s">
        <v>43</v>
      </c>
      <c r="Q619" t="s">
        <v>1967</v>
      </c>
      <c r="R619" t="s">
        <v>1968</v>
      </c>
      <c r="S619">
        <v>4247</v>
      </c>
      <c r="T619" t="s">
        <v>41</v>
      </c>
      <c r="U619" s="29">
        <v>46313.510023148148</v>
      </c>
      <c r="V619" s="29">
        <v>46313.505601851852</v>
      </c>
      <c r="W619" t="s">
        <v>1969</v>
      </c>
      <c r="X619">
        <v>22411</v>
      </c>
      <c r="Z619">
        <v>0</v>
      </c>
      <c r="AA619" s="30">
        <v>0.50138888888888888</v>
      </c>
      <c r="AB619">
        <v>4</v>
      </c>
      <c r="AC619" t="s">
        <v>41</v>
      </c>
    </row>
    <row r="620" spans="1:29">
      <c r="A620" t="s">
        <v>62</v>
      </c>
      <c r="B620" s="29">
        <v>46313.501284722224</v>
      </c>
      <c r="C620">
        <v>2641</v>
      </c>
      <c r="D620" t="s">
        <v>41</v>
      </c>
      <c r="E620">
        <v>9</v>
      </c>
      <c r="F620" t="s">
        <v>41</v>
      </c>
      <c r="G620" t="s">
        <v>41</v>
      </c>
      <c r="H620" t="s">
        <v>1970</v>
      </c>
      <c r="I620" s="29">
        <v>46313.501516203702</v>
      </c>
      <c r="J620" t="s">
        <v>41</v>
      </c>
      <c r="K620" s="29">
        <v>46313.500115740739</v>
      </c>
      <c r="L620">
        <v>21</v>
      </c>
      <c r="O620" s="29">
        <v>46313.499618055554</v>
      </c>
      <c r="P620" t="s">
        <v>43</v>
      </c>
      <c r="Q620" t="s">
        <v>64</v>
      </c>
      <c r="R620" t="s">
        <v>1971</v>
      </c>
      <c r="S620">
        <v>4247</v>
      </c>
      <c r="T620" t="s">
        <v>41</v>
      </c>
      <c r="U620" s="29">
        <v>46313.508715277778</v>
      </c>
      <c r="V620" s="29">
        <v>46313.507187499999</v>
      </c>
      <c r="W620" t="s">
        <v>1972</v>
      </c>
      <c r="X620">
        <v>22411</v>
      </c>
      <c r="Z620">
        <v>0</v>
      </c>
      <c r="AA620" s="30">
        <v>0.50069444444444444</v>
      </c>
      <c r="AB620">
        <v>8</v>
      </c>
      <c r="AC620" t="s">
        <v>41</v>
      </c>
    </row>
    <row r="621" spans="1:29">
      <c r="A621" t="s">
        <v>67</v>
      </c>
      <c r="B621" s="29">
        <v>46313.50068287037</v>
      </c>
      <c r="C621">
        <v>2035</v>
      </c>
      <c r="D621" t="s">
        <v>41</v>
      </c>
      <c r="E621">
        <v>5</v>
      </c>
      <c r="F621" t="s">
        <v>41</v>
      </c>
      <c r="G621" t="s">
        <v>41</v>
      </c>
      <c r="H621" t="s">
        <v>1973</v>
      </c>
      <c r="I621" s="29">
        <v>46313.500914351855</v>
      </c>
      <c r="J621" t="s">
        <v>41</v>
      </c>
      <c r="K621" s="29">
        <v>46313.499976851854</v>
      </c>
      <c r="L621">
        <v>21</v>
      </c>
      <c r="O621" s="29">
        <v>46313.499328703707</v>
      </c>
      <c r="P621" t="s">
        <v>43</v>
      </c>
      <c r="Q621" t="s">
        <v>69</v>
      </c>
      <c r="R621" t="s">
        <v>1974</v>
      </c>
      <c r="S621">
        <v>4247</v>
      </c>
      <c r="T621" t="s">
        <v>41</v>
      </c>
      <c r="U621" s="29">
        <v>46313.507326388892</v>
      </c>
      <c r="V621" s="29">
        <v>46313.503831018519</v>
      </c>
      <c r="W621" t="s">
        <v>1975</v>
      </c>
      <c r="X621">
        <v>22411</v>
      </c>
      <c r="Z621">
        <v>0</v>
      </c>
      <c r="AA621" s="30">
        <v>0.5</v>
      </c>
      <c r="AB621">
        <v>4</v>
      </c>
      <c r="AC621" t="s">
        <v>41</v>
      </c>
    </row>
    <row r="622" spans="1:29">
      <c r="A622" t="s">
        <v>655</v>
      </c>
      <c r="B622" s="29">
        <v>46313.500451388885</v>
      </c>
      <c r="C622">
        <v>229</v>
      </c>
      <c r="D622" t="s">
        <v>41</v>
      </c>
      <c r="E622">
        <v>1</v>
      </c>
      <c r="F622" t="s">
        <v>41</v>
      </c>
      <c r="G622" t="s">
        <v>41</v>
      </c>
      <c r="H622" t="s">
        <v>1976</v>
      </c>
      <c r="I622" s="29">
        <v>46313.500671296293</v>
      </c>
      <c r="J622" t="s">
        <v>41</v>
      </c>
      <c r="K622" s="29">
        <v>46313.499849537038</v>
      </c>
      <c r="L622">
        <v>19</v>
      </c>
      <c r="O622" s="29">
        <v>46313.499039351853</v>
      </c>
      <c r="P622" t="s">
        <v>43</v>
      </c>
      <c r="Q622" t="s">
        <v>657</v>
      </c>
      <c r="R622" t="s">
        <v>1977</v>
      </c>
      <c r="S622">
        <v>4247</v>
      </c>
      <c r="T622" t="s">
        <v>41</v>
      </c>
      <c r="U622" s="29">
        <v>46313.502025462964</v>
      </c>
      <c r="V622" s="29">
        <v>46313.501064814816</v>
      </c>
      <c r="W622" t="s">
        <v>1978</v>
      </c>
      <c r="X622">
        <v>22411</v>
      </c>
      <c r="Z622">
        <v>0</v>
      </c>
      <c r="AA622" s="30">
        <v>0.5</v>
      </c>
      <c r="AB622">
        <v>1</v>
      </c>
      <c r="AC622" t="s">
        <v>41</v>
      </c>
    </row>
    <row r="623" spans="1:29">
      <c r="A623" t="s">
        <v>185</v>
      </c>
      <c r="B623" s="29">
        <v>46313.500069444446</v>
      </c>
      <c r="C623">
        <v>1363</v>
      </c>
      <c r="D623" t="s">
        <v>41</v>
      </c>
      <c r="E623">
        <v>5</v>
      </c>
      <c r="F623" t="s">
        <v>41</v>
      </c>
      <c r="G623" t="s">
        <v>41</v>
      </c>
      <c r="H623" t="s">
        <v>1979</v>
      </c>
      <c r="I623" s="29">
        <v>46313.500300925924</v>
      </c>
      <c r="J623" t="s">
        <v>41</v>
      </c>
      <c r="K623" s="29">
        <v>46313.499756944446</v>
      </c>
      <c r="L623">
        <v>20</v>
      </c>
      <c r="O623" s="29">
        <v>46313.498900462961</v>
      </c>
      <c r="P623" t="s">
        <v>43</v>
      </c>
      <c r="Q623" t="s">
        <v>3007</v>
      </c>
      <c r="R623" t="s">
        <v>1980</v>
      </c>
      <c r="S623">
        <v>4247</v>
      </c>
      <c r="T623" t="s">
        <v>41</v>
      </c>
      <c r="U623" s="29">
        <v>46313.505057870374</v>
      </c>
      <c r="V623" s="29">
        <v>46313.50335648148</v>
      </c>
      <c r="W623" t="s">
        <v>1981</v>
      </c>
      <c r="X623">
        <v>22411</v>
      </c>
      <c r="Z623">
        <v>0</v>
      </c>
      <c r="AA623" s="30">
        <v>0.5</v>
      </c>
      <c r="AB623">
        <v>4</v>
      </c>
      <c r="AC623" t="s">
        <v>41</v>
      </c>
    </row>
    <row r="624" spans="1:29">
      <c r="A624" t="s">
        <v>93</v>
      </c>
      <c r="B624" s="29">
        <v>46313.499803240738</v>
      </c>
      <c r="C624">
        <v>2532</v>
      </c>
      <c r="D624" t="s">
        <v>41</v>
      </c>
      <c r="E624">
        <v>11</v>
      </c>
      <c r="F624" t="s">
        <v>41</v>
      </c>
      <c r="G624" t="s">
        <v>41</v>
      </c>
      <c r="H624" t="s">
        <v>1982</v>
      </c>
      <c r="I624" s="29">
        <v>46313.500162037039</v>
      </c>
      <c r="J624" t="s">
        <v>41</v>
      </c>
      <c r="K624" s="29">
        <v>46313.499907407408</v>
      </c>
      <c r="L624">
        <v>21</v>
      </c>
      <c r="O624" s="29">
        <v>46313.498530092591</v>
      </c>
      <c r="P624" t="s">
        <v>43</v>
      </c>
      <c r="Q624" t="s">
        <v>95</v>
      </c>
      <c r="R624" t="s">
        <v>1983</v>
      </c>
      <c r="S624">
        <v>4247</v>
      </c>
      <c r="T624" t="s">
        <v>41</v>
      </c>
      <c r="U624" s="29">
        <v>46313.506898148145</v>
      </c>
      <c r="V624" s="29">
        <v>46313.507673611108</v>
      </c>
      <c r="W624" t="s">
        <v>1984</v>
      </c>
      <c r="X624">
        <v>22411</v>
      </c>
      <c r="Z624">
        <v>0</v>
      </c>
      <c r="AA624" s="30">
        <v>0.4993055555555555</v>
      </c>
      <c r="AB624">
        <v>11</v>
      </c>
      <c r="AC624" t="s">
        <v>41</v>
      </c>
    </row>
    <row r="625" spans="1:29">
      <c r="A625" t="s">
        <v>52</v>
      </c>
      <c r="B625" s="29">
        <v>46313.498645833337</v>
      </c>
      <c r="C625">
        <v>138</v>
      </c>
      <c r="D625" t="s">
        <v>41</v>
      </c>
      <c r="E625">
        <v>0</v>
      </c>
      <c r="F625" t="s">
        <v>41</v>
      </c>
      <c r="G625" t="s">
        <v>41</v>
      </c>
      <c r="H625" t="s">
        <v>1985</v>
      </c>
      <c r="I625" s="29">
        <v>46313.499305555553</v>
      </c>
      <c r="J625" t="s">
        <v>41</v>
      </c>
      <c r="K625" s="29">
        <v>46313.499131944445</v>
      </c>
      <c r="L625">
        <v>14</v>
      </c>
      <c r="O625" s="29">
        <v>46313.498171296298</v>
      </c>
      <c r="P625" t="s">
        <v>43</v>
      </c>
      <c r="Q625" t="s">
        <v>54</v>
      </c>
      <c r="R625" t="s">
        <v>1986</v>
      </c>
      <c r="S625">
        <v>4247</v>
      </c>
      <c r="T625" t="s">
        <v>41</v>
      </c>
      <c r="U625" s="29">
        <v>46313.500243055554</v>
      </c>
      <c r="V625" s="29">
        <v>46313.499432870369</v>
      </c>
      <c r="W625" t="s">
        <v>1987</v>
      </c>
      <c r="X625">
        <v>22411</v>
      </c>
      <c r="Z625">
        <v>0</v>
      </c>
      <c r="AA625" s="30">
        <v>0.49861111111111112</v>
      </c>
      <c r="AB625">
        <v>0</v>
      </c>
      <c r="AC625" t="s">
        <v>41</v>
      </c>
    </row>
    <row r="626" spans="1:29">
      <c r="A626" t="s">
        <v>177</v>
      </c>
      <c r="B626" s="29">
        <v>46313.498495370368</v>
      </c>
      <c r="C626">
        <v>1416</v>
      </c>
      <c r="D626" t="s">
        <v>41</v>
      </c>
      <c r="E626">
        <v>4</v>
      </c>
      <c r="F626" t="s">
        <v>41</v>
      </c>
      <c r="G626" t="s">
        <v>41</v>
      </c>
      <c r="H626" t="s">
        <v>1988</v>
      </c>
      <c r="I626" s="29">
        <v>46313.500081018516</v>
      </c>
      <c r="J626" t="s">
        <v>41</v>
      </c>
      <c r="K626" s="29">
        <v>46313.4999537037</v>
      </c>
      <c r="L626">
        <v>10</v>
      </c>
      <c r="O626" s="29">
        <v>46313.497303240743</v>
      </c>
      <c r="P626" t="s">
        <v>43</v>
      </c>
      <c r="Q626" t="s">
        <v>179</v>
      </c>
      <c r="R626" t="s">
        <v>1989</v>
      </c>
      <c r="S626">
        <v>4247</v>
      </c>
      <c r="T626" t="s">
        <v>41</v>
      </c>
      <c r="U626" s="29">
        <v>46313.504930555559</v>
      </c>
      <c r="V626" s="29">
        <v>46313.502962962964</v>
      </c>
      <c r="W626" t="s">
        <v>1990</v>
      </c>
      <c r="X626">
        <v>22411</v>
      </c>
      <c r="Z626">
        <v>0</v>
      </c>
      <c r="AA626" s="30">
        <v>0.49791666666666662</v>
      </c>
      <c r="AB626">
        <v>4</v>
      </c>
      <c r="AC626" t="s">
        <v>41</v>
      </c>
    </row>
    <row r="627" spans="1:29">
      <c r="A627" t="s">
        <v>347</v>
      </c>
      <c r="B627" s="29">
        <v>46313.496689814812</v>
      </c>
      <c r="C627">
        <v>1344</v>
      </c>
      <c r="D627" t="s">
        <v>41</v>
      </c>
      <c r="E627">
        <v>3</v>
      </c>
      <c r="F627" t="s">
        <v>41</v>
      </c>
      <c r="G627" t="s">
        <v>41</v>
      </c>
      <c r="H627" t="s">
        <v>1991</v>
      </c>
      <c r="I627" s="29">
        <v>46313.496805555558</v>
      </c>
      <c r="J627" t="s">
        <v>41</v>
      </c>
      <c r="K627" s="29">
        <v>46313.496574074074</v>
      </c>
      <c r="L627">
        <v>10</v>
      </c>
      <c r="O627" s="29">
        <v>46313.496168981481</v>
      </c>
      <c r="P627" t="s">
        <v>43</v>
      </c>
      <c r="Q627" t="s">
        <v>349</v>
      </c>
      <c r="R627" t="s">
        <v>1992</v>
      </c>
      <c r="S627">
        <v>4247</v>
      </c>
      <c r="T627" t="s">
        <v>41</v>
      </c>
      <c r="U627" s="29">
        <v>46313.500081018516</v>
      </c>
      <c r="V627" s="29">
        <v>46313.498981481483</v>
      </c>
      <c r="W627" t="s">
        <v>1993</v>
      </c>
      <c r="X627">
        <v>22411</v>
      </c>
      <c r="Z627">
        <v>0</v>
      </c>
      <c r="AA627" s="30">
        <v>0.49652777777777773</v>
      </c>
      <c r="AB627">
        <v>3</v>
      </c>
      <c r="AC627" t="s">
        <v>41</v>
      </c>
    </row>
    <row r="628" spans="1:29">
      <c r="A628" t="s">
        <v>93</v>
      </c>
      <c r="B628" s="29">
        <v>46313.495798611111</v>
      </c>
      <c r="C628">
        <v>356</v>
      </c>
      <c r="D628" t="s">
        <v>41</v>
      </c>
      <c r="E628">
        <v>1</v>
      </c>
      <c r="F628" t="s">
        <v>41</v>
      </c>
      <c r="G628" t="s">
        <v>41</v>
      </c>
      <c r="H628" t="s">
        <v>1994</v>
      </c>
      <c r="I628" s="29">
        <v>46313.496412037035</v>
      </c>
      <c r="J628" t="s">
        <v>41</v>
      </c>
      <c r="K628" s="29">
        <v>46313.496249999997</v>
      </c>
      <c r="L628">
        <v>13</v>
      </c>
      <c r="O628" s="29">
        <v>46313.495555555557</v>
      </c>
      <c r="P628" t="s">
        <v>43</v>
      </c>
      <c r="Q628" t="s">
        <v>95</v>
      </c>
      <c r="R628" t="s">
        <v>1995</v>
      </c>
      <c r="S628">
        <v>4247</v>
      </c>
      <c r="T628" t="s">
        <v>41</v>
      </c>
      <c r="U628" s="29">
        <v>46313.498287037037</v>
      </c>
      <c r="V628" s="29">
        <v>46313.49690972222</v>
      </c>
      <c r="W628" t="s">
        <v>1996</v>
      </c>
      <c r="X628">
        <v>22411</v>
      </c>
      <c r="Z628">
        <v>0</v>
      </c>
      <c r="AA628" s="30">
        <v>0.49513888888888885</v>
      </c>
      <c r="AB628">
        <v>1</v>
      </c>
      <c r="AC628" t="s">
        <v>41</v>
      </c>
    </row>
    <row r="629" spans="1:29">
      <c r="A629" t="s">
        <v>1461</v>
      </c>
      <c r="B629" s="29">
        <v>46313.495185185187</v>
      </c>
      <c r="C629">
        <v>1088</v>
      </c>
      <c r="D629" t="s">
        <v>41</v>
      </c>
      <c r="E629">
        <v>4</v>
      </c>
      <c r="F629" t="s">
        <v>41</v>
      </c>
      <c r="G629" t="s">
        <v>41</v>
      </c>
      <c r="H629" t="s">
        <v>1997</v>
      </c>
      <c r="I629" s="29">
        <v>46313.496006944442</v>
      </c>
      <c r="J629" t="s">
        <v>41</v>
      </c>
      <c r="K629" s="29">
        <v>46313.495856481481</v>
      </c>
      <c r="L629">
        <v>12</v>
      </c>
      <c r="O629" s="29">
        <v>46313.495138888888</v>
      </c>
      <c r="P629" t="s">
        <v>43</v>
      </c>
      <c r="Q629" t="s">
        <v>1463</v>
      </c>
      <c r="R629" t="s">
        <v>1998</v>
      </c>
      <c r="S629">
        <v>4247</v>
      </c>
      <c r="T629" t="s">
        <v>41</v>
      </c>
      <c r="U629" s="29">
        <v>46313.499224537038</v>
      </c>
      <c r="V629" s="29">
        <v>46313.498310185183</v>
      </c>
      <c r="W629" t="s">
        <v>1999</v>
      </c>
      <c r="X629">
        <v>22411</v>
      </c>
      <c r="Z629">
        <v>0</v>
      </c>
      <c r="AA629" s="30">
        <v>0.49513888888888885</v>
      </c>
      <c r="AB629">
        <v>3</v>
      </c>
      <c r="AC629" t="s">
        <v>41</v>
      </c>
    </row>
    <row r="630" spans="1:29">
      <c r="A630" t="s">
        <v>1336</v>
      </c>
      <c r="B630" s="29">
        <v>46313.495196759257</v>
      </c>
      <c r="C630">
        <v>436</v>
      </c>
      <c r="D630" t="s">
        <v>41</v>
      </c>
      <c r="E630">
        <v>2</v>
      </c>
      <c r="F630" t="s">
        <v>41</v>
      </c>
      <c r="G630" t="s">
        <v>41</v>
      </c>
      <c r="H630" t="s">
        <v>2000</v>
      </c>
      <c r="I630" s="29">
        <v>46313.496261574073</v>
      </c>
      <c r="J630" t="s">
        <v>41</v>
      </c>
      <c r="K630" s="29">
        <v>46313.496134259258</v>
      </c>
      <c r="L630">
        <v>10</v>
      </c>
      <c r="O630" s="29">
        <v>46313.495069444441</v>
      </c>
      <c r="P630" t="s">
        <v>43</v>
      </c>
      <c r="Q630" t="s">
        <v>1338</v>
      </c>
      <c r="R630" t="s">
        <v>2001</v>
      </c>
      <c r="S630">
        <v>4247</v>
      </c>
      <c r="T630" t="s">
        <v>41</v>
      </c>
      <c r="U630" s="29">
        <v>46313.498391203706</v>
      </c>
      <c r="V630" s="29">
        <v>46313.49726851852</v>
      </c>
      <c r="W630" t="s">
        <v>2002</v>
      </c>
      <c r="X630">
        <v>22411</v>
      </c>
      <c r="Z630">
        <v>0</v>
      </c>
      <c r="AA630" s="30">
        <v>0.49513888888888885</v>
      </c>
      <c r="AB630">
        <v>1</v>
      </c>
      <c r="AC630" t="s">
        <v>41</v>
      </c>
    </row>
    <row r="631" spans="1:29">
      <c r="A631" t="s">
        <v>62</v>
      </c>
      <c r="B631" s="29">
        <v>46313.494780092595</v>
      </c>
      <c r="C631">
        <v>356</v>
      </c>
      <c r="D631" t="s">
        <v>41</v>
      </c>
      <c r="E631">
        <v>2</v>
      </c>
      <c r="F631" t="s">
        <v>41</v>
      </c>
      <c r="G631" t="s">
        <v>41</v>
      </c>
      <c r="H631" t="s">
        <v>2000</v>
      </c>
      <c r="I631" s="29">
        <v>46313.496886574074</v>
      </c>
      <c r="J631" t="s">
        <v>41</v>
      </c>
      <c r="K631" s="29">
        <v>46313.496631944443</v>
      </c>
      <c r="L631">
        <v>21</v>
      </c>
      <c r="O631" s="29">
        <v>46313.494641203702</v>
      </c>
      <c r="P631" t="s">
        <v>43</v>
      </c>
      <c r="Q631" t="s">
        <v>64</v>
      </c>
      <c r="R631" t="s">
        <v>2003</v>
      </c>
      <c r="S631">
        <v>4247</v>
      </c>
      <c r="T631" t="s">
        <v>41</v>
      </c>
      <c r="U631" s="29">
        <v>46313.498749999999</v>
      </c>
      <c r="V631" s="29">
        <v>46313.498032407406</v>
      </c>
      <c r="W631" t="s">
        <v>2004</v>
      </c>
      <c r="X631">
        <v>22411</v>
      </c>
      <c r="Z631">
        <v>0</v>
      </c>
      <c r="AA631" s="30">
        <v>0.49444444444444446</v>
      </c>
      <c r="AB631">
        <v>2</v>
      </c>
      <c r="AC631" t="s">
        <v>41</v>
      </c>
    </row>
    <row r="632" spans="1:29">
      <c r="A632" t="s">
        <v>1592</v>
      </c>
      <c r="B632" s="29">
        <v>46313.49386574074</v>
      </c>
      <c r="C632">
        <v>1997</v>
      </c>
      <c r="D632" t="s">
        <v>41</v>
      </c>
      <c r="E632">
        <v>5</v>
      </c>
      <c r="F632" t="s">
        <v>41</v>
      </c>
      <c r="G632" t="s">
        <v>41</v>
      </c>
      <c r="H632" t="s">
        <v>2005</v>
      </c>
      <c r="I632" s="29">
        <v>46313.495150462964</v>
      </c>
      <c r="J632" t="s">
        <v>41</v>
      </c>
      <c r="K632" s="29">
        <v>46313.494837962964</v>
      </c>
      <c r="L632">
        <v>26</v>
      </c>
      <c r="O632" s="29">
        <v>46313.493680555555</v>
      </c>
      <c r="P632" t="s">
        <v>43</v>
      </c>
      <c r="Q632" t="s">
        <v>1594</v>
      </c>
      <c r="R632" t="s">
        <v>2006</v>
      </c>
      <c r="S632">
        <v>4247</v>
      </c>
      <c r="T632" t="s">
        <v>41</v>
      </c>
      <c r="U632" s="29">
        <v>46313.500254629631</v>
      </c>
      <c r="V632" s="29">
        <v>46313.498564814814</v>
      </c>
      <c r="W632" t="s">
        <v>2007</v>
      </c>
      <c r="X632">
        <v>22411</v>
      </c>
      <c r="Z632">
        <v>0</v>
      </c>
      <c r="AA632" s="30">
        <v>0.49374999999999997</v>
      </c>
      <c r="AB632">
        <v>5</v>
      </c>
      <c r="AC632" t="s">
        <v>41</v>
      </c>
    </row>
    <row r="633" spans="1:29">
      <c r="A633" t="s">
        <v>177</v>
      </c>
      <c r="B633" s="29">
        <v>46313.493287037039</v>
      </c>
      <c r="C633">
        <v>588</v>
      </c>
      <c r="D633" t="s">
        <v>41</v>
      </c>
      <c r="E633">
        <v>2</v>
      </c>
      <c r="F633" t="s">
        <v>41</v>
      </c>
      <c r="G633" t="s">
        <v>41</v>
      </c>
      <c r="H633" t="s">
        <v>2008</v>
      </c>
      <c r="I633" s="29">
        <v>46313.494039351855</v>
      </c>
      <c r="J633" t="s">
        <v>41</v>
      </c>
      <c r="K633" s="29">
        <v>46313.493692129632</v>
      </c>
      <c r="L633">
        <v>29</v>
      </c>
      <c r="O633" s="29">
        <v>46313.493171296293</v>
      </c>
      <c r="P633" t="s">
        <v>43</v>
      </c>
      <c r="Q633" t="s">
        <v>179</v>
      </c>
      <c r="R633" t="s">
        <v>2009</v>
      </c>
      <c r="S633">
        <v>4247</v>
      </c>
      <c r="T633" t="s">
        <v>41</v>
      </c>
      <c r="U633" s="29">
        <v>46313.496053240742</v>
      </c>
      <c r="V633" s="29">
        <v>46313.495046296295</v>
      </c>
      <c r="W633" t="s">
        <v>2010</v>
      </c>
      <c r="X633">
        <v>22411</v>
      </c>
      <c r="Z633">
        <v>0</v>
      </c>
      <c r="AA633" s="30">
        <v>0.49305555555555558</v>
      </c>
      <c r="AB633">
        <v>1</v>
      </c>
      <c r="AC633" t="s">
        <v>41</v>
      </c>
    </row>
    <row r="634" spans="1:29">
      <c r="A634" t="s">
        <v>1365</v>
      </c>
      <c r="B634" s="29">
        <v>46313.4925</v>
      </c>
      <c r="C634">
        <v>2027</v>
      </c>
      <c r="D634" t="s">
        <v>41</v>
      </c>
      <c r="E634">
        <v>5</v>
      </c>
      <c r="F634" t="s">
        <v>41</v>
      </c>
      <c r="G634" t="s">
        <v>41</v>
      </c>
      <c r="H634" t="s">
        <v>2011</v>
      </c>
      <c r="I634" s="29">
        <v>46313.494814814818</v>
      </c>
      <c r="J634" t="s">
        <v>41</v>
      </c>
      <c r="K634" s="29">
        <v>46313.494490740741</v>
      </c>
      <c r="L634">
        <v>27</v>
      </c>
      <c r="O634" s="29">
        <v>46313.492361111108</v>
      </c>
      <c r="P634" t="s">
        <v>43</v>
      </c>
      <c r="Q634" t="s">
        <v>1367</v>
      </c>
      <c r="R634" t="s">
        <v>2012</v>
      </c>
      <c r="S634">
        <v>4247</v>
      </c>
      <c r="T634" t="s">
        <v>41</v>
      </c>
      <c r="U634" s="29">
        <v>46313.500960648147</v>
      </c>
      <c r="V634" s="29">
        <v>46313.498067129629</v>
      </c>
      <c r="W634" t="s">
        <v>2013</v>
      </c>
      <c r="X634">
        <v>22411</v>
      </c>
      <c r="Z634">
        <v>0</v>
      </c>
      <c r="AA634" s="30">
        <v>0.49236111111111108</v>
      </c>
      <c r="AB634">
        <v>5</v>
      </c>
      <c r="AC634" t="s">
        <v>41</v>
      </c>
    </row>
    <row r="635" spans="1:29">
      <c r="A635" t="s">
        <v>734</v>
      </c>
      <c r="B635" s="29">
        <v>46313.491967592592</v>
      </c>
      <c r="C635">
        <v>3947</v>
      </c>
      <c r="D635" t="s">
        <v>41</v>
      </c>
      <c r="E635">
        <v>12</v>
      </c>
      <c r="F635" t="s">
        <v>41</v>
      </c>
      <c r="G635" t="s">
        <v>41</v>
      </c>
      <c r="H635" t="s">
        <v>2014</v>
      </c>
      <c r="I635" s="29">
        <v>46313.495335648149</v>
      </c>
      <c r="J635" t="s">
        <v>41</v>
      </c>
      <c r="K635" s="29">
        <v>46313.495046296295</v>
      </c>
      <c r="L635">
        <v>24</v>
      </c>
      <c r="O635" s="29">
        <v>46313.491863425923</v>
      </c>
      <c r="P635" t="s">
        <v>43</v>
      </c>
      <c r="Q635" t="s">
        <v>736</v>
      </c>
      <c r="R635" t="s">
        <v>2015</v>
      </c>
      <c r="S635">
        <v>4247</v>
      </c>
      <c r="T635" t="s">
        <v>41</v>
      </c>
      <c r="U635" s="29">
        <v>46313.504988425928</v>
      </c>
      <c r="V635" s="29">
        <v>46313.503483796296</v>
      </c>
      <c r="W635" t="s">
        <v>2016</v>
      </c>
      <c r="X635">
        <v>22411</v>
      </c>
      <c r="Z635">
        <v>0</v>
      </c>
      <c r="AA635" s="30">
        <v>0.4916666666666667</v>
      </c>
      <c r="AB635">
        <v>12</v>
      </c>
      <c r="AC635" t="s">
        <v>41</v>
      </c>
    </row>
    <row r="636" spans="1:29">
      <c r="A636" t="s">
        <v>1624</v>
      </c>
      <c r="B636" s="29">
        <v>46313.491944444446</v>
      </c>
      <c r="C636">
        <v>2183</v>
      </c>
      <c r="D636" t="s">
        <v>41</v>
      </c>
      <c r="E636">
        <v>9</v>
      </c>
      <c r="F636" t="s">
        <v>41</v>
      </c>
      <c r="G636" t="s">
        <v>41</v>
      </c>
      <c r="H636" t="s">
        <v>2017</v>
      </c>
      <c r="I636" s="29">
        <v>46313.49391203704</v>
      </c>
      <c r="J636" t="s">
        <v>41</v>
      </c>
      <c r="K636" s="29">
        <v>46313.493495370371</v>
      </c>
      <c r="L636">
        <v>35</v>
      </c>
      <c r="O636" s="29">
        <v>46313.491840277777</v>
      </c>
      <c r="P636" t="s">
        <v>43</v>
      </c>
      <c r="Q636" t="s">
        <v>1626</v>
      </c>
      <c r="R636" t="s">
        <v>2018</v>
      </c>
      <c r="S636">
        <v>4247</v>
      </c>
      <c r="T636" t="s">
        <v>41</v>
      </c>
      <c r="U636" s="29">
        <v>46313.499583333331</v>
      </c>
      <c r="V636" s="29">
        <v>46313.499791666669</v>
      </c>
      <c r="W636" t="s">
        <v>2019</v>
      </c>
      <c r="X636">
        <v>22411</v>
      </c>
      <c r="Z636">
        <v>0</v>
      </c>
      <c r="AA636" s="30">
        <v>0.4916666666666667</v>
      </c>
      <c r="AB636">
        <v>8</v>
      </c>
      <c r="AC636" t="s">
        <v>41</v>
      </c>
    </row>
    <row r="637" spans="1:29">
      <c r="A637" t="s">
        <v>1391</v>
      </c>
      <c r="B637" s="29">
        <v>46313.491400462961</v>
      </c>
      <c r="C637">
        <v>1429</v>
      </c>
      <c r="D637" t="s">
        <v>41</v>
      </c>
      <c r="E637">
        <v>5</v>
      </c>
      <c r="F637" t="s">
        <v>41</v>
      </c>
      <c r="G637" t="s">
        <v>41</v>
      </c>
      <c r="H637" t="s">
        <v>2020</v>
      </c>
      <c r="I637" s="29">
        <v>46313.492824074077</v>
      </c>
      <c r="J637" t="s">
        <v>41</v>
      </c>
      <c r="K637" s="29">
        <v>46313.492534722223</v>
      </c>
      <c r="L637">
        <v>24</v>
      </c>
      <c r="O637" s="29">
        <v>46313.491273148145</v>
      </c>
      <c r="P637" t="s">
        <v>43</v>
      </c>
      <c r="Q637" t="s">
        <v>1393</v>
      </c>
      <c r="R637" t="s">
        <v>2021</v>
      </c>
      <c r="S637">
        <v>4247</v>
      </c>
      <c r="T637" t="s">
        <v>41</v>
      </c>
      <c r="U637" s="29">
        <v>46313.496874999997</v>
      </c>
      <c r="V637" s="29">
        <v>46313.495752314811</v>
      </c>
      <c r="W637" t="s">
        <v>2022</v>
      </c>
      <c r="X637">
        <v>22411</v>
      </c>
      <c r="Z637">
        <v>0</v>
      </c>
      <c r="AA637" s="30">
        <v>0.4909722222222222</v>
      </c>
      <c r="AB637">
        <v>4</v>
      </c>
      <c r="AC637" t="s">
        <v>41</v>
      </c>
    </row>
    <row r="638" spans="1:29">
      <c r="A638" t="s">
        <v>1136</v>
      </c>
      <c r="B638" s="29">
        <v>46313.491296296299</v>
      </c>
      <c r="C638">
        <v>1955</v>
      </c>
      <c r="D638" t="s">
        <v>41</v>
      </c>
      <c r="E638">
        <v>6</v>
      </c>
      <c r="F638" t="s">
        <v>41</v>
      </c>
      <c r="G638" t="s">
        <v>41</v>
      </c>
      <c r="H638" t="s">
        <v>2023</v>
      </c>
      <c r="I638" s="29">
        <v>46313.49181712963</v>
      </c>
      <c r="J638" t="s">
        <v>41</v>
      </c>
      <c r="K638" s="29">
        <v>46313.491712962961</v>
      </c>
      <c r="L638">
        <v>8</v>
      </c>
      <c r="O638" s="29">
        <v>46313.491111111114</v>
      </c>
      <c r="P638" t="s">
        <v>43</v>
      </c>
      <c r="Q638" t="s">
        <v>1138</v>
      </c>
      <c r="R638" t="s">
        <v>2024</v>
      </c>
      <c r="S638">
        <v>4247</v>
      </c>
      <c r="T638" t="s">
        <v>41</v>
      </c>
      <c r="U638" s="29">
        <v>46313.497094907405</v>
      </c>
      <c r="V638" s="29">
        <v>46313.495798611111</v>
      </c>
      <c r="W638" t="s">
        <v>2025</v>
      </c>
      <c r="X638">
        <v>22411</v>
      </c>
      <c r="Z638">
        <v>0</v>
      </c>
      <c r="AA638" s="30">
        <v>0.4909722222222222</v>
      </c>
      <c r="AB638">
        <v>6</v>
      </c>
      <c r="AC638" t="s">
        <v>41</v>
      </c>
    </row>
    <row r="639" spans="1:29">
      <c r="A639" t="s">
        <v>1077</v>
      </c>
      <c r="B639" s="29">
        <v>46313.490868055553</v>
      </c>
      <c r="C639">
        <v>2228</v>
      </c>
      <c r="D639" t="s">
        <v>41</v>
      </c>
      <c r="E639">
        <v>8</v>
      </c>
      <c r="F639" t="s">
        <v>41</v>
      </c>
      <c r="G639" t="s">
        <v>41</v>
      </c>
      <c r="H639" t="s">
        <v>2026</v>
      </c>
      <c r="I639" s="29">
        <v>46313.493171296293</v>
      </c>
      <c r="J639" t="s">
        <v>41</v>
      </c>
      <c r="K639" s="29">
        <v>46313.49291666667</v>
      </c>
      <c r="L639">
        <v>21</v>
      </c>
      <c r="O639" s="29">
        <v>46313.490740740737</v>
      </c>
      <c r="P639" t="s">
        <v>43</v>
      </c>
      <c r="Q639" t="s">
        <v>1079</v>
      </c>
      <c r="R639" t="s">
        <v>2027</v>
      </c>
      <c r="S639">
        <v>4247</v>
      </c>
      <c r="T639" t="s">
        <v>41</v>
      </c>
      <c r="U639" s="29">
        <v>46313.500474537039</v>
      </c>
      <c r="V639" s="29">
        <v>46313.498333333337</v>
      </c>
      <c r="W639" t="s">
        <v>2028</v>
      </c>
      <c r="X639">
        <v>22411</v>
      </c>
      <c r="Z639">
        <v>0</v>
      </c>
      <c r="AA639" s="30">
        <v>0.49027777777777781</v>
      </c>
      <c r="AB639">
        <v>7</v>
      </c>
      <c r="AC639" t="s">
        <v>41</v>
      </c>
    </row>
    <row r="640" spans="1:29">
      <c r="A640" t="s">
        <v>52</v>
      </c>
      <c r="B640" s="29">
        <v>46313.490879629629</v>
      </c>
      <c r="C640">
        <v>731</v>
      </c>
      <c r="D640" t="s">
        <v>41</v>
      </c>
      <c r="E640">
        <v>3</v>
      </c>
      <c r="F640" t="s">
        <v>41</v>
      </c>
      <c r="G640" t="s">
        <v>41</v>
      </c>
      <c r="H640" t="s">
        <v>2029</v>
      </c>
      <c r="I640" s="29">
        <v>46313.49359953704</v>
      </c>
      <c r="J640" t="s">
        <v>41</v>
      </c>
      <c r="K640" s="29">
        <v>46313.493449074071</v>
      </c>
      <c r="L640">
        <v>12</v>
      </c>
      <c r="O640" s="29">
        <v>46313.490717592591</v>
      </c>
      <c r="P640" t="s">
        <v>43</v>
      </c>
      <c r="Q640" t="s">
        <v>54</v>
      </c>
      <c r="R640" t="s">
        <v>2030</v>
      </c>
      <c r="S640">
        <v>4247</v>
      </c>
      <c r="T640" t="s">
        <v>41</v>
      </c>
      <c r="U640" s="29">
        <v>46313.495729166665</v>
      </c>
      <c r="V640" s="29">
        <v>46313.495451388888</v>
      </c>
      <c r="W640" t="s">
        <v>2031</v>
      </c>
      <c r="X640">
        <v>22411</v>
      </c>
      <c r="Z640">
        <v>0</v>
      </c>
      <c r="AA640" s="30">
        <v>0.49027777777777781</v>
      </c>
      <c r="AB640">
        <v>3</v>
      </c>
      <c r="AC640" t="s">
        <v>41</v>
      </c>
    </row>
    <row r="641" spans="1:29">
      <c r="A641" t="s">
        <v>711</v>
      </c>
      <c r="B641" s="29">
        <v>46313.490590277775</v>
      </c>
      <c r="C641">
        <v>1455</v>
      </c>
      <c r="D641" t="s">
        <v>41</v>
      </c>
      <c r="E641">
        <v>3</v>
      </c>
      <c r="F641" t="s">
        <v>41</v>
      </c>
      <c r="G641" t="s">
        <v>41</v>
      </c>
      <c r="H641" t="s">
        <v>2032</v>
      </c>
      <c r="I641" s="29">
        <v>46313.49255787037</v>
      </c>
      <c r="J641" t="s">
        <v>41</v>
      </c>
      <c r="K641" s="29">
        <v>46313.492199074077</v>
      </c>
      <c r="L641">
        <v>30</v>
      </c>
      <c r="O641" s="29">
        <v>46313.490486111114</v>
      </c>
      <c r="P641" t="s">
        <v>43</v>
      </c>
      <c r="Q641" t="s">
        <v>713</v>
      </c>
      <c r="R641" t="s">
        <v>2033</v>
      </c>
      <c r="S641">
        <v>4247</v>
      </c>
      <c r="T641" t="s">
        <v>41</v>
      </c>
      <c r="U641" s="29">
        <v>46313.496990740743</v>
      </c>
      <c r="V641" s="29">
        <v>46313.494398148148</v>
      </c>
      <c r="W641" t="s">
        <v>2034</v>
      </c>
      <c r="X641">
        <v>22411</v>
      </c>
      <c r="Z641">
        <v>0</v>
      </c>
      <c r="AA641" s="30">
        <v>0.49027777777777781</v>
      </c>
      <c r="AB641">
        <v>3</v>
      </c>
      <c r="AC641" t="s">
        <v>41</v>
      </c>
    </row>
    <row r="642" spans="1:29">
      <c r="A642" t="s">
        <v>655</v>
      </c>
      <c r="B642" s="29">
        <v>46313.489918981482</v>
      </c>
      <c r="C642">
        <v>1809</v>
      </c>
      <c r="D642" t="s">
        <v>41</v>
      </c>
      <c r="E642">
        <v>5</v>
      </c>
      <c r="F642" t="s">
        <v>41</v>
      </c>
      <c r="G642" t="s">
        <v>41</v>
      </c>
      <c r="H642" t="s">
        <v>2035</v>
      </c>
      <c r="I642" s="29">
        <v>46313.490543981483</v>
      </c>
      <c r="J642" t="s">
        <v>41</v>
      </c>
      <c r="K642" s="29">
        <v>46313.490393518521</v>
      </c>
      <c r="L642">
        <v>12</v>
      </c>
      <c r="O642" s="29">
        <v>46313.489872685182</v>
      </c>
      <c r="P642" t="s">
        <v>43</v>
      </c>
      <c r="Q642" t="s">
        <v>657</v>
      </c>
      <c r="R642" t="s">
        <v>2036</v>
      </c>
      <c r="S642">
        <v>4247</v>
      </c>
      <c r="T642" t="s">
        <v>41</v>
      </c>
      <c r="U642" s="29">
        <v>46313.495138888888</v>
      </c>
      <c r="V642" s="29">
        <v>46313.494131944448</v>
      </c>
      <c r="W642" t="s">
        <v>2037</v>
      </c>
      <c r="X642">
        <v>22411</v>
      </c>
      <c r="Z642">
        <v>0</v>
      </c>
      <c r="AA642" s="30">
        <v>0.48958333333333331</v>
      </c>
      <c r="AB642">
        <v>5</v>
      </c>
      <c r="AC642" t="s">
        <v>41</v>
      </c>
    </row>
    <row r="643" spans="1:29">
      <c r="A643" t="s">
        <v>1965</v>
      </c>
      <c r="B643" s="29">
        <v>46313.489386574074</v>
      </c>
      <c r="C643">
        <v>1891</v>
      </c>
      <c r="D643" t="s">
        <v>41</v>
      </c>
      <c r="E643">
        <v>6</v>
      </c>
      <c r="F643" t="s">
        <v>41</v>
      </c>
      <c r="G643" t="s">
        <v>41</v>
      </c>
      <c r="H643" t="s">
        <v>2038</v>
      </c>
      <c r="I643" s="29">
        <v>46313.491423611114</v>
      </c>
      <c r="J643" t="s">
        <v>41</v>
      </c>
      <c r="K643" s="29">
        <v>46313.49113425926</v>
      </c>
      <c r="L643">
        <v>24</v>
      </c>
      <c r="O643" s="29">
        <v>46313.489317129628</v>
      </c>
      <c r="P643" t="s">
        <v>43</v>
      </c>
      <c r="Q643" t="s">
        <v>1967</v>
      </c>
      <c r="R643" t="s">
        <v>2039</v>
      </c>
      <c r="S643">
        <v>4247</v>
      </c>
      <c r="T643" t="s">
        <v>41</v>
      </c>
      <c r="U643" s="29">
        <v>46313.49628472222</v>
      </c>
      <c r="V643" s="29">
        <v>46313.495289351849</v>
      </c>
      <c r="W643" t="s">
        <v>2040</v>
      </c>
      <c r="X643">
        <v>22411</v>
      </c>
      <c r="Z643">
        <v>0</v>
      </c>
      <c r="AA643" s="30">
        <v>0.48888888888888887</v>
      </c>
      <c r="AB643">
        <v>6</v>
      </c>
      <c r="AC643" t="s">
        <v>41</v>
      </c>
    </row>
    <row r="644" spans="1:29">
      <c r="A644" t="s">
        <v>1310</v>
      </c>
      <c r="B644" s="29">
        <v>46313.488900462966</v>
      </c>
      <c r="C644">
        <v>1913</v>
      </c>
      <c r="D644" t="s">
        <v>41</v>
      </c>
      <c r="E644">
        <v>7</v>
      </c>
      <c r="F644" t="s">
        <v>41</v>
      </c>
      <c r="G644" t="s">
        <v>41</v>
      </c>
      <c r="H644" t="s">
        <v>2041</v>
      </c>
      <c r="I644" s="29">
        <v>46313.490185185183</v>
      </c>
      <c r="J644" t="s">
        <v>41</v>
      </c>
      <c r="K644" s="29">
        <v>46313.489560185182</v>
      </c>
      <c r="L644">
        <v>53</v>
      </c>
      <c r="O644" s="29">
        <v>46313.488715277781</v>
      </c>
      <c r="P644" t="s">
        <v>43</v>
      </c>
      <c r="Q644" t="s">
        <v>1312</v>
      </c>
      <c r="R644" t="s">
        <v>2042</v>
      </c>
      <c r="S644">
        <v>4247</v>
      </c>
      <c r="T644" t="s">
        <v>41</v>
      </c>
      <c r="U644" s="29">
        <v>46313.494976851849</v>
      </c>
      <c r="V644" s="29">
        <v>46313.494537037041</v>
      </c>
      <c r="W644" t="s">
        <v>2043</v>
      </c>
      <c r="X644">
        <v>22411</v>
      </c>
      <c r="Z644">
        <v>0</v>
      </c>
      <c r="AA644" s="30">
        <v>0.48888888888888887</v>
      </c>
      <c r="AB644">
        <v>6</v>
      </c>
      <c r="AC644" t="s">
        <v>41</v>
      </c>
    </row>
    <row r="645" spans="1:29">
      <c r="A645" t="s">
        <v>190</v>
      </c>
      <c r="B645" s="29">
        <v>46313.489525462966</v>
      </c>
      <c r="C645">
        <v>2416</v>
      </c>
      <c r="D645" t="s">
        <v>41</v>
      </c>
      <c r="E645">
        <v>8</v>
      </c>
      <c r="F645" t="s">
        <v>41</v>
      </c>
      <c r="G645" t="s">
        <v>41</v>
      </c>
      <c r="H645" t="s">
        <v>2044</v>
      </c>
      <c r="I645" s="29">
        <v>46313.489953703705</v>
      </c>
      <c r="J645" t="s">
        <v>41</v>
      </c>
      <c r="K645" s="29">
        <v>46313.489155092589</v>
      </c>
      <c r="L645">
        <v>37</v>
      </c>
      <c r="O645" s="29">
        <v>46313.488564814812</v>
      </c>
      <c r="P645" t="s">
        <v>43</v>
      </c>
      <c r="Q645" t="s">
        <v>192</v>
      </c>
      <c r="R645" t="s">
        <v>2045</v>
      </c>
      <c r="S645">
        <v>4247</v>
      </c>
      <c r="T645" t="s">
        <v>41</v>
      </c>
      <c r="U645" s="29">
        <v>46313.496446759258</v>
      </c>
      <c r="V645" s="29">
        <v>46313.494953703703</v>
      </c>
      <c r="W645" t="s">
        <v>2046</v>
      </c>
      <c r="X645">
        <v>22411</v>
      </c>
      <c r="Z645">
        <v>0</v>
      </c>
      <c r="AA645" s="30">
        <v>0.48888888888888887</v>
      </c>
      <c r="AB645">
        <v>7</v>
      </c>
      <c r="AC645" t="s">
        <v>41</v>
      </c>
    </row>
    <row r="646" spans="1:29">
      <c r="A646" t="s">
        <v>67</v>
      </c>
      <c r="B646" s="29">
        <v>46313.487916666665</v>
      </c>
      <c r="C646">
        <v>1993</v>
      </c>
      <c r="D646" t="s">
        <v>41</v>
      </c>
      <c r="E646">
        <v>7</v>
      </c>
      <c r="F646" t="s">
        <v>41</v>
      </c>
      <c r="G646" t="s">
        <v>41</v>
      </c>
      <c r="H646" t="s">
        <v>2047</v>
      </c>
      <c r="I646" s="29">
        <v>46313.488368055558</v>
      </c>
      <c r="J646" t="s">
        <v>41</v>
      </c>
      <c r="K646" s="29">
        <v>46313.488136574073</v>
      </c>
      <c r="L646">
        <v>19</v>
      </c>
      <c r="O646" s="29">
        <v>46313.487812500003</v>
      </c>
      <c r="P646" t="s">
        <v>43</v>
      </c>
      <c r="Q646" t="s">
        <v>69</v>
      </c>
      <c r="R646" t="s">
        <v>2048</v>
      </c>
      <c r="S646">
        <v>4247</v>
      </c>
      <c r="T646" t="s">
        <v>41</v>
      </c>
      <c r="U646" s="29">
        <v>46313.49459490741</v>
      </c>
      <c r="V646" s="29">
        <v>46313.492962962962</v>
      </c>
      <c r="W646" t="s">
        <v>2049</v>
      </c>
      <c r="X646">
        <v>22411</v>
      </c>
      <c r="Z646">
        <v>0</v>
      </c>
      <c r="AA646" s="30">
        <v>0.48749999999999999</v>
      </c>
      <c r="AB646">
        <v>7</v>
      </c>
      <c r="AC646" t="s">
        <v>41</v>
      </c>
    </row>
    <row r="647" spans="1:29">
      <c r="A647" t="s">
        <v>57</v>
      </c>
      <c r="B647" s="29">
        <v>46313.487824074073</v>
      </c>
      <c r="C647">
        <v>1965</v>
      </c>
      <c r="D647" t="s">
        <v>41</v>
      </c>
      <c r="E647">
        <v>6</v>
      </c>
      <c r="F647" t="s">
        <v>41</v>
      </c>
      <c r="G647" t="s">
        <v>41</v>
      </c>
      <c r="H647" t="s">
        <v>2047</v>
      </c>
      <c r="I647" s="29">
        <v>46313.48878472222</v>
      </c>
      <c r="J647" t="s">
        <v>41</v>
      </c>
      <c r="K647" s="29">
        <v>46313.48809027778</v>
      </c>
      <c r="L647">
        <v>59</v>
      </c>
      <c r="O647" s="29">
        <v>46313.487685185188</v>
      </c>
      <c r="P647" t="s">
        <v>43</v>
      </c>
      <c r="Q647" t="s">
        <v>59</v>
      </c>
      <c r="R647" t="s">
        <v>2050</v>
      </c>
      <c r="S647">
        <v>4247</v>
      </c>
      <c r="T647" t="s">
        <v>41</v>
      </c>
      <c r="U647" s="29">
        <v>46313.493611111109</v>
      </c>
      <c r="V647" s="29">
        <v>46313.492256944446</v>
      </c>
      <c r="W647" t="s">
        <v>2051</v>
      </c>
      <c r="X647">
        <v>22411</v>
      </c>
      <c r="Z647">
        <v>0</v>
      </c>
      <c r="AA647" s="30">
        <v>0.48749999999999999</v>
      </c>
      <c r="AB647">
        <v>5</v>
      </c>
      <c r="AC647" t="s">
        <v>41</v>
      </c>
    </row>
    <row r="648" spans="1:29">
      <c r="A648" t="s">
        <v>1461</v>
      </c>
      <c r="B648" s="29">
        <v>46313.487002314818</v>
      </c>
      <c r="C648">
        <v>1238</v>
      </c>
      <c r="D648" t="s">
        <v>41</v>
      </c>
      <c r="E648">
        <v>5</v>
      </c>
      <c r="F648" t="s">
        <v>41</v>
      </c>
      <c r="G648" t="s">
        <v>41</v>
      </c>
      <c r="H648" t="s">
        <v>2052</v>
      </c>
      <c r="I648" s="29">
        <v>46313.488368055558</v>
      </c>
      <c r="J648" t="s">
        <v>41</v>
      </c>
      <c r="K648" s="29">
        <v>46313.48773148148</v>
      </c>
      <c r="L648">
        <v>54</v>
      </c>
      <c r="O648" s="29">
        <v>46313.486805555556</v>
      </c>
      <c r="P648" t="s">
        <v>43</v>
      </c>
      <c r="Q648" t="s">
        <v>1463</v>
      </c>
      <c r="R648" t="s">
        <v>2053</v>
      </c>
      <c r="S648">
        <v>4247</v>
      </c>
      <c r="T648" t="s">
        <v>41</v>
      </c>
      <c r="U648" s="29">
        <v>46313.491967592592</v>
      </c>
      <c r="V648" s="29">
        <v>46313.490972222222</v>
      </c>
      <c r="W648" t="s">
        <v>2054</v>
      </c>
      <c r="X648">
        <v>22411</v>
      </c>
      <c r="Z648">
        <v>0</v>
      </c>
      <c r="AA648" s="30">
        <v>0.48680555555555555</v>
      </c>
      <c r="AB648">
        <v>4</v>
      </c>
      <c r="AC648" t="s">
        <v>41</v>
      </c>
    </row>
    <row r="649" spans="1:29">
      <c r="A649" t="s">
        <v>177</v>
      </c>
      <c r="B649" s="29">
        <v>46313.486030092594</v>
      </c>
      <c r="C649">
        <v>503</v>
      </c>
      <c r="D649" t="s">
        <v>41</v>
      </c>
      <c r="E649">
        <v>3</v>
      </c>
      <c r="F649" t="s">
        <v>41</v>
      </c>
      <c r="G649" t="s">
        <v>41</v>
      </c>
      <c r="H649" t="s">
        <v>2055</v>
      </c>
      <c r="I649" s="29">
        <v>46313.486597222225</v>
      </c>
      <c r="J649" t="s">
        <v>41</v>
      </c>
      <c r="K649" s="29">
        <v>46313.486261574071</v>
      </c>
      <c r="L649">
        <v>28</v>
      </c>
      <c r="O649" s="29">
        <v>46313.485868055555</v>
      </c>
      <c r="P649" t="s">
        <v>43</v>
      </c>
      <c r="Q649" t="s">
        <v>179</v>
      </c>
      <c r="R649" t="s">
        <v>2056</v>
      </c>
      <c r="S649">
        <v>4247</v>
      </c>
      <c r="T649" t="s">
        <v>41</v>
      </c>
      <c r="U649" s="29">
        <v>46313.488912037035</v>
      </c>
      <c r="V649" s="29">
        <v>46313.488263888888</v>
      </c>
      <c r="W649" t="s">
        <v>2057</v>
      </c>
      <c r="X649">
        <v>22411</v>
      </c>
      <c r="Z649">
        <v>0</v>
      </c>
      <c r="AA649" s="30">
        <v>0.48541666666666666</v>
      </c>
      <c r="AB649">
        <v>2</v>
      </c>
      <c r="AC649" t="s">
        <v>41</v>
      </c>
    </row>
    <row r="650" spans="1:29">
      <c r="A650" t="s">
        <v>1336</v>
      </c>
      <c r="B650" s="29">
        <v>46313.485914351855</v>
      </c>
      <c r="C650">
        <v>509</v>
      </c>
      <c r="D650" t="s">
        <v>41</v>
      </c>
      <c r="E650">
        <v>5</v>
      </c>
      <c r="F650" t="s">
        <v>41</v>
      </c>
      <c r="G650" t="s">
        <v>41</v>
      </c>
      <c r="H650" t="s">
        <v>2055</v>
      </c>
      <c r="I650" s="29">
        <v>46313.487847222219</v>
      </c>
      <c r="J650" t="s">
        <v>41</v>
      </c>
      <c r="K650" s="29">
        <v>46313.487650462965</v>
      </c>
      <c r="L650">
        <v>16</v>
      </c>
      <c r="O650" s="29">
        <v>46313.485821759263</v>
      </c>
      <c r="P650" t="s">
        <v>43</v>
      </c>
      <c r="Q650" t="s">
        <v>1338</v>
      </c>
      <c r="R650" t="s">
        <v>2058</v>
      </c>
      <c r="S650">
        <v>4247</v>
      </c>
      <c r="T650" t="s">
        <v>41</v>
      </c>
      <c r="U650" s="29">
        <v>46313.489641203705</v>
      </c>
      <c r="V650" s="29">
        <v>46313.49114583333</v>
      </c>
      <c r="W650" t="s">
        <v>2059</v>
      </c>
      <c r="X650">
        <v>22411</v>
      </c>
      <c r="Z650">
        <v>0</v>
      </c>
      <c r="AA650" s="30">
        <v>0.48541666666666666</v>
      </c>
      <c r="AB650">
        <v>5</v>
      </c>
      <c r="AC650" t="s">
        <v>41</v>
      </c>
    </row>
    <row r="651" spans="1:29">
      <c r="A651" t="s">
        <v>106</v>
      </c>
      <c r="B651" s="29">
        <v>46313.485659722224</v>
      </c>
      <c r="C651">
        <v>3928</v>
      </c>
      <c r="D651" t="s">
        <v>41</v>
      </c>
      <c r="E651">
        <v>13</v>
      </c>
      <c r="F651" t="s">
        <v>41</v>
      </c>
      <c r="G651" t="s">
        <v>41</v>
      </c>
      <c r="H651" t="s">
        <v>2060</v>
      </c>
      <c r="I651" s="29">
        <v>46313.488240740742</v>
      </c>
      <c r="J651" t="s">
        <v>41</v>
      </c>
      <c r="K651" s="29">
        <v>46313.487893518519</v>
      </c>
      <c r="L651">
        <v>29</v>
      </c>
      <c r="O651" s="29">
        <v>46313.485462962963</v>
      </c>
      <c r="P651" t="s">
        <v>43</v>
      </c>
      <c r="Q651" t="s">
        <v>108</v>
      </c>
      <c r="R651" t="s">
        <v>2061</v>
      </c>
      <c r="S651">
        <v>4247</v>
      </c>
      <c r="T651" t="s">
        <v>41</v>
      </c>
      <c r="U651" s="29">
        <v>46313.497881944444</v>
      </c>
      <c r="V651" s="29">
        <v>46313.49658564815</v>
      </c>
      <c r="W651" t="s">
        <v>2062</v>
      </c>
      <c r="X651">
        <v>22411</v>
      </c>
      <c r="Z651">
        <v>0</v>
      </c>
      <c r="AA651" s="30">
        <v>0.48541666666666666</v>
      </c>
      <c r="AB651">
        <v>12</v>
      </c>
      <c r="AC651" t="s">
        <v>41</v>
      </c>
    </row>
    <row r="652" spans="1:29">
      <c r="A652" t="s">
        <v>1171</v>
      </c>
      <c r="B652" s="29">
        <v>46313.484143518515</v>
      </c>
      <c r="C652">
        <v>3143</v>
      </c>
      <c r="D652" t="s">
        <v>41</v>
      </c>
      <c r="E652">
        <v>10</v>
      </c>
      <c r="F652" t="s">
        <v>41</v>
      </c>
      <c r="G652" t="s">
        <v>41</v>
      </c>
      <c r="H652" t="s">
        <v>2063</v>
      </c>
      <c r="I652" s="29">
        <v>46313.487650462965</v>
      </c>
      <c r="J652" t="s">
        <v>41</v>
      </c>
      <c r="K652" s="29">
        <v>46313.487488425926</v>
      </c>
      <c r="L652">
        <v>13</v>
      </c>
      <c r="O652" s="29">
        <v>46313.48400462963</v>
      </c>
      <c r="P652" t="s">
        <v>43</v>
      </c>
      <c r="Q652" t="s">
        <v>1173</v>
      </c>
      <c r="R652" t="s">
        <v>2064</v>
      </c>
      <c r="S652">
        <v>4247</v>
      </c>
      <c r="T652" t="s">
        <v>41</v>
      </c>
      <c r="U652" s="29">
        <v>46313.49560185185</v>
      </c>
      <c r="V652" s="29">
        <v>46313.494467592594</v>
      </c>
      <c r="W652" t="s">
        <v>2065</v>
      </c>
      <c r="X652">
        <v>22411</v>
      </c>
      <c r="Z652">
        <v>0</v>
      </c>
      <c r="AA652" s="30">
        <v>0.48402777777777778</v>
      </c>
      <c r="AB652">
        <v>10</v>
      </c>
      <c r="AC652" t="s">
        <v>41</v>
      </c>
    </row>
    <row r="653" spans="1:29">
      <c r="A653" t="s">
        <v>1592</v>
      </c>
      <c r="B653" s="29">
        <v>46313.482488425929</v>
      </c>
      <c r="C653">
        <v>1892</v>
      </c>
      <c r="D653" t="s">
        <v>41</v>
      </c>
      <c r="E653">
        <v>5</v>
      </c>
      <c r="F653" t="s">
        <v>41</v>
      </c>
      <c r="G653" t="s">
        <v>41</v>
      </c>
      <c r="H653" t="s">
        <v>2066</v>
      </c>
      <c r="I653" s="29">
        <v>46313.483148148145</v>
      </c>
      <c r="J653" t="s">
        <v>41</v>
      </c>
      <c r="K653" s="29">
        <v>46313.482870370368</v>
      </c>
      <c r="L653">
        <v>23</v>
      </c>
      <c r="O653" s="29">
        <v>46313.482442129629</v>
      </c>
      <c r="P653" t="s">
        <v>43</v>
      </c>
      <c r="Q653" t="s">
        <v>1594</v>
      </c>
      <c r="R653" t="s">
        <v>2067</v>
      </c>
      <c r="S653">
        <v>4247</v>
      </c>
      <c r="T653" t="s">
        <v>41</v>
      </c>
      <c r="U653" s="29">
        <v>46313.487754629627</v>
      </c>
      <c r="V653" s="29">
        <v>46313.486689814818</v>
      </c>
      <c r="W653" t="s">
        <v>2068</v>
      </c>
      <c r="X653">
        <v>22411</v>
      </c>
      <c r="Z653">
        <v>0</v>
      </c>
      <c r="AA653" s="30">
        <v>0.48194444444444445</v>
      </c>
      <c r="AB653">
        <v>5</v>
      </c>
      <c r="AC653" t="s">
        <v>41</v>
      </c>
    </row>
    <row r="654" spans="1:29">
      <c r="A654" t="s">
        <v>190</v>
      </c>
      <c r="B654" s="29">
        <v>46313.482488425929</v>
      </c>
      <c r="C654">
        <v>365</v>
      </c>
      <c r="D654" t="s">
        <v>41</v>
      </c>
      <c r="E654">
        <v>2</v>
      </c>
      <c r="F654" t="s">
        <v>41</v>
      </c>
      <c r="G654" t="s">
        <v>41</v>
      </c>
      <c r="H654" t="s">
        <v>2069</v>
      </c>
      <c r="I654" s="29">
        <v>46313.483553240738</v>
      </c>
      <c r="J654" t="s">
        <v>41</v>
      </c>
      <c r="K654" s="29">
        <v>46313.483067129629</v>
      </c>
      <c r="L654">
        <v>41</v>
      </c>
      <c r="O654" s="29">
        <v>46313.482361111113</v>
      </c>
      <c r="P654" t="s">
        <v>43</v>
      </c>
      <c r="Q654" t="s">
        <v>192</v>
      </c>
      <c r="R654" t="s">
        <v>2070</v>
      </c>
      <c r="S654">
        <v>4247</v>
      </c>
      <c r="T654" t="s">
        <v>41</v>
      </c>
      <c r="U654" s="29">
        <v>46313.485243055555</v>
      </c>
      <c r="V654" s="29">
        <v>46313.484710648147</v>
      </c>
      <c r="W654" t="s">
        <v>2071</v>
      </c>
      <c r="X654">
        <v>22411</v>
      </c>
      <c r="Z654">
        <v>0</v>
      </c>
      <c r="AA654" s="30">
        <v>0.48194444444444445</v>
      </c>
      <c r="AB654">
        <v>2</v>
      </c>
      <c r="AC654" t="s">
        <v>41</v>
      </c>
    </row>
    <row r="655" spans="1:29">
      <c r="A655" t="s">
        <v>62</v>
      </c>
      <c r="B655" s="29">
        <v>46313.481944444444</v>
      </c>
      <c r="C655">
        <v>1973</v>
      </c>
      <c r="D655" t="s">
        <v>41</v>
      </c>
      <c r="E655">
        <v>7</v>
      </c>
      <c r="F655" t="s">
        <v>41</v>
      </c>
      <c r="G655" t="s">
        <v>41</v>
      </c>
      <c r="H655" t="s">
        <v>2072</v>
      </c>
      <c r="I655" s="29">
        <v>46313.482800925929</v>
      </c>
      <c r="J655" t="s">
        <v>41</v>
      </c>
      <c r="K655" s="29">
        <v>46313.482476851852</v>
      </c>
      <c r="L655">
        <v>27</v>
      </c>
      <c r="O655" s="29">
        <v>46313.481863425928</v>
      </c>
      <c r="P655" t="s">
        <v>43</v>
      </c>
      <c r="Q655" t="s">
        <v>64</v>
      </c>
      <c r="R655" t="s">
        <v>2073</v>
      </c>
      <c r="S655">
        <v>4247</v>
      </c>
      <c r="T655" t="s">
        <v>41</v>
      </c>
      <c r="U655" s="29">
        <v>46313.488240740742</v>
      </c>
      <c r="V655" s="29">
        <v>46313.487280092595</v>
      </c>
      <c r="W655" t="s">
        <v>2074</v>
      </c>
      <c r="X655">
        <v>22411</v>
      </c>
      <c r="Z655">
        <v>0</v>
      </c>
      <c r="AA655" s="30">
        <v>0.48125000000000001</v>
      </c>
      <c r="AB655">
        <v>6</v>
      </c>
      <c r="AC655" t="s">
        <v>41</v>
      </c>
    </row>
    <row r="656" spans="1:29">
      <c r="A656" t="s">
        <v>1365</v>
      </c>
      <c r="B656" s="29">
        <v>46313.481944444444</v>
      </c>
      <c r="C656">
        <v>1429</v>
      </c>
      <c r="D656" t="s">
        <v>41</v>
      </c>
      <c r="E656">
        <v>4</v>
      </c>
      <c r="F656" t="s">
        <v>41</v>
      </c>
      <c r="G656" t="s">
        <v>41</v>
      </c>
      <c r="H656" t="s">
        <v>2075</v>
      </c>
      <c r="I656" s="29">
        <v>46313.483078703706</v>
      </c>
      <c r="J656" t="s">
        <v>41</v>
      </c>
      <c r="K656" s="29">
        <v>46313.482951388891</v>
      </c>
      <c r="L656">
        <v>10</v>
      </c>
      <c r="O656" s="29">
        <v>46313.481840277775</v>
      </c>
      <c r="P656" t="s">
        <v>43</v>
      </c>
      <c r="Q656" t="s">
        <v>1367</v>
      </c>
      <c r="R656" t="s">
        <v>2076</v>
      </c>
      <c r="S656">
        <v>4247</v>
      </c>
      <c r="T656" t="s">
        <v>41</v>
      </c>
      <c r="U656" s="29">
        <v>46313.487384259257</v>
      </c>
      <c r="V656" s="29">
        <v>46313.485844907409</v>
      </c>
      <c r="W656" t="s">
        <v>2077</v>
      </c>
      <c r="X656">
        <v>22411</v>
      </c>
      <c r="Z656">
        <v>0</v>
      </c>
      <c r="AA656" s="30">
        <v>0.48194444444444445</v>
      </c>
      <c r="AB656">
        <v>4</v>
      </c>
      <c r="AC656" t="s">
        <v>41</v>
      </c>
    </row>
    <row r="657" spans="1:29">
      <c r="A657" t="s">
        <v>655</v>
      </c>
      <c r="B657" s="29">
        <v>46313.480023148149</v>
      </c>
      <c r="C657">
        <v>1045</v>
      </c>
      <c r="D657" t="s">
        <v>41</v>
      </c>
      <c r="E657">
        <v>3</v>
      </c>
      <c r="F657" t="s">
        <v>41</v>
      </c>
      <c r="G657" t="s">
        <v>41</v>
      </c>
      <c r="H657" t="s">
        <v>2078</v>
      </c>
      <c r="I657" s="29">
        <v>46313.480706018519</v>
      </c>
      <c r="J657" t="s">
        <v>41</v>
      </c>
      <c r="K657" s="29">
        <v>46313.480497685188</v>
      </c>
      <c r="L657">
        <v>17</v>
      </c>
      <c r="O657" s="29">
        <v>46313.479849537034</v>
      </c>
      <c r="P657" t="s">
        <v>43</v>
      </c>
      <c r="Q657" t="s">
        <v>657</v>
      </c>
      <c r="R657" t="s">
        <v>2079</v>
      </c>
      <c r="S657">
        <v>4247</v>
      </c>
      <c r="T657" t="s">
        <v>41</v>
      </c>
      <c r="U657" s="29">
        <v>46313.483784722222</v>
      </c>
      <c r="V657" s="29">
        <v>46313.482893518521</v>
      </c>
      <c r="W657" t="s">
        <v>2080</v>
      </c>
      <c r="X657">
        <v>22411</v>
      </c>
      <c r="Z657">
        <v>0</v>
      </c>
      <c r="AA657" s="30">
        <v>0.47986111111111113</v>
      </c>
      <c r="AB657">
        <v>3</v>
      </c>
      <c r="AC657" t="s">
        <v>41</v>
      </c>
    </row>
    <row r="658" spans="1:29">
      <c r="A658" t="s">
        <v>93</v>
      </c>
      <c r="B658" s="29">
        <v>46313.479895833334</v>
      </c>
      <c r="C658">
        <v>2875</v>
      </c>
      <c r="D658" t="s">
        <v>41</v>
      </c>
      <c r="E658">
        <v>8</v>
      </c>
      <c r="F658" t="s">
        <v>41</v>
      </c>
      <c r="G658" t="s">
        <v>41</v>
      </c>
      <c r="H658" t="s">
        <v>2081</v>
      </c>
      <c r="I658" s="29">
        <v>46313.48096064815</v>
      </c>
      <c r="J658" t="s">
        <v>41</v>
      </c>
      <c r="K658" s="29">
        <v>46313.480821759258</v>
      </c>
      <c r="L658">
        <v>11</v>
      </c>
      <c r="O658" s="29">
        <v>46313.479837962965</v>
      </c>
      <c r="P658" t="s">
        <v>43</v>
      </c>
      <c r="Q658" t="s">
        <v>95</v>
      </c>
      <c r="R658" t="s">
        <v>2082</v>
      </c>
      <c r="S658">
        <v>4247</v>
      </c>
      <c r="T658" t="s">
        <v>41</v>
      </c>
      <c r="U658" s="29">
        <v>46313.488923611112</v>
      </c>
      <c r="V658" s="29">
        <v>46313.486250000002</v>
      </c>
      <c r="W658" t="s">
        <v>2083</v>
      </c>
      <c r="X658">
        <v>22411</v>
      </c>
      <c r="Z658">
        <v>0</v>
      </c>
      <c r="AA658" s="30">
        <v>0.47986111111111113</v>
      </c>
      <c r="AB658">
        <v>8</v>
      </c>
      <c r="AC658" t="s">
        <v>41</v>
      </c>
    </row>
    <row r="659" spans="1:29">
      <c r="A659" t="s">
        <v>98</v>
      </c>
      <c r="B659" s="29">
        <v>46313.479756944442</v>
      </c>
      <c r="C659">
        <v>2076</v>
      </c>
      <c r="D659" t="s">
        <v>41</v>
      </c>
      <c r="E659">
        <v>6</v>
      </c>
      <c r="F659" t="s">
        <v>41</v>
      </c>
      <c r="G659" t="s">
        <v>41</v>
      </c>
      <c r="H659" t="s">
        <v>2084</v>
      </c>
      <c r="I659" s="29">
        <v>46313.481423611112</v>
      </c>
      <c r="J659" t="s">
        <v>41</v>
      </c>
      <c r="K659" s="29">
        <v>46313.481134259258</v>
      </c>
      <c r="L659">
        <v>24</v>
      </c>
      <c r="O659" s="29">
        <v>46313.479641203703</v>
      </c>
      <c r="P659" t="s">
        <v>43</v>
      </c>
      <c r="Q659" t="s">
        <v>3005</v>
      </c>
      <c r="R659" t="s">
        <v>2085</v>
      </c>
      <c r="S659">
        <v>4247</v>
      </c>
      <c r="T659" t="s">
        <v>41</v>
      </c>
      <c r="U659" s="29">
        <v>46313.486805555556</v>
      </c>
      <c r="V659" s="29">
        <v>46313.485462962963</v>
      </c>
      <c r="W659" t="s">
        <v>2086</v>
      </c>
      <c r="X659">
        <v>22411</v>
      </c>
      <c r="Z659">
        <v>0</v>
      </c>
      <c r="AA659" s="30">
        <v>0.47916666666666669</v>
      </c>
      <c r="AB659">
        <v>6</v>
      </c>
      <c r="AC659" t="s">
        <v>41</v>
      </c>
    </row>
    <row r="660" spans="1:29">
      <c r="A660" t="s">
        <v>1624</v>
      </c>
      <c r="B660" s="29">
        <v>46313.479756944442</v>
      </c>
      <c r="C660">
        <v>1342</v>
      </c>
      <c r="D660" t="s">
        <v>41</v>
      </c>
      <c r="E660">
        <v>4</v>
      </c>
      <c r="F660" t="s">
        <v>41</v>
      </c>
      <c r="G660" t="s">
        <v>41</v>
      </c>
      <c r="H660" t="s">
        <v>2087</v>
      </c>
      <c r="I660" s="29">
        <v>46313.481469907405</v>
      </c>
      <c r="J660" t="s">
        <v>41</v>
      </c>
      <c r="K660" s="29">
        <v>46313.480937499997</v>
      </c>
      <c r="L660">
        <v>45</v>
      </c>
      <c r="O660" s="29">
        <v>46313.479594907411</v>
      </c>
      <c r="P660" t="s">
        <v>43</v>
      </c>
      <c r="Q660" t="s">
        <v>1626</v>
      </c>
      <c r="R660" t="s">
        <v>2088</v>
      </c>
      <c r="S660">
        <v>4247</v>
      </c>
      <c r="T660" t="s">
        <v>41</v>
      </c>
      <c r="U660" s="29">
        <v>46313.484699074077</v>
      </c>
      <c r="V660" s="29">
        <v>46313.483703703707</v>
      </c>
      <c r="W660" t="s">
        <v>2089</v>
      </c>
      <c r="X660">
        <v>22411</v>
      </c>
      <c r="Z660">
        <v>0</v>
      </c>
      <c r="AA660" s="30">
        <v>0.47916666666666669</v>
      </c>
      <c r="AB660">
        <v>3</v>
      </c>
      <c r="AC660" t="s">
        <v>41</v>
      </c>
    </row>
    <row r="661" spans="1:29">
      <c r="A661" t="s">
        <v>347</v>
      </c>
      <c r="B661" s="29">
        <v>46313.478935185187</v>
      </c>
      <c r="C661">
        <v>2073</v>
      </c>
      <c r="D661" t="s">
        <v>41</v>
      </c>
      <c r="E661">
        <v>7</v>
      </c>
      <c r="F661" t="s">
        <v>41</v>
      </c>
      <c r="G661" t="s">
        <v>41</v>
      </c>
      <c r="H661" t="s">
        <v>2090</v>
      </c>
      <c r="I661" s="29">
        <v>46313.480231481481</v>
      </c>
      <c r="J661" t="s">
        <v>41</v>
      </c>
      <c r="K661" s="29">
        <v>46313.480034722219</v>
      </c>
      <c r="L661">
        <v>16</v>
      </c>
      <c r="O661" s="29">
        <v>46313.478784722225</v>
      </c>
      <c r="P661" t="s">
        <v>43</v>
      </c>
      <c r="Q661" t="s">
        <v>349</v>
      </c>
      <c r="R661" t="s">
        <v>2091</v>
      </c>
      <c r="S661">
        <v>4247</v>
      </c>
      <c r="T661" t="s">
        <v>41</v>
      </c>
      <c r="U661" s="29">
        <v>46313.486087962963</v>
      </c>
      <c r="V661" s="29">
        <v>46313.484583333331</v>
      </c>
      <c r="W661" t="s">
        <v>2092</v>
      </c>
      <c r="X661">
        <v>22411</v>
      </c>
      <c r="Z661">
        <v>0</v>
      </c>
      <c r="AA661" s="30">
        <v>0.47847222222222219</v>
      </c>
      <c r="AB661">
        <v>6</v>
      </c>
      <c r="AC661" t="s">
        <v>41</v>
      </c>
    </row>
    <row r="662" spans="1:29">
      <c r="A662" t="s">
        <v>1077</v>
      </c>
      <c r="B662" s="29">
        <v>46313.478414351855</v>
      </c>
      <c r="C662">
        <v>1486</v>
      </c>
      <c r="D662" t="s">
        <v>41</v>
      </c>
      <c r="E662">
        <v>4</v>
      </c>
      <c r="F662" t="s">
        <v>41</v>
      </c>
      <c r="G662" t="s">
        <v>41</v>
      </c>
      <c r="H662" t="s">
        <v>2093</v>
      </c>
      <c r="I662" s="29">
        <v>46313.479212962964</v>
      </c>
      <c r="J662" t="s">
        <v>41</v>
      </c>
      <c r="K662" s="29">
        <v>46313.478958333333</v>
      </c>
      <c r="L662">
        <v>21</v>
      </c>
      <c r="O662" s="29">
        <v>46313.478252314817</v>
      </c>
      <c r="P662" t="s">
        <v>43</v>
      </c>
      <c r="Q662" t="s">
        <v>1079</v>
      </c>
      <c r="R662" t="s">
        <v>2094</v>
      </c>
      <c r="S662">
        <v>4247</v>
      </c>
      <c r="T662" t="s">
        <v>41</v>
      </c>
      <c r="U662" s="29">
        <v>46313.48332175926</v>
      </c>
      <c r="V662" s="29">
        <v>46313.482037037036</v>
      </c>
      <c r="W662" t="s">
        <v>2095</v>
      </c>
      <c r="X662">
        <v>22411</v>
      </c>
      <c r="Z662">
        <v>0</v>
      </c>
      <c r="AA662" s="30">
        <v>0.4777777777777778</v>
      </c>
      <c r="AB662">
        <v>4</v>
      </c>
      <c r="AC662" t="s">
        <v>41</v>
      </c>
    </row>
    <row r="663" spans="1:29">
      <c r="A663" t="s">
        <v>711</v>
      </c>
      <c r="B663" s="29">
        <v>46313.478125000001</v>
      </c>
      <c r="C663">
        <v>1306</v>
      </c>
      <c r="D663" t="s">
        <v>41</v>
      </c>
      <c r="E663">
        <v>5</v>
      </c>
      <c r="F663" t="s">
        <v>41</v>
      </c>
      <c r="G663" t="s">
        <v>41</v>
      </c>
      <c r="H663" t="s">
        <v>2096</v>
      </c>
      <c r="I663" s="29">
        <v>46313.478900462964</v>
      </c>
      <c r="J663" t="s">
        <v>41</v>
      </c>
      <c r="K663" s="29">
        <v>46313.478518518517</v>
      </c>
      <c r="L663">
        <v>32</v>
      </c>
      <c r="O663" s="29">
        <v>46313.478020833332</v>
      </c>
      <c r="P663" t="s">
        <v>43</v>
      </c>
      <c r="Q663" t="s">
        <v>713</v>
      </c>
      <c r="R663" t="s">
        <v>2097</v>
      </c>
      <c r="S663">
        <v>4247</v>
      </c>
      <c r="T663" t="s">
        <v>41</v>
      </c>
      <c r="U663" s="29">
        <v>46313.482569444444</v>
      </c>
      <c r="V663" s="29">
        <v>46313.481979166667</v>
      </c>
      <c r="W663" t="s">
        <v>2098</v>
      </c>
      <c r="X663">
        <v>22411</v>
      </c>
      <c r="Z663">
        <v>0</v>
      </c>
      <c r="AA663" s="30">
        <v>0.4777777777777778</v>
      </c>
      <c r="AB663">
        <v>4</v>
      </c>
      <c r="AC663" t="s">
        <v>41</v>
      </c>
    </row>
    <row r="664" spans="1:29">
      <c r="A664" t="s">
        <v>1136</v>
      </c>
      <c r="B664" s="29">
        <v>46313.476770833331</v>
      </c>
      <c r="C664">
        <v>1611</v>
      </c>
      <c r="D664" t="s">
        <v>41</v>
      </c>
      <c r="E664">
        <v>6</v>
      </c>
      <c r="F664" t="s">
        <v>41</v>
      </c>
      <c r="G664" t="s">
        <v>41</v>
      </c>
      <c r="H664" t="s">
        <v>2099</v>
      </c>
      <c r="I664" s="29">
        <v>46313.478148148148</v>
      </c>
      <c r="J664" t="s">
        <v>41</v>
      </c>
      <c r="K664" s="29">
        <v>46313.477719907409</v>
      </c>
      <c r="L664">
        <v>36</v>
      </c>
      <c r="O664" s="29">
        <v>46313.476701388892</v>
      </c>
      <c r="P664" t="s">
        <v>43</v>
      </c>
      <c r="Q664" t="s">
        <v>1138</v>
      </c>
      <c r="R664" t="s">
        <v>2100</v>
      </c>
      <c r="S664">
        <v>4247</v>
      </c>
      <c r="T664" t="s">
        <v>41</v>
      </c>
      <c r="U664" s="29">
        <v>46313.482789351852</v>
      </c>
      <c r="V664" s="29">
        <v>46313.481956018521</v>
      </c>
      <c r="W664" t="s">
        <v>2101</v>
      </c>
      <c r="X664">
        <v>22411</v>
      </c>
      <c r="Z664">
        <v>0</v>
      </c>
      <c r="AA664" s="30">
        <v>0.47638888888888892</v>
      </c>
      <c r="AB664">
        <v>5</v>
      </c>
      <c r="AC664" t="s">
        <v>41</v>
      </c>
    </row>
    <row r="665" spans="1:29">
      <c r="A665" t="s">
        <v>52</v>
      </c>
      <c r="B665" s="29">
        <v>46313.476145833331</v>
      </c>
      <c r="C665">
        <v>1169</v>
      </c>
      <c r="D665" t="s">
        <v>41</v>
      </c>
      <c r="E665">
        <v>4</v>
      </c>
      <c r="F665" t="s">
        <v>41</v>
      </c>
      <c r="G665" t="s">
        <v>41</v>
      </c>
      <c r="H665" t="s">
        <v>2102</v>
      </c>
      <c r="I665" s="29">
        <v>46313.476759259262</v>
      </c>
      <c r="J665" t="s">
        <v>41</v>
      </c>
      <c r="K665" s="29">
        <v>46313.476504629631</v>
      </c>
      <c r="L665">
        <v>21</v>
      </c>
      <c r="O665" s="29">
        <v>46313.475891203707</v>
      </c>
      <c r="P665" t="s">
        <v>43</v>
      </c>
      <c r="Q665" t="s">
        <v>54</v>
      </c>
      <c r="R665" t="s">
        <v>2103</v>
      </c>
      <c r="S665">
        <v>4247</v>
      </c>
      <c r="T665" t="s">
        <v>41</v>
      </c>
      <c r="U665" s="29">
        <v>46313.480925925927</v>
      </c>
      <c r="V665" s="29">
        <v>46313.479166666664</v>
      </c>
      <c r="W665" t="s">
        <v>2104</v>
      </c>
      <c r="X665">
        <v>22411</v>
      </c>
      <c r="Z665">
        <v>0</v>
      </c>
      <c r="AA665" s="30">
        <v>0.47569444444444442</v>
      </c>
      <c r="AB665">
        <v>3</v>
      </c>
      <c r="AC665" t="s">
        <v>41</v>
      </c>
    </row>
    <row r="666" spans="1:29">
      <c r="A666" t="s">
        <v>734</v>
      </c>
      <c r="B666" s="29">
        <v>46313.476111111115</v>
      </c>
      <c r="C666">
        <v>2978</v>
      </c>
      <c r="D666" t="s">
        <v>41</v>
      </c>
      <c r="E666">
        <v>9</v>
      </c>
      <c r="F666" t="s">
        <v>41</v>
      </c>
      <c r="G666" t="s">
        <v>41</v>
      </c>
      <c r="H666" t="s">
        <v>2105</v>
      </c>
      <c r="I666" s="29">
        <v>46313.4765625</v>
      </c>
      <c r="J666" t="s">
        <v>41</v>
      </c>
      <c r="K666" s="29">
        <v>46313.476111111115</v>
      </c>
      <c r="L666">
        <v>38</v>
      </c>
      <c r="O666" s="29">
        <v>46313.475752314815</v>
      </c>
      <c r="P666" t="s">
        <v>43</v>
      </c>
      <c r="Q666" t="s">
        <v>736</v>
      </c>
      <c r="R666" t="s">
        <v>2106</v>
      </c>
      <c r="S666">
        <v>4247</v>
      </c>
      <c r="T666" t="s">
        <v>41</v>
      </c>
      <c r="U666" s="29">
        <v>46313.484837962962</v>
      </c>
      <c r="V666" s="29">
        <v>46313.482523148145</v>
      </c>
      <c r="W666" t="s">
        <v>2107</v>
      </c>
      <c r="X666">
        <v>22411</v>
      </c>
      <c r="Z666">
        <v>0</v>
      </c>
      <c r="AA666" s="30">
        <v>0.47569444444444442</v>
      </c>
      <c r="AB666">
        <v>9</v>
      </c>
      <c r="AC666" t="s">
        <v>41</v>
      </c>
    </row>
    <row r="667" spans="1:29">
      <c r="A667" t="s">
        <v>1310</v>
      </c>
      <c r="B667" s="29">
        <v>46313.475011574075</v>
      </c>
      <c r="C667">
        <v>1250</v>
      </c>
      <c r="D667" t="s">
        <v>41</v>
      </c>
      <c r="E667">
        <v>4</v>
      </c>
      <c r="F667" t="s">
        <v>41</v>
      </c>
      <c r="G667" t="s">
        <v>41</v>
      </c>
      <c r="H667" t="s">
        <v>2108</v>
      </c>
      <c r="I667" s="29">
        <v>46313.475717592592</v>
      </c>
      <c r="J667" t="s">
        <v>41</v>
      </c>
      <c r="K667" s="29">
        <v>46313.475416666668</v>
      </c>
      <c r="L667">
        <v>25</v>
      </c>
      <c r="O667" s="29">
        <v>46313.474907407406</v>
      </c>
      <c r="P667" t="s">
        <v>43</v>
      </c>
      <c r="Q667" t="s">
        <v>1312</v>
      </c>
      <c r="R667" t="s">
        <v>2109</v>
      </c>
      <c r="S667">
        <v>4247</v>
      </c>
      <c r="T667" t="s">
        <v>41</v>
      </c>
      <c r="U667" s="29">
        <v>46313.480011574073</v>
      </c>
      <c r="V667" s="29">
        <v>46313.478379629632</v>
      </c>
      <c r="W667" t="s">
        <v>2110</v>
      </c>
      <c r="X667">
        <v>22411</v>
      </c>
      <c r="Z667">
        <v>0</v>
      </c>
      <c r="AA667" s="30">
        <v>0.47500000000000003</v>
      </c>
      <c r="AB667">
        <v>4</v>
      </c>
      <c r="AC667" t="s">
        <v>41</v>
      </c>
    </row>
    <row r="668" spans="1:29">
      <c r="A668" t="s">
        <v>106</v>
      </c>
      <c r="B668" s="29">
        <v>46313.474270833336</v>
      </c>
      <c r="C668">
        <v>465</v>
      </c>
      <c r="D668" t="s">
        <v>41</v>
      </c>
      <c r="E668">
        <v>2</v>
      </c>
      <c r="F668" t="s">
        <v>41</v>
      </c>
      <c r="G668" t="s">
        <v>41</v>
      </c>
      <c r="H668" t="s">
        <v>2111</v>
      </c>
      <c r="I668" s="29">
        <v>46313.475266203706</v>
      </c>
      <c r="J668" t="s">
        <v>41</v>
      </c>
      <c r="K668" s="29">
        <v>46313.474965277775</v>
      </c>
      <c r="L668">
        <v>25</v>
      </c>
      <c r="O668" s="29">
        <v>46313.474016203705</v>
      </c>
      <c r="P668" t="s">
        <v>43</v>
      </c>
      <c r="Q668" t="s">
        <v>108</v>
      </c>
      <c r="R668" t="s">
        <v>2112</v>
      </c>
      <c r="S668">
        <v>4247</v>
      </c>
      <c r="T668" t="s">
        <v>41</v>
      </c>
      <c r="U668" s="29">
        <v>46313.476898148147</v>
      </c>
      <c r="V668" s="29">
        <v>46313.476481481484</v>
      </c>
      <c r="W668" t="s">
        <v>2113</v>
      </c>
      <c r="X668">
        <v>22411</v>
      </c>
      <c r="Z668">
        <v>0</v>
      </c>
      <c r="AA668" s="30">
        <v>0.47361111111111115</v>
      </c>
      <c r="AB668">
        <v>2</v>
      </c>
      <c r="AC668" t="s">
        <v>41</v>
      </c>
    </row>
    <row r="669" spans="1:29">
      <c r="A669" t="s">
        <v>67</v>
      </c>
      <c r="B669" s="29">
        <v>46313.473958333336</v>
      </c>
      <c r="C669">
        <v>1802</v>
      </c>
      <c r="D669" t="s">
        <v>41</v>
      </c>
      <c r="E669">
        <v>5</v>
      </c>
      <c r="F669" t="s">
        <v>41</v>
      </c>
      <c r="G669" t="s">
        <v>41</v>
      </c>
      <c r="H669" t="s">
        <v>2114</v>
      </c>
      <c r="I669" s="29">
        <v>46313.474699074075</v>
      </c>
      <c r="J669" t="s">
        <v>41</v>
      </c>
      <c r="K669" s="29">
        <v>46313.474270833336</v>
      </c>
      <c r="L669">
        <v>36</v>
      </c>
      <c r="O669" s="29">
        <v>46313.47384259259</v>
      </c>
      <c r="P669" t="s">
        <v>43</v>
      </c>
      <c r="Q669" t="s">
        <v>69</v>
      </c>
      <c r="R669" t="s">
        <v>2115</v>
      </c>
      <c r="S669">
        <v>4247</v>
      </c>
      <c r="T669" t="s">
        <v>41</v>
      </c>
      <c r="U669" s="29">
        <v>46313.47892361111</v>
      </c>
      <c r="V669" s="29">
        <v>46313.477708333332</v>
      </c>
      <c r="W669" t="s">
        <v>2116</v>
      </c>
      <c r="X669">
        <v>22411</v>
      </c>
      <c r="Z669">
        <v>0</v>
      </c>
      <c r="AA669" s="30">
        <v>0.47361111111111115</v>
      </c>
      <c r="AB669">
        <v>4</v>
      </c>
      <c r="AC669" t="s">
        <v>41</v>
      </c>
    </row>
    <row r="670" spans="1:29">
      <c r="A670" t="s">
        <v>1239</v>
      </c>
      <c r="B670" s="29">
        <v>46313.473530092589</v>
      </c>
      <c r="C670">
        <v>2168</v>
      </c>
      <c r="D670" t="s">
        <v>41</v>
      </c>
      <c r="E670">
        <v>8</v>
      </c>
      <c r="F670" t="s">
        <v>41</v>
      </c>
      <c r="G670" t="s">
        <v>41</v>
      </c>
      <c r="H670" t="s">
        <v>2117</v>
      </c>
      <c r="I670" s="29">
        <v>46313.476354166669</v>
      </c>
      <c r="J670" t="s">
        <v>41</v>
      </c>
      <c r="K670" s="29">
        <v>46313.475787037038</v>
      </c>
      <c r="L670">
        <v>48</v>
      </c>
      <c r="O670" s="29">
        <v>46313.473402777781</v>
      </c>
      <c r="P670" t="s">
        <v>43</v>
      </c>
      <c r="Q670" t="s">
        <v>1241</v>
      </c>
      <c r="R670" t="s">
        <v>2118</v>
      </c>
      <c r="S670">
        <v>4247</v>
      </c>
      <c r="T670" t="s">
        <v>41</v>
      </c>
      <c r="U670" s="29">
        <v>46313.481574074074</v>
      </c>
      <c r="V670" s="29">
        <v>46313.481157407405</v>
      </c>
      <c r="W670" t="s">
        <v>2119</v>
      </c>
      <c r="X670">
        <v>22411</v>
      </c>
      <c r="Z670">
        <v>0</v>
      </c>
      <c r="AA670" s="30">
        <v>0.47291666666666665</v>
      </c>
      <c r="AB670">
        <v>7</v>
      </c>
      <c r="AC670" t="s">
        <v>41</v>
      </c>
    </row>
    <row r="671" spans="1:29">
      <c r="A671" t="s">
        <v>1077</v>
      </c>
      <c r="B671" s="29">
        <v>46313.473275462966</v>
      </c>
      <c r="C671">
        <v>162</v>
      </c>
      <c r="D671" t="s">
        <v>41</v>
      </c>
      <c r="E671">
        <v>0</v>
      </c>
      <c r="F671" t="s">
        <v>41</v>
      </c>
      <c r="G671" t="s">
        <v>41</v>
      </c>
      <c r="H671" t="s">
        <v>2120</v>
      </c>
      <c r="I671" s="29">
        <v>46313.474652777775</v>
      </c>
      <c r="J671" t="s">
        <v>41</v>
      </c>
      <c r="K671" s="29">
        <v>46313.474386574075</v>
      </c>
      <c r="L671">
        <v>22</v>
      </c>
      <c r="O671" s="29">
        <v>46313.473217592589</v>
      </c>
      <c r="P671" t="s">
        <v>43</v>
      </c>
      <c r="Q671" t="s">
        <v>1079</v>
      </c>
      <c r="R671" t="s">
        <v>2121</v>
      </c>
      <c r="S671">
        <v>4247</v>
      </c>
      <c r="T671" t="s">
        <v>41</v>
      </c>
      <c r="U671" s="29">
        <v>46313.475624999999</v>
      </c>
      <c r="V671" s="29">
        <v>46313.474664351852</v>
      </c>
      <c r="W671" t="s">
        <v>2122</v>
      </c>
      <c r="X671">
        <v>22411</v>
      </c>
      <c r="Z671">
        <v>0</v>
      </c>
      <c r="AA671" s="30">
        <v>0.47291666666666665</v>
      </c>
      <c r="AB671">
        <v>0</v>
      </c>
      <c r="AC671" t="s">
        <v>41</v>
      </c>
    </row>
    <row r="672" spans="1:29">
      <c r="A672" t="s">
        <v>177</v>
      </c>
      <c r="B672" s="29">
        <v>46313.473263888889</v>
      </c>
      <c r="C672">
        <v>1895</v>
      </c>
      <c r="D672" t="s">
        <v>41</v>
      </c>
      <c r="E672">
        <v>5</v>
      </c>
      <c r="F672" t="s">
        <v>41</v>
      </c>
      <c r="G672" t="s">
        <v>41</v>
      </c>
      <c r="H672" t="s">
        <v>2123</v>
      </c>
      <c r="I672" s="29">
        <v>46313.474131944444</v>
      </c>
      <c r="J672" t="s">
        <v>41</v>
      </c>
      <c r="K672" s="29">
        <v>46313.473587962966</v>
      </c>
      <c r="L672">
        <v>46</v>
      </c>
      <c r="O672" s="29">
        <v>46313.473090277781</v>
      </c>
      <c r="P672" t="s">
        <v>43</v>
      </c>
      <c r="Q672" t="s">
        <v>179</v>
      </c>
      <c r="R672" t="s">
        <v>2124</v>
      </c>
      <c r="S672">
        <v>4247</v>
      </c>
      <c r="T672" t="s">
        <v>41</v>
      </c>
      <c r="U672" s="29">
        <v>46313.478807870371</v>
      </c>
      <c r="V672" s="29">
        <v>46313.477314814816</v>
      </c>
      <c r="W672" t="s">
        <v>2125</v>
      </c>
      <c r="X672">
        <v>22411</v>
      </c>
      <c r="Z672">
        <v>0</v>
      </c>
      <c r="AA672" s="30">
        <v>0.47291666666666665</v>
      </c>
      <c r="AB672">
        <v>5</v>
      </c>
      <c r="AC672" t="s">
        <v>41</v>
      </c>
    </row>
    <row r="673" spans="1:29">
      <c r="A673" t="s">
        <v>98</v>
      </c>
      <c r="B673" s="29">
        <v>46313.471365740741</v>
      </c>
      <c r="C673">
        <v>702</v>
      </c>
      <c r="D673" t="s">
        <v>41</v>
      </c>
      <c r="E673">
        <v>3</v>
      </c>
      <c r="F673" t="s">
        <v>41</v>
      </c>
      <c r="G673" t="s">
        <v>41</v>
      </c>
      <c r="H673" t="s">
        <v>2126</v>
      </c>
      <c r="I673" s="29">
        <v>46313.472511574073</v>
      </c>
      <c r="J673" t="s">
        <v>41</v>
      </c>
      <c r="K673" s="29">
        <v>46313.472349537034</v>
      </c>
      <c r="L673">
        <v>13</v>
      </c>
      <c r="O673" s="29">
        <v>46313.471203703702</v>
      </c>
      <c r="P673" t="s">
        <v>43</v>
      </c>
      <c r="Q673" t="s">
        <v>3005</v>
      </c>
      <c r="R673" t="s">
        <v>2127</v>
      </c>
      <c r="S673">
        <v>4247</v>
      </c>
      <c r="T673" t="s">
        <v>41</v>
      </c>
      <c r="U673" s="29">
        <v>46313.475057870368</v>
      </c>
      <c r="V673" s="29">
        <v>46313.474270833336</v>
      </c>
      <c r="W673" t="s">
        <v>2128</v>
      </c>
      <c r="X673">
        <v>22411</v>
      </c>
      <c r="Z673">
        <v>0</v>
      </c>
      <c r="AA673" s="30">
        <v>0.47083333333333338</v>
      </c>
      <c r="AB673">
        <v>3</v>
      </c>
      <c r="AC673" t="s">
        <v>41</v>
      </c>
    </row>
    <row r="674" spans="1:29">
      <c r="A674" t="s">
        <v>655</v>
      </c>
      <c r="B674" s="29">
        <v>46313.471238425926</v>
      </c>
      <c r="C674">
        <v>860</v>
      </c>
      <c r="D674" t="s">
        <v>41</v>
      </c>
      <c r="E674">
        <v>3</v>
      </c>
      <c r="F674" t="s">
        <v>41</v>
      </c>
      <c r="G674" t="s">
        <v>41</v>
      </c>
      <c r="H674" t="s">
        <v>2129</v>
      </c>
      <c r="I674" s="29">
        <v>46313.472361111111</v>
      </c>
      <c r="J674" t="s">
        <v>41</v>
      </c>
      <c r="K674" s="29">
        <v>46313.472199074073</v>
      </c>
      <c r="L674">
        <v>13</v>
      </c>
      <c r="O674" s="29">
        <v>46313.471168981479</v>
      </c>
      <c r="P674" t="s">
        <v>43</v>
      </c>
      <c r="Q674" t="s">
        <v>657</v>
      </c>
      <c r="R674" t="s">
        <v>2130</v>
      </c>
      <c r="S674">
        <v>4247</v>
      </c>
      <c r="T674" t="s">
        <v>41</v>
      </c>
      <c r="U674" s="29">
        <v>46313.474965277775</v>
      </c>
      <c r="V674" s="29">
        <v>46313.474097222221</v>
      </c>
      <c r="W674" t="s">
        <v>2131</v>
      </c>
      <c r="X674">
        <v>22411</v>
      </c>
      <c r="Z674">
        <v>0</v>
      </c>
      <c r="AA674" s="30">
        <v>0.47083333333333338</v>
      </c>
      <c r="AB674">
        <v>3</v>
      </c>
      <c r="AC674" t="s">
        <v>41</v>
      </c>
    </row>
    <row r="675" spans="1:29">
      <c r="A675" t="s">
        <v>1461</v>
      </c>
      <c r="B675" s="29">
        <v>46313.47111111111</v>
      </c>
      <c r="C675">
        <v>1576</v>
      </c>
      <c r="D675" t="s">
        <v>41</v>
      </c>
      <c r="E675">
        <v>5</v>
      </c>
      <c r="F675" t="s">
        <v>41</v>
      </c>
      <c r="G675" t="s">
        <v>41</v>
      </c>
      <c r="H675" t="s">
        <v>2132</v>
      </c>
      <c r="I675" s="29">
        <v>46313.473391203705</v>
      </c>
      <c r="J675" t="s">
        <v>41</v>
      </c>
      <c r="K675" s="29">
        <v>46313.47315972222</v>
      </c>
      <c r="L675">
        <v>19</v>
      </c>
      <c r="O675" s="29">
        <v>46313.471041666664</v>
      </c>
      <c r="P675" t="s">
        <v>43</v>
      </c>
      <c r="Q675" t="s">
        <v>1463</v>
      </c>
      <c r="R675" t="s">
        <v>2133</v>
      </c>
      <c r="S675">
        <v>4247</v>
      </c>
      <c r="T675" t="s">
        <v>41</v>
      </c>
      <c r="U675" s="29">
        <v>46313.478842592594</v>
      </c>
      <c r="V675" s="29">
        <v>46313.476736111108</v>
      </c>
      <c r="W675" t="s">
        <v>2134</v>
      </c>
      <c r="X675">
        <v>22411</v>
      </c>
      <c r="Z675">
        <v>0</v>
      </c>
      <c r="AA675" s="30">
        <v>0.47083333333333338</v>
      </c>
      <c r="AB675">
        <v>5</v>
      </c>
      <c r="AC675" t="s">
        <v>41</v>
      </c>
    </row>
    <row r="676" spans="1:29">
      <c r="A676" t="s">
        <v>1336</v>
      </c>
      <c r="B676" s="29">
        <v>46313.470694444448</v>
      </c>
      <c r="C676">
        <v>1816</v>
      </c>
      <c r="D676" t="s">
        <v>41</v>
      </c>
      <c r="E676">
        <v>5</v>
      </c>
      <c r="F676" t="s">
        <v>41</v>
      </c>
      <c r="G676" t="s">
        <v>41</v>
      </c>
      <c r="H676" t="s">
        <v>2135</v>
      </c>
      <c r="I676" s="29">
        <v>46313.472442129627</v>
      </c>
      <c r="J676" t="s">
        <v>41</v>
      </c>
      <c r="K676" s="29">
        <v>46313.472314814811</v>
      </c>
      <c r="L676">
        <v>10</v>
      </c>
      <c r="O676" s="29">
        <v>46313.470555555556</v>
      </c>
      <c r="P676" t="s">
        <v>43</v>
      </c>
      <c r="Q676" t="s">
        <v>1338</v>
      </c>
      <c r="R676" t="s">
        <v>2136</v>
      </c>
      <c r="S676">
        <v>4247</v>
      </c>
      <c r="T676" t="s">
        <v>41</v>
      </c>
      <c r="U676" s="29">
        <v>46313.477858796294</v>
      </c>
      <c r="V676" s="29">
        <v>46313.476041666669</v>
      </c>
      <c r="W676" t="s">
        <v>2137</v>
      </c>
      <c r="X676">
        <v>22411</v>
      </c>
      <c r="Z676">
        <v>0</v>
      </c>
      <c r="AA676" s="30">
        <v>0.47013888888888888</v>
      </c>
      <c r="AB676">
        <v>5</v>
      </c>
      <c r="AC676" t="s">
        <v>41</v>
      </c>
    </row>
    <row r="677" spans="1:29">
      <c r="A677" t="s">
        <v>1310</v>
      </c>
      <c r="B677" s="29">
        <v>46313.469560185185</v>
      </c>
      <c r="C677">
        <v>195</v>
      </c>
      <c r="D677" t="s">
        <v>41</v>
      </c>
      <c r="E677">
        <v>1</v>
      </c>
      <c r="F677" t="s">
        <v>41</v>
      </c>
      <c r="G677" t="s">
        <v>41</v>
      </c>
      <c r="H677" t="s">
        <v>2138</v>
      </c>
      <c r="I677" s="29">
        <v>46313.470254629632</v>
      </c>
      <c r="J677" t="s">
        <v>41</v>
      </c>
      <c r="K677" s="29">
        <v>46313.469872685186</v>
      </c>
      <c r="L677">
        <v>32</v>
      </c>
      <c r="O677" s="29">
        <v>46313.469340277778</v>
      </c>
      <c r="P677" t="s">
        <v>43</v>
      </c>
      <c r="Q677" t="s">
        <v>1312</v>
      </c>
      <c r="R677" t="s">
        <v>2139</v>
      </c>
      <c r="S677">
        <v>4247</v>
      </c>
      <c r="T677" t="s">
        <v>41</v>
      </c>
      <c r="U677" s="29">
        <v>46313.471435185187</v>
      </c>
      <c r="V677" s="29">
        <v>46313.470335648148</v>
      </c>
      <c r="W677" t="s">
        <v>2140</v>
      </c>
      <c r="X677">
        <v>22411</v>
      </c>
      <c r="Z677">
        <v>0</v>
      </c>
      <c r="AA677" s="30">
        <v>0.4694444444444445</v>
      </c>
      <c r="AB677">
        <v>0</v>
      </c>
      <c r="AC677" t="s">
        <v>41</v>
      </c>
    </row>
    <row r="678" spans="1:29">
      <c r="A678" t="s">
        <v>1624</v>
      </c>
      <c r="B678" s="29">
        <v>46313.469340277778</v>
      </c>
      <c r="C678">
        <v>591</v>
      </c>
      <c r="D678" t="s">
        <v>41</v>
      </c>
      <c r="E678">
        <v>2</v>
      </c>
      <c r="F678" t="s">
        <v>41</v>
      </c>
      <c r="G678" t="s">
        <v>41</v>
      </c>
      <c r="H678" t="s">
        <v>2141</v>
      </c>
      <c r="I678" s="29">
        <v>46313.470891203702</v>
      </c>
      <c r="J678" t="s">
        <v>41</v>
      </c>
      <c r="K678" s="29">
        <v>46313.47074074074</v>
      </c>
      <c r="L678">
        <v>12</v>
      </c>
      <c r="O678" s="29">
        <v>46313.469247685185</v>
      </c>
      <c r="P678" t="s">
        <v>43</v>
      </c>
      <c r="Q678" t="s">
        <v>1626</v>
      </c>
      <c r="R678" t="s">
        <v>2142</v>
      </c>
      <c r="S678">
        <v>4247</v>
      </c>
      <c r="T678" t="s">
        <v>41</v>
      </c>
      <c r="U678" s="29">
        <v>46313.47284722222</v>
      </c>
      <c r="V678" s="29">
        <v>46313.472210648149</v>
      </c>
      <c r="W678" t="s">
        <v>2143</v>
      </c>
      <c r="X678">
        <v>22411</v>
      </c>
      <c r="Z678">
        <v>0</v>
      </c>
      <c r="AA678" s="30">
        <v>0.46875</v>
      </c>
      <c r="AB678">
        <v>2</v>
      </c>
      <c r="AC678" t="s">
        <v>41</v>
      </c>
    </row>
    <row r="679" spans="1:29">
      <c r="A679" t="s">
        <v>734</v>
      </c>
      <c r="B679" s="29">
        <v>46313.469212962962</v>
      </c>
      <c r="C679">
        <v>897</v>
      </c>
      <c r="D679" t="s">
        <v>41</v>
      </c>
      <c r="E679">
        <v>3</v>
      </c>
      <c r="F679" t="s">
        <v>41</v>
      </c>
      <c r="G679" t="s">
        <v>41</v>
      </c>
      <c r="H679" t="s">
        <v>2144</v>
      </c>
      <c r="I679" s="29">
        <v>46313.469733796293</v>
      </c>
      <c r="J679" t="s">
        <v>41</v>
      </c>
      <c r="K679" s="29">
        <v>46313.469583333332</v>
      </c>
      <c r="L679">
        <v>12</v>
      </c>
      <c r="O679" s="29">
        <v>46313.469039351854</v>
      </c>
      <c r="P679" t="s">
        <v>43</v>
      </c>
      <c r="Q679" t="s">
        <v>736</v>
      </c>
      <c r="R679" t="s">
        <v>2145</v>
      </c>
      <c r="S679">
        <v>4247</v>
      </c>
      <c r="T679" t="s">
        <v>41</v>
      </c>
      <c r="U679" s="29">
        <v>46313.472291666665</v>
      </c>
      <c r="V679" s="29">
        <v>46313.471817129626</v>
      </c>
      <c r="W679" t="s">
        <v>2146</v>
      </c>
      <c r="X679">
        <v>22411</v>
      </c>
      <c r="Z679">
        <v>0</v>
      </c>
      <c r="AA679" s="30">
        <v>0.46875</v>
      </c>
      <c r="AB679">
        <v>3</v>
      </c>
      <c r="AC679" t="s">
        <v>41</v>
      </c>
    </row>
    <row r="680" spans="1:29">
      <c r="A680" t="s">
        <v>1365</v>
      </c>
      <c r="B680" s="29">
        <v>46313.468576388892</v>
      </c>
      <c r="C680">
        <v>1129</v>
      </c>
      <c r="D680" t="s">
        <v>41</v>
      </c>
      <c r="E680">
        <v>4</v>
      </c>
      <c r="F680" t="s">
        <v>41</v>
      </c>
      <c r="G680" t="s">
        <v>41</v>
      </c>
      <c r="H680" t="s">
        <v>2147</v>
      </c>
      <c r="I680" s="29">
        <v>46313.469918981478</v>
      </c>
      <c r="J680" t="s">
        <v>41</v>
      </c>
      <c r="K680" s="29">
        <v>46313.469618055555</v>
      </c>
      <c r="L680">
        <v>25</v>
      </c>
      <c r="O680" s="29">
        <v>46313.468368055554</v>
      </c>
      <c r="P680" t="s">
        <v>43</v>
      </c>
      <c r="Q680" t="s">
        <v>1367</v>
      </c>
      <c r="R680" t="s">
        <v>2148</v>
      </c>
      <c r="S680">
        <v>4247</v>
      </c>
      <c r="T680" t="s">
        <v>41</v>
      </c>
      <c r="U680" s="29">
        <v>46313.47320601852</v>
      </c>
      <c r="V680" s="29">
        <v>46313.47247685185</v>
      </c>
      <c r="W680" t="s">
        <v>2149</v>
      </c>
      <c r="X680">
        <v>22411</v>
      </c>
      <c r="Z680">
        <v>0</v>
      </c>
      <c r="AA680" s="30">
        <v>0.4680555555555555</v>
      </c>
      <c r="AB680">
        <v>4</v>
      </c>
      <c r="AC680" t="s">
        <v>41</v>
      </c>
    </row>
    <row r="681" spans="1:29">
      <c r="A681" t="s">
        <v>62</v>
      </c>
      <c r="B681" s="29">
        <v>46313.468402777777</v>
      </c>
      <c r="C681">
        <v>1193</v>
      </c>
      <c r="D681" t="s">
        <v>41</v>
      </c>
      <c r="E681">
        <v>4</v>
      </c>
      <c r="F681" t="s">
        <v>41</v>
      </c>
      <c r="G681" t="s">
        <v>41</v>
      </c>
      <c r="H681" t="s">
        <v>2150</v>
      </c>
      <c r="I681" s="29">
        <v>46313.469560185185</v>
      </c>
      <c r="J681" t="s">
        <v>41</v>
      </c>
      <c r="K681" s="29">
        <v>46313.469375000001</v>
      </c>
      <c r="L681">
        <v>15</v>
      </c>
      <c r="O681" s="29">
        <v>46313.468229166669</v>
      </c>
      <c r="P681" t="s">
        <v>43</v>
      </c>
      <c r="Q681" t="s">
        <v>64</v>
      </c>
      <c r="R681" t="s">
        <v>2151</v>
      </c>
      <c r="S681">
        <v>4247</v>
      </c>
      <c r="T681" t="s">
        <v>41</v>
      </c>
      <c r="U681" s="29">
        <v>46313.473379629628</v>
      </c>
      <c r="V681" s="29">
        <v>46313.472037037034</v>
      </c>
      <c r="W681" t="s">
        <v>2152</v>
      </c>
      <c r="X681">
        <v>22411</v>
      </c>
      <c r="Z681">
        <v>0</v>
      </c>
      <c r="AA681" s="30">
        <v>0.4680555555555555</v>
      </c>
      <c r="AB681">
        <v>4</v>
      </c>
      <c r="AC681" t="s">
        <v>41</v>
      </c>
    </row>
    <row r="682" spans="1:29">
      <c r="A682" t="s">
        <v>1391</v>
      </c>
      <c r="B682" s="29">
        <v>46313.468310185184</v>
      </c>
      <c r="C682">
        <v>3528</v>
      </c>
      <c r="D682" t="s">
        <v>41</v>
      </c>
      <c r="E682">
        <v>8</v>
      </c>
      <c r="F682" t="s">
        <v>41</v>
      </c>
      <c r="G682" t="s">
        <v>41</v>
      </c>
      <c r="H682" t="s">
        <v>2153</v>
      </c>
      <c r="I682" s="29">
        <v>46313.469629629632</v>
      </c>
      <c r="J682" t="s">
        <v>41</v>
      </c>
      <c r="K682" s="29">
        <v>46313.469444444447</v>
      </c>
      <c r="L682">
        <v>15</v>
      </c>
      <c r="O682" s="29">
        <v>46313.468159722222</v>
      </c>
      <c r="P682" t="s">
        <v>43</v>
      </c>
      <c r="Q682" t="s">
        <v>1393</v>
      </c>
      <c r="R682" t="s">
        <v>2154</v>
      </c>
      <c r="S682">
        <v>4247</v>
      </c>
      <c r="T682" t="s">
        <v>41</v>
      </c>
      <c r="U682" s="29">
        <v>46313.479143518518</v>
      </c>
      <c r="V682" s="29">
        <v>46313.474803240744</v>
      </c>
      <c r="W682" t="s">
        <v>2155</v>
      </c>
      <c r="X682">
        <v>22411</v>
      </c>
      <c r="Z682">
        <v>0</v>
      </c>
      <c r="AA682" s="30">
        <v>0.4680555555555555</v>
      </c>
      <c r="AB682">
        <v>7</v>
      </c>
      <c r="AC682" t="s">
        <v>41</v>
      </c>
    </row>
    <row r="683" spans="1:29">
      <c r="A683" t="s">
        <v>1136</v>
      </c>
      <c r="B683" s="29">
        <v>46313.467199074075</v>
      </c>
      <c r="C683">
        <v>1229</v>
      </c>
      <c r="D683" t="s">
        <v>41</v>
      </c>
      <c r="E683">
        <v>5</v>
      </c>
      <c r="F683" t="s">
        <v>41</v>
      </c>
      <c r="G683" t="s">
        <v>41</v>
      </c>
      <c r="H683" t="s">
        <v>2156</v>
      </c>
      <c r="I683" s="29">
        <v>46313.467766203707</v>
      </c>
      <c r="J683" t="s">
        <v>41</v>
      </c>
      <c r="K683" s="29">
        <v>46313.467650462961</v>
      </c>
      <c r="L683">
        <v>9</v>
      </c>
      <c r="O683" s="29">
        <v>46313.467152777775</v>
      </c>
      <c r="P683" t="s">
        <v>43</v>
      </c>
      <c r="Q683" t="s">
        <v>1138</v>
      </c>
      <c r="R683" t="s">
        <v>2157</v>
      </c>
      <c r="S683">
        <v>4247</v>
      </c>
      <c r="T683" t="s">
        <v>41</v>
      </c>
      <c r="U683" s="29">
        <v>46313.471712962964</v>
      </c>
      <c r="V683" s="29">
        <v>46313.471203703702</v>
      </c>
      <c r="W683" t="s">
        <v>2158</v>
      </c>
      <c r="X683">
        <v>22411</v>
      </c>
      <c r="Z683">
        <v>0</v>
      </c>
      <c r="AA683" s="30">
        <v>0.46666666666666662</v>
      </c>
      <c r="AB683">
        <v>5</v>
      </c>
      <c r="AC683" t="s">
        <v>41</v>
      </c>
    </row>
    <row r="684" spans="1:29">
      <c r="A684" t="s">
        <v>40</v>
      </c>
      <c r="B684" s="29">
        <v>46313.467106481483</v>
      </c>
      <c r="C684">
        <v>3699</v>
      </c>
      <c r="D684" t="s">
        <v>41</v>
      </c>
      <c r="E684">
        <v>10</v>
      </c>
      <c r="F684" t="s">
        <v>41</v>
      </c>
      <c r="G684" t="s">
        <v>41</v>
      </c>
      <c r="H684" t="s">
        <v>2159</v>
      </c>
      <c r="I684" s="29">
        <v>46313.468275462961</v>
      </c>
      <c r="J684" t="s">
        <v>41</v>
      </c>
      <c r="K684" s="29">
        <v>46313.467986111114</v>
      </c>
      <c r="L684">
        <v>24</v>
      </c>
      <c r="O684" s="29">
        <v>46313.466898148145</v>
      </c>
      <c r="P684" t="s">
        <v>43</v>
      </c>
      <c r="Q684" t="s">
        <v>44</v>
      </c>
      <c r="R684" t="s">
        <v>2160</v>
      </c>
      <c r="S684">
        <v>4247</v>
      </c>
      <c r="T684" t="s">
        <v>41</v>
      </c>
      <c r="U684" s="29">
        <v>46313.477013888885</v>
      </c>
      <c r="V684" s="29">
        <v>46313.475173611114</v>
      </c>
      <c r="W684" t="s">
        <v>2161</v>
      </c>
      <c r="X684">
        <v>22411</v>
      </c>
      <c r="Z684">
        <v>0</v>
      </c>
      <c r="AA684" s="30">
        <v>0.46666666666666662</v>
      </c>
      <c r="AB684">
        <v>10</v>
      </c>
      <c r="AC684" t="s">
        <v>41</v>
      </c>
    </row>
    <row r="685" spans="1:29">
      <c r="A685" t="s">
        <v>190</v>
      </c>
      <c r="B685" s="29">
        <v>46313.466678240744</v>
      </c>
      <c r="C685">
        <v>2252</v>
      </c>
      <c r="D685" t="s">
        <v>41</v>
      </c>
      <c r="E685">
        <v>8</v>
      </c>
      <c r="F685" t="s">
        <v>41</v>
      </c>
      <c r="G685" t="s">
        <v>41</v>
      </c>
      <c r="H685" t="s">
        <v>2162</v>
      </c>
      <c r="I685" s="29">
        <v>46313.467604166668</v>
      </c>
      <c r="J685" t="s">
        <v>41</v>
      </c>
      <c r="K685" s="29">
        <v>46313.467442129629</v>
      </c>
      <c r="L685">
        <v>13</v>
      </c>
      <c r="O685" s="29">
        <v>46313.466562499998</v>
      </c>
      <c r="P685" t="s">
        <v>43</v>
      </c>
      <c r="Q685" t="s">
        <v>192</v>
      </c>
      <c r="R685" t="s">
        <v>2163</v>
      </c>
      <c r="S685">
        <v>4247</v>
      </c>
      <c r="T685" t="s">
        <v>41</v>
      </c>
      <c r="U685" s="29">
        <v>46313.473449074074</v>
      </c>
      <c r="V685" s="29">
        <v>46313.472824074073</v>
      </c>
      <c r="W685" t="s">
        <v>2164</v>
      </c>
      <c r="X685">
        <v>22411</v>
      </c>
      <c r="Z685">
        <v>0</v>
      </c>
      <c r="AA685" s="30">
        <v>0.46666666666666662</v>
      </c>
      <c r="AB685">
        <v>8</v>
      </c>
      <c r="AC685" t="s">
        <v>41</v>
      </c>
    </row>
    <row r="686" spans="1:29">
      <c r="A686" t="s">
        <v>67</v>
      </c>
      <c r="B686" s="29">
        <v>46313.465717592589</v>
      </c>
      <c r="C686">
        <v>521</v>
      </c>
      <c r="D686" t="s">
        <v>41</v>
      </c>
      <c r="E686">
        <v>2</v>
      </c>
      <c r="F686" t="s">
        <v>41</v>
      </c>
      <c r="G686" t="s">
        <v>41</v>
      </c>
      <c r="H686" t="s">
        <v>2165</v>
      </c>
      <c r="I686" s="29">
        <v>46313.466782407406</v>
      </c>
      <c r="J686" t="s">
        <v>41</v>
      </c>
      <c r="K686" s="29">
        <v>46313.466689814813</v>
      </c>
      <c r="L686">
        <v>7</v>
      </c>
      <c r="O686" s="29">
        <v>46313.465509259258</v>
      </c>
      <c r="P686" t="s">
        <v>43</v>
      </c>
      <c r="Q686" t="s">
        <v>69</v>
      </c>
      <c r="R686" t="s">
        <v>2166</v>
      </c>
      <c r="S686">
        <v>4247</v>
      </c>
      <c r="T686" t="s">
        <v>41</v>
      </c>
      <c r="U686" s="29">
        <v>46313.468599537038</v>
      </c>
      <c r="V686" s="29">
        <v>46313.46837962963</v>
      </c>
      <c r="W686" t="s">
        <v>2167</v>
      </c>
      <c r="X686">
        <v>22411</v>
      </c>
      <c r="Z686">
        <v>0</v>
      </c>
      <c r="AA686" s="30">
        <v>0.46527777777777773</v>
      </c>
      <c r="AB686">
        <v>2</v>
      </c>
      <c r="AC686" t="s">
        <v>41</v>
      </c>
    </row>
    <row r="687" spans="1:29">
      <c r="B687" s="29">
        <v>46313.465196759258</v>
      </c>
      <c r="C687">
        <v>2978</v>
      </c>
      <c r="D687" t="s">
        <v>41</v>
      </c>
      <c r="E687" t="s">
        <v>1674</v>
      </c>
      <c r="F687" t="s">
        <v>41</v>
      </c>
      <c r="G687" t="s">
        <v>41</v>
      </c>
      <c r="H687" t="s">
        <v>2168</v>
      </c>
      <c r="J687" t="s">
        <v>41</v>
      </c>
      <c r="K687" t="s">
        <v>41</v>
      </c>
      <c r="L687" t="s">
        <v>1674</v>
      </c>
      <c r="O687" s="29">
        <v>46313.464999999997</v>
      </c>
      <c r="P687" t="s">
        <v>1676</v>
      </c>
      <c r="Q687" t="s">
        <v>1674</v>
      </c>
      <c r="R687" t="s">
        <v>2169</v>
      </c>
      <c r="S687">
        <v>4247</v>
      </c>
      <c r="T687" t="s">
        <v>41</v>
      </c>
      <c r="U687" s="29">
        <v>46313.47761574074</v>
      </c>
      <c r="W687" t="s">
        <v>2170</v>
      </c>
      <c r="X687">
        <v>22411</v>
      </c>
      <c r="Z687">
        <v>0</v>
      </c>
      <c r="AA687" s="30">
        <v>0.46458333333333335</v>
      </c>
      <c r="AB687" t="s">
        <v>1674</v>
      </c>
      <c r="AC687" t="s">
        <v>41</v>
      </c>
    </row>
    <row r="688" spans="1:29">
      <c r="A688" t="s">
        <v>711</v>
      </c>
      <c r="B688" s="29">
        <v>46313.465162037035</v>
      </c>
      <c r="C688">
        <v>1708</v>
      </c>
      <c r="D688" t="s">
        <v>41</v>
      </c>
      <c r="E688">
        <v>5</v>
      </c>
      <c r="F688" t="s">
        <v>41</v>
      </c>
      <c r="G688" t="s">
        <v>41</v>
      </c>
      <c r="H688" t="s">
        <v>2171</v>
      </c>
      <c r="I688" s="29">
        <v>46313.46534722222</v>
      </c>
      <c r="J688" t="s">
        <v>41</v>
      </c>
      <c r="K688" s="29">
        <v>46313.464155092595</v>
      </c>
      <c r="L688">
        <v>16</v>
      </c>
      <c r="O688" s="29">
        <v>46313.46366898148</v>
      </c>
      <c r="P688" t="s">
        <v>43</v>
      </c>
      <c r="Q688" t="s">
        <v>713</v>
      </c>
      <c r="R688" t="s">
        <v>2172</v>
      </c>
      <c r="S688">
        <v>4247</v>
      </c>
      <c r="T688" t="s">
        <v>41</v>
      </c>
      <c r="U688" s="29">
        <v>46313.471307870372</v>
      </c>
      <c r="V688" s="29">
        <v>46313.468912037039</v>
      </c>
      <c r="W688" t="s">
        <v>2173</v>
      </c>
      <c r="X688">
        <v>22411</v>
      </c>
      <c r="Z688">
        <v>0</v>
      </c>
      <c r="AA688" s="30">
        <v>0.46458333333333335</v>
      </c>
      <c r="AB688">
        <v>5</v>
      </c>
      <c r="AC688" t="s">
        <v>41</v>
      </c>
    </row>
    <row r="689" spans="1:29">
      <c r="A689" t="s">
        <v>655</v>
      </c>
      <c r="B689" s="29">
        <v>46313.464050925926</v>
      </c>
      <c r="C689">
        <v>1380</v>
      </c>
      <c r="D689" t="s">
        <v>41</v>
      </c>
      <c r="E689">
        <v>3</v>
      </c>
      <c r="F689" t="s">
        <v>41</v>
      </c>
      <c r="G689" t="s">
        <v>41</v>
      </c>
      <c r="H689" t="s">
        <v>2174</v>
      </c>
      <c r="I689" s="29">
        <v>46313.465046296296</v>
      </c>
      <c r="J689" t="s">
        <v>41</v>
      </c>
      <c r="K689" s="29">
        <v>46313.464918981481</v>
      </c>
      <c r="L689">
        <v>10</v>
      </c>
      <c r="O689" s="29">
        <v>46313.463599537034</v>
      </c>
      <c r="P689" t="s">
        <v>43</v>
      </c>
      <c r="Q689" t="s">
        <v>657</v>
      </c>
      <c r="R689" t="s">
        <v>2175</v>
      </c>
      <c r="S689">
        <v>4247</v>
      </c>
      <c r="T689" t="s">
        <v>41</v>
      </c>
      <c r="U689" s="29">
        <v>46313.468981481485</v>
      </c>
      <c r="V689" s="29">
        <v>46313.467002314814</v>
      </c>
      <c r="W689" t="s">
        <v>2176</v>
      </c>
      <c r="X689">
        <v>22411</v>
      </c>
      <c r="Z689">
        <v>0</v>
      </c>
      <c r="AA689" s="30">
        <v>0.46388888888888885</v>
      </c>
      <c r="AB689">
        <v>3</v>
      </c>
      <c r="AC689" t="s">
        <v>41</v>
      </c>
    </row>
    <row r="690" spans="1:29">
      <c r="A690" t="s">
        <v>347</v>
      </c>
      <c r="B690" s="29">
        <v>46313.463935185187</v>
      </c>
      <c r="C690">
        <v>1166</v>
      </c>
      <c r="D690" t="s">
        <v>41</v>
      </c>
      <c r="E690">
        <v>4</v>
      </c>
      <c r="F690" t="s">
        <v>41</v>
      </c>
      <c r="G690" t="s">
        <v>41</v>
      </c>
      <c r="H690" t="s">
        <v>2177</v>
      </c>
      <c r="I690" s="29">
        <v>46313.464699074073</v>
      </c>
      <c r="J690" t="s">
        <v>41</v>
      </c>
      <c r="K690" s="29">
        <v>46313.464606481481</v>
      </c>
      <c r="L690">
        <v>7</v>
      </c>
      <c r="O690" s="29">
        <v>46313.463530092595</v>
      </c>
      <c r="P690" t="s">
        <v>43</v>
      </c>
      <c r="Q690" t="s">
        <v>349</v>
      </c>
      <c r="R690" t="s">
        <v>2178</v>
      </c>
      <c r="S690">
        <v>4247</v>
      </c>
      <c r="T690" t="s">
        <v>41</v>
      </c>
      <c r="U690" s="29">
        <v>46313.468831018516</v>
      </c>
      <c r="V690" s="29">
        <v>46313.467372685183</v>
      </c>
      <c r="W690" t="s">
        <v>2179</v>
      </c>
      <c r="X690">
        <v>22411</v>
      </c>
      <c r="Z690">
        <v>0</v>
      </c>
      <c r="AA690" s="30">
        <v>0.46388888888888885</v>
      </c>
      <c r="AB690">
        <v>4</v>
      </c>
      <c r="AC690" t="s">
        <v>41</v>
      </c>
    </row>
    <row r="691" spans="1:29">
      <c r="A691" t="s">
        <v>93</v>
      </c>
      <c r="B691" s="29">
        <v>46313.463993055557</v>
      </c>
      <c r="C691">
        <v>2250</v>
      </c>
      <c r="D691" t="s">
        <v>41</v>
      </c>
      <c r="E691">
        <v>6</v>
      </c>
      <c r="F691" t="s">
        <v>41</v>
      </c>
      <c r="G691" t="s">
        <v>41</v>
      </c>
      <c r="H691" t="s">
        <v>2180</v>
      </c>
      <c r="I691" s="29">
        <v>46313.464074074072</v>
      </c>
      <c r="J691" t="s">
        <v>41</v>
      </c>
      <c r="K691" s="29">
        <v>46313.46361111111</v>
      </c>
      <c r="L691">
        <v>8</v>
      </c>
      <c r="O691" s="29">
        <v>46313.461643518516</v>
      </c>
      <c r="P691" t="s">
        <v>43</v>
      </c>
      <c r="Q691" t="s">
        <v>95</v>
      </c>
      <c r="R691" t="s">
        <v>2181</v>
      </c>
      <c r="S691">
        <v>4247</v>
      </c>
      <c r="T691" t="s">
        <v>41</v>
      </c>
      <c r="U691" s="29">
        <v>46313.469594907408</v>
      </c>
      <c r="V691" s="29">
        <v>46313.468182870369</v>
      </c>
      <c r="W691" t="s">
        <v>2182</v>
      </c>
      <c r="X691">
        <v>22411</v>
      </c>
      <c r="Z691">
        <v>0</v>
      </c>
      <c r="AA691" s="30">
        <v>0.46388888888888885</v>
      </c>
      <c r="AB691">
        <v>6</v>
      </c>
      <c r="AC691" t="s">
        <v>41</v>
      </c>
    </row>
    <row r="692" spans="1:29">
      <c r="A692" t="s">
        <v>1077</v>
      </c>
      <c r="B692" s="29">
        <v>46313.463692129626</v>
      </c>
      <c r="C692">
        <v>1510</v>
      </c>
      <c r="D692" t="s">
        <v>41</v>
      </c>
      <c r="E692">
        <v>4</v>
      </c>
      <c r="F692" t="s">
        <v>41</v>
      </c>
      <c r="G692" t="s">
        <v>41</v>
      </c>
      <c r="H692" t="s">
        <v>2183</v>
      </c>
      <c r="I692" s="29">
        <v>46313.463761574072</v>
      </c>
      <c r="J692" t="s">
        <v>41</v>
      </c>
      <c r="K692" s="29">
        <v>46313.461145833331</v>
      </c>
      <c r="L692">
        <v>6</v>
      </c>
      <c r="O692" s="29">
        <v>46313.460636574076</v>
      </c>
      <c r="P692" t="s">
        <v>43</v>
      </c>
      <c r="Q692" t="s">
        <v>1079</v>
      </c>
      <c r="R692" t="s">
        <v>2184</v>
      </c>
      <c r="S692">
        <v>4247</v>
      </c>
      <c r="T692" t="s">
        <v>41</v>
      </c>
      <c r="U692" s="29">
        <v>46313.468738425923</v>
      </c>
      <c r="V692" s="29">
        <v>46313.466446759259</v>
      </c>
      <c r="W692" t="s">
        <v>2185</v>
      </c>
      <c r="X692">
        <v>22411</v>
      </c>
      <c r="Z692">
        <v>0</v>
      </c>
      <c r="AA692" s="30">
        <v>0.46319444444444446</v>
      </c>
      <c r="AB692">
        <v>4</v>
      </c>
      <c r="AC692" t="s">
        <v>41</v>
      </c>
    </row>
    <row r="693" spans="1:29">
      <c r="A693" t="s">
        <v>1239</v>
      </c>
      <c r="B693" s="29">
        <v>46313.463530092595</v>
      </c>
      <c r="C693">
        <v>1281</v>
      </c>
      <c r="D693" t="s">
        <v>41</v>
      </c>
      <c r="E693">
        <v>4</v>
      </c>
      <c r="F693" t="s">
        <v>41</v>
      </c>
      <c r="G693" t="s">
        <v>41</v>
      </c>
      <c r="H693" t="s">
        <v>2186</v>
      </c>
      <c r="I693" s="29">
        <v>46313.463703703703</v>
      </c>
      <c r="J693" t="s">
        <v>41</v>
      </c>
      <c r="K693" s="29">
        <v>46313.460972222223</v>
      </c>
      <c r="L693">
        <v>15</v>
      </c>
      <c r="O693" s="29">
        <v>46313.460416666669</v>
      </c>
      <c r="P693" t="s">
        <v>43</v>
      </c>
      <c r="Q693" t="s">
        <v>1241</v>
      </c>
      <c r="R693" t="s">
        <v>2187</v>
      </c>
      <c r="S693">
        <v>4247</v>
      </c>
      <c r="T693" t="s">
        <v>41</v>
      </c>
      <c r="U693" s="29">
        <v>46313.467881944445</v>
      </c>
      <c r="V693" s="29">
        <v>46313.466481481482</v>
      </c>
      <c r="W693" t="s">
        <v>2188</v>
      </c>
      <c r="X693">
        <v>22411</v>
      </c>
      <c r="Z693">
        <v>0</v>
      </c>
      <c r="AA693" s="30">
        <v>0.46319444444444446</v>
      </c>
      <c r="AB693">
        <v>4</v>
      </c>
      <c r="AC693" t="s">
        <v>41</v>
      </c>
    </row>
    <row r="694" spans="1:29">
      <c r="A694" t="s">
        <v>1136</v>
      </c>
      <c r="B694" s="29">
        <v>46313.463530092595</v>
      </c>
      <c r="C694">
        <v>405</v>
      </c>
      <c r="D694" t="s">
        <v>41</v>
      </c>
      <c r="E694">
        <v>2</v>
      </c>
      <c r="F694" t="s">
        <v>41</v>
      </c>
      <c r="G694" t="s">
        <v>41</v>
      </c>
      <c r="H694" t="s">
        <v>2189</v>
      </c>
      <c r="I694" s="29">
        <v>46313.463622685187</v>
      </c>
      <c r="J694" t="s">
        <v>41</v>
      </c>
      <c r="K694" s="29">
        <v>46313.461712962962</v>
      </c>
      <c r="L694">
        <v>8</v>
      </c>
      <c r="O694" s="29">
        <v>46313.460335648146</v>
      </c>
      <c r="P694" t="s">
        <v>43</v>
      </c>
      <c r="Q694" t="s">
        <v>1138</v>
      </c>
      <c r="R694" t="s">
        <v>2190</v>
      </c>
      <c r="S694">
        <v>4247</v>
      </c>
      <c r="T694" t="s">
        <v>41</v>
      </c>
      <c r="U694" s="29">
        <v>46313.465497685182</v>
      </c>
      <c r="V694" s="29">
        <v>46313.464768518519</v>
      </c>
      <c r="W694" t="s">
        <v>2191</v>
      </c>
      <c r="X694">
        <v>22411</v>
      </c>
      <c r="Z694">
        <v>0</v>
      </c>
      <c r="AA694" s="30">
        <v>0.46319444444444446</v>
      </c>
      <c r="AB694">
        <v>2</v>
      </c>
      <c r="AC694" t="s">
        <v>41</v>
      </c>
    </row>
    <row r="695" spans="1:29">
      <c r="A695" t="s">
        <v>1310</v>
      </c>
      <c r="B695" s="29">
        <v>46313.462754629632</v>
      </c>
      <c r="C695">
        <v>338</v>
      </c>
      <c r="D695" t="s">
        <v>41</v>
      </c>
      <c r="E695">
        <v>1</v>
      </c>
      <c r="F695" t="s">
        <v>41</v>
      </c>
      <c r="G695" t="s">
        <v>41</v>
      </c>
      <c r="H695" t="s">
        <v>2192</v>
      </c>
      <c r="I695" s="29">
        <v>46313.46298611111</v>
      </c>
      <c r="J695" t="s">
        <v>41</v>
      </c>
      <c r="K695" s="29">
        <v>46313.461400462962</v>
      </c>
      <c r="L695">
        <v>20</v>
      </c>
      <c r="O695" s="29">
        <v>46313.460092592592</v>
      </c>
      <c r="P695" t="s">
        <v>43</v>
      </c>
      <c r="Q695" t="s">
        <v>1312</v>
      </c>
      <c r="R695" t="s">
        <v>2193</v>
      </c>
      <c r="S695">
        <v>4247</v>
      </c>
      <c r="T695" t="s">
        <v>41</v>
      </c>
      <c r="U695" s="29">
        <v>46313.464699074073</v>
      </c>
      <c r="V695" s="29">
        <v>46313.46365740741</v>
      </c>
      <c r="W695" t="s">
        <v>2194</v>
      </c>
      <c r="X695">
        <v>22411</v>
      </c>
      <c r="Z695">
        <v>0</v>
      </c>
      <c r="AA695" s="30">
        <v>0.46249999999999997</v>
      </c>
      <c r="AB695">
        <v>1</v>
      </c>
      <c r="AC695" t="s">
        <v>41</v>
      </c>
    </row>
    <row r="696" spans="1:29">
      <c r="A696" t="s">
        <v>98</v>
      </c>
      <c r="B696" s="29">
        <v>46313.462453703702</v>
      </c>
      <c r="C696">
        <v>1569</v>
      </c>
      <c r="D696" t="s">
        <v>41</v>
      </c>
      <c r="E696">
        <v>4</v>
      </c>
      <c r="F696" t="s">
        <v>41</v>
      </c>
      <c r="G696" t="s">
        <v>41</v>
      </c>
      <c r="H696" t="s">
        <v>2195</v>
      </c>
      <c r="I696" s="29">
        <v>46313.46261574074</v>
      </c>
      <c r="J696" t="s">
        <v>41</v>
      </c>
      <c r="K696" s="29">
        <v>46313.460717592592</v>
      </c>
      <c r="L696">
        <v>14</v>
      </c>
      <c r="O696" s="29">
        <v>46313.460023148145</v>
      </c>
      <c r="P696" t="s">
        <v>43</v>
      </c>
      <c r="Q696" t="s">
        <v>3005</v>
      </c>
      <c r="R696" t="s">
        <v>2196</v>
      </c>
      <c r="S696">
        <v>4247</v>
      </c>
      <c r="T696" t="s">
        <v>41</v>
      </c>
      <c r="U696" s="29">
        <v>46313.466944444444</v>
      </c>
      <c r="V696" s="29">
        <v>46313.465243055558</v>
      </c>
      <c r="W696" t="s">
        <v>2197</v>
      </c>
      <c r="X696">
        <v>22411</v>
      </c>
      <c r="Z696">
        <v>0</v>
      </c>
      <c r="AA696" s="30">
        <v>0.46180555555555558</v>
      </c>
      <c r="AB696">
        <v>4</v>
      </c>
      <c r="AC696" t="s">
        <v>41</v>
      </c>
    </row>
    <row r="697" spans="1:29">
      <c r="A697" t="s">
        <v>106</v>
      </c>
      <c r="B697" s="29">
        <v>46313.46162037037</v>
      </c>
      <c r="C697">
        <v>1628</v>
      </c>
      <c r="D697" t="s">
        <v>41</v>
      </c>
      <c r="E697">
        <v>4</v>
      </c>
      <c r="F697" t="s">
        <v>41</v>
      </c>
      <c r="G697" t="s">
        <v>41</v>
      </c>
      <c r="H697" t="s">
        <v>2195</v>
      </c>
      <c r="I697" s="29">
        <v>46313.461724537039</v>
      </c>
      <c r="J697" t="s">
        <v>41</v>
      </c>
      <c r="K697" s="29">
        <v>46313.460162037038</v>
      </c>
      <c r="L697">
        <v>9</v>
      </c>
      <c r="O697" s="29">
        <v>46313.459791666668</v>
      </c>
      <c r="P697" t="s">
        <v>43</v>
      </c>
      <c r="Q697" t="s">
        <v>108</v>
      </c>
      <c r="R697" t="s">
        <v>2198</v>
      </c>
      <c r="S697">
        <v>4247</v>
      </c>
      <c r="T697" t="s">
        <v>41</v>
      </c>
      <c r="U697" s="29">
        <v>46313.466608796298</v>
      </c>
      <c r="V697" s="29">
        <v>46313.464432870373</v>
      </c>
      <c r="W697" t="s">
        <v>2199</v>
      </c>
      <c r="X697">
        <v>22411</v>
      </c>
      <c r="Z697">
        <v>0</v>
      </c>
      <c r="AA697" s="30">
        <v>0.46111111111111108</v>
      </c>
      <c r="AB697">
        <v>4</v>
      </c>
      <c r="AC697" t="s">
        <v>41</v>
      </c>
    </row>
    <row r="698" spans="1:29">
      <c r="A698" t="s">
        <v>1461</v>
      </c>
      <c r="B698" s="29">
        <v>46313.461134259262</v>
      </c>
      <c r="C698">
        <v>1168</v>
      </c>
      <c r="D698" t="s">
        <v>41</v>
      </c>
      <c r="E698">
        <v>4</v>
      </c>
      <c r="F698" t="s">
        <v>41</v>
      </c>
      <c r="G698" t="s">
        <v>41</v>
      </c>
      <c r="H698" t="s">
        <v>2200</v>
      </c>
      <c r="I698" s="29">
        <v>46313.461388888885</v>
      </c>
      <c r="J698" t="s">
        <v>41</v>
      </c>
      <c r="K698" s="29">
        <v>46313.459583333337</v>
      </c>
      <c r="L698">
        <v>22</v>
      </c>
      <c r="O698" s="29">
        <v>46313.458599537036</v>
      </c>
      <c r="P698" t="s">
        <v>43</v>
      </c>
      <c r="Q698" t="s">
        <v>1463</v>
      </c>
      <c r="R698" t="s">
        <v>2201</v>
      </c>
      <c r="S698">
        <v>4247</v>
      </c>
      <c r="T698" t="s">
        <v>41</v>
      </c>
      <c r="U698" s="29">
        <v>46313.464965277781</v>
      </c>
      <c r="V698" s="29">
        <v>46313.46365740741</v>
      </c>
      <c r="W698" t="s">
        <v>2202</v>
      </c>
      <c r="X698">
        <v>22411</v>
      </c>
      <c r="Z698">
        <v>0</v>
      </c>
      <c r="AA698" s="30">
        <v>0.46111111111111108</v>
      </c>
      <c r="AB698">
        <v>3</v>
      </c>
      <c r="AC698" t="s">
        <v>41</v>
      </c>
    </row>
    <row r="699" spans="1:29">
      <c r="A699" t="s">
        <v>1365</v>
      </c>
      <c r="B699" s="29">
        <v>46313.460960648146</v>
      </c>
      <c r="C699">
        <v>1054</v>
      </c>
      <c r="D699" t="s">
        <v>41</v>
      </c>
      <c r="E699">
        <v>3</v>
      </c>
      <c r="F699" t="s">
        <v>41</v>
      </c>
      <c r="G699" t="s">
        <v>41</v>
      </c>
      <c r="H699" t="s">
        <v>2203</v>
      </c>
      <c r="I699" s="29">
        <v>46313.461261574077</v>
      </c>
      <c r="J699" t="s">
        <v>41</v>
      </c>
      <c r="K699" s="29">
        <v>46313.458599537036</v>
      </c>
      <c r="L699">
        <v>26</v>
      </c>
      <c r="O699" s="29">
        <v>46313.457800925928</v>
      </c>
      <c r="P699" t="s">
        <v>43</v>
      </c>
      <c r="Q699" t="s">
        <v>1367</v>
      </c>
      <c r="R699" t="s">
        <v>2204</v>
      </c>
      <c r="S699">
        <v>4247</v>
      </c>
      <c r="T699" t="s">
        <v>41</v>
      </c>
      <c r="U699" s="29">
        <v>46313.464398148149</v>
      </c>
      <c r="V699" s="29">
        <v>46313.463287037041</v>
      </c>
      <c r="W699" t="s">
        <v>2205</v>
      </c>
      <c r="X699">
        <v>22411</v>
      </c>
      <c r="Z699">
        <v>0</v>
      </c>
      <c r="AA699" s="30">
        <v>0.4604166666666667</v>
      </c>
      <c r="AB699">
        <v>3</v>
      </c>
      <c r="AC699" t="s">
        <v>41</v>
      </c>
    </row>
    <row r="700" spans="1:29">
      <c r="A700" t="s">
        <v>177</v>
      </c>
      <c r="B700" s="29">
        <v>46313.4609837963</v>
      </c>
      <c r="C700">
        <v>2324</v>
      </c>
      <c r="D700" t="s">
        <v>41</v>
      </c>
      <c r="E700">
        <v>6</v>
      </c>
      <c r="F700" t="s">
        <v>41</v>
      </c>
      <c r="G700" t="s">
        <v>41</v>
      </c>
      <c r="H700" t="s">
        <v>2206</v>
      </c>
      <c r="I700" s="29">
        <v>46313.461331018516</v>
      </c>
      <c r="J700" t="s">
        <v>41</v>
      </c>
      <c r="K700" s="29">
        <v>46313.458958333336</v>
      </c>
      <c r="L700">
        <v>30</v>
      </c>
      <c r="O700" s="29">
        <v>46313.457037037035</v>
      </c>
      <c r="P700" t="s">
        <v>43</v>
      </c>
      <c r="Q700" t="s">
        <v>179</v>
      </c>
      <c r="R700" t="s">
        <v>2207</v>
      </c>
      <c r="S700">
        <v>4247</v>
      </c>
      <c r="T700" t="s">
        <v>41</v>
      </c>
      <c r="U700" s="29">
        <v>46313.468217592592</v>
      </c>
      <c r="V700" s="29">
        <v>46313.465289351851</v>
      </c>
      <c r="W700" t="s">
        <v>2208</v>
      </c>
      <c r="X700">
        <v>22411</v>
      </c>
      <c r="Z700">
        <v>0</v>
      </c>
      <c r="AA700" s="30">
        <v>0.4604166666666667</v>
      </c>
      <c r="AB700">
        <v>6</v>
      </c>
      <c r="AC700" t="s">
        <v>41</v>
      </c>
    </row>
    <row r="701" spans="1:29">
      <c r="A701" t="s">
        <v>185</v>
      </c>
      <c r="B701" s="29">
        <v>46313.460844907408</v>
      </c>
      <c r="C701">
        <v>3128</v>
      </c>
      <c r="D701" t="s">
        <v>41</v>
      </c>
      <c r="E701">
        <v>10</v>
      </c>
      <c r="F701" t="s">
        <v>41</v>
      </c>
      <c r="G701" t="s">
        <v>41</v>
      </c>
      <c r="H701" t="s">
        <v>2209</v>
      </c>
      <c r="I701" s="29">
        <v>46313.461180555554</v>
      </c>
      <c r="J701" t="s">
        <v>41</v>
      </c>
      <c r="K701" s="29">
        <v>46313.457430555558</v>
      </c>
      <c r="L701">
        <v>29</v>
      </c>
      <c r="O701" s="29">
        <v>46313.456909722219</v>
      </c>
      <c r="P701" t="s">
        <v>43</v>
      </c>
      <c r="Q701" t="s">
        <v>3007</v>
      </c>
      <c r="R701" t="s">
        <v>2210</v>
      </c>
      <c r="S701">
        <v>4247</v>
      </c>
      <c r="T701" t="s">
        <v>41</v>
      </c>
      <c r="U701" s="29">
        <v>46313.469247685185</v>
      </c>
      <c r="V701" s="29">
        <v>46313.467615740738</v>
      </c>
      <c r="W701" t="s">
        <v>2211</v>
      </c>
      <c r="X701">
        <v>22411</v>
      </c>
      <c r="Z701">
        <v>0</v>
      </c>
      <c r="AA701" s="30">
        <v>0.4604166666666667</v>
      </c>
      <c r="AB701">
        <v>9</v>
      </c>
      <c r="AC701" t="s">
        <v>41</v>
      </c>
    </row>
    <row r="702" spans="1:29">
      <c r="A702" t="s">
        <v>734</v>
      </c>
      <c r="B702" s="29">
        <v>46313.460289351853</v>
      </c>
      <c r="C702">
        <v>1217</v>
      </c>
      <c r="D702" t="s">
        <v>41</v>
      </c>
      <c r="E702">
        <v>4</v>
      </c>
      <c r="F702" t="s">
        <v>41</v>
      </c>
      <c r="G702" t="s">
        <v>41</v>
      </c>
      <c r="H702" t="s">
        <v>2212</v>
      </c>
      <c r="I702" s="29">
        <v>46313.460520833331</v>
      </c>
      <c r="J702" t="s">
        <v>41</v>
      </c>
      <c r="K702" s="29">
        <v>46313.457465277781</v>
      </c>
      <c r="L702">
        <v>20</v>
      </c>
      <c r="O702" s="29">
        <v>46313.456805555557</v>
      </c>
      <c r="P702" t="s">
        <v>43</v>
      </c>
      <c r="Q702" t="s">
        <v>736</v>
      </c>
      <c r="R702" t="s">
        <v>2213</v>
      </c>
      <c r="S702">
        <v>4247</v>
      </c>
      <c r="T702" t="s">
        <v>41</v>
      </c>
      <c r="U702" s="29">
        <v>46313.464930555558</v>
      </c>
      <c r="V702" s="29">
        <v>46313.463310185187</v>
      </c>
      <c r="W702" t="s">
        <v>2214</v>
      </c>
      <c r="X702">
        <v>22411</v>
      </c>
      <c r="Z702">
        <v>0</v>
      </c>
      <c r="AA702" s="30">
        <v>0.4597222222222222</v>
      </c>
      <c r="AB702">
        <v>4</v>
      </c>
      <c r="AC702" t="s">
        <v>41</v>
      </c>
    </row>
    <row r="703" spans="1:29">
      <c r="A703" t="s">
        <v>1965</v>
      </c>
      <c r="B703" s="29">
        <v>46313.460451388892</v>
      </c>
      <c r="C703">
        <v>2171</v>
      </c>
      <c r="D703" t="s">
        <v>41</v>
      </c>
      <c r="E703">
        <v>6</v>
      </c>
      <c r="F703" t="s">
        <v>41</v>
      </c>
      <c r="G703" t="s">
        <v>41</v>
      </c>
      <c r="H703" t="s">
        <v>2215</v>
      </c>
      <c r="I703" s="29">
        <v>46313.460648148146</v>
      </c>
      <c r="J703" t="s">
        <v>41</v>
      </c>
      <c r="K703" s="29">
        <v>46313.457476851851</v>
      </c>
      <c r="L703">
        <v>18</v>
      </c>
      <c r="O703" s="29">
        <v>46313.456678240742</v>
      </c>
      <c r="P703" t="s">
        <v>43</v>
      </c>
      <c r="Q703" t="s">
        <v>1967</v>
      </c>
      <c r="R703" t="s">
        <v>2216</v>
      </c>
      <c r="S703">
        <v>4247</v>
      </c>
      <c r="T703" t="s">
        <v>41</v>
      </c>
      <c r="U703" s="29">
        <v>46313.466099537036</v>
      </c>
      <c r="V703" s="29">
        <v>46313.464687500003</v>
      </c>
      <c r="W703" t="s">
        <v>2217</v>
      </c>
      <c r="X703">
        <v>22411</v>
      </c>
      <c r="Z703">
        <v>0</v>
      </c>
      <c r="AA703" s="30">
        <v>0.4604166666666667</v>
      </c>
      <c r="AB703">
        <v>6</v>
      </c>
      <c r="AC703" t="s">
        <v>41</v>
      </c>
    </row>
    <row r="704" spans="1:29">
      <c r="A704" t="s">
        <v>52</v>
      </c>
      <c r="B704" s="29">
        <v>46313.459861111114</v>
      </c>
      <c r="C704">
        <v>2403</v>
      </c>
      <c r="D704" t="s">
        <v>41</v>
      </c>
      <c r="E704">
        <v>8</v>
      </c>
      <c r="F704" t="s">
        <v>41</v>
      </c>
      <c r="G704" t="s">
        <v>41</v>
      </c>
      <c r="H704" t="s">
        <v>2218</v>
      </c>
      <c r="I704" s="29">
        <v>46313.460138888891</v>
      </c>
      <c r="J704" t="s">
        <v>41</v>
      </c>
      <c r="K704" s="29">
        <v>46313.457743055558</v>
      </c>
      <c r="L704">
        <v>24</v>
      </c>
      <c r="O704" s="29">
        <v>46313.456412037034</v>
      </c>
      <c r="P704" t="s">
        <v>43</v>
      </c>
      <c r="Q704" t="s">
        <v>54</v>
      </c>
      <c r="R704" t="s">
        <v>2219</v>
      </c>
      <c r="S704">
        <v>4247</v>
      </c>
      <c r="T704" t="s">
        <v>41</v>
      </c>
      <c r="U704" s="29">
        <v>46313.467060185183</v>
      </c>
      <c r="V704" s="29">
        <v>46313.465173611112</v>
      </c>
      <c r="W704" t="s">
        <v>2220</v>
      </c>
      <c r="X704">
        <v>22411</v>
      </c>
      <c r="Z704">
        <v>0</v>
      </c>
      <c r="AA704" s="30">
        <v>0.4597222222222222</v>
      </c>
      <c r="AB704">
        <v>7</v>
      </c>
      <c r="AC704" t="s">
        <v>41</v>
      </c>
    </row>
    <row r="705" spans="1:29">
      <c r="A705" t="s">
        <v>655</v>
      </c>
      <c r="B705" s="29">
        <v>46313.459120370368</v>
      </c>
      <c r="C705">
        <v>142</v>
      </c>
      <c r="D705" t="s">
        <v>41</v>
      </c>
      <c r="E705">
        <v>1</v>
      </c>
      <c r="F705" t="s">
        <v>41</v>
      </c>
      <c r="G705" t="s">
        <v>41</v>
      </c>
      <c r="H705" t="s">
        <v>2221</v>
      </c>
      <c r="I705" s="29">
        <v>46313.459374999999</v>
      </c>
      <c r="J705" t="s">
        <v>41</v>
      </c>
      <c r="K705" s="29">
        <v>46313.458402777775</v>
      </c>
      <c r="L705">
        <v>22</v>
      </c>
      <c r="O705" s="29">
        <v>46313.455405092594</v>
      </c>
      <c r="P705" t="s">
        <v>43</v>
      </c>
      <c r="Q705" t="s">
        <v>657</v>
      </c>
      <c r="R705" t="s">
        <v>2222</v>
      </c>
      <c r="S705">
        <v>4247</v>
      </c>
      <c r="T705" t="s">
        <v>41</v>
      </c>
      <c r="U705" s="29">
        <v>46313.460347222222</v>
      </c>
      <c r="V705" s="29">
        <v>46313.459490740737</v>
      </c>
      <c r="W705" t="s">
        <v>2223</v>
      </c>
      <c r="X705">
        <v>22411</v>
      </c>
      <c r="Z705">
        <v>0</v>
      </c>
      <c r="AA705" s="30">
        <v>0.45902777777777781</v>
      </c>
      <c r="AB705">
        <v>0</v>
      </c>
      <c r="AC705" t="s">
        <v>41</v>
      </c>
    </row>
    <row r="706" spans="1:29">
      <c r="A706" t="s">
        <v>1592</v>
      </c>
      <c r="B706" s="29">
        <v>46313.458773148152</v>
      </c>
      <c r="C706">
        <v>3876</v>
      </c>
      <c r="D706" t="s">
        <v>41</v>
      </c>
      <c r="E706">
        <v>10</v>
      </c>
      <c r="F706" t="s">
        <v>41</v>
      </c>
      <c r="G706" t="s">
        <v>41</v>
      </c>
      <c r="H706" t="s">
        <v>2224</v>
      </c>
      <c r="I706" s="29">
        <v>46313.45894675926</v>
      </c>
      <c r="J706" t="s">
        <v>41</v>
      </c>
      <c r="K706" s="29">
        <v>46313.455810185187</v>
      </c>
      <c r="L706">
        <v>16</v>
      </c>
      <c r="O706" s="29">
        <v>46313.455231481479</v>
      </c>
      <c r="P706" t="s">
        <v>43</v>
      </c>
      <c r="Q706" t="s">
        <v>1594</v>
      </c>
      <c r="R706" t="s">
        <v>2225</v>
      </c>
      <c r="S706">
        <v>4247</v>
      </c>
      <c r="T706" t="s">
        <v>41</v>
      </c>
      <c r="U706" s="29">
        <v>46313.468275462961</v>
      </c>
      <c r="V706" s="29">
        <v>46313.465474537035</v>
      </c>
      <c r="W706" t="s">
        <v>2226</v>
      </c>
      <c r="X706">
        <v>22411</v>
      </c>
      <c r="Z706">
        <v>0</v>
      </c>
      <c r="AA706" s="30">
        <v>0.45833333333333331</v>
      </c>
      <c r="AB706">
        <v>9</v>
      </c>
      <c r="AC706" t="s">
        <v>41</v>
      </c>
    </row>
    <row r="707" spans="1:29">
      <c r="A707" t="s">
        <v>62</v>
      </c>
      <c r="B707" s="29">
        <v>46313.456909722219</v>
      </c>
      <c r="C707">
        <v>1918</v>
      </c>
      <c r="D707" t="s">
        <v>41</v>
      </c>
      <c r="E707">
        <v>7</v>
      </c>
      <c r="F707" t="s">
        <v>41</v>
      </c>
      <c r="G707" t="s">
        <v>41</v>
      </c>
      <c r="H707" t="s">
        <v>2227</v>
      </c>
      <c r="I707" s="29">
        <v>46313.457280092596</v>
      </c>
      <c r="J707" t="s">
        <v>41</v>
      </c>
      <c r="K707" s="29">
        <v>46313.456469907411</v>
      </c>
      <c r="L707">
        <v>32</v>
      </c>
      <c r="O707" s="29">
        <v>46313.45511574074</v>
      </c>
      <c r="P707" t="s">
        <v>43</v>
      </c>
      <c r="Q707" t="s">
        <v>64</v>
      </c>
      <c r="R707" t="s">
        <v>2228</v>
      </c>
      <c r="S707">
        <v>4247</v>
      </c>
      <c r="T707" t="s">
        <v>41</v>
      </c>
      <c r="U707" s="29">
        <v>46313.462071759262</v>
      </c>
      <c r="V707" s="29">
        <v>46313.461469907408</v>
      </c>
      <c r="W707" t="s">
        <v>2229</v>
      </c>
      <c r="X707">
        <v>22411</v>
      </c>
      <c r="Z707">
        <v>0</v>
      </c>
      <c r="AA707" s="30">
        <v>0.45624999999999999</v>
      </c>
      <c r="AB707">
        <v>6</v>
      </c>
      <c r="AC707" t="s">
        <v>41</v>
      </c>
    </row>
    <row r="708" spans="1:29">
      <c r="A708" t="s">
        <v>98</v>
      </c>
      <c r="B708" s="29">
        <v>46313.456192129626</v>
      </c>
      <c r="C708">
        <v>1227</v>
      </c>
      <c r="D708" t="s">
        <v>41</v>
      </c>
      <c r="E708">
        <v>3</v>
      </c>
      <c r="F708" t="s">
        <v>41</v>
      </c>
      <c r="G708" t="s">
        <v>41</v>
      </c>
      <c r="H708" t="s">
        <v>2230</v>
      </c>
      <c r="I708" s="29">
        <v>46313.456469907411</v>
      </c>
      <c r="J708" t="s">
        <v>41</v>
      </c>
      <c r="K708" s="29">
        <v>46313.455879629626</v>
      </c>
      <c r="L708">
        <v>24</v>
      </c>
      <c r="O708" s="29">
        <v>46313.455104166664</v>
      </c>
      <c r="P708" t="s">
        <v>43</v>
      </c>
      <c r="Q708" t="s">
        <v>3005</v>
      </c>
      <c r="R708" t="s">
        <v>2231</v>
      </c>
      <c r="S708">
        <v>4247</v>
      </c>
      <c r="T708" t="s">
        <v>41</v>
      </c>
      <c r="U708" s="29">
        <v>46313.461018518516</v>
      </c>
      <c r="V708" s="29">
        <v>46313.458356481482</v>
      </c>
      <c r="W708" t="s">
        <v>2232</v>
      </c>
      <c r="X708">
        <v>22411</v>
      </c>
      <c r="Z708">
        <v>0</v>
      </c>
      <c r="AA708" s="30">
        <v>0.45555555555555555</v>
      </c>
      <c r="AB708">
        <v>3</v>
      </c>
      <c r="AC708" t="s">
        <v>41</v>
      </c>
    </row>
    <row r="709" spans="1:29">
      <c r="A709" t="s">
        <v>1239</v>
      </c>
      <c r="B709" s="29">
        <v>46313.455648148149</v>
      </c>
      <c r="C709">
        <v>765</v>
      </c>
      <c r="D709" t="s">
        <v>41</v>
      </c>
      <c r="E709">
        <v>4</v>
      </c>
      <c r="F709" t="s">
        <v>41</v>
      </c>
      <c r="G709" t="s">
        <v>41</v>
      </c>
      <c r="H709" t="s">
        <v>2233</v>
      </c>
      <c r="I709" s="29">
        <v>46313.455995370372</v>
      </c>
      <c r="J709" t="s">
        <v>41</v>
      </c>
      <c r="K709" s="29">
        <v>46313.455520833333</v>
      </c>
      <c r="L709">
        <v>30</v>
      </c>
      <c r="O709" s="29">
        <v>46313.454664351855</v>
      </c>
      <c r="P709" t="s">
        <v>43</v>
      </c>
      <c r="Q709" t="s">
        <v>1241</v>
      </c>
      <c r="R709" t="s">
        <v>2234</v>
      </c>
      <c r="S709">
        <v>4247</v>
      </c>
      <c r="T709" t="s">
        <v>41</v>
      </c>
      <c r="U709" s="29">
        <v>46313.458518518521</v>
      </c>
      <c r="V709" s="29">
        <v>46313.458136574074</v>
      </c>
      <c r="W709" t="s">
        <v>2235</v>
      </c>
      <c r="X709">
        <v>22411</v>
      </c>
      <c r="Z709">
        <v>0</v>
      </c>
      <c r="AA709" s="30">
        <v>0.45555555555555555</v>
      </c>
      <c r="AB709">
        <v>3</v>
      </c>
      <c r="AC709" t="s">
        <v>41</v>
      </c>
    </row>
    <row r="710" spans="1:29">
      <c r="A710" t="s">
        <v>106</v>
      </c>
      <c r="B710" s="29">
        <v>46313.455069444448</v>
      </c>
      <c r="C710">
        <v>818</v>
      </c>
      <c r="D710" t="s">
        <v>41</v>
      </c>
      <c r="E710">
        <v>3</v>
      </c>
      <c r="F710" t="s">
        <v>41</v>
      </c>
      <c r="G710" t="s">
        <v>41</v>
      </c>
      <c r="H710" t="s">
        <v>2233</v>
      </c>
      <c r="I710" s="29">
        <v>46313.455474537041</v>
      </c>
      <c r="J710" t="s">
        <v>41</v>
      </c>
      <c r="K710" s="29">
        <v>46313.455312500002</v>
      </c>
      <c r="L710">
        <v>13</v>
      </c>
      <c r="O710" s="29">
        <v>46313.454525462963</v>
      </c>
      <c r="P710" t="s">
        <v>43</v>
      </c>
      <c r="Q710" t="s">
        <v>108</v>
      </c>
      <c r="R710" t="s">
        <v>2236</v>
      </c>
      <c r="S710">
        <v>4247</v>
      </c>
      <c r="T710" t="s">
        <v>41</v>
      </c>
      <c r="U710" s="29">
        <v>46313.457951388889</v>
      </c>
      <c r="V710" s="29">
        <v>46313.457546296297</v>
      </c>
      <c r="W710" t="s">
        <v>2237</v>
      </c>
      <c r="X710">
        <v>22411</v>
      </c>
      <c r="Z710">
        <v>0</v>
      </c>
      <c r="AA710" s="30">
        <v>0.4548611111111111</v>
      </c>
      <c r="AB710">
        <v>3</v>
      </c>
      <c r="AC710" t="s">
        <v>41</v>
      </c>
    </row>
    <row r="711" spans="1:29">
      <c r="A711" t="s">
        <v>1310</v>
      </c>
      <c r="B711" s="29">
        <v>46313.454421296294</v>
      </c>
      <c r="C711">
        <v>338</v>
      </c>
      <c r="D711" t="s">
        <v>41</v>
      </c>
      <c r="E711">
        <v>1</v>
      </c>
      <c r="F711" t="s">
        <v>41</v>
      </c>
      <c r="G711" t="s">
        <v>41</v>
      </c>
      <c r="H711" t="s">
        <v>2238</v>
      </c>
      <c r="I711" s="29">
        <v>46313.455983796295</v>
      </c>
      <c r="J711" t="s">
        <v>41</v>
      </c>
      <c r="K711" s="29">
        <v>46313.455740740741</v>
      </c>
      <c r="L711">
        <v>20</v>
      </c>
      <c r="O711" s="29">
        <v>46313.454293981478</v>
      </c>
      <c r="P711" t="s">
        <v>43</v>
      </c>
      <c r="Q711" t="s">
        <v>1312</v>
      </c>
      <c r="R711" t="s">
        <v>2239</v>
      </c>
      <c r="S711">
        <v>4247</v>
      </c>
      <c r="T711" t="s">
        <v>41</v>
      </c>
      <c r="U711" s="29">
        <v>46313.457696759258</v>
      </c>
      <c r="V711" s="29">
        <v>46313.45616898148</v>
      </c>
      <c r="W711" t="s">
        <v>2240</v>
      </c>
      <c r="X711">
        <v>22411</v>
      </c>
      <c r="Z711">
        <v>0</v>
      </c>
      <c r="AA711" s="30">
        <v>0.45416666666666666</v>
      </c>
      <c r="AB711">
        <v>0</v>
      </c>
      <c r="AC711" t="s">
        <v>41</v>
      </c>
    </row>
    <row r="712" spans="1:29">
      <c r="A712" t="s">
        <v>711</v>
      </c>
      <c r="B712" s="29">
        <v>46313.454282407409</v>
      </c>
      <c r="C712">
        <v>1045</v>
      </c>
      <c r="D712" t="s">
        <v>41</v>
      </c>
      <c r="E712">
        <v>4</v>
      </c>
      <c r="F712" t="s">
        <v>41</v>
      </c>
      <c r="G712" t="s">
        <v>41</v>
      </c>
      <c r="H712" t="s">
        <v>2241</v>
      </c>
      <c r="I712" s="29">
        <v>46313.45511574074</v>
      </c>
      <c r="J712" t="s">
        <v>41</v>
      </c>
      <c r="K712" s="29">
        <v>46313.455000000002</v>
      </c>
      <c r="L712">
        <v>9</v>
      </c>
      <c r="O712" s="29">
        <v>46313.454143518517</v>
      </c>
      <c r="P712" t="s">
        <v>43</v>
      </c>
      <c r="Q712" t="s">
        <v>713</v>
      </c>
      <c r="R712" t="s">
        <v>2242</v>
      </c>
      <c r="S712">
        <v>4247</v>
      </c>
      <c r="T712" t="s">
        <v>41</v>
      </c>
      <c r="U712" s="29">
        <v>46313.458171296297</v>
      </c>
      <c r="V712" s="29">
        <v>46313.457569444443</v>
      </c>
      <c r="W712" t="s">
        <v>2243</v>
      </c>
      <c r="X712">
        <v>22411</v>
      </c>
      <c r="Z712">
        <v>0</v>
      </c>
      <c r="AA712" s="30">
        <v>0.45416666666666666</v>
      </c>
      <c r="AB712">
        <v>4</v>
      </c>
      <c r="AC712" t="s">
        <v>41</v>
      </c>
    </row>
    <row r="713" spans="1:29">
      <c r="A713" t="s">
        <v>1391</v>
      </c>
      <c r="B713" s="29">
        <v>46313.453113425923</v>
      </c>
      <c r="C713">
        <v>2276</v>
      </c>
      <c r="D713" t="s">
        <v>41</v>
      </c>
      <c r="E713">
        <v>7</v>
      </c>
      <c r="F713" t="s">
        <v>41</v>
      </c>
      <c r="G713" t="s">
        <v>41</v>
      </c>
      <c r="H713" t="s">
        <v>2244</v>
      </c>
      <c r="I713" s="29">
        <v>46313.455335648148</v>
      </c>
      <c r="J713" t="s">
        <v>41</v>
      </c>
      <c r="K713" s="29">
        <v>46313.455231481479</v>
      </c>
      <c r="L713">
        <v>8</v>
      </c>
      <c r="O713" s="29">
        <v>46313.452962962961</v>
      </c>
      <c r="P713" t="s">
        <v>43</v>
      </c>
      <c r="Q713" t="s">
        <v>1393</v>
      </c>
      <c r="R713" t="s">
        <v>2245</v>
      </c>
      <c r="S713">
        <v>4247</v>
      </c>
      <c r="T713" t="s">
        <v>41</v>
      </c>
      <c r="U713" s="29">
        <v>46313.460960648146</v>
      </c>
      <c r="V713" s="29">
        <v>46313.460358796299</v>
      </c>
      <c r="W713" t="s">
        <v>2246</v>
      </c>
      <c r="X713">
        <v>22411</v>
      </c>
      <c r="Z713">
        <v>0</v>
      </c>
      <c r="AA713" s="30">
        <v>0.45277777777777778</v>
      </c>
      <c r="AB713">
        <v>7</v>
      </c>
      <c r="AC713" t="s">
        <v>41</v>
      </c>
    </row>
    <row r="714" spans="1:29">
      <c r="A714" t="s">
        <v>2247</v>
      </c>
      <c r="B714" s="29">
        <v>46313.453067129631</v>
      </c>
      <c r="C714">
        <v>2190</v>
      </c>
      <c r="D714" t="s">
        <v>41</v>
      </c>
      <c r="E714">
        <v>7</v>
      </c>
      <c r="F714" t="s">
        <v>41</v>
      </c>
      <c r="G714" t="s">
        <v>41</v>
      </c>
      <c r="H714" t="s">
        <v>2248</v>
      </c>
      <c r="I714" s="29">
        <v>46313.454421296294</v>
      </c>
      <c r="J714" t="s">
        <v>41</v>
      </c>
      <c r="K714" s="29">
        <v>46313.454050925924</v>
      </c>
      <c r="L714">
        <v>31</v>
      </c>
      <c r="O714" s="29">
        <v>46313.452905092592</v>
      </c>
      <c r="P714" t="s">
        <v>43</v>
      </c>
      <c r="Q714" t="s">
        <v>2249</v>
      </c>
      <c r="R714" t="s">
        <v>2250</v>
      </c>
      <c r="S714">
        <v>4247</v>
      </c>
      <c r="T714" t="s">
        <v>41</v>
      </c>
      <c r="U714" s="29">
        <v>46313.460439814815</v>
      </c>
      <c r="V714" s="29">
        <v>46313.458969907406</v>
      </c>
      <c r="W714" t="s">
        <v>2251</v>
      </c>
      <c r="X714">
        <v>22411</v>
      </c>
      <c r="Z714">
        <v>0</v>
      </c>
      <c r="AA714" s="30">
        <v>0.45277777777777778</v>
      </c>
      <c r="AB714">
        <v>7</v>
      </c>
      <c r="AC714" t="s">
        <v>41</v>
      </c>
    </row>
    <row r="715" spans="1:29">
      <c r="A715" t="s">
        <v>1624</v>
      </c>
      <c r="B715" s="29">
        <v>46313.453067129631</v>
      </c>
      <c r="C715">
        <v>2148</v>
      </c>
      <c r="D715" t="s">
        <v>41</v>
      </c>
      <c r="E715">
        <v>7</v>
      </c>
      <c r="F715" t="s">
        <v>41</v>
      </c>
      <c r="G715" t="s">
        <v>41</v>
      </c>
      <c r="H715" t="s">
        <v>2252</v>
      </c>
      <c r="I715" s="29">
        <v>46313.454988425925</v>
      </c>
      <c r="J715" t="s">
        <v>41</v>
      </c>
      <c r="K715" s="29">
        <v>46313.454560185186</v>
      </c>
      <c r="L715">
        <v>36</v>
      </c>
      <c r="O715" s="29">
        <v>46313.452905092592</v>
      </c>
      <c r="P715" t="s">
        <v>43</v>
      </c>
      <c r="Q715" t="s">
        <v>1626</v>
      </c>
      <c r="R715" t="s">
        <v>2253</v>
      </c>
      <c r="S715">
        <v>4247</v>
      </c>
      <c r="T715" t="s">
        <v>41</v>
      </c>
      <c r="U715" s="29">
        <v>46313.460405092592</v>
      </c>
      <c r="V715" s="29">
        <v>46313.459189814814</v>
      </c>
      <c r="W715" t="s">
        <v>2254</v>
      </c>
      <c r="X715">
        <v>22411</v>
      </c>
      <c r="Z715">
        <v>0</v>
      </c>
      <c r="AA715" s="30">
        <v>0.45277777777777778</v>
      </c>
      <c r="AB715">
        <v>6</v>
      </c>
      <c r="AC715" t="s">
        <v>41</v>
      </c>
    </row>
    <row r="716" spans="1:29">
      <c r="A716" t="s">
        <v>67</v>
      </c>
      <c r="B716" s="29">
        <v>46313.452939814815</v>
      </c>
      <c r="C716">
        <v>1537</v>
      </c>
      <c r="D716" t="s">
        <v>41</v>
      </c>
      <c r="E716">
        <v>4</v>
      </c>
      <c r="F716" t="s">
        <v>41</v>
      </c>
      <c r="G716" t="s">
        <v>41</v>
      </c>
      <c r="H716" t="s">
        <v>2255</v>
      </c>
      <c r="I716" s="29">
        <v>46313.453923611109</v>
      </c>
      <c r="J716" t="s">
        <v>41</v>
      </c>
      <c r="K716" s="29">
        <v>46313.453773148147</v>
      </c>
      <c r="L716">
        <v>12</v>
      </c>
      <c r="O716" s="29">
        <v>46313.4528125</v>
      </c>
      <c r="P716" t="s">
        <v>43</v>
      </c>
      <c r="Q716" t="s">
        <v>69</v>
      </c>
      <c r="R716" t="s">
        <v>2256</v>
      </c>
      <c r="S716">
        <v>4247</v>
      </c>
      <c r="T716" t="s">
        <v>41</v>
      </c>
      <c r="U716" s="29">
        <v>46313.458564814813</v>
      </c>
      <c r="V716" s="29">
        <v>46313.45685185185</v>
      </c>
      <c r="W716" t="s">
        <v>2257</v>
      </c>
      <c r="X716">
        <v>22411</v>
      </c>
      <c r="Z716">
        <v>0</v>
      </c>
      <c r="AA716" s="30">
        <v>0.45277777777777778</v>
      </c>
      <c r="AB716">
        <v>4</v>
      </c>
      <c r="AC716" t="s">
        <v>41</v>
      </c>
    </row>
    <row r="717" spans="1:29">
      <c r="A717" t="s">
        <v>2258</v>
      </c>
      <c r="B717" s="29">
        <v>46313.452997685185</v>
      </c>
      <c r="C717">
        <v>2040</v>
      </c>
      <c r="D717" t="s">
        <v>41</v>
      </c>
      <c r="E717">
        <v>8</v>
      </c>
      <c r="F717" t="s">
        <v>41</v>
      </c>
      <c r="G717" t="s">
        <v>41</v>
      </c>
      <c r="H717" t="s">
        <v>2259</v>
      </c>
      <c r="I717" s="29">
        <v>46313.453831018516</v>
      </c>
      <c r="J717" t="s">
        <v>41</v>
      </c>
      <c r="K717" s="29">
        <v>46313.453622685185</v>
      </c>
      <c r="L717">
        <v>17</v>
      </c>
      <c r="O717" s="29">
        <v>46313.452037037037</v>
      </c>
      <c r="P717" t="s">
        <v>43</v>
      </c>
      <c r="Q717" t="s">
        <v>2260</v>
      </c>
      <c r="R717" t="s">
        <v>2261</v>
      </c>
      <c r="S717">
        <v>4247</v>
      </c>
      <c r="T717" t="s">
        <v>41</v>
      </c>
      <c r="U717" s="29">
        <v>46313.460231481484</v>
      </c>
      <c r="V717" s="29">
        <v>46313.459189814814</v>
      </c>
      <c r="W717" t="s">
        <v>2262</v>
      </c>
      <c r="X717">
        <v>22411</v>
      </c>
      <c r="Z717">
        <v>0</v>
      </c>
      <c r="AA717" s="30">
        <v>0.45277777777777778</v>
      </c>
      <c r="AB717">
        <v>8</v>
      </c>
      <c r="AC717" t="s">
        <v>41</v>
      </c>
    </row>
    <row r="718" spans="1:29">
      <c r="A718" t="s">
        <v>40</v>
      </c>
      <c r="B718" s="29">
        <v>46313.452141203707</v>
      </c>
      <c r="C718">
        <v>2026</v>
      </c>
      <c r="D718" t="s">
        <v>41</v>
      </c>
      <c r="E718">
        <v>7</v>
      </c>
      <c r="F718" t="s">
        <v>41</v>
      </c>
      <c r="G718" t="s">
        <v>41</v>
      </c>
      <c r="H718" t="s">
        <v>2259</v>
      </c>
      <c r="I718" s="29">
        <v>46313.453692129631</v>
      </c>
      <c r="J718" t="s">
        <v>41</v>
      </c>
      <c r="K718" s="29">
        <v>46313.453483796293</v>
      </c>
      <c r="L718">
        <v>17</v>
      </c>
      <c r="O718" s="29">
        <v>46313.451990740738</v>
      </c>
      <c r="P718" t="s">
        <v>43</v>
      </c>
      <c r="Q718" t="s">
        <v>44</v>
      </c>
      <c r="R718" t="s">
        <v>2263</v>
      </c>
      <c r="S718">
        <v>4247</v>
      </c>
      <c r="T718" t="s">
        <v>41</v>
      </c>
      <c r="U718" s="29">
        <v>46313.45821759259</v>
      </c>
      <c r="V718" s="29">
        <v>46313.458171296297</v>
      </c>
      <c r="W718" t="s">
        <v>2264</v>
      </c>
      <c r="X718">
        <v>22411</v>
      </c>
      <c r="Z718">
        <v>0</v>
      </c>
      <c r="AA718" s="30">
        <v>0.45208333333333334</v>
      </c>
      <c r="AB718">
        <v>6</v>
      </c>
      <c r="AC718" t="s">
        <v>41</v>
      </c>
    </row>
    <row r="719" spans="1:29">
      <c r="A719" t="s">
        <v>190</v>
      </c>
      <c r="B719" s="29">
        <v>46313.451979166668</v>
      </c>
      <c r="C719">
        <v>2460</v>
      </c>
      <c r="D719" t="s">
        <v>41</v>
      </c>
      <c r="E719">
        <v>7</v>
      </c>
      <c r="F719" t="s">
        <v>41</v>
      </c>
      <c r="G719" t="s">
        <v>41</v>
      </c>
      <c r="H719" t="s">
        <v>2265</v>
      </c>
      <c r="I719" s="29">
        <v>46313.452824074076</v>
      </c>
      <c r="J719" t="s">
        <v>41</v>
      </c>
      <c r="K719" s="29">
        <v>46313.452499999999</v>
      </c>
      <c r="L719">
        <v>27</v>
      </c>
      <c r="O719" s="29">
        <v>46313.451874999999</v>
      </c>
      <c r="P719" t="s">
        <v>43</v>
      </c>
      <c r="Q719" t="s">
        <v>192</v>
      </c>
      <c r="R719" t="s">
        <v>2266</v>
      </c>
      <c r="S719">
        <v>4247</v>
      </c>
      <c r="T719" t="s">
        <v>41</v>
      </c>
      <c r="U719" s="29">
        <v>46313.458344907405</v>
      </c>
      <c r="V719" s="29">
        <v>46313.457627314812</v>
      </c>
      <c r="W719" t="s">
        <v>2267</v>
      </c>
      <c r="X719">
        <v>22411</v>
      </c>
      <c r="Z719">
        <v>0</v>
      </c>
      <c r="AA719" s="30">
        <v>0.4513888888888889</v>
      </c>
      <c r="AB719">
        <v>7</v>
      </c>
      <c r="AC719" t="s">
        <v>41</v>
      </c>
    </row>
    <row r="720" spans="1:29">
      <c r="A720" t="s">
        <v>347</v>
      </c>
      <c r="B720" s="29">
        <v>46313.45171296296</v>
      </c>
      <c r="C720">
        <v>1605</v>
      </c>
      <c r="D720" t="s">
        <v>41</v>
      </c>
      <c r="E720">
        <v>5</v>
      </c>
      <c r="F720" t="s">
        <v>41</v>
      </c>
      <c r="G720" t="s">
        <v>41</v>
      </c>
      <c r="H720" t="s">
        <v>2268</v>
      </c>
      <c r="I720" s="29">
        <v>46313.452499999999</v>
      </c>
      <c r="J720" t="s">
        <v>41</v>
      </c>
      <c r="K720" s="29">
        <v>46313.452268518522</v>
      </c>
      <c r="L720">
        <v>19</v>
      </c>
      <c r="O720" s="29">
        <v>46313.451608796298</v>
      </c>
      <c r="P720" t="s">
        <v>43</v>
      </c>
      <c r="Q720" t="s">
        <v>349</v>
      </c>
      <c r="R720" t="s">
        <v>2269</v>
      </c>
      <c r="S720">
        <v>4247</v>
      </c>
      <c r="T720" t="s">
        <v>41</v>
      </c>
      <c r="U720" s="29">
        <v>46313.457280092596</v>
      </c>
      <c r="V720" s="29">
        <v>46313.455520833333</v>
      </c>
      <c r="W720" t="s">
        <v>2270</v>
      </c>
      <c r="X720">
        <v>22411</v>
      </c>
      <c r="Z720">
        <v>0</v>
      </c>
      <c r="AA720" s="30">
        <v>0.4513888888888889</v>
      </c>
      <c r="AB720">
        <v>4</v>
      </c>
      <c r="AC720" t="s">
        <v>41</v>
      </c>
    </row>
    <row r="721" spans="1:29">
      <c r="A721" t="s">
        <v>62</v>
      </c>
      <c r="B721" s="29">
        <v>46313.45171296296</v>
      </c>
      <c r="C721">
        <v>245</v>
      </c>
      <c r="D721" t="s">
        <v>41</v>
      </c>
      <c r="E721">
        <v>2</v>
      </c>
      <c r="F721" t="s">
        <v>41</v>
      </c>
      <c r="G721" t="s">
        <v>41</v>
      </c>
      <c r="H721" t="s">
        <v>2271</v>
      </c>
      <c r="I721" s="29">
        <v>46313.452731481484</v>
      </c>
      <c r="J721" t="s">
        <v>41</v>
      </c>
      <c r="K721" s="29">
        <v>46313.452650462961</v>
      </c>
      <c r="L721">
        <v>6</v>
      </c>
      <c r="O721" s="29">
        <v>46313.451597222222</v>
      </c>
      <c r="P721" t="s">
        <v>43</v>
      </c>
      <c r="Q721" t="s">
        <v>64</v>
      </c>
      <c r="R721" t="s">
        <v>2272</v>
      </c>
      <c r="S721">
        <v>4247</v>
      </c>
      <c r="T721" t="s">
        <v>41</v>
      </c>
      <c r="U721" s="29">
        <v>46313.454074074078</v>
      </c>
      <c r="V721" s="29">
        <v>46313.454259259262</v>
      </c>
      <c r="W721" t="s">
        <v>2273</v>
      </c>
      <c r="X721">
        <v>22411</v>
      </c>
      <c r="Z721">
        <v>0</v>
      </c>
      <c r="AA721" s="30">
        <v>0.4513888888888889</v>
      </c>
      <c r="AB721">
        <v>2</v>
      </c>
      <c r="AC721" t="s">
        <v>41</v>
      </c>
    </row>
    <row r="722" spans="1:29">
      <c r="A722" t="s">
        <v>655</v>
      </c>
      <c r="B722" s="29">
        <v>46313.451574074075</v>
      </c>
      <c r="C722">
        <v>1005</v>
      </c>
      <c r="D722" t="s">
        <v>41</v>
      </c>
      <c r="E722">
        <v>3</v>
      </c>
      <c r="F722" t="s">
        <v>41</v>
      </c>
      <c r="G722" t="s">
        <v>41</v>
      </c>
      <c r="H722" t="s">
        <v>2274</v>
      </c>
      <c r="I722" s="29">
        <v>46313.453402777777</v>
      </c>
      <c r="J722" t="s">
        <v>41</v>
      </c>
      <c r="K722" s="29">
        <v>46313.453125</v>
      </c>
      <c r="L722">
        <v>23</v>
      </c>
      <c r="O722" s="29">
        <v>46313.451516203706</v>
      </c>
      <c r="P722" t="s">
        <v>43</v>
      </c>
      <c r="Q722" t="s">
        <v>657</v>
      </c>
      <c r="R722" t="s">
        <v>2275</v>
      </c>
      <c r="S722">
        <v>4247</v>
      </c>
      <c r="T722" t="s">
        <v>41</v>
      </c>
      <c r="U722" s="29">
        <v>46313.456412037034</v>
      </c>
      <c r="V722" s="29">
        <v>46313.455011574071</v>
      </c>
      <c r="W722" t="s">
        <v>2276</v>
      </c>
      <c r="X722">
        <v>22411</v>
      </c>
      <c r="Z722">
        <v>0</v>
      </c>
      <c r="AA722" s="30">
        <v>0.4513888888888889</v>
      </c>
      <c r="AB722">
        <v>2</v>
      </c>
      <c r="AC722" t="s">
        <v>41</v>
      </c>
    </row>
    <row r="723" spans="1:29">
      <c r="A723" t="s">
        <v>177</v>
      </c>
      <c r="B723" s="29">
        <v>46313.451574074075</v>
      </c>
      <c r="C723">
        <v>955</v>
      </c>
      <c r="D723" t="s">
        <v>41</v>
      </c>
      <c r="E723">
        <v>4</v>
      </c>
      <c r="F723" t="s">
        <v>41</v>
      </c>
      <c r="G723" t="s">
        <v>41</v>
      </c>
      <c r="H723" t="s">
        <v>2274</v>
      </c>
      <c r="I723" s="29">
        <v>46313.451967592591</v>
      </c>
      <c r="J723" t="s">
        <v>41</v>
      </c>
      <c r="K723" s="29">
        <v>46313.451724537037</v>
      </c>
      <c r="L723">
        <v>20</v>
      </c>
      <c r="O723" s="29">
        <v>46313.45140046296</v>
      </c>
      <c r="P723" t="s">
        <v>43</v>
      </c>
      <c r="Q723" t="s">
        <v>179</v>
      </c>
      <c r="R723" t="s">
        <v>2277</v>
      </c>
      <c r="S723">
        <v>4247</v>
      </c>
      <c r="T723" t="s">
        <v>41</v>
      </c>
      <c r="U723" s="29">
        <v>46313.454872685186</v>
      </c>
      <c r="V723" s="29">
        <v>46313.454687500001</v>
      </c>
      <c r="W723" t="s">
        <v>2278</v>
      </c>
      <c r="X723">
        <v>22411</v>
      </c>
      <c r="Z723">
        <v>0</v>
      </c>
      <c r="AA723" s="30">
        <v>0.4513888888888889</v>
      </c>
      <c r="AB723">
        <v>4</v>
      </c>
      <c r="AC723" t="s">
        <v>41</v>
      </c>
    </row>
    <row r="724" spans="1:29">
      <c r="A724" t="s">
        <v>93</v>
      </c>
      <c r="B724" s="29">
        <v>46313.451168981483</v>
      </c>
      <c r="C724">
        <v>2240</v>
      </c>
      <c r="D724" t="s">
        <v>41</v>
      </c>
      <c r="E724">
        <v>6</v>
      </c>
      <c r="F724" t="s">
        <v>41</v>
      </c>
      <c r="G724" t="s">
        <v>41</v>
      </c>
      <c r="H724" t="s">
        <v>2279</v>
      </c>
      <c r="I724" s="29">
        <v>46313.452303240738</v>
      </c>
      <c r="J724" t="s">
        <v>41</v>
      </c>
      <c r="K724" s="29">
        <v>46313.452164351853</v>
      </c>
      <c r="L724">
        <v>11</v>
      </c>
      <c r="O724" s="29">
        <v>46313.451099537036</v>
      </c>
      <c r="P724" t="s">
        <v>43</v>
      </c>
      <c r="Q724" t="s">
        <v>95</v>
      </c>
      <c r="R724" t="s">
        <v>2280</v>
      </c>
      <c r="S724">
        <v>4247</v>
      </c>
      <c r="T724" t="s">
        <v>41</v>
      </c>
      <c r="U724" s="29">
        <v>46313.457395833335</v>
      </c>
      <c r="V724" s="29">
        <v>46313.456631944442</v>
      </c>
      <c r="W724" t="s">
        <v>2281</v>
      </c>
      <c r="X724">
        <v>22411</v>
      </c>
      <c r="Z724">
        <v>0</v>
      </c>
      <c r="AA724" s="30">
        <v>0.45069444444444445</v>
      </c>
      <c r="AB724">
        <v>6</v>
      </c>
      <c r="AC724" t="s">
        <v>41</v>
      </c>
    </row>
    <row r="725" spans="1:29">
      <c r="A725" t="s">
        <v>1336</v>
      </c>
      <c r="B725" s="29">
        <v>46313.450671296298</v>
      </c>
      <c r="C725">
        <v>2172</v>
      </c>
      <c r="D725" t="s">
        <v>41</v>
      </c>
      <c r="E725">
        <v>8</v>
      </c>
      <c r="F725" t="s">
        <v>41</v>
      </c>
      <c r="G725" t="s">
        <v>41</v>
      </c>
      <c r="H725" t="s">
        <v>2282</v>
      </c>
      <c r="I725" s="29">
        <v>46313.450983796298</v>
      </c>
      <c r="J725" t="s">
        <v>41</v>
      </c>
      <c r="K725" s="29">
        <v>46313.450902777775</v>
      </c>
      <c r="L725">
        <v>6</v>
      </c>
      <c r="O725" s="29">
        <v>46313.450462962966</v>
      </c>
      <c r="P725" t="s">
        <v>43</v>
      </c>
      <c r="Q725" t="s">
        <v>1338</v>
      </c>
      <c r="R725" t="s">
        <v>2283</v>
      </c>
      <c r="S725">
        <v>4247</v>
      </c>
      <c r="T725" t="s">
        <v>41</v>
      </c>
      <c r="U725" s="29">
        <v>46313.457384259258</v>
      </c>
      <c r="V725" s="29">
        <v>46313.456203703703</v>
      </c>
      <c r="W725" t="s">
        <v>2284</v>
      </c>
      <c r="X725">
        <v>22411</v>
      </c>
      <c r="Z725">
        <v>0</v>
      </c>
      <c r="AA725" s="30">
        <v>0.45</v>
      </c>
      <c r="AB725">
        <v>8</v>
      </c>
      <c r="AC725" t="s">
        <v>41</v>
      </c>
    </row>
    <row r="726" spans="1:29">
      <c r="A726" t="s">
        <v>1365</v>
      </c>
      <c r="B726" s="29">
        <v>46313.449803240743</v>
      </c>
      <c r="C726">
        <v>1179</v>
      </c>
      <c r="D726" t="s">
        <v>41</v>
      </c>
      <c r="E726">
        <v>5</v>
      </c>
      <c r="F726" t="s">
        <v>41</v>
      </c>
      <c r="G726" t="s">
        <v>41</v>
      </c>
      <c r="H726" t="s">
        <v>2285</v>
      </c>
      <c r="I726" s="29">
        <v>46313.45144675926</v>
      </c>
      <c r="J726" t="s">
        <v>41</v>
      </c>
      <c r="K726" s="29">
        <v>46313.45107638889</v>
      </c>
      <c r="L726">
        <v>31</v>
      </c>
      <c r="O726" s="29">
        <v>46313.449641203704</v>
      </c>
      <c r="P726" t="s">
        <v>43</v>
      </c>
      <c r="Q726" t="s">
        <v>1367</v>
      </c>
      <c r="R726" t="s">
        <v>2286</v>
      </c>
      <c r="S726">
        <v>4247</v>
      </c>
      <c r="T726" t="s">
        <v>41</v>
      </c>
      <c r="U726" s="29">
        <v>46313.455659722225</v>
      </c>
      <c r="V726" s="29">
        <v>46313.454571759263</v>
      </c>
      <c r="W726" t="s">
        <v>2287</v>
      </c>
      <c r="X726">
        <v>22411</v>
      </c>
      <c r="Z726">
        <v>0</v>
      </c>
      <c r="AA726" s="30">
        <v>0.44930555555555557</v>
      </c>
      <c r="AB726">
        <v>5</v>
      </c>
      <c r="AC726" t="s">
        <v>41</v>
      </c>
    </row>
    <row r="727" spans="1:29">
      <c r="A727" t="s">
        <v>1136</v>
      </c>
      <c r="B727" s="29">
        <v>46313.449826388889</v>
      </c>
      <c r="C727">
        <v>1845</v>
      </c>
      <c r="D727" t="s">
        <v>41</v>
      </c>
      <c r="E727">
        <v>7</v>
      </c>
      <c r="F727" t="s">
        <v>41</v>
      </c>
      <c r="G727" t="s">
        <v>41</v>
      </c>
      <c r="H727" t="s">
        <v>2288</v>
      </c>
      <c r="I727" s="29">
        <v>46313.451550925929</v>
      </c>
      <c r="J727" t="s">
        <v>41</v>
      </c>
      <c r="K727" s="29">
        <v>46313.451423611114</v>
      </c>
      <c r="L727">
        <v>10</v>
      </c>
      <c r="O727" s="29">
        <v>46313.449629629627</v>
      </c>
      <c r="P727" t="s">
        <v>43</v>
      </c>
      <c r="Q727" t="s">
        <v>1138</v>
      </c>
      <c r="R727" t="s">
        <v>2289</v>
      </c>
      <c r="S727">
        <v>4247</v>
      </c>
      <c r="T727" t="s">
        <v>41</v>
      </c>
      <c r="U727" s="29">
        <v>46313.456655092596</v>
      </c>
      <c r="V727" s="29">
        <v>46313.456458333334</v>
      </c>
      <c r="W727" t="s">
        <v>2290</v>
      </c>
      <c r="X727">
        <v>22411</v>
      </c>
      <c r="Z727">
        <v>0</v>
      </c>
      <c r="AA727" s="30">
        <v>0.44930555555555557</v>
      </c>
      <c r="AB727">
        <v>7</v>
      </c>
      <c r="AC727" t="s">
        <v>41</v>
      </c>
    </row>
    <row r="728" spans="1:29">
      <c r="A728" t="s">
        <v>106</v>
      </c>
      <c r="B728" s="29">
        <v>46313.449791666666</v>
      </c>
      <c r="C728">
        <v>215</v>
      </c>
      <c r="D728" t="s">
        <v>41</v>
      </c>
      <c r="E728">
        <v>1</v>
      </c>
      <c r="F728" t="s">
        <v>41</v>
      </c>
      <c r="G728" t="s">
        <v>41</v>
      </c>
      <c r="H728" t="s">
        <v>2291</v>
      </c>
      <c r="I728" s="29">
        <v>46313.45071759259</v>
      </c>
      <c r="J728" t="s">
        <v>41</v>
      </c>
      <c r="K728" s="29">
        <v>46313.450324074074</v>
      </c>
      <c r="L728">
        <v>33</v>
      </c>
      <c r="O728" s="29">
        <v>46313.449606481481</v>
      </c>
      <c r="P728" t="s">
        <v>43</v>
      </c>
      <c r="Q728" t="s">
        <v>108</v>
      </c>
      <c r="R728" t="s">
        <v>2292</v>
      </c>
      <c r="S728">
        <v>4247</v>
      </c>
      <c r="T728" t="s">
        <v>41</v>
      </c>
      <c r="U728" s="29">
        <v>46313.451793981483</v>
      </c>
      <c r="V728" s="29">
        <v>46313.45108796296</v>
      </c>
      <c r="W728" t="s">
        <v>2293</v>
      </c>
      <c r="X728">
        <v>22411</v>
      </c>
      <c r="Z728">
        <v>0</v>
      </c>
      <c r="AA728" s="30">
        <v>0.44930555555555557</v>
      </c>
      <c r="AB728">
        <v>1</v>
      </c>
      <c r="AC728" t="s">
        <v>41</v>
      </c>
    </row>
    <row r="729" spans="1:29">
      <c r="A729" t="s">
        <v>185</v>
      </c>
      <c r="B729" s="29">
        <v>46313.449120370373</v>
      </c>
      <c r="C729">
        <v>1736</v>
      </c>
      <c r="D729" t="s">
        <v>41</v>
      </c>
      <c r="E729">
        <v>6</v>
      </c>
      <c r="F729" t="s">
        <v>41</v>
      </c>
      <c r="G729" t="s">
        <v>41</v>
      </c>
      <c r="H729" t="s">
        <v>2294</v>
      </c>
      <c r="I729" s="29">
        <v>46313.450335648151</v>
      </c>
      <c r="J729" t="s">
        <v>41</v>
      </c>
      <c r="K729" s="29">
        <v>46313.450185185182</v>
      </c>
      <c r="L729">
        <v>12</v>
      </c>
      <c r="O729" s="29">
        <v>46313.448958333334</v>
      </c>
      <c r="P729" t="s">
        <v>43</v>
      </c>
      <c r="Q729" t="s">
        <v>3007</v>
      </c>
      <c r="R729" t="s">
        <v>2295</v>
      </c>
      <c r="S729">
        <v>4247</v>
      </c>
      <c r="T729" t="s">
        <v>41</v>
      </c>
      <c r="U729" s="29">
        <v>46313.456655092596</v>
      </c>
      <c r="V729" s="29">
        <v>46313.45416666667</v>
      </c>
      <c r="W729" t="s">
        <v>2296</v>
      </c>
      <c r="X729">
        <v>22411</v>
      </c>
      <c r="Z729">
        <v>0</v>
      </c>
      <c r="AA729" s="30">
        <v>0.44861111111111113</v>
      </c>
      <c r="AB729">
        <v>6</v>
      </c>
      <c r="AC729" t="s">
        <v>41</v>
      </c>
    </row>
    <row r="730" spans="1:29">
      <c r="A730" t="s">
        <v>1391</v>
      </c>
      <c r="B730" s="29">
        <v>46313.447395833333</v>
      </c>
      <c r="C730">
        <v>832</v>
      </c>
      <c r="D730" t="s">
        <v>41</v>
      </c>
      <c r="E730">
        <v>2</v>
      </c>
      <c r="F730" t="s">
        <v>41</v>
      </c>
      <c r="G730" t="s">
        <v>41</v>
      </c>
      <c r="H730" t="s">
        <v>2297</v>
      </c>
      <c r="I730" s="29">
        <v>46313.447858796295</v>
      </c>
      <c r="J730" t="s">
        <v>41</v>
      </c>
      <c r="K730" s="29">
        <v>46313.447685185187</v>
      </c>
      <c r="L730">
        <v>14</v>
      </c>
      <c r="O730" s="29">
        <v>46313.447280092594</v>
      </c>
      <c r="P730" t="s">
        <v>43</v>
      </c>
      <c r="Q730" t="s">
        <v>1393</v>
      </c>
      <c r="R730" t="s">
        <v>2298</v>
      </c>
      <c r="S730">
        <v>4247</v>
      </c>
      <c r="T730" t="s">
        <v>41</v>
      </c>
      <c r="U730" s="29">
        <v>46313.450185185182</v>
      </c>
      <c r="V730" s="29">
        <v>46313.449097222219</v>
      </c>
      <c r="W730" t="s">
        <v>2299</v>
      </c>
      <c r="X730">
        <v>22411</v>
      </c>
      <c r="Z730">
        <v>0</v>
      </c>
      <c r="AA730" s="30">
        <v>0.44722222222222219</v>
      </c>
      <c r="AB730">
        <v>2</v>
      </c>
      <c r="AC730" t="s">
        <v>41</v>
      </c>
    </row>
    <row r="731" spans="1:29">
      <c r="A731" t="s">
        <v>734</v>
      </c>
      <c r="B731" s="29">
        <v>46313.44736111111</v>
      </c>
      <c r="C731">
        <v>2074</v>
      </c>
      <c r="D731" t="s">
        <v>41</v>
      </c>
      <c r="E731">
        <v>6</v>
      </c>
      <c r="F731" t="s">
        <v>41</v>
      </c>
      <c r="G731" t="s">
        <v>41</v>
      </c>
      <c r="H731" t="s">
        <v>2300</v>
      </c>
      <c r="I731" s="29">
        <v>46313.448541666665</v>
      </c>
      <c r="J731" t="s">
        <v>41</v>
      </c>
      <c r="K731" s="29">
        <v>46313.448078703703</v>
      </c>
      <c r="L731">
        <v>39</v>
      </c>
      <c r="O731" s="29">
        <v>46313.447233796294</v>
      </c>
      <c r="P731" t="s">
        <v>43</v>
      </c>
      <c r="Q731" t="s">
        <v>736</v>
      </c>
      <c r="R731" t="s">
        <v>2301</v>
      </c>
      <c r="S731">
        <v>4247</v>
      </c>
      <c r="T731" t="s">
        <v>41</v>
      </c>
      <c r="U731" s="29">
        <v>46313.453344907408</v>
      </c>
      <c r="V731" s="29">
        <v>46313.452465277776</v>
      </c>
      <c r="W731" t="s">
        <v>2302</v>
      </c>
      <c r="X731">
        <v>22411</v>
      </c>
      <c r="Z731">
        <v>0</v>
      </c>
      <c r="AA731" s="30">
        <v>0.44722222222222219</v>
      </c>
      <c r="AB731">
        <v>6</v>
      </c>
      <c r="AC731" t="s">
        <v>41</v>
      </c>
    </row>
    <row r="732" spans="1:29">
      <c r="A732" t="s">
        <v>98</v>
      </c>
      <c r="B732" s="29">
        <v>46313.446145833332</v>
      </c>
      <c r="C732">
        <v>2088</v>
      </c>
      <c r="D732" t="s">
        <v>41</v>
      </c>
      <c r="E732">
        <v>5</v>
      </c>
      <c r="F732" t="s">
        <v>41</v>
      </c>
      <c r="G732" t="s">
        <v>41</v>
      </c>
      <c r="H732" t="s">
        <v>2303</v>
      </c>
      <c r="I732" s="29">
        <v>46313.446666666663</v>
      </c>
      <c r="J732" t="s">
        <v>41</v>
      </c>
      <c r="K732" s="29">
        <v>46313.446400462963</v>
      </c>
      <c r="L732">
        <v>22</v>
      </c>
      <c r="O732" s="29">
        <v>46313.445983796293</v>
      </c>
      <c r="P732" t="s">
        <v>43</v>
      </c>
      <c r="Q732" t="s">
        <v>3005</v>
      </c>
      <c r="R732" t="s">
        <v>2304</v>
      </c>
      <c r="S732">
        <v>4247</v>
      </c>
      <c r="T732" t="s">
        <v>41</v>
      </c>
      <c r="U732" s="29">
        <v>46313.451307870368</v>
      </c>
      <c r="V732" s="29">
        <v>46313.449814814812</v>
      </c>
      <c r="W732" t="s">
        <v>2305</v>
      </c>
      <c r="X732">
        <v>22411</v>
      </c>
      <c r="Z732">
        <v>0</v>
      </c>
      <c r="AA732" s="30">
        <v>0.4458333333333333</v>
      </c>
      <c r="AB732">
        <v>5</v>
      </c>
      <c r="AC732" t="s">
        <v>41</v>
      </c>
    </row>
    <row r="733" spans="1:29">
      <c r="A733" t="s">
        <v>52</v>
      </c>
      <c r="B733" s="29">
        <v>46313.446168981478</v>
      </c>
      <c r="C733">
        <v>2284</v>
      </c>
      <c r="D733" t="s">
        <v>41</v>
      </c>
      <c r="E733">
        <v>8</v>
      </c>
      <c r="F733" t="s">
        <v>41</v>
      </c>
      <c r="G733" t="s">
        <v>41</v>
      </c>
      <c r="H733" t="s">
        <v>2306</v>
      </c>
      <c r="I733" s="29">
        <v>46313.447152777779</v>
      </c>
      <c r="J733" t="s">
        <v>41</v>
      </c>
      <c r="K733" s="29">
        <v>46313.446793981479</v>
      </c>
      <c r="L733">
        <v>30</v>
      </c>
      <c r="O733" s="29">
        <v>46313.445949074077</v>
      </c>
      <c r="P733" t="s">
        <v>43</v>
      </c>
      <c r="Q733" t="s">
        <v>54</v>
      </c>
      <c r="R733" t="s">
        <v>2307</v>
      </c>
      <c r="S733">
        <v>4247</v>
      </c>
      <c r="T733" t="s">
        <v>41</v>
      </c>
      <c r="U733" s="29">
        <v>46313.453877314816</v>
      </c>
      <c r="V733" s="29">
        <v>46313.452175925922</v>
      </c>
      <c r="W733" t="s">
        <v>2308</v>
      </c>
      <c r="X733">
        <v>22411</v>
      </c>
      <c r="Z733">
        <v>0</v>
      </c>
      <c r="AA733" s="30">
        <v>0.4458333333333333</v>
      </c>
      <c r="AB733">
        <v>7</v>
      </c>
      <c r="AC733" t="s">
        <v>41</v>
      </c>
    </row>
    <row r="734" spans="1:29">
      <c r="A734" t="s">
        <v>190</v>
      </c>
      <c r="B734" s="29">
        <v>46313.445034722223</v>
      </c>
      <c r="C734">
        <v>117</v>
      </c>
      <c r="D734" t="s">
        <v>41</v>
      </c>
      <c r="E734">
        <v>0</v>
      </c>
      <c r="F734" t="s">
        <v>41</v>
      </c>
      <c r="G734" t="s">
        <v>41</v>
      </c>
      <c r="H734" t="s">
        <v>2309</v>
      </c>
      <c r="I734" s="29">
        <v>46313.445694444446</v>
      </c>
      <c r="J734" t="s">
        <v>41</v>
      </c>
      <c r="K734" s="29">
        <v>46313.445451388892</v>
      </c>
      <c r="L734">
        <v>20</v>
      </c>
      <c r="O734" s="29">
        <v>46313.444965277777</v>
      </c>
      <c r="P734" t="s">
        <v>43</v>
      </c>
      <c r="Q734" t="s">
        <v>192</v>
      </c>
      <c r="R734" t="s">
        <v>2310</v>
      </c>
      <c r="S734">
        <v>4247</v>
      </c>
      <c r="T734" t="s">
        <v>41</v>
      </c>
      <c r="U734" s="29">
        <v>46313.446562500001</v>
      </c>
      <c r="V734" s="29">
        <v>46313.445706018516</v>
      </c>
      <c r="W734" t="s">
        <v>2311</v>
      </c>
      <c r="X734">
        <v>22411</v>
      </c>
      <c r="Z734">
        <v>0</v>
      </c>
      <c r="AA734" s="30">
        <v>0.44444444444444442</v>
      </c>
      <c r="AB734">
        <v>0</v>
      </c>
      <c r="AC734" t="s">
        <v>41</v>
      </c>
    </row>
    <row r="735" spans="1:29">
      <c r="A735" t="s">
        <v>347</v>
      </c>
      <c r="B735" s="29">
        <v>46313.444502314815</v>
      </c>
      <c r="C735">
        <v>621</v>
      </c>
      <c r="D735" t="s">
        <v>41</v>
      </c>
      <c r="E735">
        <v>2</v>
      </c>
      <c r="F735" t="s">
        <v>41</v>
      </c>
      <c r="G735" t="s">
        <v>41</v>
      </c>
      <c r="H735" t="s">
        <v>2312</v>
      </c>
      <c r="I735" s="29">
        <v>46313.446168981478</v>
      </c>
      <c r="J735" t="s">
        <v>41</v>
      </c>
      <c r="K735" s="29">
        <v>46313.445937500001</v>
      </c>
      <c r="L735">
        <v>19</v>
      </c>
      <c r="O735" s="29">
        <v>46313.444409722222</v>
      </c>
      <c r="P735" t="s">
        <v>43</v>
      </c>
      <c r="Q735" t="s">
        <v>349</v>
      </c>
      <c r="R735" t="s">
        <v>2313</v>
      </c>
      <c r="S735">
        <v>4247</v>
      </c>
      <c r="T735" t="s">
        <v>41</v>
      </c>
      <c r="U735" s="29">
        <v>46313.448518518519</v>
      </c>
      <c r="V735" s="29">
        <v>46313.447372685187</v>
      </c>
      <c r="W735" t="s">
        <v>2314</v>
      </c>
      <c r="X735">
        <v>22411</v>
      </c>
      <c r="Z735">
        <v>0</v>
      </c>
      <c r="AA735" s="30">
        <v>0.44444444444444442</v>
      </c>
      <c r="AB735">
        <v>2</v>
      </c>
      <c r="AC735" t="s">
        <v>41</v>
      </c>
    </row>
    <row r="736" spans="1:29">
      <c r="A736" t="s">
        <v>1239</v>
      </c>
      <c r="B736" s="29">
        <v>46313.444560185184</v>
      </c>
      <c r="C736">
        <v>1725</v>
      </c>
      <c r="D736" t="s">
        <v>41</v>
      </c>
      <c r="E736">
        <v>5</v>
      </c>
      <c r="F736" t="s">
        <v>41</v>
      </c>
      <c r="G736" t="s">
        <v>41</v>
      </c>
      <c r="H736" t="s">
        <v>2315</v>
      </c>
      <c r="I736" s="29">
        <v>46313.445462962962</v>
      </c>
      <c r="J736" t="s">
        <v>41</v>
      </c>
      <c r="K736" s="29">
        <v>46313.445104166669</v>
      </c>
      <c r="L736">
        <v>30</v>
      </c>
      <c r="O736" s="29">
        <v>46313.444398148145</v>
      </c>
      <c r="P736" t="s">
        <v>43</v>
      </c>
      <c r="Q736" t="s">
        <v>1241</v>
      </c>
      <c r="R736" t="s">
        <v>2316</v>
      </c>
      <c r="S736">
        <v>4247</v>
      </c>
      <c r="T736" t="s">
        <v>41</v>
      </c>
      <c r="U736" s="29">
        <v>46313.449421296296</v>
      </c>
      <c r="V736" s="29">
        <v>46313.448587962965</v>
      </c>
      <c r="W736" t="s">
        <v>2317</v>
      </c>
      <c r="X736">
        <v>22411</v>
      </c>
      <c r="Z736">
        <v>0</v>
      </c>
      <c r="AA736" s="30">
        <v>0.44444444444444442</v>
      </c>
      <c r="AB736">
        <v>5</v>
      </c>
      <c r="AC736" t="s">
        <v>41</v>
      </c>
    </row>
    <row r="737" spans="1:29">
      <c r="A737" t="s">
        <v>2318</v>
      </c>
      <c r="B737" s="29">
        <v>46313.444224537037</v>
      </c>
      <c r="C737">
        <v>1187</v>
      </c>
      <c r="D737" t="s">
        <v>41</v>
      </c>
      <c r="E737">
        <v>6</v>
      </c>
      <c r="F737" t="s">
        <v>41</v>
      </c>
      <c r="G737" t="s">
        <v>41</v>
      </c>
      <c r="H737" t="s">
        <v>2319</v>
      </c>
      <c r="I737" s="29">
        <v>46313.446145833332</v>
      </c>
      <c r="J737" t="s">
        <v>41</v>
      </c>
      <c r="K737" s="29">
        <v>46313.444398148145</v>
      </c>
      <c r="L737">
        <v>150</v>
      </c>
      <c r="O737" s="29">
        <v>46313.444120370368</v>
      </c>
      <c r="P737" t="s">
        <v>43</v>
      </c>
      <c r="Q737" t="s">
        <v>2320</v>
      </c>
      <c r="R737" t="s">
        <v>2321</v>
      </c>
      <c r="S737">
        <v>4247</v>
      </c>
      <c r="T737" t="s">
        <v>41</v>
      </c>
      <c r="U737" s="29">
        <v>46313.45040509259</v>
      </c>
      <c r="V737" s="29">
        <v>46313.448738425926</v>
      </c>
      <c r="W737" t="s">
        <v>2322</v>
      </c>
      <c r="X737">
        <v>22411</v>
      </c>
      <c r="Z737">
        <v>0</v>
      </c>
      <c r="AA737" s="30">
        <v>0.44375000000000003</v>
      </c>
      <c r="AB737">
        <v>4</v>
      </c>
      <c r="AC737" t="s">
        <v>41</v>
      </c>
    </row>
    <row r="738" spans="1:29">
      <c r="A738" t="s">
        <v>1461</v>
      </c>
      <c r="B738" s="29">
        <v>46313.443969907406</v>
      </c>
      <c r="C738">
        <v>3519</v>
      </c>
      <c r="D738" t="s">
        <v>41</v>
      </c>
      <c r="E738">
        <v>12</v>
      </c>
      <c r="F738" t="s">
        <v>41</v>
      </c>
      <c r="G738" t="s">
        <v>41</v>
      </c>
      <c r="H738" t="s">
        <v>2323</v>
      </c>
      <c r="I738" s="29">
        <v>46313.445497685185</v>
      </c>
      <c r="J738" t="s">
        <v>41</v>
      </c>
      <c r="K738" s="29">
        <v>46313.444895833331</v>
      </c>
      <c r="L738">
        <v>51</v>
      </c>
      <c r="O738" s="29">
        <v>46313.443842592591</v>
      </c>
      <c r="P738" t="s">
        <v>43</v>
      </c>
      <c r="Q738" t="s">
        <v>1463</v>
      </c>
      <c r="R738" t="s">
        <v>2324</v>
      </c>
      <c r="S738">
        <v>4247</v>
      </c>
      <c r="T738" t="s">
        <v>41</v>
      </c>
      <c r="U738" s="29">
        <v>46313.454976851855</v>
      </c>
      <c r="V738" s="29">
        <v>46313.453275462962</v>
      </c>
      <c r="W738" t="s">
        <v>2325</v>
      </c>
      <c r="X738">
        <v>22411</v>
      </c>
      <c r="Z738">
        <v>0</v>
      </c>
      <c r="AA738" s="30">
        <v>0.44375000000000003</v>
      </c>
      <c r="AB738">
        <v>11</v>
      </c>
      <c r="AC738" t="s">
        <v>41</v>
      </c>
    </row>
    <row r="739" spans="1:29">
      <c r="A739" t="s">
        <v>1965</v>
      </c>
      <c r="B739" s="29">
        <v>46313.444178240738</v>
      </c>
      <c r="C739">
        <v>2092</v>
      </c>
      <c r="D739" t="s">
        <v>41</v>
      </c>
      <c r="E739">
        <v>7</v>
      </c>
      <c r="F739" t="s">
        <v>41</v>
      </c>
      <c r="G739" t="s">
        <v>41</v>
      </c>
      <c r="H739" t="s">
        <v>2326</v>
      </c>
      <c r="I739" s="29">
        <v>46313.444548611114</v>
      </c>
      <c r="J739" t="s">
        <v>41</v>
      </c>
      <c r="K739" s="29">
        <v>46313.444143518522</v>
      </c>
      <c r="L739">
        <v>33</v>
      </c>
      <c r="O739" s="29">
        <v>46313.443541666667</v>
      </c>
      <c r="P739" t="s">
        <v>43</v>
      </c>
      <c r="Q739" t="s">
        <v>1967</v>
      </c>
      <c r="R739" t="s">
        <v>2327</v>
      </c>
      <c r="S739">
        <v>4247</v>
      </c>
      <c r="T739" t="s">
        <v>41</v>
      </c>
      <c r="U739" s="29">
        <v>46313.449293981481</v>
      </c>
      <c r="V739" s="29">
        <v>46313.449282407404</v>
      </c>
      <c r="W739" t="s">
        <v>2328</v>
      </c>
      <c r="X739">
        <v>22411</v>
      </c>
      <c r="Z739">
        <v>0</v>
      </c>
      <c r="AA739" s="30">
        <v>0.44375000000000003</v>
      </c>
      <c r="AB739">
        <v>7</v>
      </c>
      <c r="AC739" t="s">
        <v>41</v>
      </c>
    </row>
    <row r="740" spans="1:29">
      <c r="A740" t="s">
        <v>655</v>
      </c>
      <c r="B740" s="29">
        <v>46313.443402777775</v>
      </c>
      <c r="C740">
        <v>215</v>
      </c>
      <c r="D740" t="s">
        <v>41</v>
      </c>
      <c r="E740">
        <v>0</v>
      </c>
      <c r="F740" t="s">
        <v>41</v>
      </c>
      <c r="G740" t="s">
        <v>41</v>
      </c>
      <c r="H740" t="s">
        <v>2329</v>
      </c>
      <c r="I740" s="29">
        <v>46313.444189814814</v>
      </c>
      <c r="J740" t="s">
        <v>41</v>
      </c>
      <c r="K740" s="29">
        <v>46313.444039351853</v>
      </c>
      <c r="L740">
        <v>12</v>
      </c>
      <c r="O740" s="29">
        <v>46313.443287037036</v>
      </c>
      <c r="P740" t="s">
        <v>43</v>
      </c>
      <c r="Q740" t="s">
        <v>657</v>
      </c>
      <c r="R740" t="s">
        <v>2330</v>
      </c>
      <c r="S740">
        <v>4247</v>
      </c>
      <c r="T740" t="s">
        <v>41</v>
      </c>
      <c r="U740" s="29">
        <v>46313.445254629631</v>
      </c>
      <c r="V740" s="29">
        <v>46313.444189814814</v>
      </c>
      <c r="W740" t="s">
        <v>2331</v>
      </c>
      <c r="X740">
        <v>22411</v>
      </c>
      <c r="Z740">
        <v>0</v>
      </c>
      <c r="AA740" s="30">
        <v>0.44305555555555554</v>
      </c>
      <c r="AB740">
        <v>0</v>
      </c>
      <c r="AC740" t="s">
        <v>41</v>
      </c>
    </row>
    <row r="741" spans="1:29">
      <c r="A741" t="s">
        <v>1624</v>
      </c>
      <c r="B741" s="29">
        <v>46313.443344907406</v>
      </c>
      <c r="C741">
        <v>1360</v>
      </c>
      <c r="D741" t="s">
        <v>41</v>
      </c>
      <c r="E741">
        <v>5</v>
      </c>
      <c r="F741" t="s">
        <v>41</v>
      </c>
      <c r="G741" t="s">
        <v>41</v>
      </c>
      <c r="H741" t="s">
        <v>2332</v>
      </c>
      <c r="I741" s="29">
        <v>46313.443969907406</v>
      </c>
      <c r="J741" t="s">
        <v>41</v>
      </c>
      <c r="K741" s="29">
        <v>46313.44363425926</v>
      </c>
      <c r="L741">
        <v>28</v>
      </c>
      <c r="O741" s="29">
        <v>46313.442743055559</v>
      </c>
      <c r="P741" t="s">
        <v>43</v>
      </c>
      <c r="Q741" t="s">
        <v>1626</v>
      </c>
      <c r="R741" t="s">
        <v>2333</v>
      </c>
      <c r="S741">
        <v>4247</v>
      </c>
      <c r="T741" t="s">
        <v>41</v>
      </c>
      <c r="U741" s="29">
        <v>46313.448263888888</v>
      </c>
      <c r="V741" s="29">
        <v>46313.447280092594</v>
      </c>
      <c r="W741" t="s">
        <v>2334</v>
      </c>
      <c r="X741">
        <v>22411</v>
      </c>
      <c r="Z741">
        <v>0</v>
      </c>
      <c r="AA741" s="30">
        <v>0.44305555555555554</v>
      </c>
      <c r="AB741">
        <v>5</v>
      </c>
      <c r="AC741" t="s">
        <v>41</v>
      </c>
    </row>
    <row r="742" spans="1:29">
      <c r="A742" t="s">
        <v>2247</v>
      </c>
      <c r="B742" s="29">
        <v>46313.442025462966</v>
      </c>
      <c r="C742">
        <v>1853</v>
      </c>
      <c r="D742" t="s">
        <v>41</v>
      </c>
      <c r="E742">
        <v>5</v>
      </c>
      <c r="F742" t="s">
        <v>41</v>
      </c>
      <c r="G742" t="s">
        <v>41</v>
      </c>
      <c r="H742" t="s">
        <v>2335</v>
      </c>
      <c r="I742" s="29">
        <v>46313.442789351851</v>
      </c>
      <c r="J742" t="s">
        <v>41</v>
      </c>
      <c r="K742" s="29">
        <v>46313.442557870374</v>
      </c>
      <c r="L742">
        <v>19</v>
      </c>
      <c r="O742" s="29">
        <v>46313.441874999997</v>
      </c>
      <c r="P742" t="s">
        <v>43</v>
      </c>
      <c r="Q742" t="s">
        <v>2249</v>
      </c>
      <c r="R742" t="s">
        <v>2336</v>
      </c>
      <c r="S742">
        <v>4247</v>
      </c>
      <c r="T742" t="s">
        <v>41</v>
      </c>
      <c r="U742" s="29">
        <v>46313.447106481479</v>
      </c>
      <c r="V742" s="29">
        <v>46313.446273148147</v>
      </c>
      <c r="W742" t="s">
        <v>2337</v>
      </c>
      <c r="X742">
        <v>22411</v>
      </c>
      <c r="Z742">
        <v>0</v>
      </c>
      <c r="AA742" s="30">
        <v>0.44166666666666665</v>
      </c>
      <c r="AB742">
        <v>5</v>
      </c>
      <c r="AC742" t="s">
        <v>41</v>
      </c>
    </row>
    <row r="743" spans="1:29">
      <c r="A743" t="s">
        <v>1171</v>
      </c>
      <c r="B743" s="29">
        <v>46313.441828703704</v>
      </c>
      <c r="C743">
        <v>2317</v>
      </c>
      <c r="D743" t="s">
        <v>41</v>
      </c>
      <c r="E743">
        <v>7</v>
      </c>
      <c r="F743" t="s">
        <v>41</v>
      </c>
      <c r="G743" t="s">
        <v>41</v>
      </c>
      <c r="H743" t="s">
        <v>2338</v>
      </c>
      <c r="I743" s="29">
        <v>46313.443645833337</v>
      </c>
      <c r="J743" t="s">
        <v>41</v>
      </c>
      <c r="K743" s="29">
        <v>46313.443148148152</v>
      </c>
      <c r="L743">
        <v>42</v>
      </c>
      <c r="O743" s="29">
        <v>46313.441620370373</v>
      </c>
      <c r="P743" t="s">
        <v>43</v>
      </c>
      <c r="Q743" t="s">
        <v>1173</v>
      </c>
      <c r="R743" t="s">
        <v>2339</v>
      </c>
      <c r="S743">
        <v>4247</v>
      </c>
      <c r="T743" t="s">
        <v>41</v>
      </c>
      <c r="U743" s="29">
        <v>46313.450057870374</v>
      </c>
      <c r="V743" s="29">
        <v>46313.448310185187</v>
      </c>
      <c r="W743" t="s">
        <v>2340</v>
      </c>
      <c r="X743">
        <v>22411</v>
      </c>
      <c r="Z743">
        <v>0</v>
      </c>
      <c r="AA743" s="30">
        <v>0.44166666666666665</v>
      </c>
      <c r="AB743">
        <v>7</v>
      </c>
      <c r="AC743" t="s">
        <v>41</v>
      </c>
    </row>
    <row r="744" spans="1:29">
      <c r="A744" t="s">
        <v>2258</v>
      </c>
      <c r="B744" s="29">
        <v>46313.441504629627</v>
      </c>
      <c r="C744">
        <v>2076</v>
      </c>
      <c r="D744" t="s">
        <v>41</v>
      </c>
      <c r="E744">
        <v>4</v>
      </c>
      <c r="F744" t="s">
        <v>41</v>
      </c>
      <c r="G744" t="s">
        <v>41</v>
      </c>
      <c r="H744" t="s">
        <v>2341</v>
      </c>
      <c r="I744" s="29">
        <v>46313.442175925928</v>
      </c>
      <c r="J744" t="s">
        <v>41</v>
      </c>
      <c r="K744" s="29">
        <v>46313.441967592589</v>
      </c>
      <c r="L744">
        <v>17</v>
      </c>
      <c r="O744" s="29">
        <v>46313.441388888888</v>
      </c>
      <c r="P744" t="s">
        <v>43</v>
      </c>
      <c r="Q744" t="s">
        <v>2260</v>
      </c>
      <c r="R744" t="s">
        <v>2342</v>
      </c>
      <c r="S744">
        <v>4247</v>
      </c>
      <c r="T744" t="s">
        <v>41</v>
      </c>
      <c r="U744" s="29">
        <v>46313.447326388887</v>
      </c>
      <c r="V744" s="29">
        <v>46313.444791666669</v>
      </c>
      <c r="W744" t="s">
        <v>2343</v>
      </c>
      <c r="X744">
        <v>22411</v>
      </c>
      <c r="Z744">
        <v>0</v>
      </c>
      <c r="AA744" s="30">
        <v>0.44097222222222227</v>
      </c>
      <c r="AB744">
        <v>4</v>
      </c>
      <c r="AC744" t="s">
        <v>41</v>
      </c>
    </row>
    <row r="745" spans="1:29">
      <c r="A745" t="s">
        <v>62</v>
      </c>
      <c r="B745" s="29">
        <v>46313.44091435185</v>
      </c>
      <c r="C745">
        <v>337</v>
      </c>
      <c r="D745" t="s">
        <v>41</v>
      </c>
      <c r="E745">
        <v>0</v>
      </c>
      <c r="F745" t="s">
        <v>41</v>
      </c>
      <c r="G745" t="s">
        <v>41</v>
      </c>
      <c r="H745" t="s">
        <v>2344</v>
      </c>
      <c r="I745" s="29">
        <v>46313.443206018521</v>
      </c>
      <c r="J745" t="s">
        <v>41</v>
      </c>
      <c r="K745" s="29">
        <v>46313.44290509259</v>
      </c>
      <c r="L745">
        <v>25</v>
      </c>
      <c r="O745" s="29">
        <v>46313.440763888888</v>
      </c>
      <c r="P745" t="s">
        <v>43</v>
      </c>
      <c r="Q745" t="s">
        <v>64</v>
      </c>
      <c r="R745" t="s">
        <v>2345</v>
      </c>
      <c r="S745">
        <v>4247</v>
      </c>
      <c r="T745" t="s">
        <v>41</v>
      </c>
      <c r="U745" s="29">
        <v>46313.44462962963</v>
      </c>
      <c r="V745" s="29">
        <v>46313.44321759259</v>
      </c>
      <c r="W745" t="s">
        <v>2346</v>
      </c>
      <c r="X745">
        <v>22411</v>
      </c>
      <c r="Z745">
        <v>0</v>
      </c>
      <c r="AA745" s="30">
        <v>0.44027777777777777</v>
      </c>
      <c r="AB745">
        <v>0</v>
      </c>
      <c r="AC745" t="s">
        <v>41</v>
      </c>
    </row>
    <row r="746" spans="1:29">
      <c r="A746" t="s">
        <v>177</v>
      </c>
      <c r="B746" s="29">
        <v>46313.440520833334</v>
      </c>
      <c r="C746">
        <v>253</v>
      </c>
      <c r="D746" t="s">
        <v>41</v>
      </c>
      <c r="E746">
        <v>1</v>
      </c>
      <c r="F746" t="s">
        <v>41</v>
      </c>
      <c r="G746" t="s">
        <v>41</v>
      </c>
      <c r="H746" t="s">
        <v>2347</v>
      </c>
      <c r="I746" s="29">
        <v>46313.442187499997</v>
      </c>
      <c r="J746" t="s">
        <v>41</v>
      </c>
      <c r="K746" s="29">
        <v>46313.441840277781</v>
      </c>
      <c r="L746">
        <v>29</v>
      </c>
      <c r="O746" s="29">
        <v>46313.440081018518</v>
      </c>
      <c r="P746" t="s">
        <v>43</v>
      </c>
      <c r="Q746" t="s">
        <v>179</v>
      </c>
      <c r="R746" t="s">
        <v>2348</v>
      </c>
      <c r="S746">
        <v>4247</v>
      </c>
      <c r="T746" t="s">
        <v>41</v>
      </c>
      <c r="U746" s="29">
        <v>46313.443541666667</v>
      </c>
      <c r="V746" s="29">
        <v>46313.442210648151</v>
      </c>
      <c r="W746" t="s">
        <v>2349</v>
      </c>
      <c r="X746">
        <v>22411</v>
      </c>
      <c r="Z746">
        <v>0</v>
      </c>
      <c r="AA746" s="30">
        <v>0.44027777777777777</v>
      </c>
      <c r="AB746">
        <v>0</v>
      </c>
      <c r="AC746" t="s">
        <v>41</v>
      </c>
    </row>
    <row r="747" spans="1:29">
      <c r="A747" t="s">
        <v>379</v>
      </c>
      <c r="B747" s="29">
        <v>46313.439664351848</v>
      </c>
      <c r="C747">
        <v>2232</v>
      </c>
      <c r="D747" t="s">
        <v>41</v>
      </c>
      <c r="E747">
        <v>8</v>
      </c>
      <c r="F747" t="s">
        <v>41</v>
      </c>
      <c r="G747" t="s">
        <v>41</v>
      </c>
      <c r="H747" t="s">
        <v>2350</v>
      </c>
      <c r="I747" s="29">
        <v>46313.441064814811</v>
      </c>
      <c r="J747" t="s">
        <v>41</v>
      </c>
      <c r="K747" s="29">
        <v>46313.440555555557</v>
      </c>
      <c r="L747">
        <v>43</v>
      </c>
      <c r="O747" s="29">
        <v>46313.439467592594</v>
      </c>
      <c r="P747" t="s">
        <v>43</v>
      </c>
      <c r="Q747" t="s">
        <v>381</v>
      </c>
      <c r="R747" t="s">
        <v>2351</v>
      </c>
      <c r="S747">
        <v>4247</v>
      </c>
      <c r="T747" t="s">
        <v>41</v>
      </c>
      <c r="U747" s="29">
        <v>46313.446458333332</v>
      </c>
      <c r="V747" s="29">
        <v>46313.446203703701</v>
      </c>
      <c r="W747" t="s">
        <v>2352</v>
      </c>
      <c r="X747">
        <v>22411</v>
      </c>
      <c r="Z747">
        <v>0</v>
      </c>
      <c r="AA747" s="30">
        <v>0.43958333333333338</v>
      </c>
      <c r="AB747">
        <v>7</v>
      </c>
      <c r="AC747" t="s">
        <v>41</v>
      </c>
    </row>
    <row r="748" spans="1:29">
      <c r="A748" t="s">
        <v>93</v>
      </c>
      <c r="B748" s="29">
        <v>46313.439050925925</v>
      </c>
      <c r="C748">
        <v>380</v>
      </c>
      <c r="D748" t="s">
        <v>41</v>
      </c>
      <c r="E748">
        <v>1</v>
      </c>
      <c r="F748" t="s">
        <v>41</v>
      </c>
      <c r="G748" t="s">
        <v>41</v>
      </c>
      <c r="H748" t="s">
        <v>2353</v>
      </c>
      <c r="I748" s="29">
        <v>46313.440196759257</v>
      </c>
      <c r="J748" t="s">
        <v>41</v>
      </c>
      <c r="K748" s="29">
        <v>46313.439756944441</v>
      </c>
      <c r="L748">
        <v>37</v>
      </c>
      <c r="O748" s="29">
        <v>46313.43891203704</v>
      </c>
      <c r="P748" t="s">
        <v>43</v>
      </c>
      <c r="Q748" t="s">
        <v>95</v>
      </c>
      <c r="R748" t="s">
        <v>2354</v>
      </c>
      <c r="S748">
        <v>4247</v>
      </c>
      <c r="T748" t="s">
        <v>41</v>
      </c>
      <c r="U748" s="29">
        <v>46313.442083333335</v>
      </c>
      <c r="V748" s="29">
        <v>46313.440254629626</v>
      </c>
      <c r="W748" t="s">
        <v>2355</v>
      </c>
      <c r="X748">
        <v>22411</v>
      </c>
      <c r="Z748">
        <v>0</v>
      </c>
      <c r="AA748" s="30">
        <v>0.43888888888888888</v>
      </c>
      <c r="AB748">
        <v>0</v>
      </c>
      <c r="AC748" t="s">
        <v>41</v>
      </c>
    </row>
    <row r="749" spans="1:29">
      <c r="A749" t="s">
        <v>711</v>
      </c>
      <c r="B749" s="29">
        <v>46313.437974537039</v>
      </c>
      <c r="C749">
        <v>2274</v>
      </c>
      <c r="D749" t="s">
        <v>41</v>
      </c>
      <c r="E749">
        <v>7</v>
      </c>
      <c r="F749" t="s">
        <v>41</v>
      </c>
      <c r="G749" t="s">
        <v>41</v>
      </c>
      <c r="H749" t="s">
        <v>2356</v>
      </c>
      <c r="I749" s="29">
        <v>46313.439039351855</v>
      </c>
      <c r="J749" t="s">
        <v>41</v>
      </c>
      <c r="K749" s="29">
        <v>46313.438680555555</v>
      </c>
      <c r="L749">
        <v>30</v>
      </c>
      <c r="O749" s="29">
        <v>46313.437835648147</v>
      </c>
      <c r="P749" t="s">
        <v>43</v>
      </c>
      <c r="Q749" t="s">
        <v>713</v>
      </c>
      <c r="R749" t="s">
        <v>2357</v>
      </c>
      <c r="S749">
        <v>4247</v>
      </c>
      <c r="T749" t="s">
        <v>41</v>
      </c>
      <c r="U749" s="29">
        <v>46313.444537037038</v>
      </c>
      <c r="V749" s="29">
        <v>46313.443645833337</v>
      </c>
      <c r="W749" t="s">
        <v>2358</v>
      </c>
      <c r="X749">
        <v>22411</v>
      </c>
      <c r="Z749">
        <v>0</v>
      </c>
      <c r="AA749" s="30">
        <v>0.4375</v>
      </c>
      <c r="AB749">
        <v>7</v>
      </c>
      <c r="AC749" t="s">
        <v>41</v>
      </c>
    </row>
    <row r="750" spans="1:29">
      <c r="A750" t="s">
        <v>1077</v>
      </c>
      <c r="B750" s="29">
        <v>46313.436423611114</v>
      </c>
      <c r="C750">
        <v>3983</v>
      </c>
      <c r="D750" t="s">
        <v>41</v>
      </c>
      <c r="E750">
        <v>13</v>
      </c>
      <c r="F750" t="s">
        <v>41</v>
      </c>
      <c r="G750" t="s">
        <v>41</v>
      </c>
      <c r="H750" t="s">
        <v>2359</v>
      </c>
      <c r="I750" s="29">
        <v>46313.437418981484</v>
      </c>
      <c r="J750" t="s">
        <v>41</v>
      </c>
      <c r="K750" s="29">
        <v>46313.437175925923</v>
      </c>
      <c r="L750">
        <v>20</v>
      </c>
      <c r="O750" s="29">
        <v>46313.436296296299</v>
      </c>
      <c r="P750" t="s">
        <v>43</v>
      </c>
      <c r="Q750" t="s">
        <v>1079</v>
      </c>
      <c r="R750" t="s">
        <v>2360</v>
      </c>
      <c r="S750">
        <v>4247</v>
      </c>
      <c r="T750" t="s">
        <v>41</v>
      </c>
      <c r="U750" s="29">
        <v>46313.447245370371</v>
      </c>
      <c r="V750" s="29">
        <v>46313.446261574078</v>
      </c>
      <c r="W750" t="s">
        <v>2361</v>
      </c>
      <c r="X750">
        <v>22411</v>
      </c>
      <c r="Z750">
        <v>0</v>
      </c>
      <c r="AA750" s="30">
        <v>0.43611111111111112</v>
      </c>
      <c r="AB750">
        <v>13</v>
      </c>
      <c r="AC750" t="s">
        <v>41</v>
      </c>
    </row>
    <row r="751" spans="1:29">
      <c r="A751" t="s">
        <v>1336</v>
      </c>
      <c r="B751" s="29">
        <v>46313.435335648152</v>
      </c>
      <c r="C751">
        <v>2011</v>
      </c>
      <c r="D751" t="s">
        <v>41</v>
      </c>
      <c r="E751">
        <v>6</v>
      </c>
      <c r="F751" t="s">
        <v>41</v>
      </c>
      <c r="G751" t="s">
        <v>41</v>
      </c>
      <c r="H751" t="s">
        <v>2362</v>
      </c>
      <c r="I751" s="29">
        <v>46313.435787037037</v>
      </c>
      <c r="J751" t="s">
        <v>41</v>
      </c>
      <c r="K751" s="29">
        <v>46313.435613425929</v>
      </c>
      <c r="L751">
        <v>14</v>
      </c>
      <c r="O751" s="29">
        <v>46313.435289351852</v>
      </c>
      <c r="P751" t="s">
        <v>43</v>
      </c>
      <c r="Q751" t="s">
        <v>1338</v>
      </c>
      <c r="R751" t="s">
        <v>2363</v>
      </c>
      <c r="S751">
        <v>4247</v>
      </c>
      <c r="T751" t="s">
        <v>41</v>
      </c>
      <c r="U751" s="29">
        <v>46313.440706018519</v>
      </c>
      <c r="V751" s="29">
        <v>46313.439687500002</v>
      </c>
      <c r="W751" t="s">
        <v>2364</v>
      </c>
      <c r="X751">
        <v>22411</v>
      </c>
      <c r="Z751">
        <v>0</v>
      </c>
      <c r="AA751" s="30">
        <v>0.43472222222222223</v>
      </c>
      <c r="AB751">
        <v>6</v>
      </c>
      <c r="AC751" t="s">
        <v>41</v>
      </c>
    </row>
    <row r="752" spans="1:29">
      <c r="A752" t="s">
        <v>734</v>
      </c>
      <c r="B752" s="29">
        <v>46313.433344907404</v>
      </c>
      <c r="C752">
        <v>833</v>
      </c>
      <c r="D752" t="s">
        <v>41</v>
      </c>
      <c r="E752">
        <v>3</v>
      </c>
      <c r="F752" t="s">
        <v>41</v>
      </c>
      <c r="G752" t="s">
        <v>41</v>
      </c>
      <c r="H752" t="s">
        <v>2365</v>
      </c>
      <c r="I752" s="29">
        <v>46313.434884259259</v>
      </c>
      <c r="J752" t="s">
        <v>41</v>
      </c>
      <c r="K752" s="29">
        <v>46313.43476851852</v>
      </c>
      <c r="L752">
        <v>9</v>
      </c>
      <c r="O752" s="29">
        <v>46313.432997685188</v>
      </c>
      <c r="P752" t="s">
        <v>43</v>
      </c>
      <c r="Q752" t="s">
        <v>736</v>
      </c>
      <c r="R752" t="s">
        <v>2366</v>
      </c>
      <c r="S752">
        <v>4247</v>
      </c>
      <c r="T752" t="s">
        <v>41</v>
      </c>
      <c r="U752" s="29">
        <v>46313.438020833331</v>
      </c>
      <c r="V752" s="29">
        <v>46313.436828703707</v>
      </c>
      <c r="W752" t="s">
        <v>2367</v>
      </c>
      <c r="X752">
        <v>22411</v>
      </c>
      <c r="Z752">
        <v>0</v>
      </c>
      <c r="AA752" s="30">
        <v>0.43333333333333335</v>
      </c>
      <c r="AB752">
        <v>3</v>
      </c>
      <c r="AC752" t="s">
        <v>41</v>
      </c>
    </row>
    <row r="753" spans="1:29">
      <c r="A753" t="s">
        <v>52</v>
      </c>
      <c r="B753" s="29">
        <v>46313.432881944442</v>
      </c>
      <c r="C753">
        <v>1354</v>
      </c>
      <c r="D753" t="s">
        <v>41</v>
      </c>
      <c r="E753">
        <v>3</v>
      </c>
      <c r="F753" t="s">
        <v>41</v>
      </c>
      <c r="G753" t="s">
        <v>41</v>
      </c>
      <c r="H753" t="s">
        <v>2368</v>
      </c>
      <c r="I753" s="29">
        <v>46313.434224537035</v>
      </c>
      <c r="J753" t="s">
        <v>41</v>
      </c>
      <c r="K753" s="29">
        <v>46313.434108796297</v>
      </c>
      <c r="L753">
        <v>9</v>
      </c>
      <c r="O753" s="29">
        <v>46313.432743055557</v>
      </c>
      <c r="P753" t="s">
        <v>43</v>
      </c>
      <c r="Q753" t="s">
        <v>54</v>
      </c>
      <c r="R753" t="s">
        <v>2369</v>
      </c>
      <c r="S753">
        <v>4247</v>
      </c>
      <c r="T753" t="s">
        <v>41</v>
      </c>
      <c r="U753" s="29">
        <v>46313.438483796293</v>
      </c>
      <c r="V753" s="29">
        <v>46313.436435185184</v>
      </c>
      <c r="W753" t="s">
        <v>2370</v>
      </c>
      <c r="X753">
        <v>22411</v>
      </c>
      <c r="Z753">
        <v>0</v>
      </c>
      <c r="AA753" s="30">
        <v>0.43263888888888885</v>
      </c>
      <c r="AB753">
        <v>3</v>
      </c>
      <c r="AC753" t="s">
        <v>41</v>
      </c>
    </row>
    <row r="754" spans="1:29">
      <c r="A754" t="s">
        <v>106</v>
      </c>
      <c r="B754" s="29">
        <v>46313.432187500002</v>
      </c>
      <c r="C754">
        <v>1517</v>
      </c>
      <c r="D754" t="s">
        <v>41</v>
      </c>
      <c r="E754">
        <v>4</v>
      </c>
      <c r="F754" t="s">
        <v>41</v>
      </c>
      <c r="G754" t="s">
        <v>41</v>
      </c>
      <c r="H754" t="s">
        <v>2371</v>
      </c>
      <c r="I754" s="29">
        <v>46313.434282407405</v>
      </c>
      <c r="J754" t="s">
        <v>41</v>
      </c>
      <c r="K754" s="29">
        <v>46313.434074074074</v>
      </c>
      <c r="L754">
        <v>17</v>
      </c>
      <c r="O754" s="29">
        <v>46313.432106481479</v>
      </c>
      <c r="P754" t="s">
        <v>43</v>
      </c>
      <c r="Q754" t="s">
        <v>108</v>
      </c>
      <c r="R754" t="s">
        <v>2372</v>
      </c>
      <c r="S754">
        <v>4247</v>
      </c>
      <c r="T754" t="s">
        <v>41</v>
      </c>
      <c r="U754" s="29">
        <v>46313.43891203704</v>
      </c>
      <c r="V754" s="29">
        <v>46313.436990740738</v>
      </c>
      <c r="W754" t="s">
        <v>2373</v>
      </c>
      <c r="X754">
        <v>22411</v>
      </c>
      <c r="Z754">
        <v>0</v>
      </c>
      <c r="AA754" s="30">
        <v>0.43194444444444446</v>
      </c>
      <c r="AB754">
        <v>4</v>
      </c>
      <c r="AC754" t="s">
        <v>41</v>
      </c>
    </row>
    <row r="755" spans="1:29">
      <c r="A755" t="s">
        <v>185</v>
      </c>
      <c r="B755" s="29">
        <v>46313.431921296295</v>
      </c>
      <c r="C755">
        <v>1062</v>
      </c>
      <c r="D755" t="s">
        <v>41</v>
      </c>
      <c r="E755">
        <v>5</v>
      </c>
      <c r="F755" t="s">
        <v>41</v>
      </c>
      <c r="G755" t="s">
        <v>41</v>
      </c>
      <c r="H755" t="s">
        <v>2374</v>
      </c>
      <c r="I755" s="29">
        <v>46313.433009259257</v>
      </c>
      <c r="J755" t="s">
        <v>41</v>
      </c>
      <c r="K755" s="29">
        <v>46313.43277777778</v>
      </c>
      <c r="L755">
        <v>19</v>
      </c>
      <c r="O755" s="29">
        <v>46313.431793981479</v>
      </c>
      <c r="P755" t="s">
        <v>43</v>
      </c>
      <c r="Q755" t="s">
        <v>3007</v>
      </c>
      <c r="R755" t="s">
        <v>2375</v>
      </c>
      <c r="S755">
        <v>4247</v>
      </c>
      <c r="T755" t="s">
        <v>41</v>
      </c>
      <c r="U755" s="29">
        <v>46313.43650462963</v>
      </c>
      <c r="V755" s="29">
        <v>46313.435925925929</v>
      </c>
      <c r="W755" t="s">
        <v>2376</v>
      </c>
      <c r="X755">
        <v>22411</v>
      </c>
      <c r="Z755">
        <v>0</v>
      </c>
      <c r="AA755" s="30">
        <v>0.43124999999999997</v>
      </c>
      <c r="AB755">
        <v>4</v>
      </c>
      <c r="AC755" t="s">
        <v>41</v>
      </c>
    </row>
    <row r="756" spans="1:29">
      <c r="A756" t="s">
        <v>1310</v>
      </c>
      <c r="B756" s="29">
        <v>46313.431921296295</v>
      </c>
      <c r="C756">
        <v>1520</v>
      </c>
      <c r="D756" t="s">
        <v>41</v>
      </c>
      <c r="E756">
        <v>6</v>
      </c>
      <c r="F756" t="s">
        <v>41</v>
      </c>
      <c r="G756" t="s">
        <v>41</v>
      </c>
      <c r="H756" t="s">
        <v>2377</v>
      </c>
      <c r="I756" s="29">
        <v>46313.432187500002</v>
      </c>
      <c r="J756" t="s">
        <v>41</v>
      </c>
      <c r="K756" s="29">
        <v>46313.43173611111</v>
      </c>
      <c r="L756">
        <v>23</v>
      </c>
      <c r="O756" s="29">
        <v>46313.431319444448</v>
      </c>
      <c r="P756" t="s">
        <v>43</v>
      </c>
      <c r="Q756" t="s">
        <v>1312</v>
      </c>
      <c r="R756" t="s">
        <v>2378</v>
      </c>
      <c r="S756">
        <v>4247</v>
      </c>
      <c r="T756" t="s">
        <v>41</v>
      </c>
      <c r="U756" s="29">
        <v>46313.435682870368</v>
      </c>
      <c r="V756" s="29">
        <v>46313.435798611114</v>
      </c>
      <c r="W756" t="s">
        <v>2379</v>
      </c>
      <c r="X756">
        <v>22411</v>
      </c>
      <c r="Z756">
        <v>0</v>
      </c>
      <c r="AA756" s="30">
        <v>0.43124999999999997</v>
      </c>
      <c r="AB756">
        <v>5</v>
      </c>
      <c r="AC756" t="s">
        <v>41</v>
      </c>
    </row>
    <row r="757" spans="1:29">
      <c r="A757" t="s">
        <v>1365</v>
      </c>
      <c r="B757" s="29">
        <v>46313.431643518517</v>
      </c>
      <c r="C757">
        <v>2361</v>
      </c>
      <c r="D757" t="s">
        <v>41</v>
      </c>
      <c r="E757">
        <v>6</v>
      </c>
      <c r="F757" t="s">
        <v>41</v>
      </c>
      <c r="G757" t="s">
        <v>41</v>
      </c>
      <c r="H757" t="s">
        <v>2380</v>
      </c>
      <c r="I757" s="29">
        <v>46313.432557870372</v>
      </c>
      <c r="J757" t="s">
        <v>41</v>
      </c>
      <c r="K757" s="29">
        <v>46313.432476851849</v>
      </c>
      <c r="L757">
        <v>6</v>
      </c>
      <c r="O757" s="29">
        <v>46313.431018518517</v>
      </c>
      <c r="P757" t="s">
        <v>43</v>
      </c>
      <c r="Q757" t="s">
        <v>1367</v>
      </c>
      <c r="R757" t="s">
        <v>2381</v>
      </c>
      <c r="S757">
        <v>4247</v>
      </c>
      <c r="T757" t="s">
        <v>41</v>
      </c>
      <c r="U757" s="29">
        <v>46313.439583333333</v>
      </c>
      <c r="V757" s="29">
        <v>46313.436956018515</v>
      </c>
      <c r="W757" t="s">
        <v>2382</v>
      </c>
      <c r="X757">
        <v>22411</v>
      </c>
      <c r="Z757">
        <v>0</v>
      </c>
      <c r="AA757" s="30">
        <v>0.43124999999999997</v>
      </c>
      <c r="AB757">
        <v>6</v>
      </c>
      <c r="AC757" t="s">
        <v>41</v>
      </c>
    </row>
    <row r="758" spans="1:29">
      <c r="A758" t="s">
        <v>1136</v>
      </c>
      <c r="B758" s="29">
        <v>46313.431087962963</v>
      </c>
      <c r="C758">
        <v>2230</v>
      </c>
      <c r="D758" t="s">
        <v>41</v>
      </c>
      <c r="E758">
        <v>6</v>
      </c>
      <c r="F758" t="s">
        <v>41</v>
      </c>
      <c r="G758" t="s">
        <v>41</v>
      </c>
      <c r="H758" t="s">
        <v>2383</v>
      </c>
      <c r="I758" s="29">
        <v>46313.432719907411</v>
      </c>
      <c r="J758" t="s">
        <v>41</v>
      </c>
      <c r="K758" s="29">
        <v>46313.432546296295</v>
      </c>
      <c r="L758">
        <v>14</v>
      </c>
      <c r="O758" s="29">
        <v>46313.430902777778</v>
      </c>
      <c r="P758" t="s">
        <v>43</v>
      </c>
      <c r="Q758" t="s">
        <v>1138</v>
      </c>
      <c r="R758" t="s">
        <v>2384</v>
      </c>
      <c r="S758">
        <v>4247</v>
      </c>
      <c r="T758" t="s">
        <v>41</v>
      </c>
      <c r="U758" s="29">
        <v>46313.438009259262</v>
      </c>
      <c r="V758" s="29">
        <v>46313.436631944445</v>
      </c>
      <c r="W758" t="s">
        <v>2385</v>
      </c>
      <c r="X758">
        <v>22411</v>
      </c>
      <c r="Z758">
        <v>0</v>
      </c>
      <c r="AA758" s="30">
        <v>0.43055555555555558</v>
      </c>
      <c r="AB758">
        <v>6</v>
      </c>
      <c r="AC758" t="s">
        <v>41</v>
      </c>
    </row>
    <row r="759" spans="1:29">
      <c r="A759" t="s">
        <v>177</v>
      </c>
      <c r="B759" s="29">
        <v>46313.431018518517</v>
      </c>
      <c r="C759">
        <v>238</v>
      </c>
      <c r="D759" t="s">
        <v>41</v>
      </c>
      <c r="E759">
        <v>0</v>
      </c>
      <c r="F759" t="s">
        <v>41</v>
      </c>
      <c r="G759" t="s">
        <v>41</v>
      </c>
      <c r="H759" t="s">
        <v>2386</v>
      </c>
      <c r="I759" s="29">
        <v>46313.431273148148</v>
      </c>
      <c r="J759" t="s">
        <v>41</v>
      </c>
      <c r="K759" s="29">
        <v>46313.431018518517</v>
      </c>
      <c r="L759">
        <v>21</v>
      </c>
      <c r="O759" s="29">
        <v>46313.429976851854</v>
      </c>
      <c r="P759" t="s">
        <v>43</v>
      </c>
      <c r="Q759" t="s">
        <v>179</v>
      </c>
      <c r="R759" t="s">
        <v>2387</v>
      </c>
      <c r="S759">
        <v>4247</v>
      </c>
      <c r="T759" t="s">
        <v>41</v>
      </c>
      <c r="U759" s="29">
        <v>46313.432662037034</v>
      </c>
      <c r="V759" s="29">
        <v>46313.431354166663</v>
      </c>
      <c r="W759" t="s">
        <v>2388</v>
      </c>
      <c r="X759">
        <v>22411</v>
      </c>
      <c r="Z759">
        <v>0</v>
      </c>
      <c r="AA759" s="30">
        <v>0.43055555555555558</v>
      </c>
      <c r="AB759">
        <v>0</v>
      </c>
      <c r="AC759" t="s">
        <v>41</v>
      </c>
    </row>
    <row r="760" spans="1:29">
      <c r="A760" t="s">
        <v>1171</v>
      </c>
      <c r="B760" s="29">
        <v>46313.431493055556</v>
      </c>
      <c r="C760">
        <v>1376</v>
      </c>
      <c r="D760" t="s">
        <v>41</v>
      </c>
      <c r="E760">
        <v>4</v>
      </c>
      <c r="F760" t="s">
        <v>41</v>
      </c>
      <c r="G760" t="s">
        <v>41</v>
      </c>
      <c r="H760" t="s">
        <v>2389</v>
      </c>
      <c r="I760" s="29">
        <v>46313.431747685187</v>
      </c>
      <c r="J760" t="s">
        <v>41</v>
      </c>
      <c r="K760" s="29">
        <v>46313.430347222224</v>
      </c>
      <c r="L760">
        <v>22</v>
      </c>
      <c r="O760" s="29">
        <v>46313.428611111114</v>
      </c>
      <c r="P760" t="s">
        <v>43</v>
      </c>
      <c r="Q760" t="s">
        <v>1173</v>
      </c>
      <c r="R760" t="s">
        <v>2390</v>
      </c>
      <c r="S760">
        <v>4247</v>
      </c>
      <c r="T760" t="s">
        <v>41</v>
      </c>
      <c r="U760" s="29">
        <v>46313.435358796298</v>
      </c>
      <c r="V760" s="29">
        <v>46313.433958333335</v>
      </c>
      <c r="W760" t="s">
        <v>2391</v>
      </c>
      <c r="X760">
        <v>22411</v>
      </c>
      <c r="Z760">
        <v>0</v>
      </c>
      <c r="AA760" s="30">
        <v>0.43124999999999997</v>
      </c>
      <c r="AB760">
        <v>3</v>
      </c>
      <c r="AC760" t="s">
        <v>41</v>
      </c>
    </row>
    <row r="761" spans="1:29">
      <c r="A761" t="s">
        <v>2247</v>
      </c>
      <c r="B761" s="29">
        <v>46313.430578703701</v>
      </c>
      <c r="C761">
        <v>289</v>
      </c>
      <c r="D761" t="s">
        <v>41</v>
      </c>
      <c r="E761">
        <v>2</v>
      </c>
      <c r="F761" t="s">
        <v>41</v>
      </c>
      <c r="G761" t="s">
        <v>41</v>
      </c>
      <c r="H761" t="s">
        <v>2392</v>
      </c>
      <c r="I761" s="29">
        <v>46313.430937500001</v>
      </c>
      <c r="J761" t="s">
        <v>41</v>
      </c>
      <c r="K761" s="29">
        <v>46313.428993055553</v>
      </c>
      <c r="L761">
        <v>31</v>
      </c>
      <c r="O761" s="29">
        <v>46313.427812499998</v>
      </c>
      <c r="P761" t="s">
        <v>43</v>
      </c>
      <c r="Q761" t="s">
        <v>2249</v>
      </c>
      <c r="R761" t="s">
        <v>2393</v>
      </c>
      <c r="S761">
        <v>4247</v>
      </c>
      <c r="T761" t="s">
        <v>41</v>
      </c>
      <c r="U761" s="29">
        <v>46313.43246527778</v>
      </c>
      <c r="V761" s="29">
        <v>46313.43167824074</v>
      </c>
      <c r="W761" t="s">
        <v>2394</v>
      </c>
      <c r="X761">
        <v>22411</v>
      </c>
      <c r="Z761">
        <v>0</v>
      </c>
      <c r="AA761" s="30">
        <v>0.43055555555555558</v>
      </c>
      <c r="AB761">
        <v>1</v>
      </c>
      <c r="AC761" t="s">
        <v>41</v>
      </c>
    </row>
    <row r="762" spans="1:29">
      <c r="A762" t="s">
        <v>347</v>
      </c>
      <c r="B762" s="29">
        <v>46313.430127314816</v>
      </c>
      <c r="C762">
        <v>1941</v>
      </c>
      <c r="D762" t="s">
        <v>41</v>
      </c>
      <c r="E762">
        <v>5</v>
      </c>
      <c r="F762" t="s">
        <v>41</v>
      </c>
      <c r="G762" t="s">
        <v>41</v>
      </c>
      <c r="H762" t="s">
        <v>2395</v>
      </c>
      <c r="I762" s="29">
        <v>46313.430335648147</v>
      </c>
      <c r="J762" t="s">
        <v>41</v>
      </c>
      <c r="K762" s="29">
        <v>46313.430011574077</v>
      </c>
      <c r="L762">
        <v>18</v>
      </c>
      <c r="O762" s="29">
        <v>46313.427476851852</v>
      </c>
      <c r="P762" t="s">
        <v>43</v>
      </c>
      <c r="Q762" t="s">
        <v>349</v>
      </c>
      <c r="R762" t="s">
        <v>2396</v>
      </c>
      <c r="S762">
        <v>4247</v>
      </c>
      <c r="T762" t="s">
        <v>41</v>
      </c>
      <c r="U762" s="29">
        <v>46313.435127314813</v>
      </c>
      <c r="V762" s="29">
        <v>46313.433900462966</v>
      </c>
      <c r="W762" t="s">
        <v>2397</v>
      </c>
      <c r="X762">
        <v>22411</v>
      </c>
      <c r="Z762">
        <v>0</v>
      </c>
      <c r="AA762" s="30">
        <v>0.42986111111111108</v>
      </c>
      <c r="AB762">
        <v>5</v>
      </c>
      <c r="AC762" t="s">
        <v>41</v>
      </c>
    </row>
    <row r="763" spans="1:29">
      <c r="A763" t="s">
        <v>98</v>
      </c>
      <c r="B763" s="29">
        <v>46313.429328703707</v>
      </c>
      <c r="C763">
        <v>2337</v>
      </c>
      <c r="D763" t="s">
        <v>41</v>
      </c>
      <c r="E763">
        <v>7</v>
      </c>
      <c r="F763" t="s">
        <v>41</v>
      </c>
      <c r="G763" t="s">
        <v>41</v>
      </c>
      <c r="H763" t="s">
        <v>2398</v>
      </c>
      <c r="I763" s="29">
        <v>46313.429571759261</v>
      </c>
      <c r="J763" t="s">
        <v>41</v>
      </c>
      <c r="K763" s="29">
        <v>46313.428124999999</v>
      </c>
      <c r="L763">
        <v>21</v>
      </c>
      <c r="O763" s="29">
        <v>46313.427476851852</v>
      </c>
      <c r="P763" t="s">
        <v>43</v>
      </c>
      <c r="Q763" t="s">
        <v>3005</v>
      </c>
      <c r="R763" t="s">
        <v>2399</v>
      </c>
      <c r="S763">
        <v>4247</v>
      </c>
      <c r="T763" t="s">
        <v>41</v>
      </c>
      <c r="U763" s="29">
        <v>46313.436527777776</v>
      </c>
      <c r="V763" s="29">
        <v>46313.434120370373</v>
      </c>
      <c r="W763" t="s">
        <v>2400</v>
      </c>
      <c r="X763">
        <v>22411</v>
      </c>
      <c r="Z763">
        <v>0</v>
      </c>
      <c r="AA763" s="30">
        <v>0.4291666666666667</v>
      </c>
      <c r="AB763">
        <v>7</v>
      </c>
      <c r="AC763" t="s">
        <v>41</v>
      </c>
    </row>
    <row r="764" spans="1:29">
      <c r="A764" t="s">
        <v>1365</v>
      </c>
      <c r="B764" s="29">
        <v>46313.429189814815</v>
      </c>
      <c r="C764">
        <v>67</v>
      </c>
      <c r="D764" t="s">
        <v>41</v>
      </c>
      <c r="E764">
        <v>0</v>
      </c>
      <c r="F764" t="s">
        <v>41</v>
      </c>
      <c r="G764" t="s">
        <v>41</v>
      </c>
      <c r="H764" t="s">
        <v>2401</v>
      </c>
      <c r="I764" s="29">
        <v>46313.429351851853</v>
      </c>
      <c r="J764" t="s">
        <v>41</v>
      </c>
      <c r="K764" s="29">
        <v>46313.427673611113</v>
      </c>
      <c r="L764">
        <v>14</v>
      </c>
      <c r="O764" s="29">
        <v>46313.426782407405</v>
      </c>
      <c r="P764" t="s">
        <v>43</v>
      </c>
      <c r="Q764" t="s">
        <v>1367</v>
      </c>
      <c r="R764" t="s">
        <v>2402</v>
      </c>
      <c r="S764">
        <v>4247</v>
      </c>
      <c r="T764" t="s">
        <v>41</v>
      </c>
      <c r="U764" s="29">
        <v>46313.429618055554</v>
      </c>
      <c r="V764" s="29">
        <v>46313.429444444446</v>
      </c>
      <c r="W764" t="s">
        <v>2403</v>
      </c>
      <c r="X764">
        <v>22411</v>
      </c>
      <c r="Z764">
        <v>0</v>
      </c>
      <c r="AA764" s="30">
        <v>0.4291666666666667</v>
      </c>
      <c r="AB764">
        <v>0</v>
      </c>
      <c r="AC764" t="s">
        <v>41</v>
      </c>
    </row>
    <row r="765" spans="1:29">
      <c r="A765" t="s">
        <v>655</v>
      </c>
      <c r="B765" s="29">
        <v>46313.428969907407</v>
      </c>
      <c r="C765">
        <v>1914</v>
      </c>
      <c r="D765" t="s">
        <v>41</v>
      </c>
      <c r="E765">
        <v>5</v>
      </c>
      <c r="F765" t="s">
        <v>41</v>
      </c>
      <c r="G765" t="s">
        <v>41</v>
      </c>
      <c r="H765" t="s">
        <v>2404</v>
      </c>
      <c r="I765" s="29">
        <v>46313.429259259261</v>
      </c>
      <c r="J765" t="s">
        <v>41</v>
      </c>
      <c r="K765" s="29">
        <v>46313.427604166667</v>
      </c>
      <c r="L765">
        <v>26</v>
      </c>
      <c r="O765" s="29">
        <v>46313.426759259259</v>
      </c>
      <c r="P765" t="s">
        <v>43</v>
      </c>
      <c r="Q765" t="s">
        <v>657</v>
      </c>
      <c r="R765" t="s">
        <v>2405</v>
      </c>
      <c r="S765">
        <v>4247</v>
      </c>
      <c r="T765" t="s">
        <v>41</v>
      </c>
      <c r="U765" s="29">
        <v>46313.435011574074</v>
      </c>
      <c r="V765" s="29">
        <v>46313.432280092595</v>
      </c>
      <c r="W765" t="s">
        <v>2406</v>
      </c>
      <c r="X765">
        <v>22411</v>
      </c>
      <c r="Z765">
        <v>0</v>
      </c>
      <c r="AA765" s="30">
        <v>0.4284722222222222</v>
      </c>
      <c r="AB765">
        <v>4</v>
      </c>
      <c r="AC765" t="s">
        <v>41</v>
      </c>
    </row>
    <row r="766" spans="1:29">
      <c r="A766" t="s">
        <v>1239</v>
      </c>
      <c r="B766" s="29">
        <v>46313.427430555559</v>
      </c>
      <c r="C766">
        <v>1435</v>
      </c>
      <c r="D766" t="s">
        <v>41</v>
      </c>
      <c r="E766">
        <v>5</v>
      </c>
      <c r="F766" t="s">
        <v>41</v>
      </c>
      <c r="G766" t="s">
        <v>41</v>
      </c>
      <c r="H766" t="s">
        <v>2407</v>
      </c>
      <c r="I766" s="29">
        <v>46313.427685185183</v>
      </c>
      <c r="J766" t="s">
        <v>41</v>
      </c>
      <c r="K766" s="29">
        <v>46313.427581018521</v>
      </c>
      <c r="L766">
        <v>8</v>
      </c>
      <c r="O766" s="29">
        <v>46313.426585648151</v>
      </c>
      <c r="P766" t="s">
        <v>43</v>
      </c>
      <c r="Q766" t="s">
        <v>1241</v>
      </c>
      <c r="R766" t="s">
        <v>2408</v>
      </c>
      <c r="S766">
        <v>4247</v>
      </c>
      <c r="T766" t="s">
        <v>41</v>
      </c>
      <c r="U766" s="29">
        <v>46313.431400462963</v>
      </c>
      <c r="V766" s="29">
        <v>46313.431377314817</v>
      </c>
      <c r="W766" t="s">
        <v>2409</v>
      </c>
      <c r="X766">
        <v>22411</v>
      </c>
      <c r="Z766">
        <v>0</v>
      </c>
      <c r="AA766" s="30">
        <v>0.42708333333333331</v>
      </c>
      <c r="AB766">
        <v>5</v>
      </c>
      <c r="AC766" t="s">
        <v>41</v>
      </c>
    </row>
    <row r="767" spans="1:29">
      <c r="A767" t="s">
        <v>1965</v>
      </c>
      <c r="B767" s="29">
        <v>46313.427199074074</v>
      </c>
      <c r="C767">
        <v>1669</v>
      </c>
      <c r="D767" t="s">
        <v>41</v>
      </c>
      <c r="E767">
        <v>7</v>
      </c>
      <c r="F767" t="s">
        <v>41</v>
      </c>
      <c r="G767" t="s">
        <v>41</v>
      </c>
      <c r="H767" t="s">
        <v>2410</v>
      </c>
      <c r="I767" s="29">
        <v>46313.427523148152</v>
      </c>
      <c r="J767" t="s">
        <v>41</v>
      </c>
      <c r="K767" s="29">
        <v>46313.427175925928</v>
      </c>
      <c r="L767">
        <v>28</v>
      </c>
      <c r="O767" s="29">
        <v>46313.42628472222</v>
      </c>
      <c r="P767" t="s">
        <v>43</v>
      </c>
      <c r="Q767" t="s">
        <v>1967</v>
      </c>
      <c r="R767" t="s">
        <v>2411</v>
      </c>
      <c r="S767">
        <v>4247</v>
      </c>
      <c r="T767" t="s">
        <v>41</v>
      </c>
      <c r="U767" s="29">
        <v>46313.431956018518</v>
      </c>
      <c r="V767" s="29">
        <v>46313.431944444441</v>
      </c>
      <c r="W767" t="s">
        <v>2412</v>
      </c>
      <c r="X767">
        <v>22411</v>
      </c>
      <c r="Z767">
        <v>0</v>
      </c>
      <c r="AA767" s="30">
        <v>0.42708333333333331</v>
      </c>
      <c r="AB767">
        <v>6</v>
      </c>
      <c r="AC767" t="s">
        <v>41</v>
      </c>
    </row>
    <row r="768" spans="1:29">
      <c r="A768" t="s">
        <v>190</v>
      </c>
      <c r="B768" s="29">
        <v>46313.42664351852</v>
      </c>
      <c r="C768">
        <v>1696</v>
      </c>
      <c r="D768" t="s">
        <v>41</v>
      </c>
      <c r="E768">
        <v>6</v>
      </c>
      <c r="F768" t="s">
        <v>41</v>
      </c>
      <c r="G768" t="s">
        <v>41</v>
      </c>
      <c r="H768" t="s">
        <v>2410</v>
      </c>
      <c r="I768" s="29">
        <v>46313.427824074075</v>
      </c>
      <c r="J768" t="s">
        <v>41</v>
      </c>
      <c r="K768" s="29">
        <v>46313.427581018521</v>
      </c>
      <c r="L768">
        <v>20</v>
      </c>
      <c r="O768" s="29">
        <v>46313.426030092596</v>
      </c>
      <c r="P768" t="s">
        <v>43</v>
      </c>
      <c r="Q768" t="s">
        <v>192</v>
      </c>
      <c r="R768" t="s">
        <v>2413</v>
      </c>
      <c r="S768">
        <v>4247</v>
      </c>
      <c r="T768" t="s">
        <v>41</v>
      </c>
      <c r="U768" s="29">
        <v>46313.432395833333</v>
      </c>
      <c r="V768" s="29">
        <v>46313.431435185186</v>
      </c>
      <c r="W768" t="s">
        <v>2414</v>
      </c>
      <c r="X768">
        <v>22411</v>
      </c>
      <c r="Z768">
        <v>0</v>
      </c>
      <c r="AA768" s="30">
        <v>0.42638888888888887</v>
      </c>
      <c r="AB768">
        <v>5</v>
      </c>
      <c r="AC768" t="s">
        <v>41</v>
      </c>
    </row>
    <row r="769" spans="1:29">
      <c r="A769" t="s">
        <v>1336</v>
      </c>
      <c r="B769" s="29">
        <v>46313.426087962966</v>
      </c>
      <c r="C769">
        <v>688</v>
      </c>
      <c r="D769" t="s">
        <v>41</v>
      </c>
      <c r="E769">
        <v>3</v>
      </c>
      <c r="F769" t="s">
        <v>41</v>
      </c>
      <c r="G769" t="s">
        <v>41</v>
      </c>
      <c r="H769" t="s">
        <v>2415</v>
      </c>
      <c r="I769" s="29">
        <v>46313.427835648145</v>
      </c>
      <c r="J769" t="s">
        <v>41</v>
      </c>
      <c r="K769" s="29">
        <v>46313.427615740744</v>
      </c>
      <c r="L769">
        <v>18</v>
      </c>
      <c r="O769" s="29">
        <v>46313.425995370373</v>
      </c>
      <c r="P769" t="s">
        <v>43</v>
      </c>
      <c r="Q769" t="s">
        <v>1338</v>
      </c>
      <c r="R769" t="s">
        <v>2416</v>
      </c>
      <c r="S769">
        <v>4247</v>
      </c>
      <c r="T769" t="s">
        <v>41</v>
      </c>
      <c r="U769" s="29">
        <v>46313.430462962962</v>
      </c>
      <c r="V769" s="29">
        <v>46313.4296412037</v>
      </c>
      <c r="W769" t="s">
        <v>2417</v>
      </c>
      <c r="X769">
        <v>22411</v>
      </c>
      <c r="Z769">
        <v>0</v>
      </c>
      <c r="AA769" s="30">
        <v>0.42569444444444443</v>
      </c>
      <c r="AB769">
        <v>3</v>
      </c>
      <c r="AC769" t="s">
        <v>41</v>
      </c>
    </row>
    <row r="770" spans="1:29">
      <c r="A770" t="s">
        <v>67</v>
      </c>
      <c r="B770" s="29">
        <v>46313.425995370373</v>
      </c>
      <c r="C770">
        <v>1327</v>
      </c>
      <c r="D770" t="s">
        <v>41</v>
      </c>
      <c r="E770">
        <v>4</v>
      </c>
      <c r="F770" t="s">
        <v>41</v>
      </c>
      <c r="G770" t="s">
        <v>41</v>
      </c>
      <c r="H770" t="s">
        <v>2418</v>
      </c>
      <c r="I770" s="29">
        <v>46313.427442129629</v>
      </c>
      <c r="J770" t="s">
        <v>41</v>
      </c>
      <c r="K770" s="29">
        <v>46313.427233796298</v>
      </c>
      <c r="L770">
        <v>17</v>
      </c>
      <c r="O770" s="29">
        <v>46313.425891203704</v>
      </c>
      <c r="P770" t="s">
        <v>43</v>
      </c>
      <c r="Q770" t="s">
        <v>69</v>
      </c>
      <c r="R770" t="s">
        <v>2419</v>
      </c>
      <c r="S770">
        <v>4247</v>
      </c>
      <c r="T770" t="s">
        <v>41</v>
      </c>
      <c r="U770" s="29">
        <v>46313.430787037039</v>
      </c>
      <c r="V770" s="29">
        <v>46313.429872685185</v>
      </c>
      <c r="W770" t="s">
        <v>2420</v>
      </c>
      <c r="X770">
        <v>22411</v>
      </c>
      <c r="Z770">
        <v>0</v>
      </c>
      <c r="AA770" s="30">
        <v>0.42569444444444443</v>
      </c>
      <c r="AB770">
        <v>4</v>
      </c>
      <c r="AC770" t="s">
        <v>41</v>
      </c>
    </row>
    <row r="771" spans="1:29">
      <c r="A771" t="s">
        <v>177</v>
      </c>
      <c r="B771" s="29">
        <v>46313.425555555557</v>
      </c>
      <c r="C771">
        <v>280</v>
      </c>
      <c r="D771" t="s">
        <v>41</v>
      </c>
      <c r="E771">
        <v>2</v>
      </c>
      <c r="F771" t="s">
        <v>41</v>
      </c>
      <c r="G771" t="s">
        <v>41</v>
      </c>
      <c r="H771" t="s">
        <v>2421</v>
      </c>
      <c r="I771" s="29">
        <v>46313.426574074074</v>
      </c>
      <c r="J771" t="s">
        <v>41</v>
      </c>
      <c r="K771" s="29">
        <v>46313.426423611112</v>
      </c>
      <c r="L771">
        <v>12</v>
      </c>
      <c r="O771" s="29">
        <v>46313.425416666665</v>
      </c>
      <c r="P771" t="s">
        <v>43</v>
      </c>
      <c r="Q771" t="s">
        <v>179</v>
      </c>
      <c r="R771" t="s">
        <v>2422</v>
      </c>
      <c r="S771">
        <v>4247</v>
      </c>
      <c r="T771" t="s">
        <v>41</v>
      </c>
      <c r="U771" s="29">
        <v>46313.428067129629</v>
      </c>
      <c r="V771" s="29">
        <v>46313.427974537037</v>
      </c>
      <c r="W771" t="s">
        <v>2423</v>
      </c>
      <c r="X771">
        <v>22411</v>
      </c>
      <c r="Z771">
        <v>0</v>
      </c>
      <c r="AA771" s="30">
        <v>0.42499999999999999</v>
      </c>
      <c r="AB771">
        <v>2</v>
      </c>
      <c r="AC771" t="s">
        <v>41</v>
      </c>
    </row>
    <row r="772" spans="1:29">
      <c r="A772" t="s">
        <v>1461</v>
      </c>
      <c r="B772" s="29">
        <v>46313.425416666665</v>
      </c>
      <c r="C772">
        <v>2228</v>
      </c>
      <c r="D772" t="s">
        <v>41</v>
      </c>
      <c r="E772">
        <v>7</v>
      </c>
      <c r="F772" t="s">
        <v>41</v>
      </c>
      <c r="G772" t="s">
        <v>41</v>
      </c>
      <c r="H772" t="s">
        <v>2424</v>
      </c>
      <c r="I772" s="29">
        <v>46313.426006944443</v>
      </c>
      <c r="J772" t="s">
        <v>41</v>
      </c>
      <c r="K772" s="29">
        <v>46313.425879629627</v>
      </c>
      <c r="L772">
        <v>10</v>
      </c>
      <c r="O772" s="29">
        <v>46313.425358796296</v>
      </c>
      <c r="P772" t="s">
        <v>43</v>
      </c>
      <c r="Q772" t="s">
        <v>1463</v>
      </c>
      <c r="R772" t="s">
        <v>2425</v>
      </c>
      <c r="S772">
        <v>4247</v>
      </c>
      <c r="T772" t="s">
        <v>41</v>
      </c>
      <c r="U772" s="29">
        <v>46313.433321759258</v>
      </c>
      <c r="V772" s="29">
        <v>46313.431041666663</v>
      </c>
      <c r="W772" t="s">
        <v>2426</v>
      </c>
      <c r="X772">
        <v>22411</v>
      </c>
      <c r="Z772">
        <v>0</v>
      </c>
      <c r="AA772" s="30">
        <v>0.42499999999999999</v>
      </c>
      <c r="AB772">
        <v>7</v>
      </c>
      <c r="AC772" t="s">
        <v>41</v>
      </c>
    </row>
    <row r="773" spans="1:29">
      <c r="A773" t="s">
        <v>62</v>
      </c>
      <c r="B773" s="29">
        <v>46313.424456018518</v>
      </c>
      <c r="C773">
        <v>1923</v>
      </c>
      <c r="D773" t="s">
        <v>41</v>
      </c>
      <c r="E773">
        <v>5</v>
      </c>
      <c r="F773" t="s">
        <v>41</v>
      </c>
      <c r="G773" t="s">
        <v>41</v>
      </c>
      <c r="H773" t="s">
        <v>2427</v>
      </c>
      <c r="I773" s="29">
        <v>46313.425462962965</v>
      </c>
      <c r="J773" t="s">
        <v>41</v>
      </c>
      <c r="K773" s="29">
        <v>46313.425208333334</v>
      </c>
      <c r="L773">
        <v>21</v>
      </c>
      <c r="O773" s="29">
        <v>46313.424409722225</v>
      </c>
      <c r="P773" t="s">
        <v>43</v>
      </c>
      <c r="Q773" t="s">
        <v>64</v>
      </c>
      <c r="R773" t="s">
        <v>2428</v>
      </c>
      <c r="S773">
        <v>4247</v>
      </c>
      <c r="T773" t="s">
        <v>41</v>
      </c>
      <c r="U773" s="29">
        <v>46313.43</v>
      </c>
      <c r="V773" s="29">
        <v>46313.428877314815</v>
      </c>
      <c r="W773" t="s">
        <v>2429</v>
      </c>
      <c r="X773">
        <v>22411</v>
      </c>
      <c r="Z773">
        <v>0</v>
      </c>
      <c r="AA773" s="30">
        <v>0.42430555555555555</v>
      </c>
      <c r="AB773">
        <v>5</v>
      </c>
      <c r="AC773" t="s">
        <v>41</v>
      </c>
    </row>
    <row r="774" spans="1:29">
      <c r="A774" t="s">
        <v>1391</v>
      </c>
      <c r="B774" s="29">
        <v>46313.424178240741</v>
      </c>
      <c r="C774">
        <v>2390</v>
      </c>
      <c r="D774" t="s">
        <v>41</v>
      </c>
      <c r="E774">
        <v>7</v>
      </c>
      <c r="F774" t="s">
        <v>41</v>
      </c>
      <c r="G774" t="s">
        <v>41</v>
      </c>
      <c r="H774" t="s">
        <v>2430</v>
      </c>
      <c r="I774" s="29">
        <v>46313.426921296297</v>
      </c>
      <c r="J774" t="s">
        <v>41</v>
      </c>
      <c r="K774" s="29">
        <v>46313.426712962966</v>
      </c>
      <c r="L774">
        <v>17</v>
      </c>
      <c r="O774" s="29">
        <v>46313.423379629632</v>
      </c>
      <c r="P774" t="s">
        <v>43</v>
      </c>
      <c r="Q774" t="s">
        <v>1393</v>
      </c>
      <c r="R774" t="s">
        <v>2431</v>
      </c>
      <c r="S774">
        <v>4247</v>
      </c>
      <c r="T774" t="s">
        <v>41</v>
      </c>
      <c r="U774" s="29">
        <v>46313.432268518518</v>
      </c>
      <c r="V774" s="29">
        <v>46313.43167824074</v>
      </c>
      <c r="W774" t="s">
        <v>2432</v>
      </c>
      <c r="X774">
        <v>22411</v>
      </c>
      <c r="Z774">
        <v>0</v>
      </c>
      <c r="AA774" s="30">
        <v>0.4236111111111111</v>
      </c>
      <c r="AB774">
        <v>7</v>
      </c>
      <c r="AC774" t="s">
        <v>41</v>
      </c>
    </row>
    <row r="775" spans="1:29">
      <c r="A775" t="s">
        <v>2318</v>
      </c>
      <c r="B775" s="29">
        <v>46313.423946759256</v>
      </c>
      <c r="C775">
        <v>2718</v>
      </c>
      <c r="D775" t="s">
        <v>41</v>
      </c>
      <c r="E775">
        <v>8</v>
      </c>
      <c r="F775" t="s">
        <v>41</v>
      </c>
      <c r="G775" t="s">
        <v>41</v>
      </c>
      <c r="H775" t="s">
        <v>2433</v>
      </c>
      <c r="I775" s="29">
        <v>46313.425671296296</v>
      </c>
      <c r="J775" t="s">
        <v>41</v>
      </c>
      <c r="K775" s="29">
        <v>46313.424872685187</v>
      </c>
      <c r="L775">
        <v>68</v>
      </c>
      <c r="O775" s="29">
        <v>46313.423368055555</v>
      </c>
      <c r="P775" t="s">
        <v>43</v>
      </c>
      <c r="Q775" t="s">
        <v>2320</v>
      </c>
      <c r="R775" t="s">
        <v>2434</v>
      </c>
      <c r="S775">
        <v>4247</v>
      </c>
      <c r="T775" t="s">
        <v>41</v>
      </c>
      <c r="U775" s="29">
        <v>46313.432372685187</v>
      </c>
      <c r="V775" s="29">
        <v>46313.430254629631</v>
      </c>
      <c r="W775" t="s">
        <v>2435</v>
      </c>
      <c r="X775">
        <v>22411</v>
      </c>
      <c r="Z775">
        <v>0</v>
      </c>
      <c r="AA775" s="30">
        <v>0.4236111111111111</v>
      </c>
      <c r="AB775">
        <v>7</v>
      </c>
      <c r="AC775" t="s">
        <v>41</v>
      </c>
    </row>
    <row r="776" spans="1:29">
      <c r="A776" t="s">
        <v>1171</v>
      </c>
      <c r="B776" s="29">
        <v>46313.423668981479</v>
      </c>
      <c r="C776">
        <v>1315</v>
      </c>
      <c r="D776" t="s">
        <v>41</v>
      </c>
      <c r="E776">
        <v>3</v>
      </c>
      <c r="F776" t="s">
        <v>41</v>
      </c>
      <c r="G776" t="s">
        <v>41</v>
      </c>
      <c r="H776" t="s">
        <v>2436</v>
      </c>
      <c r="I776" s="29">
        <v>46313.424340277779</v>
      </c>
      <c r="J776" t="s">
        <v>41</v>
      </c>
      <c r="K776" s="29">
        <v>46313.424155092594</v>
      </c>
      <c r="L776">
        <v>15</v>
      </c>
      <c r="O776" s="29">
        <v>46313.422731481478</v>
      </c>
      <c r="P776" t="s">
        <v>43</v>
      </c>
      <c r="Q776" t="s">
        <v>1173</v>
      </c>
      <c r="R776" t="s">
        <v>2437</v>
      </c>
      <c r="S776">
        <v>4247</v>
      </c>
      <c r="T776" t="s">
        <v>41</v>
      </c>
      <c r="U776" s="29">
        <v>46313.428414351853</v>
      </c>
      <c r="V776" s="29">
        <v>46313.426319444443</v>
      </c>
      <c r="W776" t="s">
        <v>2438</v>
      </c>
      <c r="X776">
        <v>22411</v>
      </c>
      <c r="Z776">
        <v>0</v>
      </c>
      <c r="AA776" s="30">
        <v>0.4236111111111111</v>
      </c>
      <c r="AB776">
        <v>3</v>
      </c>
      <c r="AC776" t="s">
        <v>41</v>
      </c>
    </row>
    <row r="777" spans="1:29">
      <c r="A777" t="s">
        <v>1136</v>
      </c>
      <c r="B777" s="29">
        <v>46313.423136574071</v>
      </c>
      <c r="C777">
        <v>390</v>
      </c>
      <c r="D777" t="s">
        <v>41</v>
      </c>
      <c r="E777">
        <v>2</v>
      </c>
      <c r="F777" t="s">
        <v>41</v>
      </c>
      <c r="G777" t="s">
        <v>41</v>
      </c>
      <c r="H777" t="s">
        <v>2439</v>
      </c>
      <c r="I777" s="29">
        <v>46313.425092592595</v>
      </c>
      <c r="J777" t="s">
        <v>41</v>
      </c>
      <c r="K777" s="29">
        <v>46313.424884259257</v>
      </c>
      <c r="L777">
        <v>17</v>
      </c>
      <c r="O777" s="29">
        <v>46313.422685185185</v>
      </c>
      <c r="P777" t="s">
        <v>43</v>
      </c>
      <c r="Q777" t="s">
        <v>1138</v>
      </c>
      <c r="R777" t="s">
        <v>2440</v>
      </c>
      <c r="S777">
        <v>4247</v>
      </c>
      <c r="T777" t="s">
        <v>41</v>
      </c>
      <c r="U777" s="29">
        <v>46313.426863425928</v>
      </c>
      <c r="V777" s="29">
        <v>46313.426319444443</v>
      </c>
      <c r="W777" t="s">
        <v>2441</v>
      </c>
      <c r="X777">
        <v>22411</v>
      </c>
      <c r="Z777">
        <v>0</v>
      </c>
      <c r="AA777" s="30">
        <v>0.42291666666666666</v>
      </c>
      <c r="AB777">
        <v>2</v>
      </c>
      <c r="AC777" t="s">
        <v>41</v>
      </c>
    </row>
    <row r="778" spans="1:29">
      <c r="A778" t="s">
        <v>2258</v>
      </c>
      <c r="B778" s="29">
        <v>46313.422997685186</v>
      </c>
      <c r="C778">
        <v>2055</v>
      </c>
      <c r="D778" t="s">
        <v>41</v>
      </c>
      <c r="E778">
        <v>6</v>
      </c>
      <c r="F778" t="s">
        <v>41</v>
      </c>
      <c r="G778" t="s">
        <v>41</v>
      </c>
      <c r="H778" t="s">
        <v>2442</v>
      </c>
      <c r="I778" s="29">
        <v>46313.425000000003</v>
      </c>
      <c r="J778" t="s">
        <v>41</v>
      </c>
      <c r="K778" s="29">
        <v>46313.424826388888</v>
      </c>
      <c r="L778">
        <v>14</v>
      </c>
      <c r="O778" s="29">
        <v>46313.422465277778</v>
      </c>
      <c r="P778" t="s">
        <v>43</v>
      </c>
      <c r="Q778" t="s">
        <v>2260</v>
      </c>
      <c r="R778" t="s">
        <v>2443</v>
      </c>
      <c r="S778">
        <v>4247</v>
      </c>
      <c r="T778" t="s">
        <v>41</v>
      </c>
      <c r="U778" s="29">
        <v>46313.430092592593</v>
      </c>
      <c r="V778" s="29">
        <v>46313.42869212963</v>
      </c>
      <c r="W778" t="s">
        <v>2444</v>
      </c>
      <c r="X778">
        <v>22411</v>
      </c>
      <c r="Z778">
        <v>0</v>
      </c>
      <c r="AA778" s="30">
        <v>0.42291666666666666</v>
      </c>
      <c r="AB778">
        <v>5</v>
      </c>
      <c r="AC778" t="s">
        <v>41</v>
      </c>
    </row>
    <row r="779" spans="1:29">
      <c r="A779" t="s">
        <v>98</v>
      </c>
      <c r="B779" s="29">
        <v>46313.422303240739</v>
      </c>
      <c r="C779">
        <v>117</v>
      </c>
      <c r="D779" t="s">
        <v>41</v>
      </c>
      <c r="E779">
        <v>1</v>
      </c>
      <c r="F779" t="s">
        <v>41</v>
      </c>
      <c r="G779" t="s">
        <v>41</v>
      </c>
      <c r="H779" t="s">
        <v>2445</v>
      </c>
      <c r="I779" s="29">
        <v>46313.424421296295</v>
      </c>
      <c r="J779" t="s">
        <v>41</v>
      </c>
      <c r="K779" s="29">
        <v>46313.423935185187</v>
      </c>
      <c r="L779">
        <v>41</v>
      </c>
      <c r="O779" s="29">
        <v>46313.422164351854</v>
      </c>
      <c r="P779" t="s">
        <v>43</v>
      </c>
      <c r="Q779" t="s">
        <v>3005</v>
      </c>
      <c r="R779" t="s">
        <v>2446</v>
      </c>
      <c r="S779">
        <v>4247</v>
      </c>
      <c r="T779" t="s">
        <v>41</v>
      </c>
      <c r="U779" s="29">
        <v>46313.42527777778</v>
      </c>
      <c r="V779" s="29">
        <v>46313.424537037034</v>
      </c>
      <c r="W779" t="s">
        <v>2447</v>
      </c>
      <c r="X779">
        <v>22411</v>
      </c>
      <c r="Z779">
        <v>0</v>
      </c>
      <c r="AA779" s="30">
        <v>0.42222222222222222</v>
      </c>
      <c r="AB779">
        <v>0</v>
      </c>
      <c r="AC779" t="s">
        <v>41</v>
      </c>
    </row>
    <row r="780" spans="1:29">
      <c r="A780" t="s">
        <v>52</v>
      </c>
      <c r="B780" s="29">
        <v>46313.422164351854</v>
      </c>
      <c r="C780">
        <v>2060</v>
      </c>
      <c r="D780" t="s">
        <v>41</v>
      </c>
      <c r="E780">
        <v>5</v>
      </c>
      <c r="F780" t="s">
        <v>41</v>
      </c>
      <c r="G780" t="s">
        <v>41</v>
      </c>
      <c r="H780" t="s">
        <v>2448</v>
      </c>
      <c r="I780" s="29">
        <v>46313.423935185187</v>
      </c>
      <c r="J780" t="s">
        <v>41</v>
      </c>
      <c r="K780" s="29">
        <v>46313.423831018517</v>
      </c>
      <c r="L780">
        <v>8</v>
      </c>
      <c r="O780" s="29">
        <v>46313.422071759262</v>
      </c>
      <c r="P780" t="s">
        <v>43</v>
      </c>
      <c r="Q780" t="s">
        <v>54</v>
      </c>
      <c r="R780" t="s">
        <v>2449</v>
      </c>
      <c r="S780">
        <v>4247</v>
      </c>
      <c r="T780" t="s">
        <v>41</v>
      </c>
      <c r="U780" s="29">
        <v>46313.429652777777</v>
      </c>
      <c r="V780" s="29">
        <v>46313.427534722221</v>
      </c>
      <c r="W780" t="s">
        <v>2450</v>
      </c>
      <c r="X780">
        <v>22411</v>
      </c>
      <c r="Z780">
        <v>0</v>
      </c>
      <c r="AA780" s="30">
        <v>0.42152777777777778</v>
      </c>
      <c r="AB780">
        <v>5</v>
      </c>
      <c r="AC780" t="s">
        <v>41</v>
      </c>
    </row>
    <row r="781" spans="1:29">
      <c r="A781" t="s">
        <v>106</v>
      </c>
      <c r="B781" s="29">
        <v>46313.422025462962</v>
      </c>
      <c r="C781">
        <v>1440</v>
      </c>
      <c r="D781" t="s">
        <v>41</v>
      </c>
      <c r="E781">
        <v>4</v>
      </c>
      <c r="F781" t="s">
        <v>41</v>
      </c>
      <c r="G781" t="s">
        <v>41</v>
      </c>
      <c r="H781" t="s">
        <v>2451</v>
      </c>
      <c r="I781" s="29">
        <v>46313.423854166664</v>
      </c>
      <c r="J781" t="s">
        <v>41</v>
      </c>
      <c r="K781" s="29">
        <v>46313.423530092594</v>
      </c>
      <c r="L781">
        <v>27</v>
      </c>
      <c r="O781" s="29">
        <v>46313.421967592592</v>
      </c>
      <c r="P781" t="s">
        <v>43</v>
      </c>
      <c r="Q781" t="s">
        <v>108</v>
      </c>
      <c r="R781" t="s">
        <v>2452</v>
      </c>
      <c r="S781">
        <v>4247</v>
      </c>
      <c r="T781" t="s">
        <v>41</v>
      </c>
      <c r="U781" s="29">
        <v>46313.427557870367</v>
      </c>
      <c r="V781" s="29">
        <v>46313.426585648151</v>
      </c>
      <c r="W781" t="s">
        <v>2453</v>
      </c>
      <c r="X781">
        <v>22411</v>
      </c>
      <c r="Z781">
        <v>0</v>
      </c>
      <c r="AA781" s="30">
        <v>0.42152777777777778</v>
      </c>
      <c r="AB781">
        <v>4</v>
      </c>
      <c r="AC781" t="s">
        <v>41</v>
      </c>
    </row>
    <row r="782" spans="1:29">
      <c r="A782" t="s">
        <v>190</v>
      </c>
      <c r="B782" s="29">
        <v>46313.421481481484</v>
      </c>
      <c r="C782">
        <v>117</v>
      </c>
      <c r="D782" t="s">
        <v>41</v>
      </c>
      <c r="E782">
        <v>4</v>
      </c>
      <c r="F782" t="s">
        <v>41</v>
      </c>
      <c r="G782" t="s">
        <v>41</v>
      </c>
      <c r="H782" t="s">
        <v>2454</v>
      </c>
      <c r="I782" s="29">
        <v>46313.423703703702</v>
      </c>
      <c r="J782" t="s">
        <v>41</v>
      </c>
      <c r="K782" s="29">
        <v>46313.423449074071</v>
      </c>
      <c r="L782">
        <v>21</v>
      </c>
      <c r="O782" s="29">
        <v>46313.421365740738</v>
      </c>
      <c r="P782" t="s">
        <v>43</v>
      </c>
      <c r="Q782" t="s">
        <v>192</v>
      </c>
      <c r="R782" t="s">
        <v>2455</v>
      </c>
      <c r="S782">
        <v>4247</v>
      </c>
      <c r="T782" t="s">
        <v>41</v>
      </c>
      <c r="U782" s="29">
        <v>46313.424560185187</v>
      </c>
      <c r="V782" s="29">
        <v>46313.426157407404</v>
      </c>
      <c r="W782" t="s">
        <v>2456</v>
      </c>
      <c r="X782">
        <v>22411</v>
      </c>
      <c r="Z782">
        <v>0</v>
      </c>
      <c r="AA782" s="30">
        <v>0.42083333333333334</v>
      </c>
      <c r="AB782">
        <v>4</v>
      </c>
      <c r="AC782" t="s">
        <v>41</v>
      </c>
    </row>
    <row r="783" spans="1:29">
      <c r="A783" t="s">
        <v>655</v>
      </c>
      <c r="B783" s="29">
        <v>46313.421400462961</v>
      </c>
      <c r="C783">
        <v>747</v>
      </c>
      <c r="D783" t="s">
        <v>41</v>
      </c>
      <c r="E783">
        <v>3</v>
      </c>
      <c r="F783" t="s">
        <v>41</v>
      </c>
      <c r="G783" t="s">
        <v>41</v>
      </c>
      <c r="H783" t="s">
        <v>2457</v>
      </c>
      <c r="I783" s="29">
        <v>46313.42355324074</v>
      </c>
      <c r="J783" t="s">
        <v>41</v>
      </c>
      <c r="K783" s="29">
        <v>46313.423333333332</v>
      </c>
      <c r="L783">
        <v>18</v>
      </c>
      <c r="O783" s="29">
        <v>46313.421238425923</v>
      </c>
      <c r="P783" t="s">
        <v>43</v>
      </c>
      <c r="Q783" t="s">
        <v>657</v>
      </c>
      <c r="R783" t="s">
        <v>2458</v>
      </c>
      <c r="S783">
        <v>4247</v>
      </c>
      <c r="T783" t="s">
        <v>41</v>
      </c>
      <c r="U783" s="29">
        <v>46313.425763888888</v>
      </c>
      <c r="V783" s="29">
        <v>46313.42527777778</v>
      </c>
      <c r="W783" t="s">
        <v>2459</v>
      </c>
      <c r="X783">
        <v>22411</v>
      </c>
      <c r="Z783">
        <v>0</v>
      </c>
      <c r="AA783" s="30">
        <v>0.42083333333333334</v>
      </c>
      <c r="AB783">
        <v>2</v>
      </c>
      <c r="AC783" t="s">
        <v>41</v>
      </c>
    </row>
    <row r="784" spans="1:29">
      <c r="A784" t="s">
        <v>1624</v>
      </c>
      <c r="B784" s="29">
        <v>46313.421215277776</v>
      </c>
      <c r="C784">
        <v>2804</v>
      </c>
      <c r="D784" t="s">
        <v>41</v>
      </c>
      <c r="E784">
        <v>9</v>
      </c>
      <c r="F784" t="s">
        <v>41</v>
      </c>
      <c r="G784" t="s">
        <v>41</v>
      </c>
      <c r="H784" t="s">
        <v>2460</v>
      </c>
      <c r="I784" s="29">
        <v>46313.422731481478</v>
      </c>
      <c r="J784" t="s">
        <v>41</v>
      </c>
      <c r="K784" s="29">
        <v>46313.422523148147</v>
      </c>
      <c r="L784">
        <v>17</v>
      </c>
      <c r="O784" s="29">
        <v>46313.421099537038</v>
      </c>
      <c r="P784" t="s">
        <v>43</v>
      </c>
      <c r="Q784" t="s">
        <v>1626</v>
      </c>
      <c r="R784" t="s">
        <v>2461</v>
      </c>
      <c r="S784">
        <v>4247</v>
      </c>
      <c r="T784" t="s">
        <v>41</v>
      </c>
      <c r="U784" s="29">
        <v>46313.430312500001</v>
      </c>
      <c r="V784" s="29">
        <v>46313.428599537037</v>
      </c>
      <c r="W784" t="s">
        <v>2462</v>
      </c>
      <c r="X784">
        <v>22411</v>
      </c>
      <c r="Z784">
        <v>0</v>
      </c>
      <c r="AA784" s="30">
        <v>0.42083333333333334</v>
      </c>
      <c r="AB784">
        <v>8</v>
      </c>
      <c r="AC784" t="s">
        <v>41</v>
      </c>
    </row>
    <row r="785" spans="1:29">
      <c r="A785" t="s">
        <v>1077</v>
      </c>
      <c r="B785" s="29">
        <v>46313.420960648145</v>
      </c>
      <c r="C785">
        <v>1292</v>
      </c>
      <c r="D785" t="s">
        <v>41</v>
      </c>
      <c r="E785">
        <v>3</v>
      </c>
      <c r="F785" t="s">
        <v>41</v>
      </c>
      <c r="G785" t="s">
        <v>41</v>
      </c>
      <c r="H785" t="s">
        <v>2463</v>
      </c>
      <c r="I785" s="29">
        <v>46313.423020833332</v>
      </c>
      <c r="J785" t="s">
        <v>41</v>
      </c>
      <c r="K785" s="29">
        <v>46313.422881944447</v>
      </c>
      <c r="L785">
        <v>11</v>
      </c>
      <c r="O785" s="29">
        <v>46313.420856481483</v>
      </c>
      <c r="P785" t="s">
        <v>43</v>
      </c>
      <c r="Q785" t="s">
        <v>1079</v>
      </c>
      <c r="R785" t="s">
        <v>2464</v>
      </c>
      <c r="S785">
        <v>4247</v>
      </c>
      <c r="T785" t="s">
        <v>41</v>
      </c>
      <c r="U785" s="29">
        <v>46313.426423611112</v>
      </c>
      <c r="V785" s="29">
        <v>46313.42528935185</v>
      </c>
      <c r="W785" t="s">
        <v>2465</v>
      </c>
      <c r="X785">
        <v>22411</v>
      </c>
      <c r="Z785">
        <v>0</v>
      </c>
      <c r="AA785" s="30">
        <v>0.42083333333333334</v>
      </c>
      <c r="AB785">
        <v>3</v>
      </c>
      <c r="AC785" t="s">
        <v>41</v>
      </c>
    </row>
    <row r="786" spans="1:29">
      <c r="A786" t="s">
        <v>734</v>
      </c>
      <c r="B786" s="29">
        <v>46313.420891203707</v>
      </c>
      <c r="C786">
        <v>235</v>
      </c>
      <c r="D786" t="s">
        <v>41</v>
      </c>
      <c r="E786">
        <v>4</v>
      </c>
      <c r="F786" t="s">
        <v>41</v>
      </c>
      <c r="G786" t="s">
        <v>41</v>
      </c>
      <c r="H786" t="s">
        <v>2466</v>
      </c>
      <c r="I786" s="29">
        <v>46313.426076388889</v>
      </c>
      <c r="J786" t="s">
        <v>41</v>
      </c>
      <c r="K786" s="29">
        <v>46313.425983796296</v>
      </c>
      <c r="L786">
        <v>7</v>
      </c>
      <c r="O786" s="29">
        <v>46313.420636574076</v>
      </c>
      <c r="P786" t="s">
        <v>43</v>
      </c>
      <c r="Q786" t="s">
        <v>736</v>
      </c>
      <c r="R786" t="s">
        <v>2467</v>
      </c>
      <c r="S786">
        <v>4247</v>
      </c>
      <c r="T786" t="s">
        <v>41</v>
      </c>
      <c r="U786" s="29">
        <v>46313.427233796298</v>
      </c>
      <c r="V786" s="29">
        <v>46313.428703703707</v>
      </c>
      <c r="W786" t="s">
        <v>2468</v>
      </c>
      <c r="X786">
        <v>22411</v>
      </c>
      <c r="Z786">
        <v>0</v>
      </c>
      <c r="AA786" s="30">
        <v>0.42083333333333334</v>
      </c>
      <c r="AB786">
        <v>4</v>
      </c>
      <c r="AC786" t="s">
        <v>41</v>
      </c>
    </row>
    <row r="787" spans="1:29">
      <c r="A787" t="s">
        <v>711</v>
      </c>
      <c r="B787" s="29">
        <v>46313.420798611114</v>
      </c>
      <c r="C787">
        <v>1025</v>
      </c>
      <c r="D787" t="s">
        <v>41</v>
      </c>
      <c r="E787">
        <v>4</v>
      </c>
      <c r="F787" t="s">
        <v>41</v>
      </c>
      <c r="G787" t="s">
        <v>41</v>
      </c>
      <c r="H787" t="s">
        <v>2469</v>
      </c>
      <c r="I787" s="29">
        <v>46313.424930555557</v>
      </c>
      <c r="J787" t="s">
        <v>41</v>
      </c>
      <c r="K787" s="29">
        <v>46313.424710648149</v>
      </c>
      <c r="L787">
        <v>18</v>
      </c>
      <c r="O787" s="29">
        <v>46313.420567129629</v>
      </c>
      <c r="P787" t="s">
        <v>43</v>
      </c>
      <c r="Q787" t="s">
        <v>713</v>
      </c>
      <c r="R787" t="s">
        <v>2470</v>
      </c>
      <c r="S787">
        <v>4247</v>
      </c>
      <c r="T787" t="s">
        <v>41</v>
      </c>
      <c r="U787" s="29">
        <v>46313.428530092591</v>
      </c>
      <c r="V787" s="29">
        <v>46313.427152777775</v>
      </c>
      <c r="W787" t="s">
        <v>2471</v>
      </c>
      <c r="X787">
        <v>22411</v>
      </c>
      <c r="Z787">
        <v>0</v>
      </c>
      <c r="AA787" s="30">
        <v>0.4201388888888889</v>
      </c>
      <c r="AB787">
        <v>3</v>
      </c>
      <c r="AC787" t="s">
        <v>41</v>
      </c>
    </row>
    <row r="788" spans="1:29">
      <c r="A788" t="s">
        <v>1239</v>
      </c>
      <c r="B788" s="29">
        <v>46313.420752314814</v>
      </c>
      <c r="C788">
        <v>230</v>
      </c>
      <c r="D788" t="s">
        <v>41</v>
      </c>
      <c r="E788">
        <v>0</v>
      </c>
      <c r="F788" t="s">
        <v>41</v>
      </c>
      <c r="G788" t="s">
        <v>41</v>
      </c>
      <c r="H788" t="s">
        <v>2466</v>
      </c>
      <c r="I788" s="29">
        <v>46313.422199074077</v>
      </c>
      <c r="J788" t="s">
        <v>41</v>
      </c>
      <c r="K788" s="29">
        <v>46313.422071759262</v>
      </c>
      <c r="L788">
        <v>10</v>
      </c>
      <c r="O788" s="29">
        <v>46313.420543981483</v>
      </c>
      <c r="P788" t="s">
        <v>43</v>
      </c>
      <c r="Q788" t="s">
        <v>1241</v>
      </c>
      <c r="R788" t="s">
        <v>2472</v>
      </c>
      <c r="S788">
        <v>4247</v>
      </c>
      <c r="T788" t="s">
        <v>41</v>
      </c>
      <c r="U788" s="29">
        <v>46313.423576388886</v>
      </c>
      <c r="V788" s="29">
        <v>46313.422268518516</v>
      </c>
      <c r="W788" t="s">
        <v>2473</v>
      </c>
      <c r="X788">
        <v>22411</v>
      </c>
      <c r="Z788">
        <v>0</v>
      </c>
      <c r="AA788" s="30">
        <v>0.4201388888888889</v>
      </c>
      <c r="AB788">
        <v>0</v>
      </c>
      <c r="AC788" t="s">
        <v>41</v>
      </c>
    </row>
    <row r="789" spans="1:29">
      <c r="A789" t="s">
        <v>185</v>
      </c>
      <c r="B789" s="29">
        <v>46313.418842592589</v>
      </c>
      <c r="C789">
        <v>2138</v>
      </c>
      <c r="D789" t="s">
        <v>41</v>
      </c>
      <c r="E789">
        <v>6</v>
      </c>
      <c r="F789" t="s">
        <v>41</v>
      </c>
      <c r="G789" t="s">
        <v>41</v>
      </c>
      <c r="H789" t="s">
        <v>2474</v>
      </c>
      <c r="I789" s="29">
        <v>46313.419733796298</v>
      </c>
      <c r="J789" t="s">
        <v>41</v>
      </c>
      <c r="K789" s="29">
        <v>46313.419189814813</v>
      </c>
      <c r="L789">
        <v>46</v>
      </c>
      <c r="O789" s="29">
        <v>46313.418622685182</v>
      </c>
      <c r="P789" t="s">
        <v>43</v>
      </c>
      <c r="Q789" t="s">
        <v>3007</v>
      </c>
      <c r="R789" t="s">
        <v>2475</v>
      </c>
      <c r="S789">
        <v>4247</v>
      </c>
      <c r="T789" t="s">
        <v>41</v>
      </c>
      <c r="U789" s="29">
        <v>46313.42564814815</v>
      </c>
      <c r="V789" s="29">
        <v>46313.423472222225</v>
      </c>
      <c r="W789" t="s">
        <v>2476</v>
      </c>
      <c r="X789">
        <v>22411</v>
      </c>
      <c r="Z789">
        <v>0</v>
      </c>
      <c r="AA789" s="30">
        <v>0.41875000000000001</v>
      </c>
      <c r="AB789">
        <v>5</v>
      </c>
      <c r="AC789" t="s">
        <v>41</v>
      </c>
    </row>
    <row r="790" spans="1:29">
      <c r="A790" t="s">
        <v>2247</v>
      </c>
      <c r="B790" s="29">
        <v>46313.418252314812</v>
      </c>
      <c r="C790">
        <v>807</v>
      </c>
      <c r="D790" t="s">
        <v>41</v>
      </c>
      <c r="E790">
        <v>3</v>
      </c>
      <c r="F790" t="s">
        <v>41</v>
      </c>
      <c r="G790" t="s">
        <v>41</v>
      </c>
      <c r="H790" t="s">
        <v>2477</v>
      </c>
      <c r="I790" s="29">
        <v>46313.419016203705</v>
      </c>
      <c r="J790" t="s">
        <v>41</v>
      </c>
      <c r="K790" s="29">
        <v>46313.418726851851</v>
      </c>
      <c r="L790">
        <v>24</v>
      </c>
      <c r="O790" s="29">
        <v>46313.41810185185</v>
      </c>
      <c r="P790" t="s">
        <v>43</v>
      </c>
      <c r="Q790" t="s">
        <v>2249</v>
      </c>
      <c r="R790" t="s">
        <v>2478</v>
      </c>
      <c r="S790">
        <v>4247</v>
      </c>
      <c r="T790" t="s">
        <v>41</v>
      </c>
      <c r="U790" s="29">
        <v>46313.422025462962</v>
      </c>
      <c r="V790" s="29">
        <v>46313.420868055553</v>
      </c>
      <c r="W790" t="s">
        <v>2479</v>
      </c>
      <c r="X790">
        <v>22411</v>
      </c>
      <c r="Z790">
        <v>0</v>
      </c>
      <c r="AA790" s="30">
        <v>0.41805555555555557</v>
      </c>
      <c r="AB790">
        <v>3</v>
      </c>
      <c r="AC790" t="s">
        <v>41</v>
      </c>
    </row>
    <row r="791" spans="1:29">
      <c r="A791" t="s">
        <v>347</v>
      </c>
      <c r="B791" s="29">
        <v>46313.417986111112</v>
      </c>
      <c r="C791">
        <v>2055</v>
      </c>
      <c r="D791" t="s">
        <v>41</v>
      </c>
      <c r="E791">
        <v>4</v>
      </c>
      <c r="F791" t="s">
        <v>41</v>
      </c>
      <c r="G791" t="s">
        <v>41</v>
      </c>
      <c r="H791" t="s">
        <v>2480</v>
      </c>
      <c r="I791" s="29">
        <v>46313.419340277775</v>
      </c>
      <c r="J791" t="s">
        <v>41</v>
      </c>
      <c r="K791" s="29">
        <v>46313.419108796297</v>
      </c>
      <c r="L791">
        <v>19</v>
      </c>
      <c r="O791" s="29">
        <v>46313.417858796296</v>
      </c>
      <c r="P791" t="s">
        <v>43</v>
      </c>
      <c r="Q791" t="s">
        <v>349</v>
      </c>
      <c r="R791" t="s">
        <v>2481</v>
      </c>
      <c r="S791">
        <v>4247</v>
      </c>
      <c r="T791" t="s">
        <v>41</v>
      </c>
      <c r="U791" s="29">
        <v>46313.424456018518</v>
      </c>
      <c r="V791" s="29">
        <v>46313.422233796293</v>
      </c>
      <c r="W791" t="s">
        <v>2482</v>
      </c>
      <c r="X791">
        <v>22411</v>
      </c>
      <c r="Z791">
        <v>0</v>
      </c>
      <c r="AA791" s="30">
        <v>0.41736111111111113</v>
      </c>
      <c r="AB791">
        <v>4</v>
      </c>
      <c r="AC791" t="s">
        <v>41</v>
      </c>
    </row>
    <row r="792" spans="1:29">
      <c r="A792" t="s">
        <v>93</v>
      </c>
      <c r="B792" s="29">
        <v>46313.417650462965</v>
      </c>
      <c r="C792">
        <v>749</v>
      </c>
      <c r="D792" t="s">
        <v>41</v>
      </c>
      <c r="E792">
        <v>3</v>
      </c>
      <c r="F792" t="s">
        <v>41</v>
      </c>
      <c r="G792" t="s">
        <v>41</v>
      </c>
      <c r="H792" t="s">
        <v>2483</v>
      </c>
      <c r="I792" s="29">
        <v>46313.418726851851</v>
      </c>
      <c r="J792" t="s">
        <v>41</v>
      </c>
      <c r="K792" s="29">
        <v>46313.41847222222</v>
      </c>
      <c r="L792">
        <v>21</v>
      </c>
      <c r="O792" s="29">
        <v>46313.417361111111</v>
      </c>
      <c r="P792" t="s">
        <v>43</v>
      </c>
      <c r="Q792" t="s">
        <v>95</v>
      </c>
      <c r="R792" t="s">
        <v>2484</v>
      </c>
      <c r="S792">
        <v>4247</v>
      </c>
      <c r="T792" t="s">
        <v>41</v>
      </c>
      <c r="U792" s="29">
        <v>46313.42087962963</v>
      </c>
      <c r="V792" s="29">
        <v>46313.420393518521</v>
      </c>
      <c r="W792" t="s">
        <v>2485</v>
      </c>
      <c r="X792">
        <v>22411</v>
      </c>
      <c r="Z792">
        <v>0</v>
      </c>
      <c r="AA792" s="30">
        <v>0.41736111111111113</v>
      </c>
      <c r="AB792">
        <v>2</v>
      </c>
      <c r="AC792" t="s">
        <v>41</v>
      </c>
    </row>
    <row r="793" spans="1:29">
      <c r="A793" t="s">
        <v>379</v>
      </c>
      <c r="B793" s="29">
        <v>46313.417083333334</v>
      </c>
      <c r="C793">
        <v>2795</v>
      </c>
      <c r="D793" t="s">
        <v>41</v>
      </c>
      <c r="E793">
        <v>9</v>
      </c>
      <c r="F793" t="s">
        <v>41</v>
      </c>
      <c r="G793" t="s">
        <v>41</v>
      </c>
      <c r="H793" t="s">
        <v>2486</v>
      </c>
      <c r="I793" s="29">
        <v>46313.417627314811</v>
      </c>
      <c r="J793" t="s">
        <v>41</v>
      </c>
      <c r="K793" s="29">
        <v>46313.417442129627</v>
      </c>
      <c r="L793">
        <v>15</v>
      </c>
      <c r="O793" s="29">
        <v>46313.416886574072</v>
      </c>
      <c r="P793" t="s">
        <v>43</v>
      </c>
      <c r="Q793" t="s">
        <v>381</v>
      </c>
      <c r="R793" t="s">
        <v>2487</v>
      </c>
      <c r="S793">
        <v>4247</v>
      </c>
      <c r="T793" t="s">
        <v>41</v>
      </c>
      <c r="U793" s="29">
        <v>46313.425173611111</v>
      </c>
      <c r="V793" s="29">
        <v>46313.423877314817</v>
      </c>
      <c r="W793" t="s">
        <v>2488</v>
      </c>
      <c r="X793">
        <v>22411</v>
      </c>
      <c r="Z793">
        <v>0</v>
      </c>
      <c r="AA793" s="30">
        <v>0.41666666666666669</v>
      </c>
      <c r="AB793">
        <v>9</v>
      </c>
      <c r="AC793" t="s">
        <v>41</v>
      </c>
    </row>
    <row r="794" spans="1:29">
      <c r="A794" t="s">
        <v>1365</v>
      </c>
      <c r="B794" s="29">
        <v>46313.417048611111</v>
      </c>
      <c r="C794">
        <v>2244</v>
      </c>
      <c r="D794" t="s">
        <v>41</v>
      </c>
      <c r="E794">
        <v>5</v>
      </c>
      <c r="F794" t="s">
        <v>41</v>
      </c>
      <c r="G794" t="s">
        <v>41</v>
      </c>
      <c r="H794" t="s">
        <v>2489</v>
      </c>
      <c r="I794" s="29">
        <v>46313.418171296296</v>
      </c>
      <c r="J794" t="s">
        <v>41</v>
      </c>
      <c r="K794" s="29">
        <v>46313.418055555558</v>
      </c>
      <c r="L794">
        <v>9</v>
      </c>
      <c r="O794" s="29">
        <v>46313.41684027778</v>
      </c>
      <c r="P794" t="s">
        <v>43</v>
      </c>
      <c r="Q794" t="s">
        <v>1367</v>
      </c>
      <c r="R794" t="s">
        <v>2490</v>
      </c>
      <c r="S794">
        <v>4247</v>
      </c>
      <c r="T794" t="s">
        <v>41</v>
      </c>
      <c r="U794" s="29">
        <v>46313.423657407409</v>
      </c>
      <c r="V794" s="29">
        <v>46313.421793981484</v>
      </c>
      <c r="W794" t="s">
        <v>2491</v>
      </c>
      <c r="X794">
        <v>22411</v>
      </c>
      <c r="Z794">
        <v>0</v>
      </c>
      <c r="AA794" s="30">
        <v>0.41666666666666669</v>
      </c>
      <c r="AB794">
        <v>5</v>
      </c>
      <c r="AC794" t="s">
        <v>41</v>
      </c>
    </row>
    <row r="795" spans="1:29">
      <c r="A795" t="s">
        <v>1965</v>
      </c>
      <c r="B795" s="29">
        <v>46313.414826388886</v>
      </c>
      <c r="C795">
        <v>1604</v>
      </c>
      <c r="D795" t="s">
        <v>41</v>
      </c>
      <c r="E795">
        <v>5</v>
      </c>
      <c r="F795" t="s">
        <v>41</v>
      </c>
      <c r="G795" t="s">
        <v>41</v>
      </c>
      <c r="H795" t="s">
        <v>2492</v>
      </c>
      <c r="I795" s="29">
        <v>46313.415462962963</v>
      </c>
      <c r="J795" t="s">
        <v>41</v>
      </c>
      <c r="K795" s="29">
        <v>46313.415370370371</v>
      </c>
      <c r="L795">
        <v>7</v>
      </c>
      <c r="O795" s="29">
        <v>46313.414664351854</v>
      </c>
      <c r="P795" t="s">
        <v>43</v>
      </c>
      <c r="Q795" t="s">
        <v>1967</v>
      </c>
      <c r="R795" t="s">
        <v>2493</v>
      </c>
      <c r="S795">
        <v>4247</v>
      </c>
      <c r="T795" t="s">
        <v>41</v>
      </c>
      <c r="U795" s="29">
        <v>46313.420254629629</v>
      </c>
      <c r="V795" s="29">
        <v>46313.418807870374</v>
      </c>
      <c r="W795" t="s">
        <v>2494</v>
      </c>
      <c r="X795">
        <v>22411</v>
      </c>
      <c r="Z795">
        <v>0</v>
      </c>
      <c r="AA795" s="30">
        <v>0.4145833333333333</v>
      </c>
      <c r="AB795">
        <v>5</v>
      </c>
      <c r="AC795" t="s">
        <v>41</v>
      </c>
    </row>
    <row r="796" spans="1:29">
      <c r="A796" t="s">
        <v>1461</v>
      </c>
      <c r="B796" s="29">
        <v>46313.414409722223</v>
      </c>
      <c r="C796">
        <v>1430</v>
      </c>
      <c r="D796" t="s">
        <v>41</v>
      </c>
      <c r="E796">
        <v>4</v>
      </c>
      <c r="F796" t="s">
        <v>41</v>
      </c>
      <c r="G796" t="s">
        <v>41</v>
      </c>
      <c r="H796" t="s">
        <v>2495</v>
      </c>
      <c r="I796" s="29">
        <v>46313.415972222225</v>
      </c>
      <c r="J796" t="s">
        <v>41</v>
      </c>
      <c r="K796" s="29">
        <v>46313.415856481479</v>
      </c>
      <c r="L796">
        <v>9</v>
      </c>
      <c r="O796" s="29">
        <v>46313.414363425924</v>
      </c>
      <c r="P796" t="s">
        <v>43</v>
      </c>
      <c r="Q796" t="s">
        <v>1463</v>
      </c>
      <c r="R796" t="s">
        <v>2496</v>
      </c>
      <c r="S796">
        <v>4247</v>
      </c>
      <c r="T796" t="s">
        <v>41</v>
      </c>
      <c r="U796" s="29">
        <v>46313.419675925928</v>
      </c>
      <c r="V796" s="29">
        <v>46313.418923611112</v>
      </c>
      <c r="W796" t="s">
        <v>2497</v>
      </c>
      <c r="X796">
        <v>22411</v>
      </c>
      <c r="Z796">
        <v>0</v>
      </c>
      <c r="AA796" s="30">
        <v>0.41388888888888892</v>
      </c>
      <c r="AB796">
        <v>4</v>
      </c>
      <c r="AC796" t="s">
        <v>41</v>
      </c>
    </row>
    <row r="797" spans="1:29">
      <c r="A797" t="s">
        <v>1310</v>
      </c>
      <c r="B797" s="29">
        <v>46313.413587962961</v>
      </c>
      <c r="C797">
        <v>2737</v>
      </c>
      <c r="D797" t="s">
        <v>41</v>
      </c>
      <c r="E797">
        <v>9</v>
      </c>
      <c r="F797" t="s">
        <v>41</v>
      </c>
      <c r="G797" t="s">
        <v>41</v>
      </c>
      <c r="H797" t="s">
        <v>2498</v>
      </c>
      <c r="I797" s="29">
        <v>46313.415393518517</v>
      </c>
      <c r="J797" t="s">
        <v>41</v>
      </c>
      <c r="K797" s="29">
        <v>46313.41505787037</v>
      </c>
      <c r="L797">
        <v>28</v>
      </c>
      <c r="O797" s="29">
        <v>46313.413472222222</v>
      </c>
      <c r="P797" t="s">
        <v>43</v>
      </c>
      <c r="Q797" t="s">
        <v>1312</v>
      </c>
      <c r="R797" t="s">
        <v>2499</v>
      </c>
      <c r="S797">
        <v>4247</v>
      </c>
      <c r="T797" t="s">
        <v>41</v>
      </c>
      <c r="U797" s="29">
        <v>46313.422476851854</v>
      </c>
      <c r="V797" s="29">
        <v>46313.421423611115</v>
      </c>
      <c r="W797" t="s">
        <v>2500</v>
      </c>
      <c r="X797">
        <v>22411</v>
      </c>
      <c r="Z797">
        <v>0</v>
      </c>
      <c r="AA797" s="30">
        <v>0.41319444444444442</v>
      </c>
      <c r="AB797">
        <v>9</v>
      </c>
      <c r="AC797" t="s">
        <v>41</v>
      </c>
    </row>
    <row r="798" spans="1:29">
      <c r="A798" t="s">
        <v>177</v>
      </c>
      <c r="B798" s="29">
        <v>46313.413310185184</v>
      </c>
      <c r="C798">
        <v>1700</v>
      </c>
      <c r="D798" t="s">
        <v>41</v>
      </c>
      <c r="E798">
        <v>4</v>
      </c>
      <c r="F798" t="s">
        <v>41</v>
      </c>
      <c r="G798" t="s">
        <v>41</v>
      </c>
      <c r="H798" t="s">
        <v>2501</v>
      </c>
      <c r="I798" s="29">
        <v>46313.414282407408</v>
      </c>
      <c r="J798" t="s">
        <v>41</v>
      </c>
      <c r="K798" s="29">
        <v>46313.413819444446</v>
      </c>
      <c r="L798">
        <v>39</v>
      </c>
      <c r="O798" s="29">
        <v>46313.413136574076</v>
      </c>
      <c r="P798" t="s">
        <v>43</v>
      </c>
      <c r="Q798" t="s">
        <v>179</v>
      </c>
      <c r="R798" t="s">
        <v>2502</v>
      </c>
      <c r="S798">
        <v>4247</v>
      </c>
      <c r="T798" t="s">
        <v>41</v>
      </c>
      <c r="U798" s="29">
        <v>46313.420208333337</v>
      </c>
      <c r="V798" s="29">
        <v>46313.41679398148</v>
      </c>
      <c r="W798" t="s">
        <v>2503</v>
      </c>
      <c r="X798">
        <v>22411</v>
      </c>
      <c r="Z798">
        <v>0</v>
      </c>
      <c r="AA798" s="30">
        <v>0.41319444444444442</v>
      </c>
      <c r="AB798">
        <v>4</v>
      </c>
      <c r="AC798" t="s">
        <v>41</v>
      </c>
    </row>
    <row r="799" spans="1:29">
      <c r="A799" t="s">
        <v>52</v>
      </c>
      <c r="B799" s="29">
        <v>46313.41306712963</v>
      </c>
      <c r="C799">
        <v>1262</v>
      </c>
      <c r="D799" t="s">
        <v>41</v>
      </c>
      <c r="E799">
        <v>4</v>
      </c>
      <c r="F799" t="s">
        <v>41</v>
      </c>
      <c r="G799" t="s">
        <v>41</v>
      </c>
      <c r="H799" t="s">
        <v>2504</v>
      </c>
      <c r="I799" s="29">
        <v>46313.414375</v>
      </c>
      <c r="J799" t="s">
        <v>41</v>
      </c>
      <c r="K799" s="29">
        <v>46313.414027777777</v>
      </c>
      <c r="L799">
        <v>29</v>
      </c>
      <c r="O799" s="29">
        <v>46313.412939814814</v>
      </c>
      <c r="P799" t="s">
        <v>43</v>
      </c>
      <c r="Q799" t="s">
        <v>54</v>
      </c>
      <c r="R799" t="s">
        <v>2505</v>
      </c>
      <c r="S799">
        <v>4247</v>
      </c>
      <c r="T799" t="s">
        <v>41</v>
      </c>
      <c r="U799" s="29">
        <v>46313.417627314811</v>
      </c>
      <c r="V799" s="29">
        <v>46313.416678240741</v>
      </c>
      <c r="W799" t="s">
        <v>2506</v>
      </c>
      <c r="X799">
        <v>22411</v>
      </c>
      <c r="Z799">
        <v>0</v>
      </c>
      <c r="AA799" s="30">
        <v>0.41250000000000003</v>
      </c>
      <c r="AB799">
        <v>3</v>
      </c>
      <c r="AC799" t="s">
        <v>41</v>
      </c>
    </row>
    <row r="800" spans="1:29">
      <c r="A800" t="s">
        <v>655</v>
      </c>
      <c r="B800" s="29">
        <v>46313.411817129629</v>
      </c>
      <c r="C800">
        <v>959</v>
      </c>
      <c r="D800" t="s">
        <v>41</v>
      </c>
      <c r="E800">
        <v>3</v>
      </c>
      <c r="F800" t="s">
        <v>41</v>
      </c>
      <c r="G800" t="s">
        <v>41</v>
      </c>
      <c r="H800" t="s">
        <v>2507</v>
      </c>
      <c r="I800" s="29">
        <v>46313.412615740737</v>
      </c>
      <c r="J800" t="s">
        <v>41</v>
      </c>
      <c r="K800" s="29">
        <v>46313.41238425926</v>
      </c>
      <c r="L800">
        <v>19</v>
      </c>
      <c r="O800" s="29">
        <v>46313.411712962959</v>
      </c>
      <c r="P800" t="s">
        <v>43</v>
      </c>
      <c r="Q800" t="s">
        <v>657</v>
      </c>
      <c r="R800" t="s">
        <v>2508</v>
      </c>
      <c r="S800">
        <v>4247</v>
      </c>
      <c r="T800" t="s">
        <v>41</v>
      </c>
      <c r="U800" s="29">
        <v>46313.415381944447</v>
      </c>
      <c r="V800" s="29">
        <v>46313.414236111108</v>
      </c>
      <c r="W800" t="s">
        <v>2509</v>
      </c>
      <c r="X800">
        <v>22411</v>
      </c>
      <c r="Z800">
        <v>0</v>
      </c>
      <c r="AA800" s="30">
        <v>0.41180555555555554</v>
      </c>
      <c r="AB800">
        <v>2</v>
      </c>
      <c r="AC800" t="s">
        <v>41</v>
      </c>
    </row>
    <row r="801" spans="1:29">
      <c r="A801" t="s">
        <v>1391</v>
      </c>
      <c r="B801" s="29">
        <v>46313.411678240744</v>
      </c>
      <c r="C801">
        <v>1215</v>
      </c>
      <c r="D801" t="s">
        <v>41</v>
      </c>
      <c r="E801">
        <v>5</v>
      </c>
      <c r="F801" t="s">
        <v>41</v>
      </c>
      <c r="G801" t="s">
        <v>41</v>
      </c>
      <c r="H801" t="s">
        <v>2510</v>
      </c>
      <c r="I801" s="29">
        <v>46313.413414351853</v>
      </c>
      <c r="J801" t="s">
        <v>41</v>
      </c>
      <c r="K801" s="29">
        <v>46313.413078703707</v>
      </c>
      <c r="L801">
        <v>28</v>
      </c>
      <c r="O801" s="29">
        <v>46313.411562499998</v>
      </c>
      <c r="P801" t="s">
        <v>43</v>
      </c>
      <c r="Q801" t="s">
        <v>1393</v>
      </c>
      <c r="R801" t="s">
        <v>2511</v>
      </c>
      <c r="S801">
        <v>4247</v>
      </c>
      <c r="T801" t="s">
        <v>41</v>
      </c>
      <c r="U801" s="29">
        <v>46313.416608796295</v>
      </c>
      <c r="V801" s="29">
        <v>46313.416747685187</v>
      </c>
      <c r="W801" t="s">
        <v>2512</v>
      </c>
      <c r="X801">
        <v>22411</v>
      </c>
      <c r="Z801">
        <v>0</v>
      </c>
      <c r="AA801" s="30">
        <v>0.41111111111111115</v>
      </c>
      <c r="AB801">
        <v>5</v>
      </c>
      <c r="AC801" t="s">
        <v>41</v>
      </c>
    </row>
    <row r="802" spans="1:29">
      <c r="A802" t="s">
        <v>106</v>
      </c>
      <c r="B802" s="29">
        <v>46313.411458333336</v>
      </c>
      <c r="C802">
        <v>1283</v>
      </c>
      <c r="D802" t="s">
        <v>41</v>
      </c>
      <c r="E802">
        <v>5</v>
      </c>
      <c r="F802" t="s">
        <v>41</v>
      </c>
      <c r="G802" t="s">
        <v>41</v>
      </c>
      <c r="H802" t="s">
        <v>2513</v>
      </c>
      <c r="I802" s="29">
        <v>46313.41269675926</v>
      </c>
      <c r="J802" t="s">
        <v>41</v>
      </c>
      <c r="K802" s="29">
        <v>46313.412303240744</v>
      </c>
      <c r="L802">
        <v>33</v>
      </c>
      <c r="O802" s="29">
        <v>46313.411365740743</v>
      </c>
      <c r="P802" t="s">
        <v>43</v>
      </c>
      <c r="Q802" t="s">
        <v>108</v>
      </c>
      <c r="R802" t="s">
        <v>2514</v>
      </c>
      <c r="S802">
        <v>4247</v>
      </c>
      <c r="T802" t="s">
        <v>41</v>
      </c>
      <c r="U802" s="29">
        <v>46313.417349537034</v>
      </c>
      <c r="V802" s="29">
        <v>46313.415578703702</v>
      </c>
      <c r="W802" t="s">
        <v>2515</v>
      </c>
      <c r="X802">
        <v>22411</v>
      </c>
      <c r="Z802">
        <v>0</v>
      </c>
      <c r="AA802" s="30">
        <v>0.41111111111111115</v>
      </c>
      <c r="AB802">
        <v>4</v>
      </c>
      <c r="AC802" t="s">
        <v>41</v>
      </c>
    </row>
    <row r="803" spans="1:29">
      <c r="A803" t="s">
        <v>1136</v>
      </c>
      <c r="B803" s="29">
        <v>46313.411053240743</v>
      </c>
      <c r="C803">
        <v>1912</v>
      </c>
      <c r="D803" t="s">
        <v>41</v>
      </c>
      <c r="E803">
        <v>6</v>
      </c>
      <c r="F803" t="s">
        <v>41</v>
      </c>
      <c r="G803" t="s">
        <v>41</v>
      </c>
      <c r="H803" t="s">
        <v>2516</v>
      </c>
      <c r="I803" s="29">
        <v>46313.412280092591</v>
      </c>
      <c r="J803" t="s">
        <v>41</v>
      </c>
      <c r="K803" s="29">
        <v>46313.411782407406</v>
      </c>
      <c r="L803">
        <v>42</v>
      </c>
      <c r="O803" s="29">
        <v>46313.410902777781</v>
      </c>
      <c r="P803" t="s">
        <v>43</v>
      </c>
      <c r="Q803" t="s">
        <v>1138</v>
      </c>
      <c r="R803" t="s">
        <v>2517</v>
      </c>
      <c r="S803">
        <v>4247</v>
      </c>
      <c r="T803" t="s">
        <v>41</v>
      </c>
      <c r="U803" s="29">
        <v>46313.417141203703</v>
      </c>
      <c r="V803" s="29">
        <v>46313.415613425925</v>
      </c>
      <c r="W803" t="s">
        <v>2518</v>
      </c>
      <c r="X803">
        <v>22411</v>
      </c>
      <c r="Z803">
        <v>0</v>
      </c>
      <c r="AA803" s="30">
        <v>0.41041666666666665</v>
      </c>
      <c r="AB803">
        <v>5</v>
      </c>
      <c r="AC803" t="s">
        <v>41</v>
      </c>
    </row>
    <row r="804" spans="1:29">
      <c r="A804" t="s">
        <v>98</v>
      </c>
      <c r="B804" s="29">
        <v>46313.411006944443</v>
      </c>
      <c r="C804">
        <v>1965</v>
      </c>
      <c r="D804" t="s">
        <v>41</v>
      </c>
      <c r="E804">
        <v>4</v>
      </c>
      <c r="F804" t="s">
        <v>41</v>
      </c>
      <c r="G804" t="s">
        <v>41</v>
      </c>
      <c r="H804" t="s">
        <v>2519</v>
      </c>
      <c r="I804" s="29">
        <v>46313.411898148152</v>
      </c>
      <c r="J804" t="s">
        <v>41</v>
      </c>
      <c r="K804" s="29">
        <v>46313.411689814813</v>
      </c>
      <c r="L804">
        <v>17</v>
      </c>
      <c r="O804" s="29">
        <v>46313.410833333335</v>
      </c>
      <c r="P804" t="s">
        <v>43</v>
      </c>
      <c r="Q804" t="s">
        <v>3005</v>
      </c>
      <c r="R804" t="s">
        <v>2520</v>
      </c>
      <c r="S804">
        <v>4247</v>
      </c>
      <c r="T804" t="s">
        <v>41</v>
      </c>
      <c r="U804" s="29">
        <v>46313.418391203704</v>
      </c>
      <c r="V804" s="29">
        <v>46313.414502314816</v>
      </c>
      <c r="W804" t="s">
        <v>2521</v>
      </c>
      <c r="X804">
        <v>22411</v>
      </c>
      <c r="Z804">
        <v>0</v>
      </c>
      <c r="AA804" s="30">
        <v>0.41041666666666665</v>
      </c>
      <c r="AB804">
        <v>4</v>
      </c>
      <c r="AC804" t="s">
        <v>41</v>
      </c>
    </row>
    <row r="805" spans="1:29">
      <c r="A805" t="s">
        <v>67</v>
      </c>
      <c r="B805" s="29">
        <v>46313.410868055558</v>
      </c>
      <c r="C805">
        <v>1656</v>
      </c>
      <c r="D805" t="s">
        <v>41</v>
      </c>
      <c r="E805">
        <v>6</v>
      </c>
      <c r="F805" t="s">
        <v>41</v>
      </c>
      <c r="G805" t="s">
        <v>41</v>
      </c>
      <c r="H805" t="s">
        <v>2522</v>
      </c>
      <c r="I805" s="29">
        <v>46313.411840277775</v>
      </c>
      <c r="J805" t="s">
        <v>41</v>
      </c>
      <c r="K805" s="29">
        <v>46313.411527777775</v>
      </c>
      <c r="L805">
        <v>26</v>
      </c>
      <c r="O805" s="29">
        <v>46313.410763888889</v>
      </c>
      <c r="P805" t="s">
        <v>43</v>
      </c>
      <c r="Q805" t="s">
        <v>69</v>
      </c>
      <c r="R805" t="s">
        <v>2523</v>
      </c>
      <c r="S805">
        <v>4247</v>
      </c>
      <c r="T805" t="s">
        <v>41</v>
      </c>
      <c r="U805" s="29">
        <v>46313.41678240741</v>
      </c>
      <c r="V805" s="29">
        <v>46313.415543981479</v>
      </c>
      <c r="W805" t="s">
        <v>2524</v>
      </c>
      <c r="X805">
        <v>22411</v>
      </c>
      <c r="Z805">
        <v>0</v>
      </c>
      <c r="AA805" s="30">
        <v>0.41041666666666665</v>
      </c>
      <c r="AB805">
        <v>5</v>
      </c>
      <c r="AC805" t="s">
        <v>41</v>
      </c>
    </row>
    <row r="806" spans="1:29">
      <c r="A806" t="s">
        <v>1077</v>
      </c>
      <c r="B806" s="29">
        <v>46313.410462962966</v>
      </c>
      <c r="C806">
        <v>1717</v>
      </c>
      <c r="D806" t="s">
        <v>41</v>
      </c>
      <c r="E806">
        <v>4</v>
      </c>
      <c r="F806" t="s">
        <v>41</v>
      </c>
      <c r="G806" t="s">
        <v>41</v>
      </c>
      <c r="H806" t="s">
        <v>2525</v>
      </c>
      <c r="I806" s="29">
        <v>46313.411145833335</v>
      </c>
      <c r="J806" t="s">
        <v>41</v>
      </c>
      <c r="K806" s="29">
        <v>46313.410844907405</v>
      </c>
      <c r="L806">
        <v>25</v>
      </c>
      <c r="O806" s="29">
        <v>46313.41034722222</v>
      </c>
      <c r="P806" t="s">
        <v>43</v>
      </c>
      <c r="Q806" t="s">
        <v>1079</v>
      </c>
      <c r="R806" t="s">
        <v>2526</v>
      </c>
      <c r="S806">
        <v>4247</v>
      </c>
      <c r="T806" t="s">
        <v>41</v>
      </c>
      <c r="U806" s="29">
        <v>46313.414988425924</v>
      </c>
      <c r="V806" s="29">
        <v>46313.413935185185</v>
      </c>
      <c r="W806" t="s">
        <v>2527</v>
      </c>
      <c r="X806">
        <v>22411</v>
      </c>
      <c r="Z806">
        <v>0</v>
      </c>
      <c r="AA806" s="30">
        <v>0.41041666666666665</v>
      </c>
      <c r="AB806">
        <v>4</v>
      </c>
      <c r="AC806" t="s">
        <v>41</v>
      </c>
    </row>
    <row r="807" spans="1:29">
      <c r="A807" t="s">
        <v>1171</v>
      </c>
      <c r="B807" s="29">
        <v>46313.410081018519</v>
      </c>
      <c r="C807">
        <v>2270</v>
      </c>
      <c r="D807" t="s">
        <v>41</v>
      </c>
      <c r="E807">
        <v>6</v>
      </c>
      <c r="F807" t="s">
        <v>41</v>
      </c>
      <c r="G807" t="s">
        <v>41</v>
      </c>
      <c r="H807" t="s">
        <v>2528</v>
      </c>
      <c r="I807" s="29">
        <v>46313.411122685182</v>
      </c>
      <c r="J807" t="s">
        <v>41</v>
      </c>
      <c r="K807" s="29">
        <v>46313.410983796297</v>
      </c>
      <c r="L807">
        <v>11</v>
      </c>
      <c r="O807" s="29">
        <v>46313.409953703704</v>
      </c>
      <c r="P807" t="s">
        <v>43</v>
      </c>
      <c r="Q807" t="s">
        <v>1173</v>
      </c>
      <c r="R807" t="s">
        <v>2529</v>
      </c>
      <c r="S807">
        <v>4247</v>
      </c>
      <c r="T807" t="s">
        <v>41</v>
      </c>
      <c r="U807" s="29">
        <v>46313.41646990741</v>
      </c>
      <c r="V807" s="29">
        <v>46313.415138888886</v>
      </c>
      <c r="W807" t="s">
        <v>2530</v>
      </c>
      <c r="X807">
        <v>22411</v>
      </c>
      <c r="Z807">
        <v>0</v>
      </c>
      <c r="AA807" s="30">
        <v>0.40972222222222227</v>
      </c>
      <c r="AB807">
        <v>6</v>
      </c>
      <c r="AC807" t="s">
        <v>41</v>
      </c>
    </row>
    <row r="808" spans="1:29">
      <c r="A808" t="s">
        <v>190</v>
      </c>
      <c r="B808" s="29">
        <v>46313.409780092596</v>
      </c>
      <c r="C808">
        <v>374</v>
      </c>
      <c r="D808" t="s">
        <v>41</v>
      </c>
      <c r="E808">
        <v>2</v>
      </c>
      <c r="F808" t="s">
        <v>41</v>
      </c>
      <c r="G808" t="s">
        <v>41</v>
      </c>
      <c r="H808" t="s">
        <v>2531</v>
      </c>
      <c r="I808" s="29">
        <v>46313.410520833335</v>
      </c>
      <c r="J808" t="s">
        <v>41</v>
      </c>
      <c r="K808" s="29">
        <v>46313.410300925927</v>
      </c>
      <c r="L808">
        <v>18</v>
      </c>
      <c r="O808" s="29">
        <v>46313.409733796296</v>
      </c>
      <c r="P808" t="s">
        <v>43</v>
      </c>
      <c r="Q808" t="s">
        <v>192</v>
      </c>
      <c r="R808" t="s">
        <v>2532</v>
      </c>
      <c r="S808">
        <v>4247</v>
      </c>
      <c r="T808" t="s">
        <v>41</v>
      </c>
      <c r="U808" s="29">
        <v>46313.412256944444</v>
      </c>
      <c r="V808" s="29">
        <v>46313.411736111113</v>
      </c>
      <c r="W808" t="s">
        <v>2533</v>
      </c>
      <c r="X808">
        <v>22411</v>
      </c>
      <c r="Z808">
        <v>0</v>
      </c>
      <c r="AA808" s="30">
        <v>0.40972222222222227</v>
      </c>
      <c r="AB808">
        <v>2</v>
      </c>
      <c r="AC808" t="s">
        <v>41</v>
      </c>
    </row>
    <row r="809" spans="1:29">
      <c r="A809" t="s">
        <v>1336</v>
      </c>
      <c r="B809" s="29">
        <v>46313.409502314818</v>
      </c>
      <c r="C809">
        <v>2280</v>
      </c>
      <c r="D809" t="s">
        <v>41</v>
      </c>
      <c r="E809">
        <v>6</v>
      </c>
      <c r="F809" t="s">
        <v>41</v>
      </c>
      <c r="G809" t="s">
        <v>41</v>
      </c>
      <c r="H809" t="s">
        <v>2534</v>
      </c>
      <c r="I809" s="29">
        <v>46313.410624999997</v>
      </c>
      <c r="J809" t="s">
        <v>41</v>
      </c>
      <c r="K809" s="29">
        <v>46313.410439814812</v>
      </c>
      <c r="L809">
        <v>15</v>
      </c>
      <c r="O809" s="29">
        <v>46313.409432870372</v>
      </c>
      <c r="P809" t="s">
        <v>43</v>
      </c>
      <c r="Q809" t="s">
        <v>1338</v>
      </c>
      <c r="R809" t="s">
        <v>2535</v>
      </c>
      <c r="S809">
        <v>4247</v>
      </c>
      <c r="T809" t="s">
        <v>41</v>
      </c>
      <c r="U809" s="29">
        <v>46313.415949074071</v>
      </c>
      <c r="V809" s="29">
        <v>46313.414571759262</v>
      </c>
      <c r="W809" t="s">
        <v>2536</v>
      </c>
      <c r="X809">
        <v>22411</v>
      </c>
      <c r="Z809">
        <v>0</v>
      </c>
      <c r="AA809" s="30">
        <v>0.40902777777777777</v>
      </c>
      <c r="AB809">
        <v>6</v>
      </c>
      <c r="AC809" t="s">
        <v>41</v>
      </c>
    </row>
    <row r="810" spans="1:29">
      <c r="A810" t="s">
        <v>2318</v>
      </c>
      <c r="B810" s="29">
        <v>46313.409375000003</v>
      </c>
      <c r="C810">
        <v>2897</v>
      </c>
      <c r="D810" t="s">
        <v>41</v>
      </c>
      <c r="E810">
        <v>7</v>
      </c>
      <c r="F810" t="s">
        <v>41</v>
      </c>
      <c r="G810" t="s">
        <v>41</v>
      </c>
      <c r="H810" t="s">
        <v>2537</v>
      </c>
      <c r="I810" s="29">
        <v>46313.410520833335</v>
      </c>
      <c r="J810" t="s">
        <v>41</v>
      </c>
      <c r="K810" s="29">
        <v>46313.409768518519</v>
      </c>
      <c r="L810">
        <v>64</v>
      </c>
      <c r="O810" s="29">
        <v>46313.409259259257</v>
      </c>
      <c r="P810" t="s">
        <v>43</v>
      </c>
      <c r="Q810" t="s">
        <v>2320</v>
      </c>
      <c r="R810" t="s">
        <v>2538</v>
      </c>
      <c r="S810">
        <v>4247</v>
      </c>
      <c r="T810" t="s">
        <v>41</v>
      </c>
      <c r="U810" s="29">
        <v>46313.417939814812</v>
      </c>
      <c r="V810" s="29">
        <v>46313.414768518516</v>
      </c>
      <c r="W810" t="s">
        <v>2539</v>
      </c>
      <c r="X810">
        <v>22411</v>
      </c>
      <c r="Z810">
        <v>0</v>
      </c>
      <c r="AA810" s="30">
        <v>0.40902777777777777</v>
      </c>
      <c r="AB810">
        <v>6</v>
      </c>
      <c r="AC810" t="s">
        <v>41</v>
      </c>
    </row>
    <row r="811" spans="1:29">
      <c r="A811" t="s">
        <v>2258</v>
      </c>
      <c r="B811" s="29">
        <v>46313.408831018518</v>
      </c>
      <c r="C811">
        <v>2241</v>
      </c>
      <c r="D811" t="s">
        <v>41</v>
      </c>
      <c r="E811">
        <v>5</v>
      </c>
      <c r="F811" t="s">
        <v>41</v>
      </c>
      <c r="G811" t="s">
        <v>41</v>
      </c>
      <c r="H811" t="s">
        <v>2540</v>
      </c>
      <c r="I811" s="29">
        <v>46313.410960648151</v>
      </c>
      <c r="J811" t="s">
        <v>41</v>
      </c>
      <c r="K811" s="29">
        <v>46313.410717592589</v>
      </c>
      <c r="L811">
        <v>20</v>
      </c>
      <c r="O811" s="29">
        <v>46313.408715277779</v>
      </c>
      <c r="P811" t="s">
        <v>43</v>
      </c>
      <c r="Q811" t="s">
        <v>2260</v>
      </c>
      <c r="R811" t="s">
        <v>2541</v>
      </c>
      <c r="S811">
        <v>4247</v>
      </c>
      <c r="T811" t="s">
        <v>41</v>
      </c>
      <c r="U811" s="29">
        <v>46313.417175925926</v>
      </c>
      <c r="V811" s="29">
        <v>46313.413923611108</v>
      </c>
      <c r="W811" t="s">
        <v>2542</v>
      </c>
      <c r="X811">
        <v>22411</v>
      </c>
      <c r="Z811">
        <v>0</v>
      </c>
      <c r="AA811" s="30">
        <v>0.40833333333333338</v>
      </c>
      <c r="AB811">
        <v>4</v>
      </c>
      <c r="AC811" t="s">
        <v>41</v>
      </c>
    </row>
    <row r="812" spans="1:29">
      <c r="A812" t="s">
        <v>734</v>
      </c>
      <c r="B812" s="29">
        <v>46313.40829861111</v>
      </c>
      <c r="C812">
        <v>2002</v>
      </c>
      <c r="D812" t="s">
        <v>41</v>
      </c>
      <c r="E812">
        <v>7</v>
      </c>
      <c r="F812" t="s">
        <v>41</v>
      </c>
      <c r="G812" t="s">
        <v>41</v>
      </c>
      <c r="H812" t="s">
        <v>2543</v>
      </c>
      <c r="I812" s="29">
        <v>46313.408888888887</v>
      </c>
      <c r="J812" t="s">
        <v>41</v>
      </c>
      <c r="K812" s="29">
        <v>46313.408553240741</v>
      </c>
      <c r="L812">
        <v>28</v>
      </c>
      <c r="O812" s="29">
        <v>46313.408229166664</v>
      </c>
      <c r="P812" t="s">
        <v>43</v>
      </c>
      <c r="Q812" t="s">
        <v>736</v>
      </c>
      <c r="R812" t="s">
        <v>2544</v>
      </c>
      <c r="S812">
        <v>4247</v>
      </c>
      <c r="T812" t="s">
        <v>41</v>
      </c>
      <c r="U812" s="29">
        <v>46313.415150462963</v>
      </c>
      <c r="V812" s="29">
        <v>46313.413171296299</v>
      </c>
      <c r="W812" t="s">
        <v>2545</v>
      </c>
      <c r="X812">
        <v>22411</v>
      </c>
      <c r="Z812">
        <v>0</v>
      </c>
      <c r="AA812" s="30">
        <v>0.40763888888888888</v>
      </c>
      <c r="AB812">
        <v>6</v>
      </c>
      <c r="AC812" t="s">
        <v>41</v>
      </c>
    </row>
    <row r="813" spans="1:29">
      <c r="A813" t="s">
        <v>62</v>
      </c>
      <c r="B813" s="29">
        <v>46313.407627314817</v>
      </c>
      <c r="C813">
        <v>2652</v>
      </c>
      <c r="D813" t="s">
        <v>41</v>
      </c>
      <c r="E813">
        <v>10</v>
      </c>
      <c r="F813" t="s">
        <v>41</v>
      </c>
      <c r="G813" t="s">
        <v>41</v>
      </c>
      <c r="H813" t="s">
        <v>2546</v>
      </c>
      <c r="I813" s="29">
        <v>46313.408599537041</v>
      </c>
      <c r="J813" t="s">
        <v>41</v>
      </c>
      <c r="K813" s="29">
        <v>46313.408379629633</v>
      </c>
      <c r="L813">
        <v>18</v>
      </c>
      <c r="O813" s="29">
        <v>46313.407476851855</v>
      </c>
      <c r="P813" t="s">
        <v>43</v>
      </c>
      <c r="Q813" t="s">
        <v>64</v>
      </c>
      <c r="R813" t="s">
        <v>2547</v>
      </c>
      <c r="S813">
        <v>4247</v>
      </c>
      <c r="T813" t="s">
        <v>41</v>
      </c>
      <c r="U813" s="29">
        <v>46313.415312500001</v>
      </c>
      <c r="V813" s="29">
        <v>46313.415381944447</v>
      </c>
      <c r="W813" t="s">
        <v>2548</v>
      </c>
      <c r="X813">
        <v>22411</v>
      </c>
      <c r="Z813">
        <v>0</v>
      </c>
      <c r="AA813" s="30">
        <v>0.4069444444444445</v>
      </c>
      <c r="AB813">
        <v>10</v>
      </c>
      <c r="AC813" t="s">
        <v>41</v>
      </c>
    </row>
    <row r="814" spans="1:29">
      <c r="A814" t="s">
        <v>185</v>
      </c>
      <c r="B814" s="29">
        <v>46313.4062962963</v>
      </c>
      <c r="C814">
        <v>1240</v>
      </c>
      <c r="D814" t="s">
        <v>41</v>
      </c>
      <c r="E814">
        <v>5</v>
      </c>
      <c r="F814" t="s">
        <v>41</v>
      </c>
      <c r="G814" t="s">
        <v>41</v>
      </c>
      <c r="H814" t="s">
        <v>2549</v>
      </c>
      <c r="I814" s="29">
        <v>46313.407002314816</v>
      </c>
      <c r="J814" t="s">
        <v>41</v>
      </c>
      <c r="K814" s="29">
        <v>46313.406736111108</v>
      </c>
      <c r="L814">
        <v>22</v>
      </c>
      <c r="O814" s="29">
        <v>46313.406168981484</v>
      </c>
      <c r="P814" t="s">
        <v>43</v>
      </c>
      <c r="Q814" t="s">
        <v>3007</v>
      </c>
      <c r="R814" t="s">
        <v>2550</v>
      </c>
      <c r="S814">
        <v>4247</v>
      </c>
      <c r="T814" t="s">
        <v>41</v>
      </c>
      <c r="U814" s="29">
        <v>46313.410601851851</v>
      </c>
      <c r="V814" s="29">
        <v>46313.40996527778</v>
      </c>
      <c r="W814" t="s">
        <v>2551</v>
      </c>
      <c r="X814">
        <v>22411</v>
      </c>
      <c r="Z814">
        <v>0</v>
      </c>
      <c r="AA814" s="30">
        <v>0.40625</v>
      </c>
      <c r="AB814">
        <v>4</v>
      </c>
      <c r="AC814" t="s">
        <v>41</v>
      </c>
    </row>
    <row r="815" spans="1:29">
      <c r="A815" t="s">
        <v>1461</v>
      </c>
      <c r="B815" s="29">
        <v>46313.405231481483</v>
      </c>
      <c r="C815">
        <v>755</v>
      </c>
      <c r="D815" t="s">
        <v>41</v>
      </c>
      <c r="E815">
        <v>3</v>
      </c>
      <c r="F815" t="s">
        <v>41</v>
      </c>
      <c r="G815" t="s">
        <v>41</v>
      </c>
      <c r="H815" t="s">
        <v>2552</v>
      </c>
      <c r="I815" s="29">
        <v>46313.40556712963</v>
      </c>
      <c r="J815" t="s">
        <v>41</v>
      </c>
      <c r="K815" s="29">
        <v>46313.405428240738</v>
      </c>
      <c r="L815">
        <v>11</v>
      </c>
      <c r="O815" s="29">
        <v>46313.405069444445</v>
      </c>
      <c r="P815" t="s">
        <v>43</v>
      </c>
      <c r="Q815" t="s">
        <v>1463</v>
      </c>
      <c r="R815" t="s">
        <v>2553</v>
      </c>
      <c r="S815">
        <v>4247</v>
      </c>
      <c r="T815" t="s">
        <v>41</v>
      </c>
      <c r="U815" s="29">
        <v>46313.408530092594</v>
      </c>
      <c r="V815" s="29">
        <v>46313.40729166667</v>
      </c>
      <c r="W815" t="s">
        <v>2554</v>
      </c>
      <c r="X815">
        <v>22411</v>
      </c>
      <c r="Z815">
        <v>0</v>
      </c>
      <c r="AA815" s="30">
        <v>0.40486111111111112</v>
      </c>
      <c r="AB815">
        <v>2</v>
      </c>
      <c r="AC815" t="s">
        <v>41</v>
      </c>
    </row>
    <row r="816" spans="1:29">
      <c r="A816" t="s">
        <v>655</v>
      </c>
      <c r="B816" s="29">
        <v>46313.404803240737</v>
      </c>
      <c r="C816">
        <v>703</v>
      </c>
      <c r="D816" t="s">
        <v>41</v>
      </c>
      <c r="E816">
        <v>1</v>
      </c>
      <c r="F816" t="s">
        <v>41</v>
      </c>
      <c r="G816" t="s">
        <v>41</v>
      </c>
      <c r="H816" t="s">
        <v>2555</v>
      </c>
      <c r="I816" s="29">
        <v>46313.405381944445</v>
      </c>
      <c r="J816" t="s">
        <v>41</v>
      </c>
      <c r="K816" s="29">
        <v>46313.405231481483</v>
      </c>
      <c r="L816">
        <v>12</v>
      </c>
      <c r="O816" s="29">
        <v>46313.404710648145</v>
      </c>
      <c r="P816" t="s">
        <v>43</v>
      </c>
      <c r="Q816" t="s">
        <v>657</v>
      </c>
      <c r="R816" t="s">
        <v>2556</v>
      </c>
      <c r="S816">
        <v>4247</v>
      </c>
      <c r="T816" t="s">
        <v>41</v>
      </c>
      <c r="U816" s="29">
        <v>46313.408263888887</v>
      </c>
      <c r="V816" s="29">
        <v>46313.406145833331</v>
      </c>
      <c r="W816" t="s">
        <v>2557</v>
      </c>
      <c r="X816">
        <v>22411</v>
      </c>
      <c r="Z816">
        <v>0</v>
      </c>
      <c r="AA816" s="30">
        <v>0.40416666666666662</v>
      </c>
      <c r="AB816">
        <v>1</v>
      </c>
      <c r="AC816" t="s">
        <v>41</v>
      </c>
    </row>
    <row r="817" spans="1:29">
      <c r="A817" t="s">
        <v>1391</v>
      </c>
      <c r="B817" s="29">
        <v>46313.40425925926</v>
      </c>
      <c r="C817">
        <v>67</v>
      </c>
      <c r="D817" t="s">
        <v>41</v>
      </c>
      <c r="E817">
        <v>0</v>
      </c>
      <c r="F817" t="s">
        <v>41</v>
      </c>
      <c r="G817" t="s">
        <v>41</v>
      </c>
      <c r="H817" t="s">
        <v>2558</v>
      </c>
      <c r="I817" s="29">
        <v>46313.406539351854</v>
      </c>
      <c r="J817" t="s">
        <v>41</v>
      </c>
      <c r="K817" s="29">
        <v>46313.406354166669</v>
      </c>
      <c r="L817">
        <v>15</v>
      </c>
      <c r="O817" s="29">
        <v>46313.404224537036</v>
      </c>
      <c r="P817" t="s">
        <v>43</v>
      </c>
      <c r="Q817" t="s">
        <v>1393</v>
      </c>
      <c r="R817" t="s">
        <v>2559</v>
      </c>
      <c r="S817">
        <v>4247</v>
      </c>
      <c r="T817" t="s">
        <v>41</v>
      </c>
      <c r="U817" s="29">
        <v>46313.406805555554</v>
      </c>
      <c r="V817" s="29">
        <v>46313.406550925924</v>
      </c>
      <c r="W817" t="s">
        <v>2560</v>
      </c>
      <c r="X817">
        <v>22411</v>
      </c>
      <c r="Z817">
        <v>0</v>
      </c>
      <c r="AA817" s="30">
        <v>0.40416666666666662</v>
      </c>
      <c r="AB817">
        <v>0</v>
      </c>
      <c r="AC817" t="s">
        <v>41</v>
      </c>
    </row>
    <row r="818" spans="1:29">
      <c r="A818" t="s">
        <v>52</v>
      </c>
      <c r="B818" s="29">
        <v>46313.403877314813</v>
      </c>
      <c r="C818">
        <v>779</v>
      </c>
      <c r="D818" t="s">
        <v>41</v>
      </c>
      <c r="E818">
        <v>3</v>
      </c>
      <c r="F818" t="s">
        <v>41</v>
      </c>
      <c r="G818" t="s">
        <v>41</v>
      </c>
      <c r="H818" t="s">
        <v>2561</v>
      </c>
      <c r="I818" s="29">
        <v>46313.404479166667</v>
      </c>
      <c r="J818" t="s">
        <v>41</v>
      </c>
      <c r="K818" s="29">
        <v>46313.404374999998</v>
      </c>
      <c r="L818">
        <v>8</v>
      </c>
      <c r="O818" s="29">
        <v>46313.403784722221</v>
      </c>
      <c r="P818" t="s">
        <v>43</v>
      </c>
      <c r="Q818" t="s">
        <v>54</v>
      </c>
      <c r="R818" t="s">
        <v>2562</v>
      </c>
      <c r="S818">
        <v>4247</v>
      </c>
      <c r="T818" t="s">
        <v>41</v>
      </c>
      <c r="U818" s="29">
        <v>46313.407361111109</v>
      </c>
      <c r="V818" s="29">
        <v>46313.406458333331</v>
      </c>
      <c r="W818" t="s">
        <v>2563</v>
      </c>
      <c r="X818">
        <v>22411</v>
      </c>
      <c r="Z818">
        <v>0</v>
      </c>
      <c r="AA818" s="30">
        <v>0.40347222222222223</v>
      </c>
      <c r="AB818">
        <v>3</v>
      </c>
      <c r="AC818" t="s">
        <v>41</v>
      </c>
    </row>
    <row r="819" spans="1:29">
      <c r="A819" t="s">
        <v>347</v>
      </c>
      <c r="B819" s="29">
        <v>46313.40347222222</v>
      </c>
      <c r="C819">
        <v>2036</v>
      </c>
      <c r="D819" t="s">
        <v>41</v>
      </c>
      <c r="E819">
        <v>6</v>
      </c>
      <c r="F819" t="s">
        <v>41</v>
      </c>
      <c r="G819" t="s">
        <v>41</v>
      </c>
      <c r="H819" t="s">
        <v>2564</v>
      </c>
      <c r="I819" s="29">
        <v>46313.404143518521</v>
      </c>
      <c r="J819" t="s">
        <v>41</v>
      </c>
      <c r="K819" s="29">
        <v>46313.403981481482</v>
      </c>
      <c r="L819">
        <v>13</v>
      </c>
      <c r="O819" s="29">
        <v>46313.403391203705</v>
      </c>
      <c r="P819" t="s">
        <v>43</v>
      </c>
      <c r="Q819" t="s">
        <v>349</v>
      </c>
      <c r="R819" t="s">
        <v>2565</v>
      </c>
      <c r="S819">
        <v>4247</v>
      </c>
      <c r="T819" t="s">
        <v>41</v>
      </c>
      <c r="U819" s="29">
        <v>46313.409108796295</v>
      </c>
      <c r="V819" s="29">
        <v>46313.408310185187</v>
      </c>
      <c r="W819" t="s">
        <v>2566</v>
      </c>
      <c r="X819">
        <v>22411</v>
      </c>
      <c r="Z819">
        <v>0</v>
      </c>
      <c r="AA819" s="30">
        <v>0.40347222222222223</v>
      </c>
      <c r="AB819">
        <v>6</v>
      </c>
      <c r="AC819" t="s">
        <v>41</v>
      </c>
    </row>
    <row r="820" spans="1:29">
      <c r="A820" t="s">
        <v>2247</v>
      </c>
      <c r="B820" s="29">
        <v>46313.40347222222</v>
      </c>
      <c r="C820">
        <v>1658</v>
      </c>
      <c r="D820" t="s">
        <v>41</v>
      </c>
      <c r="E820">
        <v>7</v>
      </c>
      <c r="F820" t="s">
        <v>41</v>
      </c>
      <c r="G820" t="s">
        <v>41</v>
      </c>
      <c r="H820" t="s">
        <v>2567</v>
      </c>
      <c r="I820" s="29">
        <v>46313.404675925929</v>
      </c>
      <c r="J820" t="s">
        <v>41</v>
      </c>
      <c r="K820" s="29">
        <v>46313.404270833336</v>
      </c>
      <c r="L820">
        <v>34</v>
      </c>
      <c r="O820" s="29">
        <v>46313.403298611112</v>
      </c>
      <c r="P820" t="s">
        <v>43</v>
      </c>
      <c r="Q820" t="s">
        <v>2249</v>
      </c>
      <c r="R820" t="s">
        <v>2568</v>
      </c>
      <c r="S820">
        <v>4247</v>
      </c>
      <c r="T820" t="s">
        <v>41</v>
      </c>
      <c r="U820" s="29">
        <v>46313.408993055556</v>
      </c>
      <c r="V820" s="29">
        <v>46313.408796296295</v>
      </c>
      <c r="W820" t="s">
        <v>2569</v>
      </c>
      <c r="X820">
        <v>22411</v>
      </c>
      <c r="Z820">
        <v>0</v>
      </c>
      <c r="AA820" s="30">
        <v>0.40277777777777773</v>
      </c>
      <c r="AB820">
        <v>6</v>
      </c>
      <c r="AC820" t="s">
        <v>41</v>
      </c>
    </row>
    <row r="821" spans="1:29">
      <c r="A821" t="s">
        <v>1624</v>
      </c>
      <c r="B821" s="29">
        <v>46313.403067129628</v>
      </c>
      <c r="C821">
        <v>2382</v>
      </c>
      <c r="D821" t="s">
        <v>41</v>
      </c>
      <c r="E821">
        <v>8</v>
      </c>
      <c r="F821" t="s">
        <v>41</v>
      </c>
      <c r="G821" t="s">
        <v>41</v>
      </c>
      <c r="H821" t="s">
        <v>2570</v>
      </c>
      <c r="I821" s="29">
        <v>46313.405335648145</v>
      </c>
      <c r="J821" t="s">
        <v>41</v>
      </c>
      <c r="K821" s="29">
        <v>46313.404895833337</v>
      </c>
      <c r="L821">
        <v>37</v>
      </c>
      <c r="O821" s="29">
        <v>46313.402962962966</v>
      </c>
      <c r="P821" t="s">
        <v>43</v>
      </c>
      <c r="Q821" t="s">
        <v>1626</v>
      </c>
      <c r="R821" t="s">
        <v>2571</v>
      </c>
      <c r="S821">
        <v>4247</v>
      </c>
      <c r="T821" t="s">
        <v>41</v>
      </c>
      <c r="U821" s="29">
        <v>46313.410555555558</v>
      </c>
      <c r="V821" s="29">
        <v>46313.410254629627</v>
      </c>
      <c r="W821" t="s">
        <v>2572</v>
      </c>
      <c r="X821">
        <v>22411</v>
      </c>
      <c r="Z821">
        <v>0</v>
      </c>
      <c r="AA821" s="30">
        <v>0.40277777777777773</v>
      </c>
      <c r="AB821">
        <v>7</v>
      </c>
      <c r="AC821" t="s">
        <v>41</v>
      </c>
    </row>
    <row r="822" spans="1:29">
      <c r="A822" t="s">
        <v>1310</v>
      </c>
      <c r="B822" s="29">
        <v>46313.401875000003</v>
      </c>
      <c r="C822">
        <v>1496</v>
      </c>
      <c r="D822" t="s">
        <v>41</v>
      </c>
      <c r="E822">
        <v>5</v>
      </c>
      <c r="F822" t="s">
        <v>41</v>
      </c>
      <c r="G822" t="s">
        <v>41</v>
      </c>
      <c r="H822" t="s">
        <v>2573</v>
      </c>
      <c r="I822" s="29">
        <v>46313.402905092589</v>
      </c>
      <c r="J822" t="s">
        <v>41</v>
      </c>
      <c r="K822" s="29">
        <v>46313.402650462966</v>
      </c>
      <c r="L822">
        <v>21</v>
      </c>
      <c r="O822" s="29">
        <v>46313.40179398148</v>
      </c>
      <c r="P822" t="s">
        <v>43</v>
      </c>
      <c r="Q822" t="s">
        <v>1312</v>
      </c>
      <c r="R822" t="s">
        <v>2574</v>
      </c>
      <c r="S822">
        <v>4247</v>
      </c>
      <c r="T822" t="s">
        <v>41</v>
      </c>
      <c r="U822" s="29">
        <v>46313.407442129632</v>
      </c>
      <c r="V822" s="29">
        <v>46313.406145833331</v>
      </c>
      <c r="W822" t="s">
        <v>2575</v>
      </c>
      <c r="X822">
        <v>22411</v>
      </c>
      <c r="Z822">
        <v>0</v>
      </c>
      <c r="AA822" s="30">
        <v>0.40138888888888885</v>
      </c>
      <c r="AB822">
        <v>5</v>
      </c>
      <c r="AC822" t="s">
        <v>41</v>
      </c>
    </row>
    <row r="823" spans="1:29">
      <c r="A823" t="s">
        <v>177</v>
      </c>
      <c r="B823" s="29">
        <v>46313.400925925926</v>
      </c>
      <c r="C823">
        <v>1756</v>
      </c>
      <c r="D823" t="s">
        <v>41</v>
      </c>
      <c r="E823">
        <v>5</v>
      </c>
      <c r="F823" t="s">
        <v>41</v>
      </c>
      <c r="G823" t="s">
        <v>41</v>
      </c>
      <c r="H823" t="s">
        <v>2576</v>
      </c>
      <c r="I823" s="29">
        <v>46313.40221064815</v>
      </c>
      <c r="J823" t="s">
        <v>41</v>
      </c>
      <c r="K823" s="29">
        <v>46313.402002314811</v>
      </c>
      <c r="L823">
        <v>17</v>
      </c>
      <c r="O823" s="29">
        <v>46313.400763888887</v>
      </c>
      <c r="P823" t="s">
        <v>43</v>
      </c>
      <c r="Q823" t="s">
        <v>179</v>
      </c>
      <c r="R823" t="s">
        <v>2577</v>
      </c>
      <c r="S823">
        <v>4247</v>
      </c>
      <c r="T823" t="s">
        <v>41</v>
      </c>
      <c r="U823" s="29">
        <v>46313.406134259261</v>
      </c>
      <c r="V823" s="29">
        <v>46313.405428240738</v>
      </c>
      <c r="W823" t="s">
        <v>2578</v>
      </c>
      <c r="X823">
        <v>22411</v>
      </c>
      <c r="Z823">
        <v>0</v>
      </c>
      <c r="AA823" s="30">
        <v>0.40069444444444446</v>
      </c>
      <c r="AB823">
        <v>5</v>
      </c>
      <c r="AC823" t="s">
        <v>41</v>
      </c>
    </row>
    <row r="824" spans="1:29">
      <c r="A824" t="s">
        <v>1239</v>
      </c>
      <c r="B824" s="29">
        <v>46313.400520833333</v>
      </c>
      <c r="C824">
        <v>2817</v>
      </c>
      <c r="D824" t="s">
        <v>41</v>
      </c>
      <c r="E824">
        <v>8</v>
      </c>
      <c r="F824" t="s">
        <v>41</v>
      </c>
      <c r="G824" t="s">
        <v>41</v>
      </c>
      <c r="H824" t="s">
        <v>2579</v>
      </c>
      <c r="I824" s="29">
        <v>46313.401192129626</v>
      </c>
      <c r="J824" t="s">
        <v>41</v>
      </c>
      <c r="K824" s="29">
        <v>46313.400960648149</v>
      </c>
      <c r="L824">
        <v>19</v>
      </c>
      <c r="O824" s="29">
        <v>46313.400405092594</v>
      </c>
      <c r="P824" t="s">
        <v>43</v>
      </c>
      <c r="Q824" t="s">
        <v>1241</v>
      </c>
      <c r="R824" t="s">
        <v>2580</v>
      </c>
      <c r="S824">
        <v>4247</v>
      </c>
      <c r="T824" t="s">
        <v>41</v>
      </c>
      <c r="U824" s="29">
        <v>46313.408587962964</v>
      </c>
      <c r="V824" s="29">
        <v>46313.406759259262</v>
      </c>
      <c r="W824" t="s">
        <v>2581</v>
      </c>
      <c r="X824">
        <v>22411</v>
      </c>
      <c r="Z824">
        <v>0</v>
      </c>
      <c r="AA824" s="30">
        <v>0.39999999999999997</v>
      </c>
      <c r="AB824">
        <v>8</v>
      </c>
      <c r="AC824" t="s">
        <v>41</v>
      </c>
    </row>
    <row r="825" spans="1:29">
      <c r="A825" t="s">
        <v>379</v>
      </c>
      <c r="B825" s="29">
        <v>46313.399189814816</v>
      </c>
      <c r="C825">
        <v>2317</v>
      </c>
      <c r="D825" t="s">
        <v>41</v>
      </c>
      <c r="E825">
        <v>7</v>
      </c>
      <c r="F825" t="s">
        <v>41</v>
      </c>
      <c r="G825" t="s">
        <v>41</v>
      </c>
      <c r="H825" t="s">
        <v>2582</v>
      </c>
      <c r="I825" s="29">
        <v>46313.399629629632</v>
      </c>
      <c r="J825" t="s">
        <v>41</v>
      </c>
      <c r="K825" s="29">
        <v>46313.399398148147</v>
      </c>
      <c r="L825">
        <v>19</v>
      </c>
      <c r="O825" s="29">
        <v>46313.399027777778</v>
      </c>
      <c r="P825" t="s">
        <v>43</v>
      </c>
      <c r="Q825" t="s">
        <v>381</v>
      </c>
      <c r="R825" t="s">
        <v>2583</v>
      </c>
      <c r="S825">
        <v>4247</v>
      </c>
      <c r="T825" t="s">
        <v>41</v>
      </c>
      <c r="U825" s="29">
        <v>46313.405034722222</v>
      </c>
      <c r="V825" s="29">
        <v>46313.404143518521</v>
      </c>
      <c r="W825" t="s">
        <v>2584</v>
      </c>
      <c r="X825">
        <v>22411</v>
      </c>
      <c r="Z825">
        <v>0</v>
      </c>
      <c r="AA825" s="30">
        <v>0.39861111111111108</v>
      </c>
      <c r="AB825">
        <v>7</v>
      </c>
      <c r="AC825" t="s">
        <v>41</v>
      </c>
    </row>
    <row r="826" spans="1:29">
      <c r="A826" t="s">
        <v>190</v>
      </c>
      <c r="B826" s="29">
        <v>46313.398796296293</v>
      </c>
      <c r="C826">
        <v>1435</v>
      </c>
      <c r="D826" t="s">
        <v>41</v>
      </c>
      <c r="E826">
        <v>5</v>
      </c>
      <c r="F826" t="s">
        <v>41</v>
      </c>
      <c r="G826" t="s">
        <v>41</v>
      </c>
      <c r="H826" t="s">
        <v>2585</v>
      </c>
      <c r="I826" s="29">
        <v>46313.399444444447</v>
      </c>
      <c r="J826" t="s">
        <v>41</v>
      </c>
      <c r="K826" s="29">
        <v>46313.399189814816</v>
      </c>
      <c r="L826">
        <v>21</v>
      </c>
      <c r="O826" s="29">
        <v>46313.398726851854</v>
      </c>
      <c r="P826" t="s">
        <v>43</v>
      </c>
      <c r="Q826" t="s">
        <v>192</v>
      </c>
      <c r="R826" t="s">
        <v>2586</v>
      </c>
      <c r="S826">
        <v>4247</v>
      </c>
      <c r="T826" t="s">
        <v>41</v>
      </c>
      <c r="U826" s="29">
        <v>46313.404166666667</v>
      </c>
      <c r="V826" s="29">
        <v>46313.402442129627</v>
      </c>
      <c r="W826" t="s">
        <v>2587</v>
      </c>
      <c r="X826">
        <v>22411</v>
      </c>
      <c r="Z826">
        <v>0</v>
      </c>
      <c r="AA826" s="30">
        <v>0.39861111111111108</v>
      </c>
      <c r="AB826">
        <v>4</v>
      </c>
      <c r="AC826" t="s">
        <v>41</v>
      </c>
    </row>
    <row r="827" spans="1:29">
      <c r="A827" t="s">
        <v>52</v>
      </c>
      <c r="B827" s="29">
        <v>46313.398865740739</v>
      </c>
      <c r="C827">
        <v>395</v>
      </c>
      <c r="D827" t="s">
        <v>41</v>
      </c>
      <c r="E827">
        <v>1</v>
      </c>
      <c r="F827" t="s">
        <v>41</v>
      </c>
      <c r="G827" t="s">
        <v>41</v>
      </c>
      <c r="H827" t="s">
        <v>2588</v>
      </c>
      <c r="I827" s="29">
        <v>46313.399942129632</v>
      </c>
      <c r="J827" t="s">
        <v>41</v>
      </c>
      <c r="K827" s="29">
        <v>46313.399594907409</v>
      </c>
      <c r="L827">
        <v>29</v>
      </c>
      <c r="O827" s="29">
        <v>46313.398726851854</v>
      </c>
      <c r="P827" t="s">
        <v>43</v>
      </c>
      <c r="Q827" t="s">
        <v>54</v>
      </c>
      <c r="R827" t="s">
        <v>2589</v>
      </c>
      <c r="S827">
        <v>4247</v>
      </c>
      <c r="T827" t="s">
        <v>41</v>
      </c>
      <c r="U827" s="29">
        <v>46313.401805555557</v>
      </c>
      <c r="V827" s="29">
        <v>46313.400509259256</v>
      </c>
      <c r="W827" t="s">
        <v>2590</v>
      </c>
      <c r="X827">
        <v>22411</v>
      </c>
      <c r="Z827">
        <v>0</v>
      </c>
      <c r="AA827" s="30">
        <v>0.39861111111111108</v>
      </c>
      <c r="AB827">
        <v>1</v>
      </c>
      <c r="AC827" t="s">
        <v>41</v>
      </c>
    </row>
    <row r="828" spans="1:29">
      <c r="A828" t="s">
        <v>98</v>
      </c>
      <c r="B828" s="29">
        <v>46313.398263888892</v>
      </c>
      <c r="C828">
        <v>2667</v>
      </c>
      <c r="D828" t="s">
        <v>41</v>
      </c>
      <c r="E828">
        <v>6</v>
      </c>
      <c r="F828" t="s">
        <v>41</v>
      </c>
      <c r="G828" t="s">
        <v>41</v>
      </c>
      <c r="H828" t="s">
        <v>2591</v>
      </c>
      <c r="I828" s="29">
        <v>46313.398993055554</v>
      </c>
      <c r="J828" t="s">
        <v>41</v>
      </c>
      <c r="K828" s="29">
        <v>46313.398819444446</v>
      </c>
      <c r="L828">
        <v>14</v>
      </c>
      <c r="O828" s="29">
        <v>46313.398206018515</v>
      </c>
      <c r="P828" t="s">
        <v>43</v>
      </c>
      <c r="Q828" t="s">
        <v>3005</v>
      </c>
      <c r="R828" t="s">
        <v>2592</v>
      </c>
      <c r="S828">
        <v>4247</v>
      </c>
      <c r="T828" t="s">
        <v>41</v>
      </c>
      <c r="U828" s="29">
        <v>46313.406030092592</v>
      </c>
      <c r="V828" s="29">
        <v>46313.403090277781</v>
      </c>
      <c r="W828" t="s">
        <v>2593</v>
      </c>
      <c r="X828">
        <v>22411</v>
      </c>
      <c r="Z828">
        <v>0</v>
      </c>
      <c r="AA828" s="30">
        <v>0.3979166666666667</v>
      </c>
      <c r="AB828">
        <v>6</v>
      </c>
      <c r="AC828" t="s">
        <v>41</v>
      </c>
    </row>
    <row r="829" spans="1:29">
      <c r="A829" t="s">
        <v>2318</v>
      </c>
      <c r="B829" s="29">
        <v>46313.397465277776</v>
      </c>
      <c r="C829">
        <v>363</v>
      </c>
      <c r="D829" t="s">
        <v>41</v>
      </c>
      <c r="E829">
        <v>3</v>
      </c>
      <c r="F829" t="s">
        <v>41</v>
      </c>
      <c r="G829" t="s">
        <v>41</v>
      </c>
      <c r="H829" t="s">
        <v>2594</v>
      </c>
      <c r="I829" s="29">
        <v>46313.399745370371</v>
      </c>
      <c r="J829" t="s">
        <v>41</v>
      </c>
      <c r="K829" s="29">
        <v>46313.399456018517</v>
      </c>
      <c r="L829">
        <v>24</v>
      </c>
      <c r="O829" s="29">
        <v>46313.39739583333</v>
      </c>
      <c r="P829" t="s">
        <v>43</v>
      </c>
      <c r="Q829" t="s">
        <v>2320</v>
      </c>
      <c r="R829" t="s">
        <v>2595</v>
      </c>
      <c r="S829">
        <v>4247</v>
      </c>
      <c r="T829" t="s">
        <v>41</v>
      </c>
      <c r="U829" s="29">
        <v>46313.401574074072</v>
      </c>
      <c r="V829" s="29">
        <v>46313.401319444441</v>
      </c>
      <c r="W829" t="s">
        <v>2596</v>
      </c>
      <c r="X829">
        <v>22411</v>
      </c>
      <c r="Z829">
        <v>0</v>
      </c>
      <c r="AA829" s="30">
        <v>0.3972222222222222</v>
      </c>
      <c r="AB829">
        <v>2</v>
      </c>
      <c r="AC829" t="s">
        <v>41</v>
      </c>
    </row>
    <row r="830" spans="1:29">
      <c r="A830" t="s">
        <v>1965</v>
      </c>
      <c r="B830" s="29">
        <v>46313.397499999999</v>
      </c>
      <c r="C830">
        <v>2034</v>
      </c>
      <c r="D830" t="s">
        <v>41</v>
      </c>
      <c r="E830">
        <v>7</v>
      </c>
      <c r="F830" t="s">
        <v>41</v>
      </c>
      <c r="G830" t="s">
        <v>41</v>
      </c>
      <c r="H830" t="s">
        <v>2597</v>
      </c>
      <c r="I830" s="29">
        <v>46313.398240740738</v>
      </c>
      <c r="J830" t="s">
        <v>41</v>
      </c>
      <c r="K830" s="29">
        <v>46313.398078703707</v>
      </c>
      <c r="L830">
        <v>13</v>
      </c>
      <c r="O830" s="29">
        <v>46313.397245370368</v>
      </c>
      <c r="P830" t="s">
        <v>43</v>
      </c>
      <c r="Q830" t="s">
        <v>1967</v>
      </c>
      <c r="R830" t="s">
        <v>2598</v>
      </c>
      <c r="S830">
        <v>4247</v>
      </c>
      <c r="T830" t="s">
        <v>41</v>
      </c>
      <c r="U830" s="29">
        <v>46313.404618055552</v>
      </c>
      <c r="V830" s="29">
        <v>46313.402800925927</v>
      </c>
      <c r="W830" t="s">
        <v>2599</v>
      </c>
      <c r="X830">
        <v>22411</v>
      </c>
      <c r="Z830">
        <v>0</v>
      </c>
      <c r="AA830" s="30">
        <v>0.3972222222222222</v>
      </c>
      <c r="AB830">
        <v>7</v>
      </c>
      <c r="AC830" t="s">
        <v>41</v>
      </c>
    </row>
    <row r="831" spans="1:29">
      <c r="A831" t="s">
        <v>106</v>
      </c>
      <c r="B831" s="29">
        <v>46313.397187499999</v>
      </c>
      <c r="C831">
        <v>1918</v>
      </c>
      <c r="D831" t="s">
        <v>41</v>
      </c>
      <c r="E831">
        <v>6</v>
      </c>
      <c r="F831" t="s">
        <v>41</v>
      </c>
      <c r="G831" t="s">
        <v>41</v>
      </c>
      <c r="H831" t="s">
        <v>2600</v>
      </c>
      <c r="I831" s="29">
        <v>46313.397974537038</v>
      </c>
      <c r="J831" t="s">
        <v>41</v>
      </c>
      <c r="K831" s="29">
        <v>46313.39770833333</v>
      </c>
      <c r="L831">
        <v>22</v>
      </c>
      <c r="O831" s="29">
        <v>46313.397129629629</v>
      </c>
      <c r="P831" t="s">
        <v>43</v>
      </c>
      <c r="Q831" t="s">
        <v>108</v>
      </c>
      <c r="R831" t="s">
        <v>2601</v>
      </c>
      <c r="S831">
        <v>4247</v>
      </c>
      <c r="T831" t="s">
        <v>41</v>
      </c>
      <c r="U831" s="29">
        <v>46313.402488425927</v>
      </c>
      <c r="V831" s="29">
        <v>46313.401898148149</v>
      </c>
      <c r="W831" t="s">
        <v>2602</v>
      </c>
      <c r="X831">
        <v>22411</v>
      </c>
      <c r="Z831">
        <v>0</v>
      </c>
      <c r="AA831" s="30">
        <v>0.39652777777777781</v>
      </c>
      <c r="AB831">
        <v>6</v>
      </c>
      <c r="AC831" t="s">
        <v>41</v>
      </c>
    </row>
    <row r="832" spans="1:29">
      <c r="A832" t="s">
        <v>2258</v>
      </c>
      <c r="B832" s="29">
        <v>46313.397083333337</v>
      </c>
      <c r="C832">
        <v>1044</v>
      </c>
      <c r="D832" t="s">
        <v>41</v>
      </c>
      <c r="E832">
        <v>4</v>
      </c>
      <c r="F832" t="s">
        <v>41</v>
      </c>
      <c r="G832" t="s">
        <v>41</v>
      </c>
      <c r="H832" t="s">
        <v>2603</v>
      </c>
      <c r="I832" s="29">
        <v>46313.397893518515</v>
      </c>
      <c r="J832" t="s">
        <v>41</v>
      </c>
      <c r="K832" s="29">
        <v>46313.397662037038</v>
      </c>
      <c r="L832">
        <v>19</v>
      </c>
      <c r="O832" s="29">
        <v>46313.396979166668</v>
      </c>
      <c r="P832" t="s">
        <v>43</v>
      </c>
      <c r="Q832" t="s">
        <v>2260</v>
      </c>
      <c r="R832" t="s">
        <v>2604</v>
      </c>
      <c r="S832">
        <v>4247</v>
      </c>
      <c r="T832" t="s">
        <v>41</v>
      </c>
      <c r="U832" s="29">
        <v>46313.400706018518</v>
      </c>
      <c r="V832" s="29">
        <v>46313.400266203702</v>
      </c>
      <c r="W832" t="s">
        <v>2605</v>
      </c>
      <c r="X832">
        <v>22411</v>
      </c>
      <c r="Z832">
        <v>0</v>
      </c>
      <c r="AA832" s="30">
        <v>0.39652777777777781</v>
      </c>
      <c r="AB832">
        <v>3</v>
      </c>
      <c r="AC832" t="s">
        <v>41</v>
      </c>
    </row>
    <row r="833" spans="1:29">
      <c r="A833" t="s">
        <v>734</v>
      </c>
      <c r="B833" s="29">
        <v>46313.396157407406</v>
      </c>
      <c r="C833">
        <v>1450</v>
      </c>
      <c r="D833" t="s">
        <v>41</v>
      </c>
      <c r="E833">
        <v>5</v>
      </c>
      <c r="F833" t="s">
        <v>41</v>
      </c>
      <c r="G833" t="s">
        <v>41</v>
      </c>
      <c r="H833" t="s">
        <v>2606</v>
      </c>
      <c r="I833" s="29">
        <v>46313.397060185183</v>
      </c>
      <c r="J833" t="s">
        <v>41</v>
      </c>
      <c r="K833" s="29">
        <v>46313.396736111114</v>
      </c>
      <c r="L833">
        <v>27</v>
      </c>
      <c r="O833" s="29">
        <v>46313.39607638889</v>
      </c>
      <c r="P833" t="s">
        <v>43</v>
      </c>
      <c r="Q833" t="s">
        <v>736</v>
      </c>
      <c r="R833" t="s">
        <v>2607</v>
      </c>
      <c r="S833">
        <v>4247</v>
      </c>
      <c r="T833" t="s">
        <v>41</v>
      </c>
      <c r="U833" s="29">
        <v>46313.401018518518</v>
      </c>
      <c r="V833" s="29">
        <v>46313.400312500002</v>
      </c>
      <c r="W833" t="s">
        <v>2608</v>
      </c>
      <c r="X833">
        <v>22411</v>
      </c>
      <c r="Z833">
        <v>0</v>
      </c>
      <c r="AA833" s="30">
        <v>0.39583333333333331</v>
      </c>
      <c r="AB833">
        <v>5</v>
      </c>
      <c r="AC833" t="s">
        <v>41</v>
      </c>
    </row>
    <row r="834" spans="1:29">
      <c r="A834" t="s">
        <v>93</v>
      </c>
      <c r="B834" s="29">
        <v>46313.395983796298</v>
      </c>
      <c r="C834">
        <v>3275</v>
      </c>
      <c r="D834" t="s">
        <v>41</v>
      </c>
      <c r="E834">
        <v>8</v>
      </c>
      <c r="F834" t="s">
        <v>41</v>
      </c>
      <c r="G834" t="s">
        <v>41</v>
      </c>
      <c r="H834" t="s">
        <v>2609</v>
      </c>
      <c r="I834" s="29">
        <v>46313.397766203707</v>
      </c>
      <c r="J834" t="s">
        <v>41</v>
      </c>
      <c r="K834" s="29">
        <v>46313.397546296299</v>
      </c>
      <c r="L834">
        <v>18</v>
      </c>
      <c r="O834" s="29">
        <v>46313.395868055559</v>
      </c>
      <c r="P834" t="s">
        <v>43</v>
      </c>
      <c r="Q834" t="s">
        <v>95</v>
      </c>
      <c r="R834" t="s">
        <v>2610</v>
      </c>
      <c r="S834">
        <v>4247</v>
      </c>
      <c r="T834" t="s">
        <v>41</v>
      </c>
      <c r="U834" s="29">
        <v>46313.40483796296</v>
      </c>
      <c r="V834" s="29">
        <v>46313.403414351851</v>
      </c>
      <c r="W834" t="s">
        <v>2611</v>
      </c>
      <c r="X834">
        <v>22411</v>
      </c>
      <c r="Z834">
        <v>0</v>
      </c>
      <c r="AA834" s="30">
        <v>0.39583333333333331</v>
      </c>
      <c r="AB834">
        <v>8</v>
      </c>
      <c r="AC834" t="s">
        <v>41</v>
      </c>
    </row>
    <row r="835" spans="1:29">
      <c r="A835" t="s">
        <v>67</v>
      </c>
      <c r="B835" s="29">
        <v>46313.395185185182</v>
      </c>
      <c r="C835">
        <v>2753</v>
      </c>
      <c r="D835" t="s">
        <v>41</v>
      </c>
      <c r="E835">
        <v>8</v>
      </c>
      <c r="F835" t="s">
        <v>41</v>
      </c>
      <c r="G835" t="s">
        <v>41</v>
      </c>
      <c r="H835" t="s">
        <v>2612</v>
      </c>
      <c r="I835" s="29">
        <v>46313.395798611113</v>
      </c>
      <c r="J835" t="s">
        <v>41</v>
      </c>
      <c r="K835" s="29">
        <v>46313.395428240743</v>
      </c>
      <c r="L835">
        <v>31</v>
      </c>
      <c r="O835" s="29">
        <v>46313.395092592589</v>
      </c>
      <c r="P835" t="s">
        <v>43</v>
      </c>
      <c r="Q835" t="s">
        <v>69</v>
      </c>
      <c r="R835" t="s">
        <v>2613</v>
      </c>
      <c r="S835">
        <v>4247</v>
      </c>
      <c r="T835" t="s">
        <v>41</v>
      </c>
      <c r="U835" s="29">
        <v>46313.402905092589</v>
      </c>
      <c r="V835" s="29">
        <v>46313.400706018518</v>
      </c>
      <c r="W835" t="s">
        <v>2614</v>
      </c>
      <c r="X835">
        <v>22411</v>
      </c>
      <c r="Z835">
        <v>0</v>
      </c>
      <c r="AA835" s="30">
        <v>0.39513888888888887</v>
      </c>
      <c r="AB835">
        <v>7</v>
      </c>
      <c r="AC835" t="s">
        <v>41</v>
      </c>
    </row>
    <row r="836" spans="1:29">
      <c r="A836" t="s">
        <v>1136</v>
      </c>
      <c r="B836" s="29">
        <v>46313.394409722219</v>
      </c>
      <c r="C836">
        <v>2142</v>
      </c>
      <c r="D836" t="s">
        <v>41</v>
      </c>
      <c r="E836">
        <v>5</v>
      </c>
      <c r="F836" t="s">
        <v>41</v>
      </c>
      <c r="G836" t="s">
        <v>41</v>
      </c>
      <c r="H836" t="s">
        <v>2615</v>
      </c>
      <c r="I836" s="29">
        <v>46313.396145833336</v>
      </c>
      <c r="J836" t="s">
        <v>41</v>
      </c>
      <c r="K836" s="29">
        <v>46313.395775462966</v>
      </c>
      <c r="L836">
        <v>31</v>
      </c>
      <c r="O836" s="29">
        <v>46313.394259259258</v>
      </c>
      <c r="P836" t="s">
        <v>43</v>
      </c>
      <c r="Q836" t="s">
        <v>1138</v>
      </c>
      <c r="R836" t="s">
        <v>2616</v>
      </c>
      <c r="S836">
        <v>4247</v>
      </c>
      <c r="T836" t="s">
        <v>41</v>
      </c>
      <c r="U836" s="29">
        <v>46313.40221064815</v>
      </c>
      <c r="V836" s="29">
        <v>46313.398993055554</v>
      </c>
      <c r="W836" t="s">
        <v>2617</v>
      </c>
      <c r="X836">
        <v>22411</v>
      </c>
      <c r="Z836">
        <v>0</v>
      </c>
      <c r="AA836" s="30">
        <v>0.39374999999999999</v>
      </c>
      <c r="AB836">
        <v>4</v>
      </c>
      <c r="AC836" t="s">
        <v>41</v>
      </c>
    </row>
    <row r="837" spans="1:29">
      <c r="A837" t="s">
        <v>1336</v>
      </c>
      <c r="B837" s="29">
        <v>46313.394259259258</v>
      </c>
      <c r="C837">
        <v>1802</v>
      </c>
      <c r="D837" t="s">
        <v>41</v>
      </c>
      <c r="E837">
        <v>7</v>
      </c>
      <c r="F837" t="s">
        <v>41</v>
      </c>
      <c r="G837" t="s">
        <v>41</v>
      </c>
      <c r="H837" t="s">
        <v>2618</v>
      </c>
      <c r="I837" s="29">
        <v>46313.397037037037</v>
      </c>
      <c r="J837" t="s">
        <v>41</v>
      </c>
      <c r="K837" s="29">
        <v>46313.396643518521</v>
      </c>
      <c r="L837">
        <v>33</v>
      </c>
      <c r="O837" s="29">
        <v>46313.394155092596</v>
      </c>
      <c r="P837" t="s">
        <v>43</v>
      </c>
      <c r="Q837" t="s">
        <v>1338</v>
      </c>
      <c r="R837" t="s">
        <v>2619</v>
      </c>
      <c r="S837">
        <v>4247</v>
      </c>
      <c r="T837" t="s">
        <v>41</v>
      </c>
      <c r="U837" s="29">
        <v>46313.402731481481</v>
      </c>
      <c r="V837" s="29">
        <v>46313.401192129626</v>
      </c>
      <c r="W837" t="s">
        <v>2620</v>
      </c>
      <c r="X837">
        <v>22411</v>
      </c>
      <c r="Z837">
        <v>0</v>
      </c>
      <c r="AA837" s="30">
        <v>0.39374999999999999</v>
      </c>
      <c r="AB837">
        <v>6</v>
      </c>
      <c r="AC837" t="s">
        <v>41</v>
      </c>
    </row>
    <row r="838" spans="1:29">
      <c r="A838" t="s">
        <v>62</v>
      </c>
      <c r="B838" s="29">
        <v>46313.393587962964</v>
      </c>
      <c r="C838">
        <v>1043</v>
      </c>
      <c r="D838" t="s">
        <v>41</v>
      </c>
      <c r="E838">
        <v>5</v>
      </c>
      <c r="F838" t="s">
        <v>41</v>
      </c>
      <c r="G838" t="s">
        <v>41</v>
      </c>
      <c r="H838" t="s">
        <v>2621</v>
      </c>
      <c r="I838" s="29">
        <v>46313.394490740742</v>
      </c>
      <c r="J838" t="s">
        <v>41</v>
      </c>
      <c r="K838" s="29">
        <v>46313.394050925926</v>
      </c>
      <c r="L838">
        <v>37</v>
      </c>
      <c r="O838" s="29">
        <v>46313.393414351849</v>
      </c>
      <c r="P838" t="s">
        <v>43</v>
      </c>
      <c r="Q838" t="s">
        <v>64</v>
      </c>
      <c r="R838" t="s">
        <v>2622</v>
      </c>
      <c r="S838">
        <v>4247</v>
      </c>
      <c r="T838" t="s">
        <v>41</v>
      </c>
      <c r="U838" s="29">
        <v>46313.398344907408</v>
      </c>
      <c r="V838" s="29">
        <v>46313.397557870368</v>
      </c>
      <c r="W838" t="s">
        <v>2623</v>
      </c>
      <c r="X838">
        <v>22411</v>
      </c>
      <c r="Z838">
        <v>0</v>
      </c>
      <c r="AA838" s="30">
        <v>0.39305555555555555</v>
      </c>
      <c r="AB838">
        <v>4</v>
      </c>
      <c r="AC838" t="s">
        <v>41</v>
      </c>
    </row>
    <row r="839" spans="1:29">
      <c r="A839" t="s">
        <v>1171</v>
      </c>
      <c r="B839" s="29">
        <v>46313.393657407411</v>
      </c>
      <c r="C839">
        <v>2430</v>
      </c>
      <c r="D839" t="s">
        <v>41</v>
      </c>
      <c r="E839">
        <v>6</v>
      </c>
      <c r="F839" t="s">
        <v>41</v>
      </c>
      <c r="G839" t="s">
        <v>41</v>
      </c>
      <c r="H839" t="s">
        <v>2624</v>
      </c>
      <c r="I839" s="29">
        <v>46313.394444444442</v>
      </c>
      <c r="J839" t="s">
        <v>41</v>
      </c>
      <c r="K839" s="29">
        <v>46313.393888888888</v>
      </c>
      <c r="L839">
        <v>47</v>
      </c>
      <c r="O839" s="29">
        <v>46313.39303240741</v>
      </c>
      <c r="P839" t="s">
        <v>43</v>
      </c>
      <c r="Q839" t="s">
        <v>1173</v>
      </c>
      <c r="R839" t="s">
        <v>2625</v>
      </c>
      <c r="S839">
        <v>4247</v>
      </c>
      <c r="T839" t="s">
        <v>41</v>
      </c>
      <c r="U839" s="29">
        <v>46313.399942129632</v>
      </c>
      <c r="V839" s="29">
        <v>46313.398402777777</v>
      </c>
      <c r="W839" t="s">
        <v>2626</v>
      </c>
      <c r="X839">
        <v>22411</v>
      </c>
      <c r="Z839">
        <v>0</v>
      </c>
      <c r="AA839" s="30">
        <v>0.39305555555555555</v>
      </c>
      <c r="AB839">
        <v>6</v>
      </c>
      <c r="AC839" t="s">
        <v>41</v>
      </c>
    </row>
    <row r="840" spans="1:29">
      <c r="A840" t="s">
        <v>1461</v>
      </c>
      <c r="B840" s="29">
        <v>46313.393101851849</v>
      </c>
      <c r="C840">
        <v>1347</v>
      </c>
      <c r="D840" t="s">
        <v>41</v>
      </c>
      <c r="E840">
        <v>4</v>
      </c>
      <c r="F840" t="s">
        <v>41</v>
      </c>
      <c r="G840" t="s">
        <v>41</v>
      </c>
      <c r="H840" t="s">
        <v>2627</v>
      </c>
      <c r="I840" s="29">
        <v>46313.396099537036</v>
      </c>
      <c r="J840" t="s">
        <v>41</v>
      </c>
      <c r="K840" s="29">
        <v>46313.395636574074</v>
      </c>
      <c r="L840">
        <v>39</v>
      </c>
      <c r="O840" s="29">
        <v>46313.392939814818</v>
      </c>
      <c r="P840" t="s">
        <v>43</v>
      </c>
      <c r="Q840" t="s">
        <v>1463</v>
      </c>
      <c r="R840" t="s">
        <v>2628</v>
      </c>
      <c r="S840">
        <v>4247</v>
      </c>
      <c r="T840" t="s">
        <v>41</v>
      </c>
      <c r="U840" s="29">
        <v>46313.399247685185</v>
      </c>
      <c r="V840" s="29">
        <v>46313.398622685185</v>
      </c>
      <c r="W840" t="s">
        <v>2629</v>
      </c>
      <c r="X840">
        <v>22411</v>
      </c>
      <c r="Z840">
        <v>0</v>
      </c>
      <c r="AA840" s="30">
        <v>0.39305555555555555</v>
      </c>
      <c r="AB840">
        <v>4</v>
      </c>
      <c r="AC840" t="s">
        <v>41</v>
      </c>
    </row>
    <row r="841" spans="1:29">
      <c r="A841" t="s">
        <v>655</v>
      </c>
      <c r="B841" s="29">
        <v>46313.392777777779</v>
      </c>
      <c r="C841">
        <v>1619</v>
      </c>
      <c r="D841" t="s">
        <v>41</v>
      </c>
      <c r="E841">
        <v>5</v>
      </c>
      <c r="F841" t="s">
        <v>41</v>
      </c>
      <c r="G841" t="s">
        <v>41</v>
      </c>
      <c r="H841" t="s">
        <v>2630</v>
      </c>
      <c r="I841" s="29">
        <v>46313.393900462965</v>
      </c>
      <c r="J841" t="s">
        <v>41</v>
      </c>
      <c r="K841" s="29">
        <v>46313.393634259257</v>
      </c>
      <c r="L841">
        <v>22</v>
      </c>
      <c r="O841" s="29">
        <v>46313.392731481479</v>
      </c>
      <c r="P841" t="s">
        <v>43</v>
      </c>
      <c r="Q841" t="s">
        <v>657</v>
      </c>
      <c r="R841" t="s">
        <v>2631</v>
      </c>
      <c r="S841">
        <v>4247</v>
      </c>
      <c r="T841" t="s">
        <v>41</v>
      </c>
      <c r="U841" s="29">
        <v>46313.398009259261</v>
      </c>
      <c r="V841" s="29">
        <v>46313.396863425929</v>
      </c>
      <c r="W841" t="s">
        <v>2632</v>
      </c>
      <c r="X841">
        <v>22411</v>
      </c>
      <c r="Z841">
        <v>0</v>
      </c>
      <c r="AA841" s="30">
        <v>0.3923611111111111</v>
      </c>
      <c r="AB841">
        <v>4</v>
      </c>
      <c r="AC841" t="s">
        <v>41</v>
      </c>
    </row>
    <row r="842" spans="1:29">
      <c r="A842" t="s">
        <v>1391</v>
      </c>
      <c r="B842" s="29">
        <v>46313.392557870371</v>
      </c>
      <c r="C842">
        <v>1960</v>
      </c>
      <c r="D842" t="s">
        <v>41</v>
      </c>
      <c r="E842">
        <v>5</v>
      </c>
      <c r="F842" t="s">
        <v>41</v>
      </c>
      <c r="G842" t="s">
        <v>41</v>
      </c>
      <c r="H842" t="s">
        <v>2633</v>
      </c>
      <c r="I842" s="29">
        <v>46313.393460648149</v>
      </c>
      <c r="J842" t="s">
        <v>41</v>
      </c>
      <c r="K842" s="29">
        <v>46313.393217592595</v>
      </c>
      <c r="L842">
        <v>20</v>
      </c>
      <c r="O842" s="29">
        <v>46313.39234953704</v>
      </c>
      <c r="P842" t="s">
        <v>43</v>
      </c>
      <c r="Q842" t="s">
        <v>1393</v>
      </c>
      <c r="R842" t="s">
        <v>2634</v>
      </c>
      <c r="S842">
        <v>4247</v>
      </c>
      <c r="T842" t="s">
        <v>41</v>
      </c>
      <c r="U842" s="29">
        <v>46313.397974537038</v>
      </c>
      <c r="V842" s="29">
        <v>46313.39675925926</v>
      </c>
      <c r="W842" t="s">
        <v>2635</v>
      </c>
      <c r="X842">
        <v>22411</v>
      </c>
      <c r="Z842">
        <v>0</v>
      </c>
      <c r="AA842" s="30">
        <v>0.3923611111111111</v>
      </c>
      <c r="AB842">
        <v>5</v>
      </c>
      <c r="AC842" t="s">
        <v>41</v>
      </c>
    </row>
    <row r="843" spans="1:29">
      <c r="A843" t="s">
        <v>1365</v>
      </c>
      <c r="B843" s="29">
        <v>46313.391446759262</v>
      </c>
      <c r="C843">
        <v>2771</v>
      </c>
      <c r="D843" t="s">
        <v>41</v>
      </c>
      <c r="E843">
        <v>7</v>
      </c>
      <c r="F843" t="s">
        <v>41</v>
      </c>
      <c r="G843" t="s">
        <v>41</v>
      </c>
      <c r="H843" t="s">
        <v>2636</v>
      </c>
      <c r="I843" s="29">
        <v>46313.392048611109</v>
      </c>
      <c r="J843" t="s">
        <v>41</v>
      </c>
      <c r="K843" s="29">
        <v>46313.391828703701</v>
      </c>
      <c r="L843">
        <v>18</v>
      </c>
      <c r="O843" s="29">
        <v>46313.391377314816</v>
      </c>
      <c r="P843" t="s">
        <v>43</v>
      </c>
      <c r="Q843" t="s">
        <v>1367</v>
      </c>
      <c r="R843" t="s">
        <v>2637</v>
      </c>
      <c r="S843">
        <v>4247</v>
      </c>
      <c r="T843" t="s">
        <v>41</v>
      </c>
      <c r="U843" s="29">
        <v>46313.399502314816</v>
      </c>
      <c r="V843" s="29">
        <v>46313.396967592591</v>
      </c>
      <c r="W843" t="s">
        <v>2638</v>
      </c>
      <c r="X843">
        <v>22411</v>
      </c>
      <c r="Z843">
        <v>0</v>
      </c>
      <c r="AA843" s="30">
        <v>0.39097222222222222</v>
      </c>
      <c r="AB843">
        <v>7</v>
      </c>
      <c r="AC843" t="s">
        <v>41</v>
      </c>
    </row>
    <row r="844" spans="1:29">
      <c r="A844" t="s">
        <v>1077</v>
      </c>
      <c r="B844" s="29">
        <v>46313.391331018516</v>
      </c>
      <c r="C844">
        <v>2598</v>
      </c>
      <c r="D844" t="s">
        <v>41</v>
      </c>
      <c r="E844">
        <v>8</v>
      </c>
      <c r="F844" t="s">
        <v>41</v>
      </c>
      <c r="G844" t="s">
        <v>41</v>
      </c>
      <c r="H844" t="s">
        <v>2639</v>
      </c>
      <c r="I844" s="29">
        <v>46313.392638888887</v>
      </c>
      <c r="J844" t="s">
        <v>41</v>
      </c>
      <c r="K844" s="29">
        <v>46313.392500000002</v>
      </c>
      <c r="L844">
        <v>11</v>
      </c>
      <c r="O844" s="29">
        <v>46313.391192129631</v>
      </c>
      <c r="P844" t="s">
        <v>43</v>
      </c>
      <c r="Q844" t="s">
        <v>1079</v>
      </c>
      <c r="R844" t="s">
        <v>2640</v>
      </c>
      <c r="S844">
        <v>4247</v>
      </c>
      <c r="T844" t="s">
        <v>41</v>
      </c>
      <c r="U844" s="29">
        <v>46313.398101851853</v>
      </c>
      <c r="V844" s="29">
        <v>46313.398113425923</v>
      </c>
      <c r="W844" t="s">
        <v>2641</v>
      </c>
      <c r="X844">
        <v>22411</v>
      </c>
      <c r="Z844">
        <v>0</v>
      </c>
      <c r="AA844" s="30">
        <v>0.39097222222222222</v>
      </c>
      <c r="AB844">
        <v>8</v>
      </c>
      <c r="AC844" t="s">
        <v>41</v>
      </c>
    </row>
    <row r="845" spans="1:29">
      <c r="A845" t="s">
        <v>177</v>
      </c>
      <c r="B845" s="29">
        <v>46313.390266203707</v>
      </c>
      <c r="C845">
        <v>1281</v>
      </c>
      <c r="D845" t="s">
        <v>41</v>
      </c>
      <c r="E845">
        <v>6</v>
      </c>
      <c r="F845" t="s">
        <v>41</v>
      </c>
      <c r="G845" t="s">
        <v>41</v>
      </c>
      <c r="H845" t="s">
        <v>2642</v>
      </c>
      <c r="I845" s="29">
        <v>46313.391018518516</v>
      </c>
      <c r="J845" t="s">
        <v>41</v>
      </c>
      <c r="K845" s="29">
        <v>46313.390601851854</v>
      </c>
      <c r="L845">
        <v>35</v>
      </c>
      <c r="O845" s="29">
        <v>46313.390127314815</v>
      </c>
      <c r="P845" t="s">
        <v>43</v>
      </c>
      <c r="Q845" t="s">
        <v>179</v>
      </c>
      <c r="R845" t="s">
        <v>2643</v>
      </c>
      <c r="S845">
        <v>4247</v>
      </c>
      <c r="T845" t="s">
        <v>41</v>
      </c>
      <c r="U845" s="29">
        <v>46313.395208333335</v>
      </c>
      <c r="V845" s="29">
        <v>46313.394432870373</v>
      </c>
      <c r="W845" t="s">
        <v>2644</v>
      </c>
      <c r="X845">
        <v>22411</v>
      </c>
      <c r="Z845">
        <v>0</v>
      </c>
      <c r="AA845" s="30">
        <v>0.38958333333333334</v>
      </c>
      <c r="AB845">
        <v>5</v>
      </c>
      <c r="AC845" t="s">
        <v>41</v>
      </c>
    </row>
    <row r="846" spans="1:29">
      <c r="A846" t="s">
        <v>347</v>
      </c>
      <c r="B846" s="29">
        <v>46313.390127314815</v>
      </c>
      <c r="C846">
        <v>1179</v>
      </c>
      <c r="D846" t="s">
        <v>41</v>
      </c>
      <c r="E846">
        <v>4</v>
      </c>
      <c r="F846" t="s">
        <v>41</v>
      </c>
      <c r="G846" t="s">
        <v>41</v>
      </c>
      <c r="H846" t="s">
        <v>2645</v>
      </c>
      <c r="I846" s="29">
        <v>46313.393703703703</v>
      </c>
      <c r="J846" t="s">
        <v>41</v>
      </c>
      <c r="K846" s="29">
        <v>46313.39335648148</v>
      </c>
      <c r="L846">
        <v>29</v>
      </c>
      <c r="O846" s="29">
        <v>46313.390011574076</v>
      </c>
      <c r="P846" t="s">
        <v>43</v>
      </c>
      <c r="Q846" t="s">
        <v>349</v>
      </c>
      <c r="R846" t="s">
        <v>2646</v>
      </c>
      <c r="S846">
        <v>4247</v>
      </c>
      <c r="T846" t="s">
        <v>41</v>
      </c>
      <c r="U846" s="29">
        <v>46313.396631944444</v>
      </c>
      <c r="V846" s="29">
        <v>46313.396354166667</v>
      </c>
      <c r="W846" t="s">
        <v>2647</v>
      </c>
      <c r="X846">
        <v>22411</v>
      </c>
      <c r="Z846">
        <v>0</v>
      </c>
      <c r="AA846" s="30">
        <v>0.38958333333333334</v>
      </c>
      <c r="AB846">
        <v>4</v>
      </c>
      <c r="AC846" t="s">
        <v>41</v>
      </c>
    </row>
    <row r="847" spans="1:29">
      <c r="A847" t="s">
        <v>185</v>
      </c>
      <c r="B847" s="29">
        <v>46313.388703703706</v>
      </c>
      <c r="C847">
        <v>1775</v>
      </c>
      <c r="D847" t="s">
        <v>41</v>
      </c>
      <c r="E847">
        <v>7</v>
      </c>
      <c r="F847" t="s">
        <v>41</v>
      </c>
      <c r="G847" t="s">
        <v>41</v>
      </c>
      <c r="H847" t="s">
        <v>2648</v>
      </c>
      <c r="I847" s="29">
        <v>46313.392187500001</v>
      </c>
      <c r="J847" t="s">
        <v>41</v>
      </c>
      <c r="K847" s="29">
        <v>46313.391840277778</v>
      </c>
      <c r="L847">
        <v>29</v>
      </c>
      <c r="O847" s="29">
        <v>46313.388564814813</v>
      </c>
      <c r="P847" t="s">
        <v>43</v>
      </c>
      <c r="Q847" t="s">
        <v>3007</v>
      </c>
      <c r="R847" t="s">
        <v>2649</v>
      </c>
      <c r="S847">
        <v>4247</v>
      </c>
      <c r="T847" t="s">
        <v>41</v>
      </c>
      <c r="U847" s="29">
        <v>46313.397638888891</v>
      </c>
      <c r="V847" s="29">
        <v>46313.396516203706</v>
      </c>
      <c r="W847" t="s">
        <v>2650</v>
      </c>
      <c r="X847">
        <v>22411</v>
      </c>
      <c r="Z847">
        <v>0</v>
      </c>
      <c r="AA847" s="30">
        <v>0.38819444444444445</v>
      </c>
      <c r="AB847">
        <v>6</v>
      </c>
      <c r="AC847" t="s">
        <v>41</v>
      </c>
    </row>
    <row r="848" spans="1:29">
      <c r="A848" t="s">
        <v>2258</v>
      </c>
      <c r="B848" s="29">
        <v>46313.38685185185</v>
      </c>
      <c r="C848">
        <v>1268</v>
      </c>
      <c r="D848" t="s">
        <v>41</v>
      </c>
      <c r="E848">
        <v>4</v>
      </c>
      <c r="F848" t="s">
        <v>41</v>
      </c>
      <c r="G848" t="s">
        <v>41</v>
      </c>
      <c r="H848" t="s">
        <v>2651</v>
      </c>
      <c r="I848" s="29">
        <v>46313.387766203705</v>
      </c>
      <c r="J848" t="s">
        <v>41</v>
      </c>
      <c r="K848" s="29">
        <v>46313.387569444443</v>
      </c>
      <c r="L848">
        <v>16</v>
      </c>
      <c r="O848" s="29">
        <v>46313.386782407404</v>
      </c>
      <c r="P848" t="s">
        <v>43</v>
      </c>
      <c r="Q848" t="s">
        <v>2260</v>
      </c>
      <c r="R848" t="s">
        <v>2652</v>
      </c>
      <c r="S848">
        <v>4247</v>
      </c>
      <c r="T848" t="s">
        <v>41</v>
      </c>
      <c r="U848" s="29">
        <v>46313.390821759262</v>
      </c>
      <c r="V848" s="29">
        <v>46313.390150462961</v>
      </c>
      <c r="W848" t="s">
        <v>2653</v>
      </c>
      <c r="X848">
        <v>22411</v>
      </c>
      <c r="Z848">
        <v>0</v>
      </c>
      <c r="AA848" s="30">
        <v>0.38680555555555557</v>
      </c>
      <c r="AB848">
        <v>3</v>
      </c>
      <c r="AC848" t="s">
        <v>41</v>
      </c>
    </row>
    <row r="849" spans="1:29">
      <c r="A849" t="s">
        <v>379</v>
      </c>
      <c r="B849" s="29">
        <v>46313.386307870373</v>
      </c>
      <c r="C849">
        <v>1237</v>
      </c>
      <c r="D849" t="s">
        <v>41</v>
      </c>
      <c r="E849">
        <v>4</v>
      </c>
      <c r="F849" t="s">
        <v>41</v>
      </c>
      <c r="G849" t="s">
        <v>41</v>
      </c>
      <c r="H849" t="s">
        <v>2654</v>
      </c>
      <c r="I849" s="29">
        <v>46313.387326388889</v>
      </c>
      <c r="J849" t="s">
        <v>41</v>
      </c>
      <c r="K849" s="29">
        <v>46313.387118055558</v>
      </c>
      <c r="L849">
        <v>17</v>
      </c>
      <c r="O849" s="29">
        <v>46313.386145833334</v>
      </c>
      <c r="P849" t="s">
        <v>43</v>
      </c>
      <c r="Q849" t="s">
        <v>381</v>
      </c>
      <c r="R849" t="s">
        <v>2655</v>
      </c>
      <c r="S849">
        <v>4247</v>
      </c>
      <c r="T849" t="s">
        <v>41</v>
      </c>
      <c r="U849" s="29">
        <v>46313.391342592593</v>
      </c>
      <c r="V849" s="29">
        <v>46313.389907407407</v>
      </c>
      <c r="W849" t="s">
        <v>2656</v>
      </c>
      <c r="X849">
        <v>22411</v>
      </c>
      <c r="Z849">
        <v>0</v>
      </c>
      <c r="AA849" s="30">
        <v>0.38611111111111113</v>
      </c>
      <c r="AB849">
        <v>4</v>
      </c>
      <c r="AC849" t="s">
        <v>41</v>
      </c>
    </row>
    <row r="850" spans="1:29">
      <c r="A850" t="s">
        <v>1239</v>
      </c>
      <c r="B850" s="29">
        <v>46313.386018518519</v>
      </c>
      <c r="C850">
        <v>2199</v>
      </c>
      <c r="D850" t="s">
        <v>41</v>
      </c>
      <c r="E850">
        <v>7</v>
      </c>
      <c r="F850" t="s">
        <v>41</v>
      </c>
      <c r="G850" t="s">
        <v>41</v>
      </c>
      <c r="H850" t="s">
        <v>2657</v>
      </c>
      <c r="I850" s="29">
        <v>46313.386550925927</v>
      </c>
      <c r="J850" t="s">
        <v>41</v>
      </c>
      <c r="K850" s="29">
        <v>46313.386238425926</v>
      </c>
      <c r="L850">
        <v>26</v>
      </c>
      <c r="O850" s="29">
        <v>46313.385844907411</v>
      </c>
      <c r="P850" t="s">
        <v>43</v>
      </c>
      <c r="Q850" t="s">
        <v>1241</v>
      </c>
      <c r="R850" t="s">
        <v>2658</v>
      </c>
      <c r="S850">
        <v>4247</v>
      </c>
      <c r="T850" t="s">
        <v>41</v>
      </c>
      <c r="U850" s="29">
        <v>46313.391342592593</v>
      </c>
      <c r="V850" s="29">
        <v>46313.390810185185</v>
      </c>
      <c r="W850" t="s">
        <v>2659</v>
      </c>
      <c r="X850">
        <v>22411</v>
      </c>
      <c r="Z850">
        <v>0</v>
      </c>
      <c r="AA850" s="30">
        <v>0.38541666666666669</v>
      </c>
      <c r="AB850">
        <v>6</v>
      </c>
      <c r="AC850" t="s">
        <v>41</v>
      </c>
    </row>
    <row r="851" spans="1:29">
      <c r="A851" t="s">
        <v>106</v>
      </c>
      <c r="B851" s="29">
        <v>46313.384085648147</v>
      </c>
      <c r="C851">
        <v>1541</v>
      </c>
      <c r="D851" t="s">
        <v>41</v>
      </c>
      <c r="E851">
        <v>5</v>
      </c>
      <c r="F851" t="s">
        <v>41</v>
      </c>
      <c r="G851" t="s">
        <v>41</v>
      </c>
      <c r="H851" t="s">
        <v>2660</v>
      </c>
      <c r="I851" s="29">
        <v>46313.385740740741</v>
      </c>
      <c r="J851" t="s">
        <v>41</v>
      </c>
      <c r="K851" s="29">
        <v>46313.385405092595</v>
      </c>
      <c r="L851">
        <v>28</v>
      </c>
      <c r="O851" s="29">
        <v>46313.383935185186</v>
      </c>
      <c r="P851" t="s">
        <v>43</v>
      </c>
      <c r="Q851" t="s">
        <v>108</v>
      </c>
      <c r="R851" t="s">
        <v>2661</v>
      </c>
      <c r="S851">
        <v>4247</v>
      </c>
      <c r="T851" t="s">
        <v>41</v>
      </c>
      <c r="U851" s="29">
        <v>46313.389317129629</v>
      </c>
      <c r="V851" s="29">
        <v>46313.38863425926</v>
      </c>
      <c r="W851" t="s">
        <v>2662</v>
      </c>
      <c r="X851">
        <v>22411</v>
      </c>
      <c r="Z851">
        <v>0</v>
      </c>
      <c r="AA851" s="30">
        <v>0.3840277777777778</v>
      </c>
      <c r="AB851">
        <v>4</v>
      </c>
      <c r="AC851" t="s">
        <v>41</v>
      </c>
    </row>
    <row r="852" spans="1:29">
      <c r="A852" t="s">
        <v>52</v>
      </c>
      <c r="B852" s="29">
        <v>46313.383958333332</v>
      </c>
      <c r="C852">
        <v>591</v>
      </c>
      <c r="D852" t="s">
        <v>41</v>
      </c>
      <c r="E852">
        <v>2</v>
      </c>
      <c r="F852" t="s">
        <v>41</v>
      </c>
      <c r="G852" t="s">
        <v>41</v>
      </c>
      <c r="H852" t="s">
        <v>2663</v>
      </c>
      <c r="I852" s="29">
        <v>46313.389641203707</v>
      </c>
      <c r="J852" t="s">
        <v>41</v>
      </c>
      <c r="K852" s="29">
        <v>46313.389398148145</v>
      </c>
      <c r="L852">
        <v>20</v>
      </c>
      <c r="O852" s="29">
        <v>46313.38386574074</v>
      </c>
      <c r="P852" t="s">
        <v>43</v>
      </c>
      <c r="Q852" t="s">
        <v>54</v>
      </c>
      <c r="R852" t="s">
        <v>2664</v>
      </c>
      <c r="S852">
        <v>4247</v>
      </c>
      <c r="T852" t="s">
        <v>41</v>
      </c>
      <c r="U852" s="29">
        <v>46313.391504629632</v>
      </c>
      <c r="V852" s="29">
        <v>46313.390833333331</v>
      </c>
      <c r="W852" t="s">
        <v>2665</v>
      </c>
      <c r="X852">
        <v>22411</v>
      </c>
      <c r="Z852">
        <v>0</v>
      </c>
      <c r="AA852" s="30">
        <v>0.3833333333333333</v>
      </c>
      <c r="AB852">
        <v>2</v>
      </c>
      <c r="AC852" t="s">
        <v>41</v>
      </c>
    </row>
    <row r="853" spans="1:29">
      <c r="A853" t="s">
        <v>190</v>
      </c>
      <c r="B853" s="29">
        <v>46313.38380787037</v>
      </c>
      <c r="C853">
        <v>2336</v>
      </c>
      <c r="D853" t="s">
        <v>41</v>
      </c>
      <c r="E853">
        <v>7</v>
      </c>
      <c r="F853" t="s">
        <v>41</v>
      </c>
      <c r="G853" t="s">
        <v>41</v>
      </c>
      <c r="H853" t="s">
        <v>2666</v>
      </c>
      <c r="I853" s="29">
        <v>46313.385150462964</v>
      </c>
      <c r="J853" t="s">
        <v>41</v>
      </c>
      <c r="K853" s="29">
        <v>46313.384884259256</v>
      </c>
      <c r="L853">
        <v>22</v>
      </c>
      <c r="O853" s="29">
        <v>46313.383634259262</v>
      </c>
      <c r="P853" t="s">
        <v>43</v>
      </c>
      <c r="Q853" t="s">
        <v>192</v>
      </c>
      <c r="R853" t="s">
        <v>2667</v>
      </c>
      <c r="S853">
        <v>4247</v>
      </c>
      <c r="T853" t="s">
        <v>41</v>
      </c>
      <c r="U853" s="29">
        <v>46313.3905787037</v>
      </c>
      <c r="V853" s="29">
        <v>46313.389907407407</v>
      </c>
      <c r="W853" t="s">
        <v>2668</v>
      </c>
      <c r="X853">
        <v>22411</v>
      </c>
      <c r="Z853">
        <v>0</v>
      </c>
      <c r="AA853" s="30">
        <v>0.3833333333333333</v>
      </c>
      <c r="AB853">
        <v>7</v>
      </c>
      <c r="AC853" t="s">
        <v>41</v>
      </c>
    </row>
    <row r="854" spans="1:29">
      <c r="A854" t="s">
        <v>57</v>
      </c>
      <c r="B854" s="29">
        <v>46313.383784722224</v>
      </c>
      <c r="C854">
        <v>4018</v>
      </c>
      <c r="D854" t="s">
        <v>41</v>
      </c>
      <c r="E854">
        <v>12</v>
      </c>
      <c r="F854" t="s">
        <v>41</v>
      </c>
      <c r="G854" t="s">
        <v>41</v>
      </c>
      <c r="H854" t="s">
        <v>2669</v>
      </c>
      <c r="I854" s="29">
        <v>46313.386469907404</v>
      </c>
      <c r="J854" t="s">
        <v>41</v>
      </c>
      <c r="K854" s="29">
        <v>46313.386192129627</v>
      </c>
      <c r="L854">
        <v>23</v>
      </c>
      <c r="O854" s="29">
        <v>46313.383587962962</v>
      </c>
      <c r="P854" t="s">
        <v>43</v>
      </c>
      <c r="Q854" t="s">
        <v>59</v>
      </c>
      <c r="R854" t="s">
        <v>2670</v>
      </c>
      <c r="S854">
        <v>4247</v>
      </c>
      <c r="T854" t="s">
        <v>41</v>
      </c>
      <c r="U854" s="29">
        <v>46313.396562499998</v>
      </c>
      <c r="V854" s="29">
        <v>46313.394826388889</v>
      </c>
      <c r="W854" t="s">
        <v>2671</v>
      </c>
      <c r="X854">
        <v>22411</v>
      </c>
      <c r="Z854">
        <v>0</v>
      </c>
      <c r="AA854" s="30">
        <v>0.3833333333333333</v>
      </c>
      <c r="AB854">
        <v>12</v>
      </c>
      <c r="AC854" t="s">
        <v>41</v>
      </c>
    </row>
    <row r="855" spans="1:29">
      <c r="A855" t="s">
        <v>1310</v>
      </c>
      <c r="B855" s="29">
        <v>46313.383668981478</v>
      </c>
      <c r="C855">
        <v>2038</v>
      </c>
      <c r="D855" t="s">
        <v>41</v>
      </c>
      <c r="E855">
        <v>8</v>
      </c>
      <c r="F855" t="s">
        <v>41</v>
      </c>
      <c r="G855" t="s">
        <v>41</v>
      </c>
      <c r="H855" t="s">
        <v>2672</v>
      </c>
      <c r="I855" s="29">
        <v>46313.386643518519</v>
      </c>
      <c r="J855" t="s">
        <v>41</v>
      </c>
      <c r="K855" s="29">
        <v>46313.386180555557</v>
      </c>
      <c r="L855">
        <v>39</v>
      </c>
      <c r="O855" s="29">
        <v>46313.383530092593</v>
      </c>
      <c r="P855" t="s">
        <v>43</v>
      </c>
      <c r="Q855" t="s">
        <v>1312</v>
      </c>
      <c r="R855" t="s">
        <v>2673</v>
      </c>
      <c r="S855">
        <v>4247</v>
      </c>
      <c r="T855" t="s">
        <v>41</v>
      </c>
      <c r="U855" s="29">
        <v>46313.393043981479</v>
      </c>
      <c r="V855" s="29">
        <v>46313.391469907408</v>
      </c>
      <c r="W855" t="s">
        <v>2674</v>
      </c>
      <c r="X855">
        <v>22411</v>
      </c>
      <c r="Z855">
        <v>0</v>
      </c>
      <c r="AA855" s="30">
        <v>0.3833333333333333</v>
      </c>
      <c r="AB855">
        <v>7</v>
      </c>
      <c r="AC855" t="s">
        <v>41</v>
      </c>
    </row>
    <row r="856" spans="1:29">
      <c r="A856" t="s">
        <v>1624</v>
      </c>
      <c r="B856" s="29">
        <v>46313.3825</v>
      </c>
      <c r="C856">
        <v>2097</v>
      </c>
      <c r="D856" t="s">
        <v>41</v>
      </c>
      <c r="E856">
        <v>7</v>
      </c>
      <c r="F856" t="s">
        <v>41</v>
      </c>
      <c r="G856" t="s">
        <v>41</v>
      </c>
      <c r="H856" t="s">
        <v>2675</v>
      </c>
      <c r="I856" s="29">
        <v>46313.385706018518</v>
      </c>
      <c r="J856" t="s">
        <v>41</v>
      </c>
      <c r="K856" s="29">
        <v>46313.385428240741</v>
      </c>
      <c r="L856">
        <v>23</v>
      </c>
      <c r="O856" s="29">
        <v>46313.382453703707</v>
      </c>
      <c r="P856" t="s">
        <v>43</v>
      </c>
      <c r="Q856" t="s">
        <v>1626</v>
      </c>
      <c r="R856" t="s">
        <v>2676</v>
      </c>
      <c r="S856">
        <v>4247</v>
      </c>
      <c r="T856" t="s">
        <v>41</v>
      </c>
      <c r="U856" s="29">
        <v>46313.39025462963</v>
      </c>
      <c r="V856" s="29">
        <v>46313.390046296299</v>
      </c>
      <c r="W856" t="s">
        <v>2677</v>
      </c>
      <c r="X856">
        <v>22411</v>
      </c>
      <c r="Z856">
        <v>0</v>
      </c>
      <c r="AA856" s="30">
        <v>0.38194444444444442</v>
      </c>
      <c r="AB856">
        <v>6</v>
      </c>
      <c r="AC856" t="s">
        <v>41</v>
      </c>
    </row>
    <row r="857" spans="1:29">
      <c r="A857" t="s">
        <v>734</v>
      </c>
      <c r="B857" s="29">
        <v>46313.380706018521</v>
      </c>
      <c r="C857">
        <v>2082</v>
      </c>
      <c r="D857" t="s">
        <v>41</v>
      </c>
      <c r="E857">
        <v>9</v>
      </c>
      <c r="F857" t="s">
        <v>41</v>
      </c>
      <c r="G857" t="s">
        <v>41</v>
      </c>
      <c r="H857" t="s">
        <v>2678</v>
      </c>
      <c r="I857" s="29">
        <v>46313.381307870368</v>
      </c>
      <c r="J857" t="s">
        <v>41</v>
      </c>
      <c r="K857" s="29">
        <v>46313.381064814814</v>
      </c>
      <c r="L857">
        <v>20</v>
      </c>
      <c r="O857" s="29">
        <v>46313.380347222221</v>
      </c>
      <c r="P857" t="s">
        <v>43</v>
      </c>
      <c r="Q857" t="s">
        <v>736</v>
      </c>
      <c r="R857" t="s">
        <v>2679</v>
      </c>
      <c r="S857">
        <v>4247</v>
      </c>
      <c r="T857" t="s">
        <v>41</v>
      </c>
      <c r="U857" s="29">
        <v>46313.385891203703</v>
      </c>
      <c r="V857" s="29">
        <v>46313.387083333335</v>
      </c>
      <c r="W857" t="s">
        <v>2680</v>
      </c>
      <c r="X857">
        <v>22411</v>
      </c>
      <c r="Z857">
        <v>0</v>
      </c>
      <c r="AA857" s="30">
        <v>0.38055555555555554</v>
      </c>
      <c r="AB857">
        <v>8</v>
      </c>
      <c r="AC857" t="s">
        <v>41</v>
      </c>
    </row>
    <row r="858" spans="1:29">
      <c r="A858" t="s">
        <v>1965</v>
      </c>
      <c r="B858" s="29">
        <v>46313.380532407406</v>
      </c>
      <c r="C858">
        <v>2845</v>
      </c>
      <c r="D858" t="s">
        <v>41</v>
      </c>
      <c r="E858">
        <v>6</v>
      </c>
      <c r="F858" t="s">
        <v>41</v>
      </c>
      <c r="G858" t="s">
        <v>41</v>
      </c>
      <c r="H858" t="s">
        <v>2681</v>
      </c>
      <c r="I858" s="29">
        <v>46313.380868055552</v>
      </c>
      <c r="J858" t="s">
        <v>41</v>
      </c>
      <c r="K858" s="29">
        <v>46313.380659722221</v>
      </c>
      <c r="L858">
        <v>17</v>
      </c>
      <c r="O858" s="29">
        <v>46313.380335648151</v>
      </c>
      <c r="P858" t="s">
        <v>43</v>
      </c>
      <c r="Q858" t="s">
        <v>1967</v>
      </c>
      <c r="R858" t="s">
        <v>2682</v>
      </c>
      <c r="S858">
        <v>4247</v>
      </c>
      <c r="T858" t="s">
        <v>41</v>
      </c>
      <c r="U858" s="29">
        <v>46313.387685185182</v>
      </c>
      <c r="V858" s="29">
        <v>46313.384930555556</v>
      </c>
      <c r="W858" t="s">
        <v>2683</v>
      </c>
      <c r="X858">
        <v>22411</v>
      </c>
      <c r="Z858">
        <v>0</v>
      </c>
      <c r="AA858" s="30">
        <v>0.37986111111111115</v>
      </c>
      <c r="AB858">
        <v>6</v>
      </c>
      <c r="AC858" t="s">
        <v>41</v>
      </c>
    </row>
    <row r="859" spans="1:29">
      <c r="A859" t="s">
        <v>2318</v>
      </c>
      <c r="B859" s="29">
        <v>46313.380011574074</v>
      </c>
      <c r="C859">
        <v>3623</v>
      </c>
      <c r="D859" t="s">
        <v>41</v>
      </c>
      <c r="E859">
        <v>8</v>
      </c>
      <c r="F859" t="s">
        <v>41</v>
      </c>
      <c r="G859" t="s">
        <v>41</v>
      </c>
      <c r="H859" t="s">
        <v>2684</v>
      </c>
      <c r="I859" s="29">
        <v>46313.38009259259</v>
      </c>
      <c r="J859" t="s">
        <v>41</v>
      </c>
      <c r="K859" s="29">
        <v>46313.379340277781</v>
      </c>
      <c r="L859">
        <v>7</v>
      </c>
      <c r="O859" s="29">
        <v>46313.378692129627</v>
      </c>
      <c r="P859" t="s">
        <v>43</v>
      </c>
      <c r="Q859" t="s">
        <v>2320</v>
      </c>
      <c r="R859" t="s">
        <v>2685</v>
      </c>
      <c r="S859">
        <v>4247</v>
      </c>
      <c r="T859" t="s">
        <v>41</v>
      </c>
      <c r="U859" s="29">
        <v>46313.388657407406</v>
      </c>
      <c r="V859" s="29">
        <v>46313.385798611111</v>
      </c>
      <c r="W859" t="s">
        <v>2686</v>
      </c>
      <c r="X859">
        <v>22411</v>
      </c>
      <c r="Z859">
        <v>0</v>
      </c>
      <c r="AA859" s="30">
        <v>0.37986111111111115</v>
      </c>
      <c r="AB859">
        <v>8</v>
      </c>
      <c r="AC859" t="s">
        <v>41</v>
      </c>
    </row>
    <row r="860" spans="1:29">
      <c r="A860" t="s">
        <v>1171</v>
      </c>
      <c r="B860" s="29">
        <v>46313.378819444442</v>
      </c>
      <c r="C860">
        <v>581</v>
      </c>
      <c r="D860" t="s">
        <v>41</v>
      </c>
      <c r="E860">
        <v>3</v>
      </c>
      <c r="F860" t="s">
        <v>41</v>
      </c>
      <c r="G860" t="s">
        <v>41</v>
      </c>
      <c r="H860" t="s">
        <v>2687</v>
      </c>
      <c r="I860" s="29">
        <v>46313.379571759258</v>
      </c>
      <c r="J860" t="s">
        <v>41</v>
      </c>
      <c r="K860" s="29">
        <v>46313.37945601852</v>
      </c>
      <c r="L860">
        <v>9</v>
      </c>
      <c r="O860" s="29">
        <v>46313.378368055557</v>
      </c>
      <c r="P860" t="s">
        <v>43</v>
      </c>
      <c r="Q860" t="s">
        <v>1173</v>
      </c>
      <c r="R860" t="s">
        <v>2688</v>
      </c>
      <c r="S860">
        <v>4247</v>
      </c>
      <c r="T860" t="s">
        <v>41</v>
      </c>
      <c r="U860" s="29">
        <v>46313.381967592592</v>
      </c>
      <c r="V860" s="29">
        <v>46313.381226851852</v>
      </c>
      <c r="W860" t="s">
        <v>2689</v>
      </c>
      <c r="X860">
        <v>22411</v>
      </c>
      <c r="Z860">
        <v>0</v>
      </c>
      <c r="AA860" s="30">
        <v>0.37847222222222227</v>
      </c>
      <c r="AB860">
        <v>2</v>
      </c>
      <c r="AC860" t="s">
        <v>41</v>
      </c>
    </row>
    <row r="861" spans="1:29">
      <c r="A861" t="s">
        <v>1136</v>
      </c>
      <c r="B861" s="29">
        <v>46313.378333333334</v>
      </c>
      <c r="C861">
        <v>1958</v>
      </c>
      <c r="D861" t="s">
        <v>41</v>
      </c>
      <c r="E861">
        <v>7</v>
      </c>
      <c r="F861" t="s">
        <v>41</v>
      </c>
      <c r="G861" t="s">
        <v>41</v>
      </c>
      <c r="H861" t="s">
        <v>2690</v>
      </c>
      <c r="I861" s="29">
        <v>46313.378796296296</v>
      </c>
      <c r="J861" t="s">
        <v>41</v>
      </c>
      <c r="K861" s="29">
        <v>46313.378657407404</v>
      </c>
      <c r="L861">
        <v>11</v>
      </c>
      <c r="O861" s="29">
        <v>46313.378125000003</v>
      </c>
      <c r="P861" t="s">
        <v>43</v>
      </c>
      <c r="Q861" t="s">
        <v>1138</v>
      </c>
      <c r="R861" t="s">
        <v>2691</v>
      </c>
      <c r="S861">
        <v>4247</v>
      </c>
      <c r="T861" t="s">
        <v>41</v>
      </c>
      <c r="U861" s="29">
        <v>46313.385208333333</v>
      </c>
      <c r="V861" s="29">
        <v>46313.383356481485</v>
      </c>
      <c r="W861" t="s">
        <v>2692</v>
      </c>
      <c r="X861">
        <v>22411</v>
      </c>
      <c r="Z861">
        <v>0</v>
      </c>
      <c r="AA861" s="30">
        <v>0.37777777777777777</v>
      </c>
      <c r="AB861">
        <v>7</v>
      </c>
      <c r="AC861" t="s">
        <v>41</v>
      </c>
    </row>
    <row r="862" spans="1:29">
      <c r="A862" t="s">
        <v>2258</v>
      </c>
      <c r="B862" s="29">
        <v>46313.378159722219</v>
      </c>
      <c r="C862">
        <v>589</v>
      </c>
      <c r="D862" t="s">
        <v>41</v>
      </c>
      <c r="E862">
        <v>2</v>
      </c>
      <c r="F862" t="s">
        <v>41</v>
      </c>
      <c r="G862" t="s">
        <v>41</v>
      </c>
      <c r="H862" t="s">
        <v>2687</v>
      </c>
      <c r="I862" s="29">
        <v>46313.378634259258</v>
      </c>
      <c r="J862" t="s">
        <v>41</v>
      </c>
      <c r="K862" s="29">
        <v>46313.37840277778</v>
      </c>
      <c r="L862">
        <v>19</v>
      </c>
      <c r="O862" s="29">
        <v>46313.378055555557</v>
      </c>
      <c r="P862" t="s">
        <v>43</v>
      </c>
      <c r="Q862" t="s">
        <v>2260</v>
      </c>
      <c r="R862" t="s">
        <v>2693</v>
      </c>
      <c r="S862">
        <v>4247</v>
      </c>
      <c r="T862" t="s">
        <v>41</v>
      </c>
      <c r="U862" s="29">
        <v>46313.380462962959</v>
      </c>
      <c r="V862" s="29">
        <v>46313.379675925928</v>
      </c>
      <c r="W862" t="s">
        <v>2694</v>
      </c>
      <c r="X862">
        <v>22411</v>
      </c>
      <c r="Z862">
        <v>0</v>
      </c>
      <c r="AA862" s="30">
        <v>0.37777777777777777</v>
      </c>
      <c r="AB862">
        <v>2</v>
      </c>
      <c r="AC862" t="s">
        <v>41</v>
      </c>
    </row>
    <row r="863" spans="1:29">
      <c r="A863" t="s">
        <v>347</v>
      </c>
      <c r="B863" s="29">
        <v>46313.377511574072</v>
      </c>
      <c r="C863">
        <v>1201</v>
      </c>
      <c r="D863" t="s">
        <v>41</v>
      </c>
      <c r="E863">
        <v>3</v>
      </c>
      <c r="F863" t="s">
        <v>41</v>
      </c>
      <c r="G863" t="s">
        <v>41</v>
      </c>
      <c r="H863" t="s">
        <v>2695</v>
      </c>
      <c r="I863" s="29">
        <v>46313.378171296295</v>
      </c>
      <c r="J863" t="s">
        <v>41</v>
      </c>
      <c r="K863" s="29">
        <v>46313.377951388888</v>
      </c>
      <c r="L863">
        <v>18</v>
      </c>
      <c r="O863" s="29">
        <v>46313.377372685187</v>
      </c>
      <c r="P863" t="s">
        <v>43</v>
      </c>
      <c r="Q863" t="s">
        <v>349</v>
      </c>
      <c r="R863" t="s">
        <v>2696</v>
      </c>
      <c r="S863">
        <v>4247</v>
      </c>
      <c r="T863" t="s">
        <v>41</v>
      </c>
      <c r="U863" s="29">
        <v>46313.381192129629</v>
      </c>
      <c r="V863" s="29">
        <v>46313.379965277774</v>
      </c>
      <c r="W863" t="s">
        <v>2697</v>
      </c>
      <c r="X863">
        <v>22411</v>
      </c>
      <c r="Z863">
        <v>0</v>
      </c>
      <c r="AA863" s="30">
        <v>0.37708333333333338</v>
      </c>
      <c r="AB863">
        <v>3</v>
      </c>
      <c r="AC863" t="s">
        <v>41</v>
      </c>
    </row>
    <row r="864" spans="1:29">
      <c r="A864" t="s">
        <v>2247</v>
      </c>
      <c r="B864" s="29">
        <v>46313.376863425925</v>
      </c>
      <c r="C864">
        <v>2151</v>
      </c>
      <c r="D864" t="s">
        <v>41</v>
      </c>
      <c r="E864">
        <v>8</v>
      </c>
      <c r="F864" t="s">
        <v>41</v>
      </c>
      <c r="G864" t="s">
        <v>41</v>
      </c>
      <c r="H864" t="s">
        <v>2698</v>
      </c>
      <c r="I864" s="29">
        <v>46313.377465277779</v>
      </c>
      <c r="J864" t="s">
        <v>41</v>
      </c>
      <c r="K864" s="29">
        <v>46313.377152777779</v>
      </c>
      <c r="L864">
        <v>26</v>
      </c>
      <c r="O864" s="29">
        <v>46313.376770833333</v>
      </c>
      <c r="P864" t="s">
        <v>43</v>
      </c>
      <c r="Q864" t="s">
        <v>2249</v>
      </c>
      <c r="R864" t="s">
        <v>2699</v>
      </c>
      <c r="S864">
        <v>4247</v>
      </c>
      <c r="T864" t="s">
        <v>41</v>
      </c>
      <c r="U864" s="29">
        <v>46313.383553240739</v>
      </c>
      <c r="V864" s="29">
        <v>46313.382835648146</v>
      </c>
      <c r="W864" t="s">
        <v>2700</v>
      </c>
      <c r="X864">
        <v>22411</v>
      </c>
      <c r="Z864">
        <v>0</v>
      </c>
      <c r="AA864" s="30">
        <v>0.37638888888888888</v>
      </c>
      <c r="AB864">
        <v>8</v>
      </c>
      <c r="AC864" t="s">
        <v>41</v>
      </c>
    </row>
    <row r="865" spans="1:29">
      <c r="A865" t="s">
        <v>98</v>
      </c>
      <c r="B865" s="29">
        <v>46313.375833333332</v>
      </c>
      <c r="C865">
        <v>1322</v>
      </c>
      <c r="D865" t="s">
        <v>41</v>
      </c>
      <c r="E865">
        <v>4</v>
      </c>
      <c r="F865" t="s">
        <v>41</v>
      </c>
      <c r="G865" t="s">
        <v>41</v>
      </c>
      <c r="H865" t="s">
        <v>2701</v>
      </c>
      <c r="I865" s="29">
        <v>46313.376944444448</v>
      </c>
      <c r="J865" t="s">
        <v>41</v>
      </c>
      <c r="K865" s="29">
        <v>46313.376747685186</v>
      </c>
      <c r="L865">
        <v>16</v>
      </c>
      <c r="O865" s="29">
        <v>46313.375752314816</v>
      </c>
      <c r="P865" t="s">
        <v>43</v>
      </c>
      <c r="Q865" t="s">
        <v>3005</v>
      </c>
      <c r="R865" t="s">
        <v>2702</v>
      </c>
      <c r="S865">
        <v>4247</v>
      </c>
      <c r="T865" t="s">
        <v>41</v>
      </c>
      <c r="U865" s="29">
        <v>46313.380254629628</v>
      </c>
      <c r="V865" s="29">
        <v>46313.379293981481</v>
      </c>
      <c r="W865" t="s">
        <v>2703</v>
      </c>
      <c r="X865">
        <v>22411</v>
      </c>
      <c r="Z865">
        <v>0</v>
      </c>
      <c r="AA865" s="30">
        <v>0.3756944444444445</v>
      </c>
      <c r="AB865">
        <v>3</v>
      </c>
      <c r="AC865" t="s">
        <v>41</v>
      </c>
    </row>
    <row r="866" spans="1:29">
      <c r="A866" t="s">
        <v>655</v>
      </c>
      <c r="B866" s="29">
        <v>46313.375763888886</v>
      </c>
      <c r="C866">
        <v>2660</v>
      </c>
      <c r="D866" t="s">
        <v>41</v>
      </c>
      <c r="E866">
        <v>6</v>
      </c>
      <c r="F866" t="s">
        <v>41</v>
      </c>
      <c r="G866" t="s">
        <v>41</v>
      </c>
      <c r="H866" t="s">
        <v>2704</v>
      </c>
      <c r="I866" s="29">
        <v>46313.376273148147</v>
      </c>
      <c r="J866" t="s">
        <v>41</v>
      </c>
      <c r="K866" s="29">
        <v>46313.375983796293</v>
      </c>
      <c r="L866">
        <v>24</v>
      </c>
      <c r="O866" s="29">
        <v>46313.375555555554</v>
      </c>
      <c r="P866" t="s">
        <v>43</v>
      </c>
      <c r="Q866" t="s">
        <v>657</v>
      </c>
      <c r="R866" t="s">
        <v>2705</v>
      </c>
      <c r="S866">
        <v>4247</v>
      </c>
      <c r="T866" t="s">
        <v>41</v>
      </c>
      <c r="U866" s="29">
        <v>46313.382557870369</v>
      </c>
      <c r="V866" s="29">
        <v>46313.380150462966</v>
      </c>
      <c r="W866" t="s">
        <v>2706</v>
      </c>
      <c r="X866">
        <v>22411</v>
      </c>
      <c r="Z866">
        <v>0</v>
      </c>
      <c r="AA866" s="30">
        <v>0.3756944444444445</v>
      </c>
      <c r="AB866">
        <v>6</v>
      </c>
      <c r="AC866" t="s">
        <v>41</v>
      </c>
    </row>
    <row r="867" spans="1:29">
      <c r="A867" t="s">
        <v>1336</v>
      </c>
      <c r="B867" s="29">
        <v>46313.375740740739</v>
      </c>
      <c r="C867">
        <v>2390</v>
      </c>
      <c r="D867" t="s">
        <v>41</v>
      </c>
      <c r="E867">
        <v>6</v>
      </c>
      <c r="F867" t="s">
        <v>41</v>
      </c>
      <c r="G867" t="s">
        <v>41</v>
      </c>
      <c r="H867" t="s">
        <v>2707</v>
      </c>
      <c r="I867" s="29">
        <v>46313.377025462964</v>
      </c>
      <c r="J867" t="s">
        <v>41</v>
      </c>
      <c r="K867" s="29">
        <v>46313.376909722225</v>
      </c>
      <c r="L867">
        <v>9</v>
      </c>
      <c r="O867" s="29">
        <v>46313.375543981485</v>
      </c>
      <c r="P867" t="s">
        <v>43</v>
      </c>
      <c r="Q867" t="s">
        <v>1338</v>
      </c>
      <c r="R867" t="s">
        <v>2708</v>
      </c>
      <c r="S867">
        <v>4247</v>
      </c>
      <c r="T867" t="s">
        <v>41</v>
      </c>
      <c r="U867" s="29">
        <v>46313.381921296299</v>
      </c>
      <c r="V867" s="29">
        <v>46313.381122685183</v>
      </c>
      <c r="W867" t="s">
        <v>2709</v>
      </c>
      <c r="X867">
        <v>22411</v>
      </c>
      <c r="Z867">
        <v>0</v>
      </c>
      <c r="AA867" s="30">
        <v>0.3756944444444445</v>
      </c>
      <c r="AB867">
        <v>6</v>
      </c>
      <c r="AC867" t="s">
        <v>41</v>
      </c>
    </row>
    <row r="868" spans="1:29">
      <c r="A868" t="s">
        <v>185</v>
      </c>
      <c r="B868" s="29">
        <v>46313.375324074077</v>
      </c>
      <c r="C868">
        <v>1482</v>
      </c>
      <c r="D868" t="s">
        <v>41</v>
      </c>
      <c r="E868">
        <v>5</v>
      </c>
      <c r="F868" t="s">
        <v>41</v>
      </c>
      <c r="G868" t="s">
        <v>41</v>
      </c>
      <c r="H868" t="s">
        <v>2710</v>
      </c>
      <c r="I868" s="29">
        <v>46313.376550925925</v>
      </c>
      <c r="J868" t="s">
        <v>41</v>
      </c>
      <c r="K868" s="29">
        <v>46313.37605324074</v>
      </c>
      <c r="L868">
        <v>42</v>
      </c>
      <c r="O868" s="29">
        <v>46313.375162037039</v>
      </c>
      <c r="P868" t="s">
        <v>43</v>
      </c>
      <c r="Q868" t="s">
        <v>3007</v>
      </c>
      <c r="R868" t="s">
        <v>2711</v>
      </c>
      <c r="S868">
        <v>4247</v>
      </c>
      <c r="T868" t="s">
        <v>41</v>
      </c>
      <c r="U868" s="29">
        <v>46313.38003472222</v>
      </c>
      <c r="V868" s="29">
        <v>46313.379814814813</v>
      </c>
      <c r="W868" t="s">
        <v>2712</v>
      </c>
      <c r="X868">
        <v>22411</v>
      </c>
      <c r="Z868">
        <v>0</v>
      </c>
      <c r="AA868" s="30">
        <v>0.375</v>
      </c>
      <c r="AB868">
        <v>5</v>
      </c>
      <c r="AC868" t="s">
        <v>41</v>
      </c>
    </row>
    <row r="869" spans="1:29">
      <c r="A869" t="s">
        <v>1461</v>
      </c>
      <c r="B869" s="29">
        <v>46313.374965277777</v>
      </c>
      <c r="C869">
        <v>2423</v>
      </c>
      <c r="D869" t="s">
        <v>41</v>
      </c>
      <c r="E869">
        <v>6</v>
      </c>
      <c r="F869" t="s">
        <v>41</v>
      </c>
      <c r="G869" t="s">
        <v>41</v>
      </c>
      <c r="H869" t="s">
        <v>2713</v>
      </c>
      <c r="I869" s="29">
        <v>46313.37568287037</v>
      </c>
      <c r="J869" t="s">
        <v>41</v>
      </c>
      <c r="K869" s="29">
        <v>46313.375416666669</v>
      </c>
      <c r="L869">
        <v>22</v>
      </c>
      <c r="O869" s="29">
        <v>46313.374849537038</v>
      </c>
      <c r="P869" t="s">
        <v>43</v>
      </c>
      <c r="Q869" t="s">
        <v>1463</v>
      </c>
      <c r="R869" t="s">
        <v>2714</v>
      </c>
      <c r="S869">
        <v>4247</v>
      </c>
      <c r="T869" t="s">
        <v>41</v>
      </c>
      <c r="U869" s="29">
        <v>46313.381539351853</v>
      </c>
      <c r="V869" s="29">
        <v>46313.379930555559</v>
      </c>
      <c r="W869" t="s">
        <v>2715</v>
      </c>
      <c r="X869">
        <v>22411</v>
      </c>
      <c r="Z869">
        <v>0</v>
      </c>
      <c r="AA869" s="30">
        <v>0.3743055555555555</v>
      </c>
      <c r="AB869">
        <v>6</v>
      </c>
      <c r="AC869" t="s">
        <v>41</v>
      </c>
    </row>
    <row r="870" spans="1:29">
      <c r="A870" t="s">
        <v>1391</v>
      </c>
      <c r="B870" s="29">
        <v>46313.375069444446</v>
      </c>
      <c r="C870">
        <v>1945</v>
      </c>
      <c r="D870" t="s">
        <v>41</v>
      </c>
      <c r="E870">
        <v>4</v>
      </c>
      <c r="F870" t="s">
        <v>41</v>
      </c>
      <c r="G870" t="s">
        <v>41</v>
      </c>
      <c r="H870" t="s">
        <v>2716</v>
      </c>
      <c r="I870" s="29">
        <v>46313.375763888886</v>
      </c>
      <c r="J870" t="s">
        <v>41</v>
      </c>
      <c r="K870" s="29">
        <v>46313.375520833331</v>
      </c>
      <c r="L870">
        <v>20</v>
      </c>
      <c r="O870" s="29">
        <v>46313.374768518515</v>
      </c>
      <c r="P870" t="s">
        <v>43</v>
      </c>
      <c r="Q870" t="s">
        <v>1393</v>
      </c>
      <c r="R870" t="s">
        <v>2717</v>
      </c>
      <c r="S870">
        <v>4247</v>
      </c>
      <c r="T870" t="s">
        <v>41</v>
      </c>
      <c r="U870" s="29">
        <v>46313.380023148151</v>
      </c>
      <c r="V870" s="29">
        <v>46313.378622685188</v>
      </c>
      <c r="W870" t="s">
        <v>2718</v>
      </c>
      <c r="X870">
        <v>22411</v>
      </c>
      <c r="Z870">
        <v>0</v>
      </c>
      <c r="AA870" s="30">
        <v>0.375</v>
      </c>
      <c r="AB870">
        <v>4</v>
      </c>
      <c r="AC870" t="s">
        <v>41</v>
      </c>
    </row>
    <row r="871" spans="1:29">
      <c r="A871" t="s">
        <v>177</v>
      </c>
      <c r="B871" s="29">
        <v>46313.374525462961</v>
      </c>
      <c r="C871">
        <v>2245</v>
      </c>
      <c r="D871" t="s">
        <v>41</v>
      </c>
      <c r="E871">
        <v>6</v>
      </c>
      <c r="F871" t="s">
        <v>41</v>
      </c>
      <c r="G871" t="s">
        <v>41</v>
      </c>
      <c r="H871" t="s">
        <v>2719</v>
      </c>
      <c r="I871" s="29">
        <v>46313.375138888892</v>
      </c>
      <c r="J871" t="s">
        <v>41</v>
      </c>
      <c r="K871" s="29">
        <v>46313.3749537037</v>
      </c>
      <c r="L871">
        <v>15</v>
      </c>
      <c r="O871" s="29">
        <v>46313.374398148146</v>
      </c>
      <c r="P871" t="s">
        <v>43</v>
      </c>
      <c r="Q871" t="s">
        <v>179</v>
      </c>
      <c r="R871" t="s">
        <v>2720</v>
      </c>
      <c r="S871">
        <v>4247</v>
      </c>
      <c r="T871" t="s">
        <v>41</v>
      </c>
      <c r="U871" s="29">
        <v>46313.380335648151</v>
      </c>
      <c r="V871" s="29">
        <v>46313.378877314812</v>
      </c>
      <c r="W871" t="s">
        <v>2721</v>
      </c>
      <c r="X871">
        <v>22411</v>
      </c>
      <c r="Z871">
        <v>0</v>
      </c>
      <c r="AA871" s="30">
        <v>0.3743055555555555</v>
      </c>
      <c r="AB871">
        <v>5</v>
      </c>
      <c r="AC871" t="s">
        <v>41</v>
      </c>
    </row>
    <row r="872" spans="1:29">
      <c r="A872" t="s">
        <v>1624</v>
      </c>
      <c r="B872" s="29">
        <v>46313.373229166667</v>
      </c>
      <c r="C872">
        <v>1293</v>
      </c>
      <c r="D872" t="s">
        <v>41</v>
      </c>
      <c r="E872">
        <v>4</v>
      </c>
      <c r="F872" t="s">
        <v>41</v>
      </c>
      <c r="G872" t="s">
        <v>41</v>
      </c>
      <c r="H872" t="s">
        <v>2722</v>
      </c>
      <c r="I872" s="29">
        <v>46313.374120370368</v>
      </c>
      <c r="J872" t="s">
        <v>41</v>
      </c>
      <c r="K872" s="29">
        <v>46313.373680555553</v>
      </c>
      <c r="L872">
        <v>37</v>
      </c>
      <c r="O872" s="29">
        <v>46313.373101851852</v>
      </c>
      <c r="P872" t="s">
        <v>43</v>
      </c>
      <c r="Q872" t="s">
        <v>1626</v>
      </c>
      <c r="R872" t="s">
        <v>2723</v>
      </c>
      <c r="S872">
        <v>4247</v>
      </c>
      <c r="T872" t="s">
        <v>41</v>
      </c>
      <c r="U872" s="29">
        <v>46313.378344907411</v>
      </c>
      <c r="V872" s="29">
        <v>46313.376516203702</v>
      </c>
      <c r="W872" t="s">
        <v>2724</v>
      </c>
      <c r="X872">
        <v>22411</v>
      </c>
      <c r="Z872">
        <v>0</v>
      </c>
      <c r="AA872" s="30">
        <v>0.37291666666666662</v>
      </c>
      <c r="AB872">
        <v>3</v>
      </c>
      <c r="AC872" t="s">
        <v>41</v>
      </c>
    </row>
    <row r="873" spans="1:29">
      <c r="A873" t="s">
        <v>1365</v>
      </c>
      <c r="B873" s="29">
        <v>46313.372569444444</v>
      </c>
      <c r="C873">
        <v>2101</v>
      </c>
      <c r="D873" t="s">
        <v>41</v>
      </c>
      <c r="E873">
        <v>6</v>
      </c>
      <c r="F873" t="s">
        <v>41</v>
      </c>
      <c r="G873" t="s">
        <v>41</v>
      </c>
      <c r="H873" t="s">
        <v>2725</v>
      </c>
      <c r="I873" s="29">
        <v>46313.374212962961</v>
      </c>
      <c r="J873" t="s">
        <v>41</v>
      </c>
      <c r="K873" s="29">
        <v>46313.373553240737</v>
      </c>
      <c r="L873">
        <v>56</v>
      </c>
      <c r="O873" s="29">
        <v>46313.372430555559</v>
      </c>
      <c r="P873" t="s">
        <v>43</v>
      </c>
      <c r="Q873" t="s">
        <v>1367</v>
      </c>
      <c r="R873" t="s">
        <v>2726</v>
      </c>
      <c r="S873">
        <v>4247</v>
      </c>
      <c r="T873" t="s">
        <v>41</v>
      </c>
      <c r="U873" s="29">
        <v>46313.378807870373</v>
      </c>
      <c r="V873" s="29">
        <v>46313.378009259257</v>
      </c>
      <c r="W873" t="s">
        <v>2727</v>
      </c>
      <c r="X873">
        <v>22411</v>
      </c>
      <c r="Z873">
        <v>0</v>
      </c>
      <c r="AA873" s="30">
        <v>0.37222222222222223</v>
      </c>
      <c r="AB873">
        <v>5</v>
      </c>
      <c r="AC873" t="s">
        <v>41</v>
      </c>
    </row>
    <row r="874" spans="1:29">
      <c r="A874" t="s">
        <v>379</v>
      </c>
      <c r="B874" s="29">
        <v>46313.371886574074</v>
      </c>
      <c r="C874">
        <v>1354</v>
      </c>
      <c r="D874" t="s">
        <v>41</v>
      </c>
      <c r="E874">
        <v>4</v>
      </c>
      <c r="F874" t="s">
        <v>41</v>
      </c>
      <c r="G874" t="s">
        <v>41</v>
      </c>
      <c r="H874" t="s">
        <v>2728</v>
      </c>
      <c r="I874" s="29">
        <v>46313.372604166667</v>
      </c>
      <c r="J874" t="s">
        <v>41</v>
      </c>
      <c r="K874" s="29">
        <v>46313.372303240743</v>
      </c>
      <c r="L874">
        <v>25</v>
      </c>
      <c r="O874" s="29">
        <v>46313.371689814812</v>
      </c>
      <c r="P874" t="s">
        <v>43</v>
      </c>
      <c r="Q874" t="s">
        <v>381</v>
      </c>
      <c r="R874" t="s">
        <v>2729</v>
      </c>
      <c r="S874">
        <v>4247</v>
      </c>
      <c r="T874" t="s">
        <v>41</v>
      </c>
      <c r="U874" s="29">
        <v>46313.375879629632</v>
      </c>
      <c r="V874" s="29">
        <v>46313.3750462963</v>
      </c>
      <c r="W874" t="s">
        <v>2730</v>
      </c>
      <c r="X874">
        <v>22411</v>
      </c>
      <c r="Z874">
        <v>0</v>
      </c>
      <c r="AA874" s="30">
        <v>0.37152777777777773</v>
      </c>
      <c r="AB874">
        <v>4</v>
      </c>
      <c r="AC874" t="s">
        <v>41</v>
      </c>
    </row>
    <row r="875" spans="1:29">
      <c r="A875" t="s">
        <v>1965</v>
      </c>
      <c r="B875" s="29">
        <v>46313.371724537035</v>
      </c>
      <c r="C875">
        <v>1218</v>
      </c>
      <c r="D875" t="s">
        <v>41</v>
      </c>
      <c r="E875">
        <v>4</v>
      </c>
      <c r="F875" t="s">
        <v>41</v>
      </c>
      <c r="G875" t="s">
        <v>41</v>
      </c>
      <c r="H875" t="s">
        <v>2731</v>
      </c>
      <c r="I875" s="29">
        <v>46313.372719907406</v>
      </c>
      <c r="J875" t="s">
        <v>41</v>
      </c>
      <c r="K875" s="29">
        <v>46313.372465277775</v>
      </c>
      <c r="L875">
        <v>21</v>
      </c>
      <c r="O875" s="29">
        <v>46313.371516203704</v>
      </c>
      <c r="P875" t="s">
        <v>43</v>
      </c>
      <c r="Q875" t="s">
        <v>1967</v>
      </c>
      <c r="R875" t="s">
        <v>2732</v>
      </c>
      <c r="S875">
        <v>4247</v>
      </c>
      <c r="T875" t="s">
        <v>41</v>
      </c>
      <c r="U875" s="29">
        <v>46313.377210648148</v>
      </c>
      <c r="V875" s="29">
        <v>46313.375555555554</v>
      </c>
      <c r="W875" t="s">
        <v>2733</v>
      </c>
      <c r="X875">
        <v>22411</v>
      </c>
      <c r="Z875">
        <v>0</v>
      </c>
      <c r="AA875" s="30">
        <v>0.37152777777777773</v>
      </c>
      <c r="AB875">
        <v>4</v>
      </c>
      <c r="AC875" t="s">
        <v>41</v>
      </c>
    </row>
    <row r="876" spans="1:29">
      <c r="A876" t="s">
        <v>1171</v>
      </c>
      <c r="B876" s="29">
        <v>46313.370949074073</v>
      </c>
      <c r="C876">
        <v>195</v>
      </c>
      <c r="D876" t="s">
        <v>41</v>
      </c>
      <c r="E876">
        <v>1</v>
      </c>
      <c r="F876" t="s">
        <v>41</v>
      </c>
      <c r="G876" t="s">
        <v>41</v>
      </c>
      <c r="H876" t="s">
        <v>2734</v>
      </c>
      <c r="I876" s="29">
        <v>46313.372488425928</v>
      </c>
      <c r="J876" t="s">
        <v>41</v>
      </c>
      <c r="K876" s="29">
        <v>46313.372083333335</v>
      </c>
      <c r="L876">
        <v>34</v>
      </c>
      <c r="O876" s="29">
        <v>46313.370659722219</v>
      </c>
      <c r="P876" t="s">
        <v>43</v>
      </c>
      <c r="Q876" t="s">
        <v>1173</v>
      </c>
      <c r="R876" t="s">
        <v>2735</v>
      </c>
      <c r="S876">
        <v>4247</v>
      </c>
      <c r="T876" t="s">
        <v>41</v>
      </c>
      <c r="U876" s="29">
        <v>46313.373668981483</v>
      </c>
      <c r="V876" s="29">
        <v>46313.37259259259</v>
      </c>
      <c r="W876" t="s">
        <v>2736</v>
      </c>
      <c r="X876">
        <v>22411</v>
      </c>
      <c r="Z876">
        <v>0</v>
      </c>
      <c r="AA876" s="30">
        <v>0.37083333333333335</v>
      </c>
      <c r="AB876">
        <v>0</v>
      </c>
      <c r="AC876" t="s">
        <v>41</v>
      </c>
    </row>
    <row r="877" spans="1:29">
      <c r="A877" t="s">
        <v>57</v>
      </c>
      <c r="B877" s="29">
        <v>46313.370671296296</v>
      </c>
      <c r="C877">
        <v>1433</v>
      </c>
      <c r="D877" t="s">
        <v>41</v>
      </c>
      <c r="E877">
        <v>5</v>
      </c>
      <c r="F877" t="s">
        <v>41</v>
      </c>
      <c r="G877" t="s">
        <v>41</v>
      </c>
      <c r="H877" t="s">
        <v>2737</v>
      </c>
      <c r="I877" s="29">
        <v>46313.372245370374</v>
      </c>
      <c r="J877" t="s">
        <v>41</v>
      </c>
      <c r="K877" s="29">
        <v>46313.371863425928</v>
      </c>
      <c r="L877">
        <v>32</v>
      </c>
      <c r="O877" s="29">
        <v>46313.370520833334</v>
      </c>
      <c r="P877" t="s">
        <v>43</v>
      </c>
      <c r="Q877" t="s">
        <v>59</v>
      </c>
      <c r="R877" t="s">
        <v>2738</v>
      </c>
      <c r="S877">
        <v>4247</v>
      </c>
      <c r="T877" t="s">
        <v>41</v>
      </c>
      <c r="U877" s="29">
        <v>46313.376909722225</v>
      </c>
      <c r="V877" s="29">
        <v>46313.375115740739</v>
      </c>
      <c r="W877" t="s">
        <v>2739</v>
      </c>
      <c r="X877">
        <v>22411</v>
      </c>
      <c r="Z877">
        <v>0</v>
      </c>
      <c r="AA877" s="30">
        <v>0.37013888888888885</v>
      </c>
      <c r="AB877">
        <v>4</v>
      </c>
      <c r="AC877" t="s">
        <v>41</v>
      </c>
    </row>
    <row r="878" spans="1:29">
      <c r="A878" t="s">
        <v>98</v>
      </c>
      <c r="B878" s="29">
        <v>46313.370520833334</v>
      </c>
      <c r="C878">
        <v>532</v>
      </c>
      <c r="D878" t="s">
        <v>41</v>
      </c>
      <c r="E878">
        <v>3</v>
      </c>
      <c r="F878" t="s">
        <v>41</v>
      </c>
      <c r="G878" t="s">
        <v>41</v>
      </c>
      <c r="H878" t="s">
        <v>2740</v>
      </c>
      <c r="I878" s="29">
        <v>46313.371805555558</v>
      </c>
      <c r="J878" t="s">
        <v>41</v>
      </c>
      <c r="K878" s="29">
        <v>46313.371342592596</v>
      </c>
      <c r="L878">
        <v>39</v>
      </c>
      <c r="O878" s="29">
        <v>46313.370405092595</v>
      </c>
      <c r="P878" t="s">
        <v>43</v>
      </c>
      <c r="Q878" t="s">
        <v>3005</v>
      </c>
      <c r="R878" t="s">
        <v>2741</v>
      </c>
      <c r="S878">
        <v>4247</v>
      </c>
      <c r="T878" t="s">
        <v>41</v>
      </c>
      <c r="U878" s="29">
        <v>46313.374247685184</v>
      </c>
      <c r="V878" s="29">
        <v>46313.373252314814</v>
      </c>
      <c r="W878" t="s">
        <v>2742</v>
      </c>
      <c r="X878">
        <v>22411</v>
      </c>
      <c r="Z878">
        <v>0</v>
      </c>
      <c r="AA878" s="30">
        <v>0.37013888888888885</v>
      </c>
      <c r="AB878">
        <v>2</v>
      </c>
      <c r="AC878" t="s">
        <v>41</v>
      </c>
    </row>
    <row r="879" spans="1:29">
      <c r="A879" t="s">
        <v>1239</v>
      </c>
      <c r="B879" s="29">
        <v>46313.370335648149</v>
      </c>
      <c r="C879">
        <v>1921</v>
      </c>
      <c r="D879" t="s">
        <v>41</v>
      </c>
      <c r="E879">
        <v>5</v>
      </c>
      <c r="F879" t="s">
        <v>41</v>
      </c>
      <c r="G879" t="s">
        <v>41</v>
      </c>
      <c r="H879" t="s">
        <v>2743</v>
      </c>
      <c r="I879" s="29">
        <v>46313.370729166665</v>
      </c>
      <c r="J879" t="s">
        <v>41</v>
      </c>
      <c r="K879" s="29">
        <v>46313.37060185185</v>
      </c>
      <c r="L879">
        <v>10</v>
      </c>
      <c r="O879" s="29">
        <v>46313.370219907411</v>
      </c>
      <c r="P879" t="s">
        <v>43</v>
      </c>
      <c r="Q879" t="s">
        <v>1241</v>
      </c>
      <c r="R879" t="s">
        <v>2744</v>
      </c>
      <c r="S879">
        <v>4247</v>
      </c>
      <c r="T879" t="s">
        <v>41</v>
      </c>
      <c r="U879" s="29">
        <v>46313.375011574077</v>
      </c>
      <c r="V879" s="29">
        <v>46313.374189814815</v>
      </c>
      <c r="W879" t="s">
        <v>2745</v>
      </c>
      <c r="X879">
        <v>22411</v>
      </c>
      <c r="Z879">
        <v>0</v>
      </c>
      <c r="AA879" s="30">
        <v>0.37013888888888885</v>
      </c>
      <c r="AB879">
        <v>5</v>
      </c>
      <c r="AC879" t="s">
        <v>41</v>
      </c>
    </row>
    <row r="880" spans="1:29">
      <c r="A880" t="s">
        <v>93</v>
      </c>
      <c r="B880" s="29">
        <v>46313.370289351849</v>
      </c>
      <c r="C880">
        <v>1998</v>
      </c>
      <c r="D880" t="s">
        <v>41</v>
      </c>
      <c r="E880">
        <v>8</v>
      </c>
      <c r="F880" t="s">
        <v>41</v>
      </c>
      <c r="G880" t="s">
        <v>41</v>
      </c>
      <c r="H880" t="s">
        <v>2746</v>
      </c>
      <c r="I880" s="29">
        <v>46313.371423611112</v>
      </c>
      <c r="J880" t="s">
        <v>41</v>
      </c>
      <c r="K880" s="29">
        <v>46313.371018518519</v>
      </c>
      <c r="L880">
        <v>34</v>
      </c>
      <c r="O880" s="29">
        <v>46313.370185185187</v>
      </c>
      <c r="P880" t="s">
        <v>43</v>
      </c>
      <c r="Q880" t="s">
        <v>95</v>
      </c>
      <c r="R880" t="s">
        <v>2747</v>
      </c>
      <c r="S880">
        <v>4247</v>
      </c>
      <c r="T880" t="s">
        <v>41</v>
      </c>
      <c r="U880" s="29">
        <v>46313.375902777778</v>
      </c>
      <c r="V880" s="29">
        <v>46313.376238425924</v>
      </c>
      <c r="W880" t="s">
        <v>2748</v>
      </c>
      <c r="X880">
        <v>22411</v>
      </c>
      <c r="Z880">
        <v>0</v>
      </c>
      <c r="AA880" s="30">
        <v>0.37013888888888885</v>
      </c>
      <c r="AB880">
        <v>7</v>
      </c>
      <c r="AC880" t="s">
        <v>41</v>
      </c>
    </row>
    <row r="881" spans="1:29">
      <c r="A881" t="s">
        <v>1391</v>
      </c>
      <c r="B881" s="29">
        <v>46313.369675925926</v>
      </c>
      <c r="C881">
        <v>296</v>
      </c>
      <c r="D881" t="s">
        <v>41</v>
      </c>
      <c r="E881">
        <v>2</v>
      </c>
      <c r="F881" t="s">
        <v>41</v>
      </c>
      <c r="G881" t="s">
        <v>41</v>
      </c>
      <c r="H881" t="s">
        <v>2749</v>
      </c>
      <c r="I881" s="29">
        <v>46313.370393518519</v>
      </c>
      <c r="J881" t="s">
        <v>41</v>
      </c>
      <c r="K881" s="29">
        <v>46313.370185185187</v>
      </c>
      <c r="L881">
        <v>17</v>
      </c>
      <c r="O881" s="29">
        <v>46313.369571759256</v>
      </c>
      <c r="P881" t="s">
        <v>43</v>
      </c>
      <c r="Q881" t="s">
        <v>1393</v>
      </c>
      <c r="R881" t="s">
        <v>2750</v>
      </c>
      <c r="S881">
        <v>4247</v>
      </c>
      <c r="T881" t="s">
        <v>41</v>
      </c>
      <c r="U881" s="29">
        <v>46313.37195601852</v>
      </c>
      <c r="V881" s="29">
        <v>46313.37159722222</v>
      </c>
      <c r="W881" t="s">
        <v>2751</v>
      </c>
      <c r="X881">
        <v>22411</v>
      </c>
      <c r="Z881">
        <v>0</v>
      </c>
      <c r="AA881" s="30">
        <v>0.36944444444444446</v>
      </c>
      <c r="AB881">
        <v>2</v>
      </c>
      <c r="AC881" t="s">
        <v>41</v>
      </c>
    </row>
    <row r="882" spans="1:29">
      <c r="A882" t="s">
        <v>347</v>
      </c>
      <c r="B882" s="29">
        <v>46313.369120370371</v>
      </c>
      <c r="C882">
        <v>1415</v>
      </c>
      <c r="D882" t="s">
        <v>41</v>
      </c>
      <c r="E882">
        <v>4</v>
      </c>
      <c r="F882" t="s">
        <v>41</v>
      </c>
      <c r="G882" t="s">
        <v>41</v>
      </c>
      <c r="H882" t="s">
        <v>2752</v>
      </c>
      <c r="I882" s="29">
        <v>46313.370393518519</v>
      </c>
      <c r="J882" t="s">
        <v>41</v>
      </c>
      <c r="K882" s="29">
        <v>46313.370162037034</v>
      </c>
      <c r="L882">
        <v>19</v>
      </c>
      <c r="O882" s="29">
        <v>46313.369027777779</v>
      </c>
      <c r="P882" t="s">
        <v>43</v>
      </c>
      <c r="Q882" t="s">
        <v>349</v>
      </c>
      <c r="R882" t="s">
        <v>2753</v>
      </c>
      <c r="S882">
        <v>4247</v>
      </c>
      <c r="T882" t="s">
        <v>41</v>
      </c>
      <c r="U882" s="29">
        <v>46313.375011574077</v>
      </c>
      <c r="V882" s="29">
        <v>46313.372928240744</v>
      </c>
      <c r="W882" t="s">
        <v>2754</v>
      </c>
      <c r="X882">
        <v>22411</v>
      </c>
      <c r="Z882">
        <v>0</v>
      </c>
      <c r="AA882" s="30">
        <v>0.36874999999999997</v>
      </c>
      <c r="AB882">
        <v>4</v>
      </c>
      <c r="AC882" t="s">
        <v>41</v>
      </c>
    </row>
    <row r="883" spans="1:29">
      <c r="A883" t="s">
        <v>67</v>
      </c>
      <c r="B883" s="29">
        <v>46313.368611111109</v>
      </c>
      <c r="C883">
        <v>2390</v>
      </c>
      <c r="D883" t="s">
        <v>41</v>
      </c>
      <c r="E883">
        <v>11</v>
      </c>
      <c r="F883" t="s">
        <v>41</v>
      </c>
      <c r="G883" t="s">
        <v>41</v>
      </c>
      <c r="H883" t="s">
        <v>2755</v>
      </c>
      <c r="I883" s="29">
        <v>46313.370335648149</v>
      </c>
      <c r="J883" t="s">
        <v>41</v>
      </c>
      <c r="K883" s="29">
        <v>46313.370081018518</v>
      </c>
      <c r="L883">
        <v>21</v>
      </c>
      <c r="O883" s="29">
        <v>46313.368483796294</v>
      </c>
      <c r="P883" t="s">
        <v>43</v>
      </c>
      <c r="Q883" t="s">
        <v>69</v>
      </c>
      <c r="R883" t="s">
        <v>2756</v>
      </c>
      <c r="S883">
        <v>4247</v>
      </c>
      <c r="T883" t="s">
        <v>41</v>
      </c>
      <c r="U883" s="29">
        <v>46313.375208333331</v>
      </c>
      <c r="V883" s="29">
        <v>46313.377581018518</v>
      </c>
      <c r="W883" t="s">
        <v>2757</v>
      </c>
      <c r="X883">
        <v>22411</v>
      </c>
      <c r="Z883">
        <v>0</v>
      </c>
      <c r="AA883" s="30">
        <v>0.36805555555555558</v>
      </c>
      <c r="AB883">
        <v>10</v>
      </c>
      <c r="AC883" t="s">
        <v>41</v>
      </c>
    </row>
    <row r="884" spans="1:29">
      <c r="A884" t="s">
        <v>734</v>
      </c>
      <c r="B884" s="29">
        <v>46313.36824074074</v>
      </c>
      <c r="C884">
        <v>2209</v>
      </c>
      <c r="D884" t="s">
        <v>41</v>
      </c>
      <c r="E884">
        <v>7</v>
      </c>
      <c r="F884" t="s">
        <v>41</v>
      </c>
      <c r="G884" t="s">
        <v>41</v>
      </c>
      <c r="H884" t="s">
        <v>2758</v>
      </c>
      <c r="I884" s="29">
        <v>46313.370219907411</v>
      </c>
      <c r="J884" t="s">
        <v>41</v>
      </c>
      <c r="K884" s="29">
        <v>46313.369826388887</v>
      </c>
      <c r="L884">
        <v>33</v>
      </c>
      <c r="O884" s="29">
        <v>46313.368078703701</v>
      </c>
      <c r="P884" t="s">
        <v>43</v>
      </c>
      <c r="Q884" t="s">
        <v>736</v>
      </c>
      <c r="R884" t="s">
        <v>2759</v>
      </c>
      <c r="S884">
        <v>4247</v>
      </c>
      <c r="T884" t="s">
        <v>41</v>
      </c>
      <c r="U884" s="29">
        <v>46313.374942129631</v>
      </c>
      <c r="V884" s="29">
        <v>46313.374710648146</v>
      </c>
      <c r="W884" t="s">
        <v>2760</v>
      </c>
      <c r="X884">
        <v>22411</v>
      </c>
      <c r="Z884">
        <v>0</v>
      </c>
      <c r="AA884" s="30">
        <v>0.36805555555555558</v>
      </c>
      <c r="AB884">
        <v>6</v>
      </c>
      <c r="AC884" t="s">
        <v>41</v>
      </c>
    </row>
    <row r="885" spans="1:29">
      <c r="A885" t="s">
        <v>2247</v>
      </c>
      <c r="B885" s="29">
        <v>46313.367847222224</v>
      </c>
      <c r="C885">
        <v>1322</v>
      </c>
      <c r="D885" t="s">
        <v>41</v>
      </c>
      <c r="E885">
        <v>4</v>
      </c>
      <c r="F885" t="s">
        <v>41</v>
      </c>
      <c r="G885" t="s">
        <v>41</v>
      </c>
      <c r="H885" t="s">
        <v>2761</v>
      </c>
      <c r="I885" s="29">
        <v>46313.368414351855</v>
      </c>
      <c r="J885" t="s">
        <v>41</v>
      </c>
      <c r="K885" s="29">
        <v>46313.368194444447</v>
      </c>
      <c r="L885">
        <v>18</v>
      </c>
      <c r="O885" s="29">
        <v>46313.367685185185</v>
      </c>
      <c r="P885" t="s">
        <v>43</v>
      </c>
      <c r="Q885" t="s">
        <v>2249</v>
      </c>
      <c r="R885" t="s">
        <v>2762</v>
      </c>
      <c r="S885">
        <v>4247</v>
      </c>
      <c r="T885" t="s">
        <v>41</v>
      </c>
      <c r="U885" s="29">
        <v>46313.371516203704</v>
      </c>
      <c r="V885" s="29">
        <v>46313.37091435185</v>
      </c>
      <c r="W885" t="s">
        <v>2763</v>
      </c>
      <c r="X885">
        <v>22411</v>
      </c>
      <c r="Z885">
        <v>0</v>
      </c>
      <c r="AA885" s="30">
        <v>0.36736111111111108</v>
      </c>
      <c r="AB885">
        <v>4</v>
      </c>
      <c r="AC885" t="s">
        <v>41</v>
      </c>
    </row>
    <row r="886" spans="1:29">
      <c r="A886" t="s">
        <v>52</v>
      </c>
      <c r="B886" s="29">
        <v>46313.367430555554</v>
      </c>
      <c r="C886">
        <v>1077</v>
      </c>
      <c r="D886" t="s">
        <v>41</v>
      </c>
      <c r="E886">
        <v>3</v>
      </c>
      <c r="F886" t="s">
        <v>41</v>
      </c>
      <c r="G886" t="s">
        <v>41</v>
      </c>
      <c r="H886" t="s">
        <v>2764</v>
      </c>
      <c r="I886" s="29">
        <v>46313.36822916667</v>
      </c>
      <c r="J886" t="s">
        <v>41</v>
      </c>
      <c r="K886" s="29">
        <v>46313.367754629631</v>
      </c>
      <c r="L886">
        <v>40</v>
      </c>
      <c r="O886" s="29">
        <v>46313.367106481484</v>
      </c>
      <c r="P886" t="s">
        <v>43</v>
      </c>
      <c r="Q886" t="s">
        <v>54</v>
      </c>
      <c r="R886" t="s">
        <v>2765</v>
      </c>
      <c r="S886">
        <v>4247</v>
      </c>
      <c r="T886" t="s">
        <v>41</v>
      </c>
      <c r="U886" s="29">
        <v>46313.371122685188</v>
      </c>
      <c r="V886" s="29">
        <v>46313.370138888888</v>
      </c>
      <c r="W886" t="s">
        <v>2766</v>
      </c>
      <c r="X886">
        <v>22411</v>
      </c>
      <c r="Z886">
        <v>0</v>
      </c>
      <c r="AA886" s="30">
        <v>0.36736111111111108</v>
      </c>
      <c r="AB886">
        <v>3</v>
      </c>
      <c r="AC886" t="s">
        <v>41</v>
      </c>
    </row>
    <row r="887" spans="1:29">
      <c r="A887" t="s">
        <v>1136</v>
      </c>
      <c r="B887" s="29">
        <v>46313.366990740738</v>
      </c>
      <c r="C887">
        <v>957</v>
      </c>
      <c r="D887" t="s">
        <v>41</v>
      </c>
      <c r="E887">
        <v>4</v>
      </c>
      <c r="F887" t="s">
        <v>41</v>
      </c>
      <c r="G887" t="s">
        <v>41</v>
      </c>
      <c r="H887" t="s">
        <v>2767</v>
      </c>
      <c r="I887" s="29">
        <v>46313.369560185187</v>
      </c>
      <c r="J887" t="s">
        <v>41</v>
      </c>
      <c r="K887" s="29">
        <v>46313.369016203702</v>
      </c>
      <c r="L887">
        <v>46</v>
      </c>
      <c r="O887" s="29">
        <v>46313.366805555554</v>
      </c>
      <c r="P887" t="s">
        <v>43</v>
      </c>
      <c r="Q887" t="s">
        <v>1138</v>
      </c>
      <c r="R887" t="s">
        <v>2768</v>
      </c>
      <c r="S887">
        <v>4247</v>
      </c>
      <c r="T887" t="s">
        <v>41</v>
      </c>
      <c r="U887" s="29">
        <v>46313.372303240743</v>
      </c>
      <c r="V887" s="29">
        <v>46313.372129629628</v>
      </c>
      <c r="W887" t="s">
        <v>2769</v>
      </c>
      <c r="X887">
        <v>22411</v>
      </c>
      <c r="Z887">
        <v>0</v>
      </c>
      <c r="AA887" s="30">
        <v>0.3666666666666667</v>
      </c>
      <c r="AB887">
        <v>4</v>
      </c>
      <c r="AC887" t="s">
        <v>41</v>
      </c>
    </row>
    <row r="888" spans="1:29">
      <c r="A888" t="s">
        <v>379</v>
      </c>
      <c r="B888" s="29">
        <v>46313.366828703707</v>
      </c>
      <c r="C888">
        <v>380</v>
      </c>
      <c r="D888" t="s">
        <v>41</v>
      </c>
      <c r="E888">
        <v>0</v>
      </c>
      <c r="F888" t="s">
        <v>41</v>
      </c>
      <c r="G888" t="s">
        <v>41</v>
      </c>
      <c r="H888" t="s">
        <v>2770</v>
      </c>
      <c r="I888" s="29">
        <v>46313.367534722223</v>
      </c>
      <c r="J888" t="s">
        <v>41</v>
      </c>
      <c r="K888" s="29">
        <v>46313.367291666669</v>
      </c>
      <c r="L888">
        <v>20</v>
      </c>
      <c r="O888" s="29">
        <v>46313.366655092592</v>
      </c>
      <c r="P888" t="s">
        <v>43</v>
      </c>
      <c r="Q888" t="s">
        <v>381</v>
      </c>
      <c r="R888" t="s">
        <v>2771</v>
      </c>
      <c r="S888">
        <v>4247</v>
      </c>
      <c r="T888" t="s">
        <v>41</v>
      </c>
      <c r="U888" s="29">
        <v>46313.369421296295</v>
      </c>
      <c r="V888" s="29">
        <v>46313.367592592593</v>
      </c>
      <c r="W888" t="s">
        <v>2772</v>
      </c>
      <c r="X888">
        <v>22411</v>
      </c>
      <c r="Z888">
        <v>0</v>
      </c>
      <c r="AA888" s="30">
        <v>0.3666666666666667</v>
      </c>
      <c r="AB888">
        <v>0</v>
      </c>
      <c r="AC888" t="s">
        <v>41</v>
      </c>
    </row>
    <row r="889" spans="1:29">
      <c r="A889" t="s">
        <v>655</v>
      </c>
      <c r="B889" s="29">
        <v>46313.36619212963</v>
      </c>
      <c r="C889">
        <v>1496</v>
      </c>
      <c r="D889" t="s">
        <v>41</v>
      </c>
      <c r="E889">
        <v>4</v>
      </c>
      <c r="F889" t="s">
        <v>41</v>
      </c>
      <c r="G889" t="s">
        <v>41</v>
      </c>
      <c r="H889" t="s">
        <v>2773</v>
      </c>
      <c r="I889" s="29">
        <v>46313.367800925924</v>
      </c>
      <c r="J889" t="s">
        <v>41</v>
      </c>
      <c r="K889" s="29">
        <v>46313.367581018516</v>
      </c>
      <c r="L889">
        <v>18</v>
      </c>
      <c r="O889" s="29">
        <v>46313.366099537037</v>
      </c>
      <c r="P889" t="s">
        <v>43</v>
      </c>
      <c r="Q889" t="s">
        <v>657</v>
      </c>
      <c r="R889" t="s">
        <v>2774</v>
      </c>
      <c r="S889">
        <v>4247</v>
      </c>
      <c r="T889" t="s">
        <v>41</v>
      </c>
      <c r="U889" s="29">
        <v>46313.371967592589</v>
      </c>
      <c r="V889" s="29">
        <v>46313.370335648149</v>
      </c>
      <c r="W889" t="s">
        <v>2775</v>
      </c>
      <c r="X889">
        <v>22411</v>
      </c>
      <c r="Z889">
        <v>0</v>
      </c>
      <c r="AA889" s="30">
        <v>0.3659722222222222</v>
      </c>
      <c r="AB889">
        <v>4</v>
      </c>
      <c r="AC889" t="s">
        <v>41</v>
      </c>
    </row>
    <row r="890" spans="1:29">
      <c r="A890" t="s">
        <v>2318</v>
      </c>
      <c r="B890" s="29">
        <v>46313.366562499999</v>
      </c>
      <c r="C890">
        <v>3047</v>
      </c>
      <c r="D890" t="s">
        <v>41</v>
      </c>
      <c r="E890">
        <v>8</v>
      </c>
      <c r="F890" t="s">
        <v>41</v>
      </c>
      <c r="G890" t="s">
        <v>41</v>
      </c>
      <c r="H890" t="s">
        <v>2776</v>
      </c>
      <c r="I890" s="29">
        <v>46313.366759259261</v>
      </c>
      <c r="J890" t="s">
        <v>41</v>
      </c>
      <c r="K890" s="29">
        <v>46313.366435185184</v>
      </c>
      <c r="L890">
        <v>17</v>
      </c>
      <c r="O890" s="29">
        <v>46313.366030092591</v>
      </c>
      <c r="P890" t="s">
        <v>43</v>
      </c>
      <c r="Q890" t="s">
        <v>2320</v>
      </c>
      <c r="R890" t="s">
        <v>2777</v>
      </c>
      <c r="S890">
        <v>4247</v>
      </c>
      <c r="T890" t="s">
        <v>41</v>
      </c>
      <c r="U890" s="29">
        <v>46313.375162037039</v>
      </c>
      <c r="V890" s="29">
        <v>46313.37228009259</v>
      </c>
      <c r="W890" t="s">
        <v>2778</v>
      </c>
      <c r="X890">
        <v>22411</v>
      </c>
      <c r="Z890">
        <v>0</v>
      </c>
      <c r="AA890" s="30">
        <v>0.3659722222222222</v>
      </c>
      <c r="AB890">
        <v>8</v>
      </c>
      <c r="AC890" t="s">
        <v>41</v>
      </c>
    </row>
    <row r="891" spans="1:29">
      <c r="A891" t="s">
        <v>1310</v>
      </c>
      <c r="B891" s="29">
        <v>46313.365428240744</v>
      </c>
      <c r="C891">
        <v>2761</v>
      </c>
      <c r="D891" t="s">
        <v>41</v>
      </c>
      <c r="E891">
        <v>8</v>
      </c>
      <c r="F891" t="s">
        <v>41</v>
      </c>
      <c r="G891" t="s">
        <v>41</v>
      </c>
      <c r="H891" t="s">
        <v>2779</v>
      </c>
      <c r="I891" s="29">
        <v>46313.366400462961</v>
      </c>
      <c r="J891" t="s">
        <v>41</v>
      </c>
      <c r="K891" s="29">
        <v>46313.366284722222</v>
      </c>
      <c r="L891">
        <v>9</v>
      </c>
      <c r="O891" s="29">
        <v>46313.365312499998</v>
      </c>
      <c r="P891" t="s">
        <v>43</v>
      </c>
      <c r="Q891" t="s">
        <v>1312</v>
      </c>
      <c r="R891" t="s">
        <v>2780</v>
      </c>
      <c r="S891">
        <v>4247</v>
      </c>
      <c r="T891" t="s">
        <v>41</v>
      </c>
      <c r="U891" s="29">
        <v>46313.37263888889</v>
      </c>
      <c r="V891" s="29">
        <v>46313.371805555558</v>
      </c>
      <c r="W891" t="s">
        <v>2781</v>
      </c>
      <c r="X891">
        <v>22411</v>
      </c>
      <c r="Z891">
        <v>0</v>
      </c>
      <c r="AA891" s="30">
        <v>0.36527777777777781</v>
      </c>
      <c r="AB891">
        <v>8</v>
      </c>
      <c r="AC891" t="s">
        <v>41</v>
      </c>
    </row>
    <row r="892" spans="1:29">
      <c r="A892" t="s">
        <v>1077</v>
      </c>
      <c r="B892" s="29">
        <v>46313.365300925929</v>
      </c>
      <c r="C892">
        <v>2829</v>
      </c>
      <c r="D892" t="s">
        <v>41</v>
      </c>
      <c r="E892">
        <v>7</v>
      </c>
      <c r="F892" t="s">
        <v>41</v>
      </c>
      <c r="G892" t="s">
        <v>41</v>
      </c>
      <c r="H892" t="s">
        <v>2782</v>
      </c>
      <c r="I892" s="29">
        <v>46313.366550925923</v>
      </c>
      <c r="J892" t="s">
        <v>41</v>
      </c>
      <c r="K892" s="29">
        <v>46313.366296296299</v>
      </c>
      <c r="L892">
        <v>21</v>
      </c>
      <c r="O892" s="29">
        <v>46313.365173611113</v>
      </c>
      <c r="P892" t="s">
        <v>43</v>
      </c>
      <c r="Q892" t="s">
        <v>1079</v>
      </c>
      <c r="R892" t="s">
        <v>2783</v>
      </c>
      <c r="S892">
        <v>4247</v>
      </c>
      <c r="T892" t="s">
        <v>41</v>
      </c>
      <c r="U892" s="29">
        <v>46313.374236111114</v>
      </c>
      <c r="V892" s="29">
        <v>46313.371469907404</v>
      </c>
      <c r="W892" t="s">
        <v>2784</v>
      </c>
      <c r="X892">
        <v>22411</v>
      </c>
      <c r="Z892">
        <v>0</v>
      </c>
      <c r="AA892" s="30">
        <v>0.36527777777777781</v>
      </c>
      <c r="AB892">
        <v>7</v>
      </c>
      <c r="AC892" t="s">
        <v>41</v>
      </c>
    </row>
    <row r="893" spans="1:29">
      <c r="A893" t="s">
        <v>1365</v>
      </c>
      <c r="B893" s="29">
        <v>46313.364918981482</v>
      </c>
      <c r="C893">
        <v>878</v>
      </c>
      <c r="D893" t="s">
        <v>41</v>
      </c>
      <c r="E893">
        <v>3</v>
      </c>
      <c r="F893" t="s">
        <v>41</v>
      </c>
      <c r="G893" t="s">
        <v>41</v>
      </c>
      <c r="H893" t="s">
        <v>2785</v>
      </c>
      <c r="I893" s="29">
        <v>46313.365555555552</v>
      </c>
      <c r="J893" t="s">
        <v>41</v>
      </c>
      <c r="K893" s="29">
        <v>46313.365208333336</v>
      </c>
      <c r="L893">
        <v>29</v>
      </c>
      <c r="O893" s="29">
        <v>46313.364768518521</v>
      </c>
      <c r="P893" t="s">
        <v>43</v>
      </c>
      <c r="Q893" t="s">
        <v>1367</v>
      </c>
      <c r="R893" t="s">
        <v>2786</v>
      </c>
      <c r="S893">
        <v>4247</v>
      </c>
      <c r="T893" t="s">
        <v>41</v>
      </c>
      <c r="U893" s="29">
        <v>46313.367986111109</v>
      </c>
      <c r="V893" s="29">
        <v>46313.367337962962</v>
      </c>
      <c r="W893" t="s">
        <v>2787</v>
      </c>
      <c r="X893">
        <v>22411</v>
      </c>
      <c r="Z893">
        <v>0</v>
      </c>
      <c r="AA893" s="30">
        <v>0.36458333333333331</v>
      </c>
      <c r="AB893">
        <v>3</v>
      </c>
      <c r="AC893" t="s">
        <v>41</v>
      </c>
    </row>
    <row r="894" spans="1:29">
      <c r="A894" t="s">
        <v>1461</v>
      </c>
      <c r="B894" s="29">
        <v>46313.36440972222</v>
      </c>
      <c r="C894">
        <v>1240</v>
      </c>
      <c r="D894" t="s">
        <v>41</v>
      </c>
      <c r="E894">
        <v>4</v>
      </c>
      <c r="F894" t="s">
        <v>41</v>
      </c>
      <c r="G894" t="s">
        <v>41</v>
      </c>
      <c r="H894" t="s">
        <v>2788</v>
      </c>
      <c r="I894" s="29">
        <v>46313.365624999999</v>
      </c>
      <c r="J894" t="s">
        <v>41</v>
      </c>
      <c r="K894" s="29">
        <v>46313.36515046296</v>
      </c>
      <c r="L894">
        <v>40</v>
      </c>
      <c r="O894" s="29">
        <v>46313.364351851851</v>
      </c>
      <c r="P894" t="s">
        <v>43</v>
      </c>
      <c r="Q894" t="s">
        <v>1463</v>
      </c>
      <c r="R894" t="s">
        <v>2789</v>
      </c>
      <c r="S894">
        <v>4247</v>
      </c>
      <c r="T894" t="s">
        <v>41</v>
      </c>
      <c r="U894" s="29">
        <v>46313.36986111111</v>
      </c>
      <c r="V894" s="29">
        <v>46313.367824074077</v>
      </c>
      <c r="W894" t="s">
        <v>2790</v>
      </c>
      <c r="X894">
        <v>22411</v>
      </c>
      <c r="Z894">
        <v>0</v>
      </c>
      <c r="AA894" s="30">
        <v>0.36388888888888887</v>
      </c>
      <c r="AB894">
        <v>3</v>
      </c>
      <c r="AC894" t="s">
        <v>41</v>
      </c>
    </row>
    <row r="895" spans="1:29">
      <c r="A895" t="s">
        <v>106</v>
      </c>
      <c r="B895" s="29">
        <v>46313.363379629627</v>
      </c>
      <c r="C895">
        <v>1520</v>
      </c>
      <c r="D895" t="s">
        <v>41</v>
      </c>
      <c r="E895">
        <v>7</v>
      </c>
      <c r="F895" t="s">
        <v>41</v>
      </c>
      <c r="G895" t="s">
        <v>41</v>
      </c>
      <c r="H895" t="s">
        <v>2791</v>
      </c>
      <c r="I895" s="29">
        <v>46313.366122685184</v>
      </c>
      <c r="J895" t="s">
        <v>41</v>
      </c>
      <c r="K895" s="29">
        <v>46313.365624999999</v>
      </c>
      <c r="L895">
        <v>42</v>
      </c>
      <c r="O895" s="29">
        <v>46313.363263888888</v>
      </c>
      <c r="P895" t="s">
        <v>43</v>
      </c>
      <c r="Q895" t="s">
        <v>108</v>
      </c>
      <c r="R895" t="s">
        <v>2792</v>
      </c>
      <c r="S895">
        <v>4247</v>
      </c>
      <c r="T895" t="s">
        <v>41</v>
      </c>
      <c r="U895" s="29">
        <v>46313.372071759259</v>
      </c>
      <c r="V895" s="29">
        <v>46313.370509259257</v>
      </c>
      <c r="W895" t="s">
        <v>2793</v>
      </c>
      <c r="X895">
        <v>22411</v>
      </c>
      <c r="Z895">
        <v>0</v>
      </c>
      <c r="AA895" s="30">
        <v>0.36319444444444443</v>
      </c>
      <c r="AB895">
        <v>6</v>
      </c>
      <c r="AC895" t="s">
        <v>41</v>
      </c>
    </row>
    <row r="896" spans="1:29">
      <c r="A896" t="s">
        <v>1391</v>
      </c>
      <c r="B896" s="29">
        <v>46313.361377314817</v>
      </c>
      <c r="C896">
        <v>316</v>
      </c>
      <c r="D896" t="s">
        <v>41</v>
      </c>
      <c r="E896">
        <v>1</v>
      </c>
      <c r="F896" t="s">
        <v>41</v>
      </c>
      <c r="G896" t="s">
        <v>41</v>
      </c>
      <c r="H896" t="s">
        <v>2794</v>
      </c>
      <c r="I896" s="29">
        <v>46313.36215277778</v>
      </c>
      <c r="J896" t="s">
        <v>41</v>
      </c>
      <c r="K896" s="29">
        <v>46313.362013888887</v>
      </c>
      <c r="L896">
        <v>11</v>
      </c>
      <c r="O896" s="29">
        <v>46313.361192129632</v>
      </c>
      <c r="P896" t="s">
        <v>43</v>
      </c>
      <c r="Q896" t="s">
        <v>1393</v>
      </c>
      <c r="R896" t="s">
        <v>2795</v>
      </c>
      <c r="S896">
        <v>4247</v>
      </c>
      <c r="T896" t="s">
        <v>41</v>
      </c>
      <c r="U896" s="29">
        <v>46313.36378472222</v>
      </c>
      <c r="V896" s="29">
        <v>46313.362766203703</v>
      </c>
      <c r="W896" t="s">
        <v>2796</v>
      </c>
      <c r="X896">
        <v>22411</v>
      </c>
      <c r="Z896">
        <v>0</v>
      </c>
      <c r="AA896" s="30">
        <v>0.3611111111111111</v>
      </c>
      <c r="AB896">
        <v>1</v>
      </c>
      <c r="AC896" t="s">
        <v>41</v>
      </c>
    </row>
    <row r="897" spans="1:29">
      <c r="A897" t="s">
        <v>98</v>
      </c>
      <c r="B897" s="29">
        <v>46313.361215277779</v>
      </c>
      <c r="C897">
        <v>1417</v>
      </c>
      <c r="D897" t="s">
        <v>41</v>
      </c>
      <c r="E897">
        <v>4</v>
      </c>
      <c r="F897" t="s">
        <v>41</v>
      </c>
      <c r="G897" t="s">
        <v>41</v>
      </c>
      <c r="H897" t="s">
        <v>2797</v>
      </c>
      <c r="I897" s="29">
        <v>46313.361967592595</v>
      </c>
      <c r="J897" t="s">
        <v>41</v>
      </c>
      <c r="K897" s="29">
        <v>46313.361759259256</v>
      </c>
      <c r="L897">
        <v>17</v>
      </c>
      <c r="O897" s="29">
        <v>46313.361111111109</v>
      </c>
      <c r="P897" t="s">
        <v>43</v>
      </c>
      <c r="Q897" t="s">
        <v>3005</v>
      </c>
      <c r="R897" t="s">
        <v>2798</v>
      </c>
      <c r="S897">
        <v>4247</v>
      </c>
      <c r="T897" t="s">
        <v>41</v>
      </c>
      <c r="U897" s="29">
        <v>46313.365347222221</v>
      </c>
      <c r="V897" s="29">
        <v>46313.364317129628</v>
      </c>
      <c r="W897" t="s">
        <v>2799</v>
      </c>
      <c r="X897">
        <v>22411</v>
      </c>
      <c r="Z897">
        <v>0</v>
      </c>
      <c r="AA897" s="30">
        <v>0.3611111111111111</v>
      </c>
      <c r="AB897">
        <v>3</v>
      </c>
      <c r="AC897" t="s">
        <v>41</v>
      </c>
    </row>
    <row r="898" spans="1:29">
      <c r="A898" t="s">
        <v>2247</v>
      </c>
      <c r="B898" s="29">
        <v>46313.361215277779</v>
      </c>
      <c r="C898">
        <v>43</v>
      </c>
      <c r="D898" t="s">
        <v>41</v>
      </c>
      <c r="E898">
        <v>0</v>
      </c>
      <c r="F898" t="s">
        <v>41</v>
      </c>
      <c r="G898" t="s">
        <v>41</v>
      </c>
      <c r="H898" t="s">
        <v>2800</v>
      </c>
      <c r="I898" s="29">
        <v>46313.36173611111</v>
      </c>
      <c r="J898" t="s">
        <v>41</v>
      </c>
      <c r="K898" s="29">
        <v>46313.361458333333</v>
      </c>
      <c r="L898">
        <v>23</v>
      </c>
      <c r="O898" s="29">
        <v>46313.361064814817</v>
      </c>
      <c r="P898" t="s">
        <v>43</v>
      </c>
      <c r="Q898" t="s">
        <v>2249</v>
      </c>
      <c r="R898" t="s">
        <v>2801</v>
      </c>
      <c r="S898">
        <v>4247</v>
      </c>
      <c r="T898" t="s">
        <v>41</v>
      </c>
      <c r="U898" s="29">
        <v>46313.361898148149</v>
      </c>
      <c r="V898" s="29">
        <v>46313.361759259256</v>
      </c>
      <c r="W898" t="s">
        <v>2802</v>
      </c>
      <c r="X898">
        <v>22411</v>
      </c>
      <c r="Z898">
        <v>0</v>
      </c>
      <c r="AA898" s="30">
        <v>0.3611111111111111</v>
      </c>
      <c r="AB898">
        <v>0</v>
      </c>
      <c r="AC898" t="s">
        <v>41</v>
      </c>
    </row>
    <row r="899" spans="1:29">
      <c r="A899" t="s">
        <v>177</v>
      </c>
      <c r="B899" s="29">
        <v>46313.360578703701</v>
      </c>
      <c r="C899">
        <v>2125</v>
      </c>
      <c r="D899" t="s">
        <v>41</v>
      </c>
      <c r="E899">
        <v>7</v>
      </c>
      <c r="F899" t="s">
        <v>41</v>
      </c>
      <c r="G899" t="s">
        <v>41</v>
      </c>
      <c r="H899" t="s">
        <v>2803</v>
      </c>
      <c r="I899" s="29">
        <v>46313.361354166664</v>
      </c>
      <c r="J899" t="s">
        <v>41</v>
      </c>
      <c r="K899" s="29">
        <v>46313.361041666663</v>
      </c>
      <c r="L899">
        <v>26</v>
      </c>
      <c r="O899" s="29">
        <v>46313.360451388886</v>
      </c>
      <c r="P899" t="s">
        <v>43</v>
      </c>
      <c r="Q899" t="s">
        <v>179</v>
      </c>
      <c r="R899" t="s">
        <v>2804</v>
      </c>
      <c r="S899">
        <v>4247</v>
      </c>
      <c r="T899" t="s">
        <v>41</v>
      </c>
      <c r="U899" s="29">
        <v>46313.367627314816</v>
      </c>
      <c r="V899" s="29">
        <v>46313.365648148145</v>
      </c>
      <c r="W899" t="s">
        <v>2805</v>
      </c>
      <c r="X899">
        <v>22411</v>
      </c>
      <c r="Z899">
        <v>0</v>
      </c>
      <c r="AA899" s="30">
        <v>0.36041666666666666</v>
      </c>
      <c r="AB899">
        <v>6</v>
      </c>
      <c r="AC899" t="s">
        <v>41</v>
      </c>
    </row>
    <row r="900" spans="1:29">
      <c r="A900" t="s">
        <v>1336</v>
      </c>
      <c r="B900" s="29">
        <v>46313.360520833332</v>
      </c>
      <c r="C900">
        <v>1984</v>
      </c>
      <c r="D900" t="s">
        <v>41</v>
      </c>
      <c r="E900">
        <v>5</v>
      </c>
      <c r="F900" t="s">
        <v>41</v>
      </c>
      <c r="G900" t="s">
        <v>41</v>
      </c>
      <c r="H900" t="s">
        <v>2806</v>
      </c>
      <c r="I900" s="29">
        <v>46313.361134259256</v>
      </c>
      <c r="J900" t="s">
        <v>41</v>
      </c>
      <c r="K900" s="29">
        <v>46313.361030092594</v>
      </c>
      <c r="L900">
        <v>8</v>
      </c>
      <c r="O900" s="29">
        <v>46313.360300925924</v>
      </c>
      <c r="P900" t="s">
        <v>43</v>
      </c>
      <c r="Q900" t="s">
        <v>1338</v>
      </c>
      <c r="R900" t="s">
        <v>2807</v>
      </c>
      <c r="S900">
        <v>4247</v>
      </c>
      <c r="T900" t="s">
        <v>41</v>
      </c>
      <c r="U900" s="29">
        <v>46313.365428240744</v>
      </c>
      <c r="V900" s="29">
        <v>46313.364259259259</v>
      </c>
      <c r="W900" t="s">
        <v>2808</v>
      </c>
      <c r="X900">
        <v>22411</v>
      </c>
      <c r="Z900">
        <v>0</v>
      </c>
      <c r="AA900" s="30">
        <v>0.36041666666666666</v>
      </c>
      <c r="AB900">
        <v>5</v>
      </c>
      <c r="AC900" t="s">
        <v>41</v>
      </c>
    </row>
    <row r="901" spans="1:29">
      <c r="A901" t="s">
        <v>2258</v>
      </c>
      <c r="B901" s="29">
        <v>46313.359074074076</v>
      </c>
      <c r="C901">
        <v>2301</v>
      </c>
      <c r="D901" t="s">
        <v>41</v>
      </c>
      <c r="E901">
        <v>6</v>
      </c>
      <c r="F901" t="s">
        <v>41</v>
      </c>
      <c r="G901" t="s">
        <v>41</v>
      </c>
      <c r="H901" t="s">
        <v>2809</v>
      </c>
      <c r="I901" s="29">
        <v>46313.360150462962</v>
      </c>
      <c r="J901" t="s">
        <v>41</v>
      </c>
      <c r="K901" s="29">
        <v>46313.359953703701</v>
      </c>
      <c r="L901">
        <v>16</v>
      </c>
      <c r="O901" s="29">
        <v>46313.358969907407</v>
      </c>
      <c r="P901" t="s">
        <v>43</v>
      </c>
      <c r="Q901" t="s">
        <v>2260</v>
      </c>
      <c r="R901" t="s">
        <v>2810</v>
      </c>
      <c r="S901">
        <v>4247</v>
      </c>
      <c r="T901" t="s">
        <v>41</v>
      </c>
      <c r="U901" s="29">
        <v>46313.36482638889</v>
      </c>
      <c r="V901" s="29">
        <v>46313.363807870373</v>
      </c>
      <c r="W901" t="s">
        <v>2811</v>
      </c>
      <c r="X901">
        <v>22411</v>
      </c>
      <c r="Z901">
        <v>0</v>
      </c>
      <c r="AA901" s="30">
        <v>0.35902777777777778</v>
      </c>
      <c r="AB901">
        <v>5</v>
      </c>
      <c r="AC901" t="s">
        <v>41</v>
      </c>
    </row>
    <row r="902" spans="1:29">
      <c r="A902" t="s">
        <v>1965</v>
      </c>
      <c r="B902" s="29">
        <v>46313.35832175926</v>
      </c>
      <c r="C902">
        <v>2060</v>
      </c>
      <c r="D902" t="s">
        <v>41</v>
      </c>
      <c r="E902">
        <v>6</v>
      </c>
      <c r="F902" t="s">
        <v>41</v>
      </c>
      <c r="G902" t="s">
        <v>41</v>
      </c>
      <c r="H902" t="s">
        <v>2812</v>
      </c>
      <c r="I902" s="29">
        <v>46313.359444444446</v>
      </c>
      <c r="J902" t="s">
        <v>41</v>
      </c>
      <c r="K902" s="29">
        <v>46313.359305555554</v>
      </c>
      <c r="L902">
        <v>11</v>
      </c>
      <c r="O902" s="29">
        <v>46313.358171296299</v>
      </c>
      <c r="P902" t="s">
        <v>43</v>
      </c>
      <c r="Q902" t="s">
        <v>1967</v>
      </c>
      <c r="R902" t="s">
        <v>2813</v>
      </c>
      <c r="S902">
        <v>4247</v>
      </c>
      <c r="T902" t="s">
        <v>41</v>
      </c>
      <c r="U902" s="29">
        <v>46313.363888888889</v>
      </c>
      <c r="V902" s="29">
        <v>46313.363680555558</v>
      </c>
      <c r="W902" t="s">
        <v>2814</v>
      </c>
      <c r="X902">
        <v>22411</v>
      </c>
      <c r="Z902">
        <v>0</v>
      </c>
      <c r="AA902" s="30">
        <v>0.3576388888888889</v>
      </c>
      <c r="AB902">
        <v>6</v>
      </c>
      <c r="AC902" t="s">
        <v>41</v>
      </c>
    </row>
    <row r="903" spans="1:29">
      <c r="A903" t="s">
        <v>1624</v>
      </c>
      <c r="B903" s="29">
        <v>46313.35665509259</v>
      </c>
      <c r="C903">
        <v>3128</v>
      </c>
      <c r="D903" t="s">
        <v>41</v>
      </c>
      <c r="E903">
        <v>8</v>
      </c>
      <c r="F903" t="s">
        <v>41</v>
      </c>
      <c r="G903" t="s">
        <v>41</v>
      </c>
      <c r="H903" t="s">
        <v>2815</v>
      </c>
      <c r="I903" s="29">
        <v>46313.358368055553</v>
      </c>
      <c r="J903" t="s">
        <v>41</v>
      </c>
      <c r="K903" s="29">
        <v>46313.358020833337</v>
      </c>
      <c r="L903">
        <v>29</v>
      </c>
      <c r="O903" s="29">
        <v>46313.356493055559</v>
      </c>
      <c r="P903" t="s">
        <v>43</v>
      </c>
      <c r="Q903" t="s">
        <v>1626</v>
      </c>
      <c r="R903" t="s">
        <v>2816</v>
      </c>
      <c r="S903">
        <v>4247</v>
      </c>
      <c r="T903" t="s">
        <v>41</v>
      </c>
      <c r="U903" s="29">
        <v>46313.366435185184</v>
      </c>
      <c r="V903" s="29">
        <v>46313.363518518519</v>
      </c>
      <c r="W903" t="s">
        <v>2817</v>
      </c>
      <c r="X903">
        <v>22411</v>
      </c>
      <c r="Z903">
        <v>0</v>
      </c>
      <c r="AA903" s="30">
        <v>0.35625000000000001</v>
      </c>
      <c r="AB903">
        <v>7</v>
      </c>
      <c r="AC903" t="s">
        <v>41</v>
      </c>
    </row>
    <row r="904" spans="1:29">
      <c r="A904" t="s">
        <v>52</v>
      </c>
      <c r="B904" s="29">
        <v>46313.356180555558</v>
      </c>
      <c r="C904">
        <v>395</v>
      </c>
      <c r="D904" t="s">
        <v>41</v>
      </c>
      <c r="E904">
        <v>2</v>
      </c>
      <c r="F904" t="s">
        <v>41</v>
      </c>
      <c r="G904" t="s">
        <v>41</v>
      </c>
      <c r="H904" t="s">
        <v>2818</v>
      </c>
      <c r="I904" s="29">
        <v>46313.357071759259</v>
      </c>
      <c r="J904" t="s">
        <v>41</v>
      </c>
      <c r="K904" s="29">
        <v>46313.356689814813</v>
      </c>
      <c r="L904">
        <v>32</v>
      </c>
      <c r="O904" s="29">
        <v>46313.355995370373</v>
      </c>
      <c r="P904" t="s">
        <v>43</v>
      </c>
      <c r="Q904" t="s">
        <v>54</v>
      </c>
      <c r="R904" t="s">
        <v>2819</v>
      </c>
      <c r="S904">
        <v>4247</v>
      </c>
      <c r="T904" t="s">
        <v>41</v>
      </c>
      <c r="U904" s="29">
        <v>46313.358946759261</v>
      </c>
      <c r="V904" s="29">
        <v>46313.357997685183</v>
      </c>
      <c r="W904" t="s">
        <v>2820</v>
      </c>
      <c r="X904">
        <v>22411</v>
      </c>
      <c r="Z904">
        <v>0</v>
      </c>
      <c r="AA904" s="30">
        <v>0.35555555555555557</v>
      </c>
      <c r="AB904">
        <v>1</v>
      </c>
      <c r="AC904" t="s">
        <v>41</v>
      </c>
    </row>
    <row r="905" spans="1:29">
      <c r="A905" t="s">
        <v>93</v>
      </c>
      <c r="B905" s="29">
        <v>46313.356168981481</v>
      </c>
      <c r="C905">
        <v>2743</v>
      </c>
      <c r="D905" t="s">
        <v>41</v>
      </c>
      <c r="E905">
        <v>7</v>
      </c>
      <c r="F905" t="s">
        <v>41</v>
      </c>
      <c r="G905" t="s">
        <v>41</v>
      </c>
      <c r="H905" t="s">
        <v>2821</v>
      </c>
      <c r="I905" s="29">
        <v>46313.356550925928</v>
      </c>
      <c r="J905" t="s">
        <v>41</v>
      </c>
      <c r="K905" s="29">
        <v>46313.356099537035</v>
      </c>
      <c r="L905">
        <v>33</v>
      </c>
      <c r="O905" s="29">
        <v>46313.355706018519</v>
      </c>
      <c r="P905" t="s">
        <v>43</v>
      </c>
      <c r="Q905" t="s">
        <v>95</v>
      </c>
      <c r="R905" t="s">
        <v>2822</v>
      </c>
      <c r="S905">
        <v>4247</v>
      </c>
      <c r="T905" t="s">
        <v>41</v>
      </c>
      <c r="U905" s="29">
        <v>46313.362546296295</v>
      </c>
      <c r="V905" s="29">
        <v>46313.360925925925</v>
      </c>
      <c r="W905" t="s">
        <v>2823</v>
      </c>
      <c r="X905">
        <v>22411</v>
      </c>
      <c r="Z905">
        <v>0</v>
      </c>
      <c r="AA905" s="30">
        <v>0.35555555555555557</v>
      </c>
      <c r="AB905">
        <v>6</v>
      </c>
      <c r="AC905" t="s">
        <v>41</v>
      </c>
    </row>
    <row r="906" spans="1:29">
      <c r="A906" t="s">
        <v>1592</v>
      </c>
      <c r="B906" s="29">
        <v>46313.355636574073</v>
      </c>
      <c r="C906">
        <v>899</v>
      </c>
      <c r="D906" t="s">
        <v>41</v>
      </c>
      <c r="E906">
        <v>3</v>
      </c>
      <c r="F906" t="s">
        <v>41</v>
      </c>
      <c r="G906" t="s">
        <v>41</v>
      </c>
      <c r="H906" t="s">
        <v>2824</v>
      </c>
      <c r="I906" s="29">
        <v>46313.356631944444</v>
      </c>
      <c r="J906" t="s">
        <v>41</v>
      </c>
      <c r="K906" s="29">
        <v>46313.356226851851</v>
      </c>
      <c r="L906">
        <v>34</v>
      </c>
      <c r="O906" s="29">
        <v>46313.355509259258</v>
      </c>
      <c r="P906" t="s">
        <v>43</v>
      </c>
      <c r="Q906" t="s">
        <v>1594</v>
      </c>
      <c r="R906" t="s">
        <v>2825</v>
      </c>
      <c r="S906">
        <v>4247</v>
      </c>
      <c r="T906" t="s">
        <v>41</v>
      </c>
      <c r="U906" s="29">
        <v>46313.359178240738</v>
      </c>
      <c r="V906" s="29">
        <v>46313.358599537038</v>
      </c>
      <c r="W906" t="s">
        <v>2826</v>
      </c>
      <c r="X906">
        <v>22411</v>
      </c>
      <c r="Z906">
        <v>0</v>
      </c>
      <c r="AA906" s="30">
        <v>0.35555555555555557</v>
      </c>
      <c r="AB906">
        <v>3</v>
      </c>
      <c r="AC906" t="s">
        <v>41</v>
      </c>
    </row>
    <row r="907" spans="1:29">
      <c r="A907" t="s">
        <v>347</v>
      </c>
      <c r="B907" s="29">
        <v>46313.35528935185</v>
      </c>
      <c r="C907">
        <v>1265</v>
      </c>
      <c r="D907" t="s">
        <v>41</v>
      </c>
      <c r="E907">
        <v>5</v>
      </c>
      <c r="F907" t="s">
        <v>41</v>
      </c>
      <c r="G907" t="s">
        <v>41</v>
      </c>
      <c r="H907" t="s">
        <v>2827</v>
      </c>
      <c r="I907" s="29">
        <v>46313.356550925928</v>
      </c>
      <c r="J907" t="s">
        <v>41</v>
      </c>
      <c r="K907" s="29">
        <v>46313.356273148151</v>
      </c>
      <c r="L907">
        <v>23</v>
      </c>
      <c r="O907" s="29">
        <v>46313.355092592596</v>
      </c>
      <c r="P907" t="s">
        <v>43</v>
      </c>
      <c r="Q907" t="s">
        <v>349</v>
      </c>
      <c r="R907" t="s">
        <v>2828</v>
      </c>
      <c r="S907">
        <v>4247</v>
      </c>
      <c r="T907" t="s">
        <v>41</v>
      </c>
      <c r="U907" s="29">
        <v>46313.361203703702</v>
      </c>
      <c r="V907" s="29">
        <v>46313.359490740739</v>
      </c>
      <c r="W907" t="s">
        <v>2829</v>
      </c>
      <c r="X907">
        <v>22411</v>
      </c>
      <c r="Z907">
        <v>0</v>
      </c>
      <c r="AA907" s="30">
        <v>0.35486111111111113</v>
      </c>
      <c r="AB907">
        <v>4</v>
      </c>
      <c r="AC907" t="s">
        <v>41</v>
      </c>
    </row>
    <row r="908" spans="1:29">
      <c r="A908" t="s">
        <v>734</v>
      </c>
      <c r="B908" s="29">
        <v>46313.354756944442</v>
      </c>
      <c r="C908">
        <v>1515</v>
      </c>
      <c r="D908" t="s">
        <v>41</v>
      </c>
      <c r="E908">
        <v>6</v>
      </c>
      <c r="F908" t="s">
        <v>41</v>
      </c>
      <c r="G908" t="s">
        <v>41</v>
      </c>
      <c r="H908" t="s">
        <v>2830</v>
      </c>
      <c r="I908" s="29">
        <v>46313.355370370373</v>
      </c>
      <c r="J908" t="s">
        <v>41</v>
      </c>
      <c r="K908" s="29">
        <v>46313.355185185188</v>
      </c>
      <c r="L908">
        <v>15</v>
      </c>
      <c r="O908" s="29">
        <v>46313.354664351849</v>
      </c>
      <c r="P908" t="s">
        <v>43</v>
      </c>
      <c r="Q908" t="s">
        <v>736</v>
      </c>
      <c r="R908" t="s">
        <v>2831</v>
      </c>
      <c r="S908">
        <v>4247</v>
      </c>
      <c r="T908" t="s">
        <v>41</v>
      </c>
      <c r="U908" s="29">
        <v>46313.361284722225</v>
      </c>
      <c r="V908" s="29">
        <v>46313.359664351854</v>
      </c>
      <c r="W908" t="s">
        <v>2832</v>
      </c>
      <c r="X908">
        <v>22411</v>
      </c>
      <c r="Z908">
        <v>0</v>
      </c>
      <c r="AA908" s="30">
        <v>0.35416666666666669</v>
      </c>
      <c r="AB908">
        <v>6</v>
      </c>
      <c r="AC908" t="s">
        <v>41</v>
      </c>
    </row>
    <row r="909" spans="1:29">
      <c r="A909" t="s">
        <v>185</v>
      </c>
      <c r="B909" s="29">
        <v>46313.354131944441</v>
      </c>
      <c r="C909">
        <v>1790</v>
      </c>
      <c r="D909" t="s">
        <v>41</v>
      </c>
      <c r="E909">
        <v>6</v>
      </c>
      <c r="F909" t="s">
        <v>41</v>
      </c>
      <c r="G909" t="s">
        <v>41</v>
      </c>
      <c r="H909" t="s">
        <v>2833</v>
      </c>
      <c r="I909" s="29">
        <v>46313.355196759258</v>
      </c>
      <c r="J909" t="s">
        <v>41</v>
      </c>
      <c r="K909" s="29">
        <v>46313.355057870373</v>
      </c>
      <c r="L909">
        <v>11</v>
      </c>
      <c r="O909" s="29">
        <v>46313.354039351849</v>
      </c>
      <c r="P909" t="s">
        <v>43</v>
      </c>
      <c r="Q909" t="s">
        <v>3007</v>
      </c>
      <c r="R909" t="s">
        <v>2834</v>
      </c>
      <c r="S909">
        <v>4247</v>
      </c>
      <c r="T909" t="s">
        <v>41</v>
      </c>
      <c r="U909" s="29">
        <v>46313.361076388886</v>
      </c>
      <c r="V909" s="29">
        <v>46313.359317129631</v>
      </c>
      <c r="W909" t="s">
        <v>2835</v>
      </c>
      <c r="X909">
        <v>22411</v>
      </c>
      <c r="Z909">
        <v>0</v>
      </c>
      <c r="AA909" s="30">
        <v>0.35347222222222219</v>
      </c>
      <c r="AB909">
        <v>6</v>
      </c>
      <c r="AC909" t="s">
        <v>41</v>
      </c>
    </row>
    <row r="910" spans="1:29">
      <c r="A910" t="s">
        <v>655</v>
      </c>
      <c r="B910" s="29">
        <v>46313.35361111111</v>
      </c>
      <c r="C910">
        <v>1700</v>
      </c>
      <c r="D910" t="s">
        <v>41</v>
      </c>
      <c r="E910">
        <v>4</v>
      </c>
      <c r="F910" t="s">
        <v>41</v>
      </c>
      <c r="G910" t="s">
        <v>41</v>
      </c>
      <c r="H910" t="s">
        <v>2836</v>
      </c>
      <c r="I910" s="29">
        <v>46313.354328703703</v>
      </c>
      <c r="J910" t="s">
        <v>41</v>
      </c>
      <c r="K910" s="29">
        <v>46313.354097222225</v>
      </c>
      <c r="L910">
        <v>19</v>
      </c>
      <c r="O910" s="29">
        <v>46313.353472222225</v>
      </c>
      <c r="P910" t="s">
        <v>43</v>
      </c>
      <c r="Q910" t="s">
        <v>657</v>
      </c>
      <c r="R910" t="s">
        <v>2837</v>
      </c>
      <c r="S910">
        <v>4247</v>
      </c>
      <c r="T910" t="s">
        <v>41</v>
      </c>
      <c r="U910" s="29">
        <v>46313.360254629632</v>
      </c>
      <c r="V910" s="29">
        <v>46313.35670138889</v>
      </c>
      <c r="W910" t="s">
        <v>2838</v>
      </c>
      <c r="X910">
        <v>22411</v>
      </c>
      <c r="Z910">
        <v>0</v>
      </c>
      <c r="AA910" s="30">
        <v>0.35347222222222219</v>
      </c>
      <c r="AB910">
        <v>3</v>
      </c>
      <c r="AC910" t="s">
        <v>41</v>
      </c>
    </row>
    <row r="911" spans="1:29">
      <c r="A911" t="s">
        <v>379</v>
      </c>
      <c r="B911" s="29">
        <v>46313.35328703704</v>
      </c>
      <c r="C911">
        <v>621</v>
      </c>
      <c r="D911" t="s">
        <v>41</v>
      </c>
      <c r="E911">
        <v>2</v>
      </c>
      <c r="F911" t="s">
        <v>41</v>
      </c>
      <c r="G911" t="s">
        <v>41</v>
      </c>
      <c r="H911" t="s">
        <v>2839</v>
      </c>
      <c r="I911" s="29">
        <v>46313.354930555557</v>
      </c>
      <c r="J911" t="s">
        <v>41</v>
      </c>
      <c r="K911" s="29">
        <v>46313.35465277778</v>
      </c>
      <c r="L911">
        <v>23</v>
      </c>
      <c r="O911" s="29">
        <v>46313.353171296294</v>
      </c>
      <c r="P911" t="s">
        <v>43</v>
      </c>
      <c r="Q911" t="s">
        <v>381</v>
      </c>
      <c r="R911" t="s">
        <v>2840</v>
      </c>
      <c r="S911">
        <v>4247</v>
      </c>
      <c r="T911" t="s">
        <v>41</v>
      </c>
      <c r="U911" s="29">
        <v>46313.357291666667</v>
      </c>
      <c r="V911" s="29">
        <v>46313.356180555558</v>
      </c>
      <c r="W911" t="s">
        <v>2841</v>
      </c>
      <c r="X911">
        <v>22411</v>
      </c>
      <c r="Z911">
        <v>0</v>
      </c>
      <c r="AA911" s="30">
        <v>0.3527777777777778</v>
      </c>
      <c r="AB911">
        <v>2</v>
      </c>
      <c r="AC911" t="s">
        <v>41</v>
      </c>
    </row>
    <row r="912" spans="1:29">
      <c r="A912" t="s">
        <v>1239</v>
      </c>
      <c r="B912" s="29">
        <v>46313.352951388886</v>
      </c>
      <c r="C912">
        <v>2290</v>
      </c>
      <c r="D912" t="s">
        <v>41</v>
      </c>
      <c r="E912">
        <v>7</v>
      </c>
      <c r="F912" t="s">
        <v>41</v>
      </c>
      <c r="G912" t="s">
        <v>41</v>
      </c>
      <c r="H912" t="s">
        <v>2842</v>
      </c>
      <c r="I912" s="29">
        <v>46313.353692129633</v>
      </c>
      <c r="J912" t="s">
        <v>41</v>
      </c>
      <c r="K912" s="29">
        <v>46313.353483796294</v>
      </c>
      <c r="L912">
        <v>17</v>
      </c>
      <c r="O912" s="29">
        <v>46313.352766203701</v>
      </c>
      <c r="P912" t="s">
        <v>43</v>
      </c>
      <c r="Q912" t="s">
        <v>1241</v>
      </c>
      <c r="R912" t="s">
        <v>2843</v>
      </c>
      <c r="S912">
        <v>4247</v>
      </c>
      <c r="T912" t="s">
        <v>41</v>
      </c>
      <c r="U912" s="29">
        <v>46313.360451388886</v>
      </c>
      <c r="V912" s="29">
        <v>46313.358553240738</v>
      </c>
      <c r="W912" t="s">
        <v>2844</v>
      </c>
      <c r="X912">
        <v>22411</v>
      </c>
      <c r="Z912">
        <v>0</v>
      </c>
      <c r="AA912" s="30">
        <v>0.3527777777777778</v>
      </c>
      <c r="AB912">
        <v>7</v>
      </c>
      <c r="AC912" t="s">
        <v>41</v>
      </c>
    </row>
    <row r="913" spans="1:29">
      <c r="A913" t="s">
        <v>1365</v>
      </c>
      <c r="B913" s="29">
        <v>46313.350231481483</v>
      </c>
      <c r="C913">
        <v>1150</v>
      </c>
      <c r="D913" t="s">
        <v>41</v>
      </c>
      <c r="E913">
        <v>3</v>
      </c>
      <c r="F913" t="s">
        <v>41</v>
      </c>
      <c r="G913" t="s">
        <v>41</v>
      </c>
      <c r="H913" t="s">
        <v>2845</v>
      </c>
      <c r="I913" s="29">
        <v>46313.350648148145</v>
      </c>
      <c r="J913" t="s">
        <v>41</v>
      </c>
      <c r="K913" s="29">
        <v>46313.350497685184</v>
      </c>
      <c r="L913">
        <v>12</v>
      </c>
      <c r="O913" s="29">
        <v>46313.350069444445</v>
      </c>
      <c r="P913" t="s">
        <v>43</v>
      </c>
      <c r="Q913" t="s">
        <v>1367</v>
      </c>
      <c r="R913" t="s">
        <v>2846</v>
      </c>
      <c r="S913">
        <v>4247</v>
      </c>
      <c r="T913" t="s">
        <v>41</v>
      </c>
      <c r="U913" s="29">
        <v>46313.353229166663</v>
      </c>
      <c r="V913" s="29">
        <v>46313.352511574078</v>
      </c>
      <c r="W913" t="s">
        <v>2847</v>
      </c>
      <c r="X913">
        <v>22411</v>
      </c>
      <c r="Z913">
        <v>0</v>
      </c>
      <c r="AA913" s="30">
        <v>0.35000000000000003</v>
      </c>
      <c r="AB913">
        <v>3</v>
      </c>
      <c r="AC913" t="s">
        <v>41</v>
      </c>
    </row>
    <row r="914" spans="1:29">
      <c r="A914" t="s">
        <v>1171</v>
      </c>
      <c r="B914" s="29">
        <v>46313.349606481483</v>
      </c>
      <c r="C914">
        <v>1189</v>
      </c>
      <c r="D914" t="s">
        <v>41</v>
      </c>
      <c r="E914">
        <v>4</v>
      </c>
      <c r="F914" t="s">
        <v>41</v>
      </c>
      <c r="G914" t="s">
        <v>41</v>
      </c>
      <c r="H914" t="s">
        <v>2848</v>
      </c>
      <c r="I914" s="29">
        <v>46313.350358796299</v>
      </c>
      <c r="J914" t="s">
        <v>41</v>
      </c>
      <c r="K914" s="29">
        <v>46313.350243055553</v>
      </c>
      <c r="L914">
        <v>9</v>
      </c>
      <c r="O914" s="29">
        <v>46313.349548611113</v>
      </c>
      <c r="P914" t="s">
        <v>43</v>
      </c>
      <c r="Q914" t="s">
        <v>1173</v>
      </c>
      <c r="R914" t="s">
        <v>2849</v>
      </c>
      <c r="S914">
        <v>4247</v>
      </c>
      <c r="T914" t="s">
        <v>41</v>
      </c>
      <c r="U914" s="29">
        <v>46313.354722222219</v>
      </c>
      <c r="V914" s="29">
        <v>46313.353263888886</v>
      </c>
      <c r="W914" t="s">
        <v>2850</v>
      </c>
      <c r="X914">
        <v>22411</v>
      </c>
      <c r="Z914">
        <v>0</v>
      </c>
      <c r="AA914" s="30">
        <v>0.34930555555555554</v>
      </c>
      <c r="AB914">
        <v>4</v>
      </c>
      <c r="AC914" t="s">
        <v>41</v>
      </c>
    </row>
    <row r="915" spans="1:29">
      <c r="A915" t="s">
        <v>1391</v>
      </c>
      <c r="B915" s="29">
        <v>46313.346898148149</v>
      </c>
      <c r="C915">
        <v>1233</v>
      </c>
      <c r="D915" t="s">
        <v>41</v>
      </c>
      <c r="E915">
        <v>3</v>
      </c>
      <c r="F915" t="s">
        <v>41</v>
      </c>
      <c r="G915" t="s">
        <v>41</v>
      </c>
      <c r="H915" t="s">
        <v>2851</v>
      </c>
      <c r="I915" s="29">
        <v>46313.347905092596</v>
      </c>
      <c r="J915" t="s">
        <v>41</v>
      </c>
      <c r="K915" s="29">
        <v>46313.347604166665</v>
      </c>
      <c r="L915">
        <v>25</v>
      </c>
      <c r="O915" s="29">
        <v>46313.34679398148</v>
      </c>
      <c r="P915" t="s">
        <v>43</v>
      </c>
      <c r="Q915" t="s">
        <v>1393</v>
      </c>
      <c r="R915" t="s">
        <v>2852</v>
      </c>
      <c r="S915">
        <v>4247</v>
      </c>
      <c r="T915" t="s">
        <v>41</v>
      </c>
      <c r="U915" s="29">
        <v>46313.350902777776</v>
      </c>
      <c r="V915" s="29">
        <v>46313.350023148145</v>
      </c>
      <c r="W915" t="s">
        <v>2853</v>
      </c>
      <c r="X915">
        <v>22411</v>
      </c>
      <c r="Z915">
        <v>0</v>
      </c>
      <c r="AA915" s="30">
        <v>0.34652777777777777</v>
      </c>
      <c r="AB915">
        <v>3</v>
      </c>
      <c r="AC915" t="s">
        <v>41</v>
      </c>
    </row>
    <row r="916" spans="1:29">
      <c r="A916" t="s">
        <v>106</v>
      </c>
      <c r="B916" s="29">
        <v>46313.34684027778</v>
      </c>
      <c r="C916">
        <v>1138</v>
      </c>
      <c r="D916" t="s">
        <v>41</v>
      </c>
      <c r="E916">
        <v>4</v>
      </c>
      <c r="F916" t="s">
        <v>41</v>
      </c>
      <c r="G916" t="s">
        <v>41</v>
      </c>
      <c r="H916" t="s">
        <v>2854</v>
      </c>
      <c r="I916" s="29">
        <v>46313.34778935185</v>
      </c>
      <c r="J916" t="s">
        <v>41</v>
      </c>
      <c r="K916" s="29">
        <v>46313.347442129627</v>
      </c>
      <c r="L916">
        <v>29</v>
      </c>
      <c r="O916" s="29">
        <v>46313.346759259257</v>
      </c>
      <c r="P916" t="s">
        <v>43</v>
      </c>
      <c r="Q916" t="s">
        <v>108</v>
      </c>
      <c r="R916" t="s">
        <v>2855</v>
      </c>
      <c r="S916">
        <v>4247</v>
      </c>
      <c r="T916" t="s">
        <v>41</v>
      </c>
      <c r="U916" s="29">
        <v>46313.350671296299</v>
      </c>
      <c r="V916" s="29">
        <v>46313.349918981483</v>
      </c>
      <c r="W916" t="s">
        <v>2856</v>
      </c>
      <c r="X916">
        <v>22411</v>
      </c>
      <c r="Z916">
        <v>0</v>
      </c>
      <c r="AA916" s="30">
        <v>0.34652777777777777</v>
      </c>
      <c r="AB916">
        <v>3</v>
      </c>
      <c r="AC916" t="s">
        <v>41</v>
      </c>
    </row>
    <row r="917" spans="1:29">
      <c r="A917" t="s">
        <v>177</v>
      </c>
      <c r="B917" s="29">
        <v>46313.346226851849</v>
      </c>
      <c r="C917">
        <v>957</v>
      </c>
      <c r="D917" t="s">
        <v>41</v>
      </c>
      <c r="E917">
        <v>4</v>
      </c>
      <c r="F917" t="s">
        <v>41</v>
      </c>
      <c r="G917" t="s">
        <v>41</v>
      </c>
      <c r="H917" t="s">
        <v>2857</v>
      </c>
      <c r="I917" s="29">
        <v>46313.347256944442</v>
      </c>
      <c r="J917" t="s">
        <v>41</v>
      </c>
      <c r="K917" s="29">
        <v>46313.347094907411</v>
      </c>
      <c r="L917">
        <v>13</v>
      </c>
      <c r="O917" s="29">
        <v>46313.346134259256</v>
      </c>
      <c r="P917" t="s">
        <v>43</v>
      </c>
      <c r="Q917" t="s">
        <v>179</v>
      </c>
      <c r="R917" t="s">
        <v>2858</v>
      </c>
      <c r="S917">
        <v>4247</v>
      </c>
      <c r="T917" t="s">
        <v>41</v>
      </c>
      <c r="U917" s="29">
        <v>46313.349756944444</v>
      </c>
      <c r="V917" s="29">
        <v>46313.349618055552</v>
      </c>
      <c r="W917" t="s">
        <v>2859</v>
      </c>
      <c r="X917">
        <v>22411</v>
      </c>
      <c r="Z917">
        <v>0</v>
      </c>
      <c r="AA917" s="30">
        <v>0.34583333333333338</v>
      </c>
      <c r="AB917">
        <v>3</v>
      </c>
      <c r="AC917" t="s">
        <v>41</v>
      </c>
    </row>
    <row r="918" spans="1:29">
      <c r="A918" t="s">
        <v>1077</v>
      </c>
      <c r="B918" s="29">
        <v>46313.345868055556</v>
      </c>
      <c r="C918">
        <v>2317</v>
      </c>
      <c r="D918" t="s">
        <v>41</v>
      </c>
      <c r="E918">
        <v>7</v>
      </c>
      <c r="F918" t="s">
        <v>41</v>
      </c>
      <c r="G918" t="s">
        <v>41</v>
      </c>
      <c r="H918" t="s">
        <v>2860</v>
      </c>
      <c r="I918" s="29">
        <v>46313.346678240741</v>
      </c>
      <c r="J918" t="s">
        <v>41</v>
      </c>
      <c r="K918" s="29">
        <v>46313.346400462964</v>
      </c>
      <c r="L918">
        <v>23</v>
      </c>
      <c r="O918" s="29">
        <v>46313.345763888887</v>
      </c>
      <c r="P918" t="s">
        <v>43</v>
      </c>
      <c r="Q918" t="s">
        <v>1079</v>
      </c>
      <c r="R918" t="s">
        <v>2861</v>
      </c>
      <c r="S918">
        <v>4247</v>
      </c>
      <c r="T918" t="s">
        <v>41</v>
      </c>
      <c r="U918" s="29">
        <v>46313.351805555554</v>
      </c>
      <c r="V918" s="29">
        <v>46313.35125</v>
      </c>
      <c r="W918" t="s">
        <v>2862</v>
      </c>
      <c r="X918">
        <v>22411</v>
      </c>
      <c r="Z918">
        <v>0</v>
      </c>
      <c r="AA918" s="30">
        <v>0.34583333333333338</v>
      </c>
      <c r="AB918">
        <v>7</v>
      </c>
      <c r="AC918" t="s">
        <v>41</v>
      </c>
    </row>
    <row r="919" spans="1:29">
      <c r="A919" t="s">
        <v>2247</v>
      </c>
      <c r="B919" s="29">
        <v>46313.342974537038</v>
      </c>
      <c r="C919">
        <v>1412</v>
      </c>
      <c r="D919" t="s">
        <v>41</v>
      </c>
      <c r="E919">
        <v>5</v>
      </c>
      <c r="F919" t="s">
        <v>41</v>
      </c>
      <c r="G919" t="s">
        <v>41</v>
      </c>
      <c r="H919" t="s">
        <v>2863</v>
      </c>
      <c r="I919" s="29">
        <v>46313.345601851855</v>
      </c>
      <c r="J919" t="s">
        <v>41</v>
      </c>
      <c r="K919" s="29">
        <v>46313.345462962963</v>
      </c>
      <c r="L919">
        <v>11</v>
      </c>
      <c r="O919" s="29">
        <v>46313.342835648145</v>
      </c>
      <c r="P919" t="s">
        <v>43</v>
      </c>
      <c r="Q919" t="s">
        <v>2249</v>
      </c>
      <c r="R919" t="s">
        <v>2864</v>
      </c>
      <c r="S919">
        <v>4247</v>
      </c>
      <c r="T919" t="s">
        <v>41</v>
      </c>
      <c r="U919" s="29">
        <v>46313.348483796297</v>
      </c>
      <c r="V919" s="29">
        <v>46313.348657407405</v>
      </c>
      <c r="W919" t="s">
        <v>2865</v>
      </c>
      <c r="X919">
        <v>22411</v>
      </c>
      <c r="Z919">
        <v>0</v>
      </c>
      <c r="AA919" s="30">
        <v>0.34236111111111112</v>
      </c>
      <c r="AB919">
        <v>4</v>
      </c>
      <c r="AC919" t="s">
        <v>41</v>
      </c>
    </row>
    <row r="920" spans="1:29">
      <c r="A920" t="s">
        <v>1310</v>
      </c>
      <c r="B920" s="29">
        <v>46313.342094907406</v>
      </c>
      <c r="C920">
        <v>2822</v>
      </c>
      <c r="D920" t="s">
        <v>41</v>
      </c>
      <c r="E920">
        <v>9</v>
      </c>
      <c r="F920" t="s">
        <v>41</v>
      </c>
      <c r="G920" t="s">
        <v>41</v>
      </c>
      <c r="H920" t="s">
        <v>2866</v>
      </c>
      <c r="I920" s="29">
        <v>46313.345104166663</v>
      </c>
      <c r="J920" t="s">
        <v>41</v>
      </c>
      <c r="K920" s="29">
        <v>46313.344918981478</v>
      </c>
      <c r="L920">
        <v>15</v>
      </c>
      <c r="O920" s="29">
        <v>46313.341979166667</v>
      </c>
      <c r="P920" t="s">
        <v>43</v>
      </c>
      <c r="Q920" t="s">
        <v>1312</v>
      </c>
      <c r="R920" t="s">
        <v>2867</v>
      </c>
      <c r="S920">
        <v>4247</v>
      </c>
      <c r="T920" t="s">
        <v>41</v>
      </c>
      <c r="U920" s="29">
        <v>46313.352662037039</v>
      </c>
      <c r="V920" s="29">
        <v>46313.351099537038</v>
      </c>
      <c r="W920" t="s">
        <v>2868</v>
      </c>
      <c r="X920">
        <v>22411</v>
      </c>
      <c r="Z920">
        <v>0</v>
      </c>
      <c r="AA920" s="30">
        <v>0.34166666666666662</v>
      </c>
      <c r="AB920">
        <v>9</v>
      </c>
      <c r="AC920" t="s">
        <v>41</v>
      </c>
    </row>
    <row r="921" spans="1:29">
      <c r="A921" t="s">
        <v>1965</v>
      </c>
      <c r="B921" s="29">
        <v>46313.340856481482</v>
      </c>
      <c r="C921">
        <v>1987</v>
      </c>
      <c r="D921" t="s">
        <v>41</v>
      </c>
      <c r="E921">
        <v>5</v>
      </c>
      <c r="F921" t="s">
        <v>41</v>
      </c>
      <c r="G921" t="s">
        <v>41</v>
      </c>
      <c r="H921" t="s">
        <v>2869</v>
      </c>
      <c r="I921" s="29">
        <v>46313.341562499998</v>
      </c>
      <c r="J921" t="s">
        <v>41</v>
      </c>
      <c r="K921" s="29">
        <v>46313.341469907406</v>
      </c>
      <c r="L921">
        <v>7</v>
      </c>
      <c r="O921" s="29">
        <v>46313.34070601852</v>
      </c>
      <c r="P921" t="s">
        <v>43</v>
      </c>
      <c r="Q921" t="s">
        <v>1967</v>
      </c>
      <c r="R921" t="s">
        <v>2870</v>
      </c>
      <c r="S921">
        <v>4247</v>
      </c>
      <c r="T921" t="s">
        <v>41</v>
      </c>
      <c r="U921" s="29">
        <v>46313.347766203704</v>
      </c>
      <c r="V921" s="29">
        <v>46313.344675925924</v>
      </c>
      <c r="W921" t="s">
        <v>2871</v>
      </c>
      <c r="X921">
        <v>22411</v>
      </c>
      <c r="Z921">
        <v>0</v>
      </c>
      <c r="AA921" s="30">
        <v>0.34027777777777773</v>
      </c>
      <c r="AB921">
        <v>4</v>
      </c>
      <c r="AC921" t="s">
        <v>41</v>
      </c>
    </row>
    <row r="922" spans="1:29">
      <c r="A922" t="s">
        <v>98</v>
      </c>
      <c r="B922" s="29">
        <v>46313.340219907404</v>
      </c>
      <c r="C922">
        <v>3107</v>
      </c>
      <c r="D922" t="s">
        <v>41</v>
      </c>
      <c r="E922">
        <v>7</v>
      </c>
      <c r="F922" t="s">
        <v>41</v>
      </c>
      <c r="G922" t="s">
        <v>41</v>
      </c>
      <c r="H922" t="s">
        <v>2872</v>
      </c>
      <c r="I922" s="29">
        <v>46313.34269675926</v>
      </c>
      <c r="J922" t="s">
        <v>41</v>
      </c>
      <c r="K922" s="29">
        <v>46313.342546296299</v>
      </c>
      <c r="L922">
        <v>12</v>
      </c>
      <c r="O922" s="29">
        <v>46313.340138888889</v>
      </c>
      <c r="P922" t="s">
        <v>43</v>
      </c>
      <c r="Q922" t="s">
        <v>3005</v>
      </c>
      <c r="R922" t="s">
        <v>2873</v>
      </c>
      <c r="S922">
        <v>4247</v>
      </c>
      <c r="T922" t="s">
        <v>41</v>
      </c>
      <c r="U922" s="29">
        <v>46313.350671296299</v>
      </c>
      <c r="V922" s="29">
        <v>46313.347094907411</v>
      </c>
      <c r="W922" t="s">
        <v>2874</v>
      </c>
      <c r="X922">
        <v>22411</v>
      </c>
      <c r="Z922">
        <v>0</v>
      </c>
      <c r="AA922" s="30">
        <v>0.33958333333333335</v>
      </c>
      <c r="AB922">
        <v>6</v>
      </c>
      <c r="AC922" t="s">
        <v>41</v>
      </c>
    </row>
    <row r="923" spans="1:29">
      <c r="A923" t="s">
        <v>2258</v>
      </c>
      <c r="B923" s="29">
        <v>46313.339606481481</v>
      </c>
      <c r="C923">
        <v>2449</v>
      </c>
      <c r="D923" t="s">
        <v>41</v>
      </c>
      <c r="E923">
        <v>6</v>
      </c>
      <c r="F923" t="s">
        <v>41</v>
      </c>
      <c r="G923" t="s">
        <v>41</v>
      </c>
      <c r="H923" t="s">
        <v>2875</v>
      </c>
      <c r="I923" s="29">
        <v>46313.340601851851</v>
      </c>
      <c r="J923" t="s">
        <v>41</v>
      </c>
      <c r="K923" s="29">
        <v>46313.340289351851</v>
      </c>
      <c r="L923">
        <v>26</v>
      </c>
      <c r="O923" s="29">
        <v>46313.339548611111</v>
      </c>
      <c r="P923" t="s">
        <v>43</v>
      </c>
      <c r="Q923" t="s">
        <v>2260</v>
      </c>
      <c r="R923" t="s">
        <v>2876</v>
      </c>
      <c r="S923">
        <v>4247</v>
      </c>
      <c r="T923" t="s">
        <v>41</v>
      </c>
      <c r="U923" s="29">
        <v>46313.345277777778</v>
      </c>
      <c r="V923" s="29">
        <v>46313.344756944447</v>
      </c>
      <c r="W923" t="s">
        <v>2877</v>
      </c>
      <c r="X923">
        <v>22411</v>
      </c>
      <c r="Z923">
        <v>0</v>
      </c>
      <c r="AA923" s="30">
        <v>0.33958333333333335</v>
      </c>
      <c r="AB923">
        <v>6</v>
      </c>
      <c r="AC923" t="s">
        <v>41</v>
      </c>
    </row>
    <row r="924" spans="1:29">
      <c r="A924" t="s">
        <v>1592</v>
      </c>
      <c r="B924" s="29">
        <v>46313.33798611111</v>
      </c>
      <c r="C924">
        <v>2190</v>
      </c>
      <c r="D924" t="s">
        <v>41</v>
      </c>
      <c r="E924">
        <v>6</v>
      </c>
      <c r="F924" t="s">
        <v>41</v>
      </c>
      <c r="G924" t="s">
        <v>41</v>
      </c>
      <c r="H924" t="s">
        <v>2878</v>
      </c>
      <c r="I924" s="29">
        <v>46313.338576388887</v>
      </c>
      <c r="J924" t="s">
        <v>41</v>
      </c>
      <c r="K924" s="29">
        <v>46313.338275462964</v>
      </c>
      <c r="L924">
        <v>25</v>
      </c>
      <c r="O924" s="29">
        <v>46313.33792824074</v>
      </c>
      <c r="P924" t="s">
        <v>43</v>
      </c>
      <c r="Q924" t="s">
        <v>1594</v>
      </c>
      <c r="R924" t="s">
        <v>2879</v>
      </c>
      <c r="S924">
        <v>4247</v>
      </c>
      <c r="T924" t="s">
        <v>41</v>
      </c>
      <c r="U924" s="29">
        <v>46313.345185185186</v>
      </c>
      <c r="V924" s="29">
        <v>46313.342106481483</v>
      </c>
      <c r="W924" t="s">
        <v>2880</v>
      </c>
      <c r="X924">
        <v>22411</v>
      </c>
      <c r="Z924">
        <v>0</v>
      </c>
      <c r="AA924" s="30">
        <v>0.33749999999999997</v>
      </c>
      <c r="AB924">
        <v>5</v>
      </c>
      <c r="AC924" t="s">
        <v>41</v>
      </c>
    </row>
    <row r="925" spans="1:29">
      <c r="A925" t="s">
        <v>1365</v>
      </c>
      <c r="B925" s="29">
        <v>46313.336921296293</v>
      </c>
      <c r="C925">
        <v>957</v>
      </c>
      <c r="D925" t="s">
        <v>41</v>
      </c>
      <c r="E925">
        <v>3</v>
      </c>
      <c r="F925" t="s">
        <v>41</v>
      </c>
      <c r="G925" t="s">
        <v>41</v>
      </c>
      <c r="H925" t="s">
        <v>2881</v>
      </c>
      <c r="I925" s="29">
        <v>46313.338379629633</v>
      </c>
      <c r="J925" t="s">
        <v>41</v>
      </c>
      <c r="K925" s="29">
        <v>46313.338101851848</v>
      </c>
      <c r="L925">
        <v>23</v>
      </c>
      <c r="O925" s="29">
        <v>46313.336759259262</v>
      </c>
      <c r="P925" t="s">
        <v>43</v>
      </c>
      <c r="Q925" t="s">
        <v>1367</v>
      </c>
      <c r="R925" t="s">
        <v>2882</v>
      </c>
      <c r="S925">
        <v>4247</v>
      </c>
      <c r="T925" t="s">
        <v>41</v>
      </c>
      <c r="U925" s="29">
        <v>46313.340891203705</v>
      </c>
      <c r="V925" s="29">
        <v>46313.34034722222</v>
      </c>
      <c r="W925" t="s">
        <v>2883</v>
      </c>
      <c r="X925">
        <v>22411</v>
      </c>
      <c r="Z925">
        <v>0</v>
      </c>
      <c r="AA925" s="30">
        <v>0.33680555555555558</v>
      </c>
      <c r="AB925">
        <v>3</v>
      </c>
      <c r="AC925" t="s">
        <v>41</v>
      </c>
    </row>
    <row r="926" spans="1:29">
      <c r="A926" t="s">
        <v>1391</v>
      </c>
      <c r="B926" s="29">
        <v>46313.336909722224</v>
      </c>
      <c r="C926">
        <v>1324</v>
      </c>
      <c r="D926" t="s">
        <v>41</v>
      </c>
      <c r="E926">
        <v>4</v>
      </c>
      <c r="F926" t="s">
        <v>41</v>
      </c>
      <c r="G926" t="s">
        <v>41</v>
      </c>
      <c r="H926" t="s">
        <v>2884</v>
      </c>
      <c r="I926" s="29">
        <v>46313.338472222225</v>
      </c>
      <c r="J926" t="s">
        <v>41</v>
      </c>
      <c r="K926" s="29">
        <v>46313.338217592594</v>
      </c>
      <c r="L926">
        <v>21</v>
      </c>
      <c r="O926" s="29">
        <v>46313.336736111109</v>
      </c>
      <c r="P926" t="s">
        <v>43</v>
      </c>
      <c r="Q926" t="s">
        <v>1393</v>
      </c>
      <c r="R926" t="s">
        <v>2885</v>
      </c>
      <c r="S926">
        <v>4247</v>
      </c>
      <c r="T926" t="s">
        <v>41</v>
      </c>
      <c r="U926" s="29">
        <v>46313.341539351852</v>
      </c>
      <c r="V926" s="29">
        <v>46313.340844907405</v>
      </c>
      <c r="W926" t="s">
        <v>2886</v>
      </c>
      <c r="X926">
        <v>22411</v>
      </c>
      <c r="Z926">
        <v>0</v>
      </c>
      <c r="AA926" s="30">
        <v>0.33680555555555558</v>
      </c>
      <c r="AB926">
        <v>3</v>
      </c>
      <c r="AC926" t="s">
        <v>41</v>
      </c>
    </row>
    <row r="927" spans="1:29">
      <c r="A927" t="s">
        <v>185</v>
      </c>
      <c r="B927" s="29">
        <v>46313.336504629631</v>
      </c>
      <c r="C927">
        <v>2170</v>
      </c>
      <c r="D927" t="s">
        <v>41</v>
      </c>
      <c r="E927">
        <v>6</v>
      </c>
      <c r="F927" t="s">
        <v>41</v>
      </c>
      <c r="G927" t="s">
        <v>41</v>
      </c>
      <c r="H927" t="s">
        <v>2887</v>
      </c>
      <c r="I927" s="29">
        <v>46313.337465277778</v>
      </c>
      <c r="J927" t="s">
        <v>41</v>
      </c>
      <c r="K927" s="29">
        <v>46313.337361111109</v>
      </c>
      <c r="L927">
        <v>8</v>
      </c>
      <c r="O927" s="29">
        <v>46313.336446759262</v>
      </c>
      <c r="P927" t="s">
        <v>43</v>
      </c>
      <c r="Q927" t="s">
        <v>3007</v>
      </c>
      <c r="R927" t="s">
        <v>2888</v>
      </c>
      <c r="S927">
        <v>4247</v>
      </c>
      <c r="T927" t="s">
        <v>41</v>
      </c>
      <c r="U927" s="29">
        <v>46313.34233796296</v>
      </c>
      <c r="V927" s="29">
        <v>46313.341770833336</v>
      </c>
      <c r="W927" t="s">
        <v>2889</v>
      </c>
      <c r="X927">
        <v>22411</v>
      </c>
      <c r="Z927">
        <v>0</v>
      </c>
      <c r="AA927" s="30">
        <v>0.33611111111111108</v>
      </c>
      <c r="AB927">
        <v>6</v>
      </c>
      <c r="AC927" t="s">
        <v>41</v>
      </c>
    </row>
    <row r="928" spans="1:29">
      <c r="A928" t="s">
        <v>1336</v>
      </c>
      <c r="B928" s="29">
        <v>46313.33625</v>
      </c>
      <c r="C928">
        <v>3876</v>
      </c>
      <c r="D928" t="s">
        <v>41</v>
      </c>
      <c r="E928">
        <v>9</v>
      </c>
      <c r="F928" t="s">
        <v>41</v>
      </c>
      <c r="G928" t="s">
        <v>41</v>
      </c>
      <c r="H928" t="s">
        <v>2890</v>
      </c>
      <c r="I928" s="29">
        <v>46313.337835648148</v>
      </c>
      <c r="J928" t="s">
        <v>41</v>
      </c>
      <c r="K928" s="29">
        <v>46313.337650462963</v>
      </c>
      <c r="L928">
        <v>15</v>
      </c>
      <c r="O928" s="29">
        <v>46313.336145833331</v>
      </c>
      <c r="P928" t="s">
        <v>43</v>
      </c>
      <c r="Q928" t="s">
        <v>1338</v>
      </c>
      <c r="R928" t="s">
        <v>2891</v>
      </c>
      <c r="S928">
        <v>4247</v>
      </c>
      <c r="T928" t="s">
        <v>41</v>
      </c>
      <c r="U928" s="29">
        <v>46313.347256944442</v>
      </c>
      <c r="V928" s="29">
        <v>46313.34412037037</v>
      </c>
      <c r="W928" t="s">
        <v>2892</v>
      </c>
      <c r="X928">
        <v>22411</v>
      </c>
      <c r="Z928">
        <v>0</v>
      </c>
      <c r="AA928" s="30">
        <v>0.33611111111111108</v>
      </c>
      <c r="AB928">
        <v>9</v>
      </c>
      <c r="AC928" t="s">
        <v>41</v>
      </c>
    </row>
    <row r="929" spans="1:29">
      <c r="A929" t="s">
        <v>93</v>
      </c>
      <c r="B929" s="29">
        <v>46313.334664351853</v>
      </c>
      <c r="C929">
        <v>3750</v>
      </c>
      <c r="D929" t="s">
        <v>41</v>
      </c>
      <c r="E929">
        <v>8</v>
      </c>
      <c r="F929" t="s">
        <v>41</v>
      </c>
      <c r="G929" t="s">
        <v>41</v>
      </c>
      <c r="H929" t="s">
        <v>2893</v>
      </c>
      <c r="I929" s="29">
        <v>46313.336377314816</v>
      </c>
      <c r="J929" t="s">
        <v>41</v>
      </c>
      <c r="K929" s="29">
        <v>46313.336261574077</v>
      </c>
      <c r="L929">
        <v>9</v>
      </c>
      <c r="O929" s="29">
        <v>46313.334479166668</v>
      </c>
      <c r="P929" t="s">
        <v>43</v>
      </c>
      <c r="Q929" t="s">
        <v>95</v>
      </c>
      <c r="R929" t="s">
        <v>2894</v>
      </c>
      <c r="S929">
        <v>4247</v>
      </c>
      <c r="T929" t="s">
        <v>41</v>
      </c>
      <c r="U929" s="29">
        <v>46313.345300925925</v>
      </c>
      <c r="V929" s="29">
        <v>46313.34207175926</v>
      </c>
      <c r="W929" t="s">
        <v>2895</v>
      </c>
      <c r="X929">
        <v>22411</v>
      </c>
      <c r="Z929">
        <v>0</v>
      </c>
      <c r="AA929" s="30">
        <v>0.33402777777777781</v>
      </c>
      <c r="AB929">
        <v>8</v>
      </c>
      <c r="AC929" t="s">
        <v>41</v>
      </c>
    </row>
    <row r="930" spans="1:29">
      <c r="A930" t="s">
        <v>347</v>
      </c>
      <c r="B930" s="29">
        <v>46313.334016203706</v>
      </c>
      <c r="C930">
        <v>3878</v>
      </c>
      <c r="D930" t="s">
        <v>41</v>
      </c>
      <c r="E930">
        <v>8</v>
      </c>
      <c r="F930" t="s">
        <v>41</v>
      </c>
      <c r="G930" t="s">
        <v>41</v>
      </c>
      <c r="H930" t="s">
        <v>2896</v>
      </c>
      <c r="I930" s="29">
        <v>46313.334837962961</v>
      </c>
      <c r="J930" t="s">
        <v>41</v>
      </c>
      <c r="K930" s="29">
        <v>46313.334733796299</v>
      </c>
      <c r="L930">
        <v>8</v>
      </c>
      <c r="O930" s="29">
        <v>46313.333912037036</v>
      </c>
      <c r="P930" t="s">
        <v>43</v>
      </c>
      <c r="Q930" t="s">
        <v>349</v>
      </c>
      <c r="R930" t="s">
        <v>2897</v>
      </c>
      <c r="S930">
        <v>4247</v>
      </c>
      <c r="T930" t="s">
        <v>41</v>
      </c>
      <c r="U930" s="29">
        <v>46313.344166666669</v>
      </c>
      <c r="V930" s="29">
        <v>46313.340636574074</v>
      </c>
      <c r="W930" t="s">
        <v>2898</v>
      </c>
      <c r="X930">
        <v>22411</v>
      </c>
      <c r="Z930">
        <v>0</v>
      </c>
      <c r="AA930" s="30">
        <v>0.33333333333333331</v>
      </c>
      <c r="AB930">
        <v>8</v>
      </c>
      <c r="AC930" t="s">
        <v>41</v>
      </c>
    </row>
    <row r="931" spans="1:29">
      <c r="A931" t="s">
        <v>655</v>
      </c>
      <c r="B931" s="29">
        <v>46313.333402777775</v>
      </c>
      <c r="C931">
        <v>2896</v>
      </c>
      <c r="D931" t="s">
        <v>41</v>
      </c>
      <c r="E931">
        <v>7</v>
      </c>
      <c r="F931" t="s">
        <v>41</v>
      </c>
      <c r="G931" t="s">
        <v>41</v>
      </c>
      <c r="H931" t="s">
        <v>2899</v>
      </c>
      <c r="I931" s="29">
        <v>46313.335266203707</v>
      </c>
      <c r="J931" t="s">
        <v>41</v>
      </c>
      <c r="K931" s="29">
        <v>46313.335104166668</v>
      </c>
      <c r="L931">
        <v>13</v>
      </c>
      <c r="O931" s="29">
        <v>46313.33326388889</v>
      </c>
      <c r="P931" t="s">
        <v>43</v>
      </c>
      <c r="Q931" t="s">
        <v>657</v>
      </c>
      <c r="R931" t="s">
        <v>2900</v>
      </c>
      <c r="S931">
        <v>4247</v>
      </c>
      <c r="T931" t="s">
        <v>41</v>
      </c>
      <c r="U931" s="29">
        <v>46313.343148148146</v>
      </c>
      <c r="V931" s="29">
        <v>46313.340300925927</v>
      </c>
      <c r="W931" t="s">
        <v>2901</v>
      </c>
      <c r="X931">
        <v>22411</v>
      </c>
      <c r="Z931">
        <v>0</v>
      </c>
      <c r="AA931" s="30">
        <v>0.33333333333333331</v>
      </c>
      <c r="AB931">
        <v>7</v>
      </c>
      <c r="AC931" t="s">
        <v>41</v>
      </c>
    </row>
    <row r="932" spans="1:29">
      <c r="A932" t="s">
        <v>379</v>
      </c>
      <c r="B932" s="29">
        <v>46313.333275462966</v>
      </c>
      <c r="C932">
        <v>1362</v>
      </c>
      <c r="D932" t="s">
        <v>41</v>
      </c>
      <c r="E932">
        <v>5</v>
      </c>
      <c r="F932" t="s">
        <v>41</v>
      </c>
      <c r="G932" t="s">
        <v>41</v>
      </c>
      <c r="H932" t="s">
        <v>2902</v>
      </c>
      <c r="I932" s="29">
        <v>46313.334224537037</v>
      </c>
      <c r="J932" t="s">
        <v>41</v>
      </c>
      <c r="K932" s="29">
        <v>46313.33388888889</v>
      </c>
      <c r="L932">
        <v>28</v>
      </c>
      <c r="O932" s="29">
        <v>46313.333182870374</v>
      </c>
      <c r="P932" t="s">
        <v>43</v>
      </c>
      <c r="Q932" t="s">
        <v>381</v>
      </c>
      <c r="R932" t="s">
        <v>2903</v>
      </c>
      <c r="S932">
        <v>4247</v>
      </c>
      <c r="T932" t="s">
        <v>41</v>
      </c>
      <c r="U932" s="29">
        <v>46313.33898148148</v>
      </c>
      <c r="V932" s="29">
        <v>46313.337291666663</v>
      </c>
      <c r="W932" t="s">
        <v>2904</v>
      </c>
      <c r="X932">
        <v>22411</v>
      </c>
      <c r="Z932">
        <v>0</v>
      </c>
      <c r="AA932" s="30">
        <v>0.33263888888888887</v>
      </c>
      <c r="AB932">
        <v>4</v>
      </c>
      <c r="AC932" t="s">
        <v>41</v>
      </c>
    </row>
    <row r="933" spans="1:29">
      <c r="A933" t="s">
        <v>1239</v>
      </c>
      <c r="B933" s="29">
        <v>46313.330810185187</v>
      </c>
      <c r="C933">
        <v>2158</v>
      </c>
      <c r="D933" t="s">
        <v>41</v>
      </c>
      <c r="E933">
        <v>6</v>
      </c>
      <c r="F933" t="s">
        <v>41</v>
      </c>
      <c r="G933" t="s">
        <v>41</v>
      </c>
      <c r="H933" t="s">
        <v>2905</v>
      </c>
      <c r="I933" s="29">
        <v>46313.332013888888</v>
      </c>
      <c r="J933" t="s">
        <v>41</v>
      </c>
      <c r="K933" s="29">
        <v>46313.331793981481</v>
      </c>
      <c r="L933">
        <v>18</v>
      </c>
      <c r="O933" s="29">
        <v>46313.330694444441</v>
      </c>
      <c r="P933" t="s">
        <v>43</v>
      </c>
      <c r="Q933" t="s">
        <v>1241</v>
      </c>
      <c r="R933" t="s">
        <v>2906</v>
      </c>
      <c r="S933">
        <v>4247</v>
      </c>
      <c r="T933" t="s">
        <v>41</v>
      </c>
      <c r="U933" s="29">
        <v>46313.338379629633</v>
      </c>
      <c r="V933" s="29">
        <v>46313.335659722223</v>
      </c>
      <c r="W933" t="s">
        <v>2907</v>
      </c>
      <c r="X933">
        <v>22411</v>
      </c>
      <c r="Z933">
        <v>0</v>
      </c>
      <c r="AA933" s="30">
        <v>0.33055555555555555</v>
      </c>
      <c r="AB933">
        <v>5</v>
      </c>
      <c r="AC933" t="s">
        <v>41</v>
      </c>
    </row>
    <row r="934" spans="1:29">
      <c r="A934" t="s">
        <v>106</v>
      </c>
      <c r="B934" s="29">
        <v>46313.330474537041</v>
      </c>
      <c r="C934">
        <v>2224</v>
      </c>
      <c r="D934" t="s">
        <v>41</v>
      </c>
      <c r="E934">
        <v>7</v>
      </c>
      <c r="F934" t="s">
        <v>41</v>
      </c>
      <c r="G934" t="s">
        <v>41</v>
      </c>
      <c r="H934" t="s">
        <v>2908</v>
      </c>
      <c r="I934" s="29">
        <v>46313.33253472222</v>
      </c>
      <c r="J934" t="s">
        <v>41</v>
      </c>
      <c r="K934" s="29">
        <v>46313.332245370373</v>
      </c>
      <c r="L934">
        <v>24</v>
      </c>
      <c r="O934" s="29">
        <v>46313.330127314817</v>
      </c>
      <c r="P934" t="s">
        <v>43</v>
      </c>
      <c r="Q934" t="s">
        <v>108</v>
      </c>
      <c r="R934" t="s">
        <v>2909</v>
      </c>
      <c r="S934">
        <v>4247</v>
      </c>
      <c r="T934" t="s">
        <v>41</v>
      </c>
      <c r="U934" s="29">
        <v>46313.337013888886</v>
      </c>
      <c r="V934" s="29">
        <v>46313.336967592593</v>
      </c>
      <c r="W934" t="s">
        <v>2910</v>
      </c>
      <c r="X934">
        <v>22411</v>
      </c>
      <c r="Z934">
        <v>0</v>
      </c>
      <c r="AA934" s="30">
        <v>0.3298611111111111</v>
      </c>
      <c r="AB934">
        <v>6</v>
      </c>
      <c r="AC934" t="s">
        <v>41</v>
      </c>
    </row>
    <row r="935" spans="1:29">
      <c r="A935" t="s">
        <v>1310</v>
      </c>
      <c r="B935" s="29">
        <v>46313.32980324074</v>
      </c>
      <c r="C935">
        <v>1125</v>
      </c>
      <c r="D935" t="s">
        <v>41</v>
      </c>
      <c r="E935">
        <v>4</v>
      </c>
      <c r="F935" t="s">
        <v>41</v>
      </c>
      <c r="G935" t="s">
        <v>41</v>
      </c>
      <c r="H935" t="s">
        <v>2911</v>
      </c>
      <c r="I935" s="29">
        <v>46313.330381944441</v>
      </c>
      <c r="J935" t="s">
        <v>41</v>
      </c>
      <c r="K935" s="29">
        <v>46313.330243055556</v>
      </c>
      <c r="L935">
        <v>11</v>
      </c>
      <c r="O935" s="29">
        <v>46313.329664351855</v>
      </c>
      <c r="P935" t="s">
        <v>43</v>
      </c>
      <c r="Q935" t="s">
        <v>1312</v>
      </c>
      <c r="R935" t="s">
        <v>2912</v>
      </c>
      <c r="S935">
        <v>4247</v>
      </c>
      <c r="T935" t="s">
        <v>41</v>
      </c>
      <c r="U935" s="29">
        <v>46313.333055555559</v>
      </c>
      <c r="V935" s="29">
        <v>46313.332916666666</v>
      </c>
      <c r="W935" t="s">
        <v>2913</v>
      </c>
      <c r="X935">
        <v>22411</v>
      </c>
      <c r="Z935">
        <v>0</v>
      </c>
      <c r="AA935" s="30">
        <v>0.32916666666666666</v>
      </c>
      <c r="AB935">
        <v>4</v>
      </c>
      <c r="AC935" t="s">
        <v>41</v>
      </c>
    </row>
    <row r="936" spans="1:29">
      <c r="A936" t="s">
        <v>734</v>
      </c>
      <c r="B936" s="29">
        <v>46313.329004629632</v>
      </c>
      <c r="C936">
        <v>2667</v>
      </c>
      <c r="D936" t="s">
        <v>41</v>
      </c>
      <c r="E936">
        <v>6</v>
      </c>
      <c r="F936" t="s">
        <v>41</v>
      </c>
      <c r="G936" t="s">
        <v>41</v>
      </c>
      <c r="H936" t="s">
        <v>2914</v>
      </c>
      <c r="I936" s="29">
        <v>46313.330474537041</v>
      </c>
      <c r="J936" t="s">
        <v>41</v>
      </c>
      <c r="K936" s="29">
        <v>46313.330324074072</v>
      </c>
      <c r="L936">
        <v>12</v>
      </c>
      <c r="O936" s="29">
        <v>46313.328622685185</v>
      </c>
      <c r="P936" t="s">
        <v>43</v>
      </c>
      <c r="Q936" t="s">
        <v>736</v>
      </c>
      <c r="R936" t="s">
        <v>2915</v>
      </c>
      <c r="S936">
        <v>4247</v>
      </c>
      <c r="T936" t="s">
        <v>41</v>
      </c>
      <c r="U936" s="29">
        <v>46313.336388888885</v>
      </c>
      <c r="V936" s="29">
        <v>46313.334780092591</v>
      </c>
      <c r="W936" t="s">
        <v>2916</v>
      </c>
      <c r="X936">
        <v>22411</v>
      </c>
      <c r="Z936">
        <v>0</v>
      </c>
      <c r="AA936" s="30">
        <v>0.32847222222222222</v>
      </c>
      <c r="AB936">
        <v>6</v>
      </c>
      <c r="AC936" t="s">
        <v>41</v>
      </c>
    </row>
    <row r="937" spans="1:29">
      <c r="A937" t="s">
        <v>1965</v>
      </c>
      <c r="B937" s="29">
        <v>46313.328645833331</v>
      </c>
      <c r="C937">
        <v>2077</v>
      </c>
      <c r="D937" t="s">
        <v>41</v>
      </c>
      <c r="E937">
        <v>6</v>
      </c>
      <c r="F937" t="s">
        <v>41</v>
      </c>
      <c r="G937" t="s">
        <v>41</v>
      </c>
      <c r="H937" t="s">
        <v>2917</v>
      </c>
      <c r="I937" s="29">
        <v>46313.329652777778</v>
      </c>
      <c r="J937" t="s">
        <v>41</v>
      </c>
      <c r="K937" s="29">
        <v>46313.329513888886</v>
      </c>
      <c r="L937">
        <v>11</v>
      </c>
      <c r="O937" s="29">
        <v>46313.328506944446</v>
      </c>
      <c r="P937" t="s">
        <v>43</v>
      </c>
      <c r="Q937" t="s">
        <v>1967</v>
      </c>
      <c r="R937" t="s">
        <v>2918</v>
      </c>
      <c r="S937">
        <v>4247</v>
      </c>
      <c r="T937" t="s">
        <v>41</v>
      </c>
      <c r="U937" s="29">
        <v>46313.334386574075</v>
      </c>
      <c r="V937" s="29">
        <v>46313.333472222221</v>
      </c>
      <c r="W937" t="s">
        <v>2919</v>
      </c>
      <c r="X937">
        <v>22411</v>
      </c>
      <c r="Z937">
        <v>0</v>
      </c>
      <c r="AA937" s="30">
        <v>0.32847222222222222</v>
      </c>
      <c r="AB937">
        <v>6</v>
      </c>
      <c r="AC937" t="s">
        <v>41</v>
      </c>
    </row>
    <row r="938" spans="1:29">
      <c r="A938" t="s">
        <v>2920</v>
      </c>
      <c r="B938" s="29">
        <v>46313.328692129631</v>
      </c>
      <c r="C938">
        <v>1125</v>
      </c>
      <c r="D938" t="s">
        <v>41</v>
      </c>
      <c r="E938">
        <v>4</v>
      </c>
      <c r="F938" t="s">
        <v>41</v>
      </c>
      <c r="G938" t="s">
        <v>41</v>
      </c>
      <c r="H938" t="s">
        <v>2921</v>
      </c>
      <c r="I938" s="29">
        <v>46313.329571759263</v>
      </c>
      <c r="J938" t="s">
        <v>41</v>
      </c>
      <c r="K938" s="29">
        <v>46313.329444444447</v>
      </c>
      <c r="L938">
        <v>10</v>
      </c>
      <c r="O938" s="29">
        <v>46313.32849537037</v>
      </c>
      <c r="P938" t="s">
        <v>43</v>
      </c>
      <c r="Q938" t="s">
        <v>2922</v>
      </c>
      <c r="R938" t="s">
        <v>2923</v>
      </c>
      <c r="S938">
        <v>4247</v>
      </c>
      <c r="T938" t="s">
        <v>41</v>
      </c>
      <c r="U938" s="29">
        <v>46313.332256944443</v>
      </c>
      <c r="V938" s="29">
        <v>46313.331886574073</v>
      </c>
      <c r="W938" t="s">
        <v>2924</v>
      </c>
      <c r="X938">
        <v>22411</v>
      </c>
      <c r="Z938">
        <v>0</v>
      </c>
      <c r="AA938" s="30">
        <v>0.32847222222222222</v>
      </c>
      <c r="AB938">
        <v>3</v>
      </c>
      <c r="AC938" t="s">
        <v>41</v>
      </c>
    </row>
    <row r="939" spans="1:29">
      <c r="A939" t="s">
        <v>98</v>
      </c>
      <c r="B939" s="29">
        <v>46313.328611111108</v>
      </c>
      <c r="C939">
        <v>1393</v>
      </c>
      <c r="D939" t="s">
        <v>41</v>
      </c>
      <c r="E939">
        <v>4</v>
      </c>
      <c r="F939" t="s">
        <v>41</v>
      </c>
      <c r="G939" t="s">
        <v>41</v>
      </c>
      <c r="H939" t="s">
        <v>2925</v>
      </c>
      <c r="I939" s="29">
        <v>46313.330277777779</v>
      </c>
      <c r="J939" t="s">
        <v>41</v>
      </c>
      <c r="K939" s="29">
        <v>46313.33016203704</v>
      </c>
      <c r="L939">
        <v>9</v>
      </c>
      <c r="O939" s="29">
        <v>46313.328472222223</v>
      </c>
      <c r="P939" t="s">
        <v>43</v>
      </c>
      <c r="Q939" t="s">
        <v>3005</v>
      </c>
      <c r="R939" t="s">
        <v>2926</v>
      </c>
      <c r="S939">
        <v>4247</v>
      </c>
      <c r="T939" t="s">
        <v>41</v>
      </c>
      <c r="U939" s="29">
        <v>46313.334872685184</v>
      </c>
      <c r="V939" s="29">
        <v>46313.333090277774</v>
      </c>
      <c r="W939" t="s">
        <v>2927</v>
      </c>
      <c r="X939">
        <v>22411</v>
      </c>
      <c r="Z939">
        <v>0</v>
      </c>
      <c r="AA939" s="30">
        <v>0.32847222222222222</v>
      </c>
      <c r="AB939">
        <v>4</v>
      </c>
      <c r="AC939" t="s">
        <v>41</v>
      </c>
    </row>
    <row r="940" spans="1:29">
      <c r="A940" t="s">
        <v>1365</v>
      </c>
      <c r="B940" s="29">
        <v>46313.328148148146</v>
      </c>
      <c r="C940">
        <v>1413</v>
      </c>
      <c r="D940" t="s">
        <v>41</v>
      </c>
      <c r="E940">
        <v>4</v>
      </c>
      <c r="F940" t="s">
        <v>41</v>
      </c>
      <c r="G940" t="s">
        <v>41</v>
      </c>
      <c r="H940" t="s">
        <v>2928</v>
      </c>
      <c r="I940" s="29">
        <v>46313.328657407408</v>
      </c>
      <c r="J940" t="s">
        <v>41</v>
      </c>
      <c r="K940" s="29">
        <v>46313.328356481485</v>
      </c>
      <c r="L940">
        <v>25</v>
      </c>
      <c r="O940" s="29">
        <v>46313.327962962961</v>
      </c>
      <c r="P940" t="s">
        <v>43</v>
      </c>
      <c r="Q940" t="s">
        <v>1367</v>
      </c>
      <c r="R940" t="s">
        <v>2929</v>
      </c>
      <c r="S940">
        <v>4247</v>
      </c>
      <c r="T940" t="s">
        <v>41</v>
      </c>
      <c r="U940" s="29">
        <v>46313.33189814815</v>
      </c>
      <c r="V940" s="29">
        <v>46313.33079861111</v>
      </c>
      <c r="W940" t="s">
        <v>2930</v>
      </c>
      <c r="X940">
        <v>22411</v>
      </c>
      <c r="Z940">
        <v>0</v>
      </c>
      <c r="AA940" s="30">
        <v>0.32777777777777778</v>
      </c>
      <c r="AB940">
        <v>3</v>
      </c>
      <c r="AC940" t="s">
        <v>41</v>
      </c>
    </row>
    <row r="941" spans="1:29">
      <c r="A941" t="s">
        <v>177</v>
      </c>
      <c r="B941" s="29">
        <v>46313.327002314814</v>
      </c>
      <c r="C941">
        <v>1470</v>
      </c>
      <c r="D941" t="s">
        <v>41</v>
      </c>
      <c r="E941">
        <v>4</v>
      </c>
      <c r="F941" t="s">
        <v>41</v>
      </c>
      <c r="G941" t="s">
        <v>41</v>
      </c>
      <c r="H941" t="s">
        <v>2931</v>
      </c>
      <c r="I941" s="29">
        <v>46313.328379629631</v>
      </c>
      <c r="J941" t="s">
        <v>41</v>
      </c>
      <c r="K941" s="29">
        <v>46313.3281712963</v>
      </c>
      <c r="L941">
        <v>17</v>
      </c>
      <c r="O941" s="29">
        <v>46313.326921296299</v>
      </c>
      <c r="P941" t="s">
        <v>43</v>
      </c>
      <c r="Q941" t="s">
        <v>179</v>
      </c>
      <c r="R941" t="s">
        <v>2932</v>
      </c>
      <c r="S941">
        <v>4247</v>
      </c>
      <c r="T941" t="s">
        <v>41</v>
      </c>
      <c r="U941" s="29">
        <v>46313.334085648145</v>
      </c>
      <c r="V941" s="29">
        <v>46313.330787037034</v>
      </c>
      <c r="W941" t="s">
        <v>2933</v>
      </c>
      <c r="X941">
        <v>22411</v>
      </c>
      <c r="Z941">
        <v>0</v>
      </c>
      <c r="AA941" s="30">
        <v>0.3263888888888889</v>
      </c>
      <c r="AB941">
        <v>3</v>
      </c>
      <c r="AC941" t="s">
        <v>41</v>
      </c>
    </row>
    <row r="942" spans="1:29">
      <c r="A942" t="s">
        <v>185</v>
      </c>
      <c r="B942" s="29">
        <v>46313.326909722222</v>
      </c>
      <c r="C942">
        <v>1153</v>
      </c>
      <c r="D942" t="s">
        <v>41</v>
      </c>
      <c r="E942">
        <v>3</v>
      </c>
      <c r="F942" t="s">
        <v>41</v>
      </c>
      <c r="G942" t="s">
        <v>41</v>
      </c>
      <c r="H942" t="s">
        <v>2934</v>
      </c>
      <c r="I942" s="29">
        <v>46313.327685185184</v>
      </c>
      <c r="J942" t="s">
        <v>41</v>
      </c>
      <c r="K942" s="29">
        <v>46313.327557870369</v>
      </c>
      <c r="L942">
        <v>10</v>
      </c>
      <c r="O942" s="29">
        <v>46313.326805555553</v>
      </c>
      <c r="P942" t="s">
        <v>43</v>
      </c>
      <c r="Q942" t="s">
        <v>3007</v>
      </c>
      <c r="R942" t="s">
        <v>2935</v>
      </c>
      <c r="S942">
        <v>4247</v>
      </c>
      <c r="T942" t="s">
        <v>41</v>
      </c>
      <c r="U942" s="29">
        <v>46313.330300925925</v>
      </c>
      <c r="V942" s="29">
        <v>46313.329548611109</v>
      </c>
      <c r="W942" t="s">
        <v>2936</v>
      </c>
      <c r="X942">
        <v>22411</v>
      </c>
      <c r="Z942">
        <v>0</v>
      </c>
      <c r="AA942" s="30">
        <v>0.3263888888888889</v>
      </c>
      <c r="AB942">
        <v>3</v>
      </c>
      <c r="AC942" t="s">
        <v>41</v>
      </c>
    </row>
    <row r="943" spans="1:29">
      <c r="A943" t="s">
        <v>2258</v>
      </c>
      <c r="B943" s="29">
        <v>46313.323761574073</v>
      </c>
      <c r="C943">
        <v>2139</v>
      </c>
      <c r="D943" t="s">
        <v>41</v>
      </c>
      <c r="E943">
        <v>7</v>
      </c>
      <c r="F943" t="s">
        <v>41</v>
      </c>
      <c r="G943" t="s">
        <v>41</v>
      </c>
      <c r="H943" t="s">
        <v>2937</v>
      </c>
      <c r="I943" s="29">
        <v>46313.326620370368</v>
      </c>
      <c r="J943" t="s">
        <v>41</v>
      </c>
      <c r="K943" s="29">
        <v>46313.326469907406</v>
      </c>
      <c r="L943">
        <v>12</v>
      </c>
      <c r="O943" s="29">
        <v>46313.323599537034</v>
      </c>
      <c r="P943" t="s">
        <v>43</v>
      </c>
      <c r="Q943" t="s">
        <v>2260</v>
      </c>
      <c r="R943" t="s">
        <v>2938</v>
      </c>
      <c r="S943">
        <v>4247</v>
      </c>
      <c r="T943" t="s">
        <v>41</v>
      </c>
      <c r="U943" s="29">
        <v>46313.330821759257</v>
      </c>
      <c r="V943" s="29">
        <v>46313.331087962964</v>
      </c>
      <c r="W943" t="s">
        <v>2939</v>
      </c>
      <c r="X943">
        <v>22411</v>
      </c>
      <c r="Z943">
        <v>0</v>
      </c>
      <c r="AA943" s="30">
        <v>0.32361111111111113</v>
      </c>
      <c r="AB943">
        <v>6</v>
      </c>
      <c r="AC943" t="s">
        <v>41</v>
      </c>
    </row>
    <row r="944" spans="1:29">
      <c r="A944" t="s">
        <v>2247</v>
      </c>
      <c r="B944" s="29">
        <v>46313.321527777778</v>
      </c>
      <c r="C944">
        <v>2767</v>
      </c>
      <c r="D944" t="s">
        <v>41</v>
      </c>
      <c r="E944">
        <v>7</v>
      </c>
      <c r="F944" t="s">
        <v>41</v>
      </c>
      <c r="G944" t="s">
        <v>41</v>
      </c>
      <c r="H944" t="s">
        <v>2940</v>
      </c>
      <c r="I944" s="29">
        <v>46313.322604166664</v>
      </c>
      <c r="J944" t="s">
        <v>41</v>
      </c>
      <c r="K944" s="29">
        <v>46313.322500000002</v>
      </c>
      <c r="L944">
        <v>8</v>
      </c>
      <c r="O944" s="29">
        <v>46313.321435185186</v>
      </c>
      <c r="P944" t="s">
        <v>43</v>
      </c>
      <c r="Q944" t="s">
        <v>2249</v>
      </c>
      <c r="R944" t="s">
        <v>2941</v>
      </c>
      <c r="S944">
        <v>4247</v>
      </c>
      <c r="T944" t="s">
        <v>41</v>
      </c>
      <c r="U944" s="29">
        <v>46313.32849537037</v>
      </c>
      <c r="V944" s="29">
        <v>46313.327465277776</v>
      </c>
      <c r="W944" t="s">
        <v>2942</v>
      </c>
      <c r="X944">
        <v>22411</v>
      </c>
      <c r="Z944">
        <v>0</v>
      </c>
      <c r="AA944" s="30">
        <v>0.3215277777777778</v>
      </c>
      <c r="AB944">
        <v>7</v>
      </c>
      <c r="AC944" t="s">
        <v>41</v>
      </c>
    </row>
    <row r="945" spans="1:29">
      <c r="A945" t="s">
        <v>655</v>
      </c>
      <c r="B945" s="29">
        <v>46313.320543981485</v>
      </c>
      <c r="C945">
        <v>1638</v>
      </c>
      <c r="D945" t="s">
        <v>41</v>
      </c>
      <c r="E945">
        <v>4</v>
      </c>
      <c r="F945" t="s">
        <v>41</v>
      </c>
      <c r="G945" t="s">
        <v>41</v>
      </c>
      <c r="H945" t="s">
        <v>2943</v>
      </c>
      <c r="I945" s="29">
        <v>46313.321203703701</v>
      </c>
      <c r="J945" t="s">
        <v>41</v>
      </c>
      <c r="K945" s="29">
        <v>46313.321064814816</v>
      </c>
      <c r="L945">
        <v>11</v>
      </c>
      <c r="O945" s="29">
        <v>46313.320428240739</v>
      </c>
      <c r="P945" t="s">
        <v>43</v>
      </c>
      <c r="Q945" t="s">
        <v>657</v>
      </c>
      <c r="R945" t="s">
        <v>2944</v>
      </c>
      <c r="S945">
        <v>4247</v>
      </c>
      <c r="T945" t="s">
        <v>41</v>
      </c>
      <c r="U945" s="29">
        <v>46313.325821759259</v>
      </c>
      <c r="V945" s="29">
        <v>46313.323518518519</v>
      </c>
      <c r="W945" t="s">
        <v>2945</v>
      </c>
      <c r="X945">
        <v>22411</v>
      </c>
      <c r="Z945">
        <v>0</v>
      </c>
      <c r="AA945" s="30">
        <v>0.32013888888888892</v>
      </c>
      <c r="AB945">
        <v>3</v>
      </c>
      <c r="AC945" t="s">
        <v>41</v>
      </c>
    </row>
    <row r="946" spans="1:29">
      <c r="A946" t="s">
        <v>93</v>
      </c>
      <c r="B946" s="29">
        <v>46313.318877314814</v>
      </c>
      <c r="C946">
        <v>376</v>
      </c>
      <c r="D946" t="s">
        <v>41</v>
      </c>
      <c r="E946">
        <v>2</v>
      </c>
      <c r="F946" t="s">
        <v>41</v>
      </c>
      <c r="G946" t="s">
        <v>41</v>
      </c>
      <c r="H946" t="s">
        <v>2946</v>
      </c>
      <c r="I946" s="29">
        <v>46313.320034722223</v>
      </c>
      <c r="J946" t="s">
        <v>41</v>
      </c>
      <c r="K946" s="29">
        <v>46313.319803240738</v>
      </c>
      <c r="L946">
        <v>19</v>
      </c>
      <c r="O946" s="29">
        <v>46313.318773148145</v>
      </c>
      <c r="P946" t="s">
        <v>43</v>
      </c>
      <c r="Q946" t="s">
        <v>95</v>
      </c>
      <c r="R946" t="s">
        <v>2947</v>
      </c>
      <c r="S946">
        <v>4247</v>
      </c>
      <c r="T946" t="s">
        <v>41</v>
      </c>
      <c r="U946" s="29">
        <v>46313.321909722225</v>
      </c>
      <c r="V946" s="29">
        <v>46313.321053240739</v>
      </c>
      <c r="W946" t="s">
        <v>2948</v>
      </c>
      <c r="X946">
        <v>22411</v>
      </c>
      <c r="Z946">
        <v>0</v>
      </c>
      <c r="AA946" s="30">
        <v>0.31875000000000003</v>
      </c>
      <c r="AB946">
        <v>1</v>
      </c>
      <c r="AC946" t="s">
        <v>41</v>
      </c>
    </row>
    <row r="947" spans="1:29">
      <c r="A947" t="s">
        <v>98</v>
      </c>
      <c r="B947" s="29">
        <v>46313.315995370373</v>
      </c>
      <c r="C947">
        <v>240</v>
      </c>
      <c r="D947" t="s">
        <v>41</v>
      </c>
      <c r="E947">
        <v>0</v>
      </c>
      <c r="F947" t="s">
        <v>41</v>
      </c>
      <c r="G947" t="s">
        <v>41</v>
      </c>
      <c r="H947" t="s">
        <v>2949</v>
      </c>
      <c r="I947" s="29">
        <v>46313.317094907405</v>
      </c>
      <c r="J947" t="s">
        <v>41</v>
      </c>
      <c r="K947" s="29">
        <v>46313.316979166666</v>
      </c>
      <c r="L947">
        <v>9</v>
      </c>
      <c r="O947" s="29">
        <v>46313.31585648148</v>
      </c>
      <c r="P947" t="s">
        <v>43</v>
      </c>
      <c r="Q947" t="s">
        <v>3005</v>
      </c>
      <c r="R947" t="s">
        <v>2950</v>
      </c>
      <c r="S947">
        <v>4247</v>
      </c>
      <c r="T947" t="s">
        <v>41</v>
      </c>
      <c r="U947" s="29">
        <v>46313.318495370368</v>
      </c>
      <c r="V947" s="29">
        <v>46313.317152777781</v>
      </c>
      <c r="W947" t="s">
        <v>2951</v>
      </c>
      <c r="X947">
        <v>22411</v>
      </c>
      <c r="Z947">
        <v>0</v>
      </c>
      <c r="AA947" s="30">
        <v>0.31597222222222221</v>
      </c>
      <c r="AB947">
        <v>0</v>
      </c>
      <c r="AC947" t="s">
        <v>41</v>
      </c>
    </row>
    <row r="948" spans="1:29">
      <c r="A948" t="s">
        <v>1239</v>
      </c>
      <c r="B948" s="29">
        <v>46313.315833333334</v>
      </c>
      <c r="C948">
        <v>1393</v>
      </c>
      <c r="D948" t="s">
        <v>41</v>
      </c>
      <c r="E948">
        <v>4</v>
      </c>
      <c r="F948" t="s">
        <v>41</v>
      </c>
      <c r="G948" t="s">
        <v>41</v>
      </c>
      <c r="H948" t="s">
        <v>2952</v>
      </c>
      <c r="I948" s="29">
        <v>46313.316446759258</v>
      </c>
      <c r="J948" t="s">
        <v>41</v>
      </c>
      <c r="K948" s="29">
        <v>46313.316354166665</v>
      </c>
      <c r="L948">
        <v>7</v>
      </c>
      <c r="O948" s="29">
        <v>46313.315717592595</v>
      </c>
      <c r="P948" t="s">
        <v>43</v>
      </c>
      <c r="Q948" t="s">
        <v>1241</v>
      </c>
      <c r="R948" t="s">
        <v>2953</v>
      </c>
      <c r="S948">
        <v>4247</v>
      </c>
      <c r="T948" t="s">
        <v>41</v>
      </c>
      <c r="U948" s="29">
        <v>46313.319409722222</v>
      </c>
      <c r="V948" s="29">
        <v>46313.319166666668</v>
      </c>
      <c r="W948" t="s">
        <v>2954</v>
      </c>
      <c r="X948">
        <v>22411</v>
      </c>
      <c r="Z948">
        <v>0</v>
      </c>
      <c r="AA948" s="30">
        <v>0.31527777777777777</v>
      </c>
      <c r="AB948">
        <v>4</v>
      </c>
      <c r="AC948" t="s">
        <v>41</v>
      </c>
    </row>
    <row r="949" spans="1:29">
      <c r="A949" t="s">
        <v>734</v>
      </c>
      <c r="B949" s="29">
        <v>46313.313981481479</v>
      </c>
      <c r="C949">
        <v>1437</v>
      </c>
      <c r="D949" t="s">
        <v>41</v>
      </c>
      <c r="E949">
        <v>4</v>
      </c>
      <c r="F949" t="s">
        <v>41</v>
      </c>
      <c r="G949" t="s">
        <v>41</v>
      </c>
      <c r="H949" t="s">
        <v>2955</v>
      </c>
      <c r="I949" s="29">
        <v>46313.315011574072</v>
      </c>
      <c r="J949" t="s">
        <v>41</v>
      </c>
      <c r="K949" s="29">
        <v>46313.314814814818</v>
      </c>
      <c r="L949">
        <v>16</v>
      </c>
      <c r="O949" s="29">
        <v>46313.313854166663</v>
      </c>
      <c r="P949" t="s">
        <v>43</v>
      </c>
      <c r="Q949" t="s">
        <v>736</v>
      </c>
      <c r="R949" t="s">
        <v>2956</v>
      </c>
      <c r="S949">
        <v>4247</v>
      </c>
      <c r="T949" t="s">
        <v>41</v>
      </c>
      <c r="U949" s="29">
        <v>46313.319699074076</v>
      </c>
      <c r="V949" s="29">
        <v>46313.317777777775</v>
      </c>
      <c r="W949" t="s">
        <v>2957</v>
      </c>
      <c r="X949">
        <v>22411</v>
      </c>
      <c r="Z949">
        <v>0</v>
      </c>
      <c r="AA949" s="30">
        <v>0.31388888888888888</v>
      </c>
      <c r="AB949">
        <v>4</v>
      </c>
      <c r="AC949" t="s">
        <v>41</v>
      </c>
    </row>
    <row r="950" spans="1:29">
      <c r="A950" t="s">
        <v>1336</v>
      </c>
      <c r="B950" s="29">
        <v>46313.314039351855</v>
      </c>
      <c r="C950">
        <v>1816</v>
      </c>
      <c r="D950" t="s">
        <v>41</v>
      </c>
      <c r="E950">
        <v>5</v>
      </c>
      <c r="F950" t="s">
        <v>41</v>
      </c>
      <c r="G950" t="s">
        <v>41</v>
      </c>
      <c r="H950" t="s">
        <v>2958</v>
      </c>
      <c r="I950" s="29">
        <v>46313.320694444446</v>
      </c>
      <c r="J950" t="s">
        <v>41</v>
      </c>
      <c r="K950" s="29">
        <v>46313.320590277777</v>
      </c>
      <c r="L950">
        <v>8</v>
      </c>
      <c r="O950" s="29">
        <v>46313.313715277778</v>
      </c>
      <c r="P950" t="s">
        <v>43</v>
      </c>
      <c r="Q950" t="s">
        <v>1338</v>
      </c>
      <c r="R950" t="s">
        <v>2959</v>
      </c>
      <c r="S950">
        <v>4247</v>
      </c>
      <c r="T950" t="s">
        <v>41</v>
      </c>
      <c r="U950" s="29">
        <v>46313.326111111113</v>
      </c>
      <c r="V950" s="29">
        <v>46313.323819444442</v>
      </c>
      <c r="W950" t="s">
        <v>2960</v>
      </c>
      <c r="X950">
        <v>22411</v>
      </c>
      <c r="Z950">
        <v>0</v>
      </c>
      <c r="AA950" s="30">
        <v>0.31388888888888888</v>
      </c>
      <c r="AB950">
        <v>5</v>
      </c>
      <c r="AC950" t="s">
        <v>41</v>
      </c>
    </row>
    <row r="951" spans="1:29">
      <c r="A951" t="s">
        <v>106</v>
      </c>
      <c r="B951" s="29">
        <v>46313.313750000001</v>
      </c>
      <c r="C951">
        <v>2131</v>
      </c>
      <c r="D951" t="s">
        <v>41</v>
      </c>
      <c r="E951">
        <v>6</v>
      </c>
      <c r="F951" t="s">
        <v>41</v>
      </c>
      <c r="G951" t="s">
        <v>41</v>
      </c>
      <c r="H951" t="s">
        <v>2961</v>
      </c>
      <c r="I951" s="29">
        <v>46313.315486111111</v>
      </c>
      <c r="J951" t="s">
        <v>41</v>
      </c>
      <c r="K951" s="29">
        <v>46313.315370370372</v>
      </c>
      <c r="L951">
        <v>9</v>
      </c>
      <c r="O951" s="29">
        <v>46313.313437500001</v>
      </c>
      <c r="P951" t="s">
        <v>43</v>
      </c>
      <c r="Q951" t="s">
        <v>108</v>
      </c>
      <c r="R951" t="s">
        <v>2962</v>
      </c>
      <c r="S951">
        <v>4247</v>
      </c>
      <c r="T951" t="s">
        <v>41</v>
      </c>
      <c r="U951" s="29">
        <v>46313.319803240738</v>
      </c>
      <c r="V951" s="29">
        <v>46313.319641203707</v>
      </c>
      <c r="W951" t="s">
        <v>2963</v>
      </c>
      <c r="X951">
        <v>22411</v>
      </c>
      <c r="Z951">
        <v>0</v>
      </c>
      <c r="AA951" s="30">
        <v>0.31319444444444444</v>
      </c>
      <c r="AB951">
        <v>6</v>
      </c>
      <c r="AC951" t="s">
        <v>41</v>
      </c>
    </row>
    <row r="952" spans="1:29">
      <c r="A952" t="s">
        <v>1365</v>
      </c>
      <c r="B952" s="29">
        <v>46313.312337962961</v>
      </c>
      <c r="C952">
        <v>1410</v>
      </c>
      <c r="D952" t="s">
        <v>41</v>
      </c>
      <c r="E952">
        <v>4</v>
      </c>
      <c r="F952" t="s">
        <v>41</v>
      </c>
      <c r="G952" t="s">
        <v>41</v>
      </c>
      <c r="H952" t="s">
        <v>2964</v>
      </c>
      <c r="I952" s="29">
        <v>46313.31322916667</v>
      </c>
      <c r="J952" t="s">
        <v>41</v>
      </c>
      <c r="K952" s="29">
        <v>46313.312974537039</v>
      </c>
      <c r="L952">
        <v>21</v>
      </c>
      <c r="O952" s="29">
        <v>46313.312210648146</v>
      </c>
      <c r="P952" t="s">
        <v>43</v>
      </c>
      <c r="Q952" t="s">
        <v>1367</v>
      </c>
      <c r="R952" t="s">
        <v>2965</v>
      </c>
      <c r="S952">
        <v>4247</v>
      </c>
      <c r="T952" t="s">
        <v>41</v>
      </c>
      <c r="U952" s="29">
        <v>46313.316516203704</v>
      </c>
      <c r="V952" s="29">
        <v>46313.315659722219</v>
      </c>
      <c r="W952" t="s">
        <v>2966</v>
      </c>
      <c r="X952">
        <v>22411</v>
      </c>
      <c r="Z952">
        <v>0</v>
      </c>
      <c r="AA952" s="30">
        <v>0.31180555555555556</v>
      </c>
      <c r="AB952">
        <v>4</v>
      </c>
      <c r="AC952" t="s">
        <v>41</v>
      </c>
    </row>
    <row r="953" spans="1:29">
      <c r="A953" t="s">
        <v>185</v>
      </c>
      <c r="B953" s="29">
        <v>46313.307638888888</v>
      </c>
      <c r="C953">
        <v>1233</v>
      </c>
      <c r="D953" t="s">
        <v>41</v>
      </c>
      <c r="E953">
        <v>3</v>
      </c>
      <c r="F953" t="s">
        <v>41</v>
      </c>
      <c r="G953" t="s">
        <v>41</v>
      </c>
      <c r="H953" t="s">
        <v>2967</v>
      </c>
      <c r="I953" s="29">
        <v>46313.308888888889</v>
      </c>
      <c r="J953" t="s">
        <v>41</v>
      </c>
      <c r="K953" s="29">
        <v>46313.308680555558</v>
      </c>
      <c r="L953">
        <v>17</v>
      </c>
      <c r="O953" s="29">
        <v>46313.307523148149</v>
      </c>
      <c r="P953" t="s">
        <v>43</v>
      </c>
      <c r="Q953" t="s">
        <v>3007</v>
      </c>
      <c r="R953" t="s">
        <v>2968</v>
      </c>
      <c r="S953">
        <v>4247</v>
      </c>
      <c r="T953" t="s">
        <v>41</v>
      </c>
      <c r="U953" s="29">
        <v>46313.311851851853</v>
      </c>
      <c r="V953" s="29">
        <v>46313.31046296296</v>
      </c>
      <c r="W953" t="s">
        <v>2969</v>
      </c>
      <c r="X953">
        <v>22411</v>
      </c>
      <c r="Z953">
        <v>0</v>
      </c>
      <c r="AA953" s="30">
        <v>0.30694444444444441</v>
      </c>
      <c r="AB953">
        <v>2</v>
      </c>
      <c r="AC953" t="s">
        <v>41</v>
      </c>
    </row>
    <row r="954" spans="1:29">
      <c r="A954" t="s">
        <v>655</v>
      </c>
      <c r="B954" s="29">
        <v>46313.307256944441</v>
      </c>
      <c r="C954">
        <v>949</v>
      </c>
      <c r="D954" t="s">
        <v>41</v>
      </c>
      <c r="E954">
        <v>2</v>
      </c>
      <c r="F954" t="s">
        <v>41</v>
      </c>
      <c r="G954" t="s">
        <v>41</v>
      </c>
      <c r="H954" t="s">
        <v>2970</v>
      </c>
      <c r="I954" s="29">
        <v>46313.308263888888</v>
      </c>
      <c r="J954" t="s">
        <v>41</v>
      </c>
      <c r="K954" s="29">
        <v>46313.30804398148</v>
      </c>
      <c r="L954">
        <v>18</v>
      </c>
      <c r="O954" s="29">
        <v>46313.307164351849</v>
      </c>
      <c r="P954" t="s">
        <v>43</v>
      </c>
      <c r="Q954" t="s">
        <v>657</v>
      </c>
      <c r="R954" t="s">
        <v>2971</v>
      </c>
      <c r="S954">
        <v>4247</v>
      </c>
      <c r="T954" t="s">
        <v>41</v>
      </c>
      <c r="U954" s="29">
        <v>46313.311921296299</v>
      </c>
      <c r="V954" s="29">
        <v>46313.309629629628</v>
      </c>
      <c r="W954" t="s">
        <v>2972</v>
      </c>
      <c r="X954">
        <v>22411</v>
      </c>
      <c r="Z954">
        <v>0</v>
      </c>
      <c r="AA954" s="30">
        <v>0.30694444444444441</v>
      </c>
      <c r="AB954">
        <v>2</v>
      </c>
      <c r="AC954" t="s">
        <v>41</v>
      </c>
    </row>
    <row r="955" spans="1:29">
      <c r="A955" t="s">
        <v>1965</v>
      </c>
      <c r="B955" s="29">
        <v>46313.305821759262</v>
      </c>
      <c r="C955">
        <v>3067</v>
      </c>
      <c r="D955" t="s">
        <v>41</v>
      </c>
      <c r="E955">
        <v>7</v>
      </c>
      <c r="F955" t="s">
        <v>41</v>
      </c>
      <c r="G955" t="s">
        <v>41</v>
      </c>
      <c r="H955" t="s">
        <v>2973</v>
      </c>
      <c r="I955" s="29">
        <v>46313.306273148148</v>
      </c>
      <c r="J955" t="s">
        <v>41</v>
      </c>
      <c r="K955" s="29">
        <v>46313.306134259263</v>
      </c>
      <c r="L955">
        <v>11</v>
      </c>
      <c r="O955" s="29">
        <v>46313.305752314816</v>
      </c>
      <c r="P955" t="s">
        <v>43</v>
      </c>
      <c r="Q955" t="s">
        <v>1967</v>
      </c>
      <c r="R955" t="s">
        <v>2974</v>
      </c>
      <c r="S955">
        <v>4247</v>
      </c>
      <c r="T955" t="s">
        <v>41</v>
      </c>
      <c r="U955" s="29">
        <v>46313.31459490741</v>
      </c>
      <c r="V955" s="29">
        <v>46313.311238425929</v>
      </c>
      <c r="W955" t="s">
        <v>2975</v>
      </c>
      <c r="X955">
        <v>22411</v>
      </c>
      <c r="Z955">
        <v>0</v>
      </c>
      <c r="AA955" s="30">
        <v>0.30555555555555552</v>
      </c>
      <c r="AB955">
        <v>7</v>
      </c>
      <c r="AC955" t="s">
        <v>41</v>
      </c>
    </row>
    <row r="956" spans="1:29">
      <c r="A956" t="s">
        <v>2258</v>
      </c>
      <c r="B956" s="29">
        <v>46313.302002314813</v>
      </c>
      <c r="C956">
        <v>3282</v>
      </c>
      <c r="D956" t="s">
        <v>41</v>
      </c>
      <c r="E956">
        <v>6</v>
      </c>
      <c r="F956" t="s">
        <v>41</v>
      </c>
      <c r="G956" t="s">
        <v>41</v>
      </c>
      <c r="H956" t="s">
        <v>2976</v>
      </c>
      <c r="I956" s="29">
        <v>46313.304814814815</v>
      </c>
      <c r="J956" t="s">
        <v>41</v>
      </c>
      <c r="K956" s="29">
        <v>46313.304444444446</v>
      </c>
      <c r="L956">
        <v>31</v>
      </c>
      <c r="O956" s="29">
        <v>46313.301863425928</v>
      </c>
      <c r="P956" t="s">
        <v>43</v>
      </c>
      <c r="Q956" t="s">
        <v>2260</v>
      </c>
      <c r="R956" t="s">
        <v>2977</v>
      </c>
      <c r="S956">
        <v>4247</v>
      </c>
      <c r="T956" t="s">
        <v>41</v>
      </c>
      <c r="U956" s="29">
        <v>46313.311284722222</v>
      </c>
      <c r="V956" s="29">
        <v>46313.308657407404</v>
      </c>
      <c r="W956" t="s">
        <v>2978</v>
      </c>
      <c r="X956">
        <v>22411</v>
      </c>
      <c r="Z956">
        <v>0</v>
      </c>
      <c r="AA956" s="30">
        <v>0.30138888888888887</v>
      </c>
      <c r="AB956">
        <v>6</v>
      </c>
      <c r="AC956" t="s">
        <v>41</v>
      </c>
    </row>
    <row r="957" spans="1:29">
      <c r="A957" t="s">
        <v>2979</v>
      </c>
      <c r="B957" s="29">
        <v>46313.301527777781</v>
      </c>
      <c r="C957">
        <v>2064</v>
      </c>
      <c r="D957" t="s">
        <v>41</v>
      </c>
      <c r="E957">
        <v>6</v>
      </c>
      <c r="F957" t="s">
        <v>41</v>
      </c>
      <c r="G957" t="s">
        <v>41</v>
      </c>
      <c r="H957" t="s">
        <v>2980</v>
      </c>
      <c r="I957" s="29">
        <v>46313.302118055559</v>
      </c>
      <c r="J957" t="s">
        <v>41</v>
      </c>
      <c r="K957" s="29">
        <v>46313.30196759259</v>
      </c>
      <c r="L957">
        <v>12</v>
      </c>
      <c r="O957" s="29">
        <v>46313.30133101852</v>
      </c>
      <c r="P957" t="s">
        <v>43</v>
      </c>
      <c r="Q957" t="s">
        <v>2981</v>
      </c>
      <c r="R957" t="s">
        <v>2982</v>
      </c>
      <c r="S957">
        <v>4247</v>
      </c>
      <c r="T957" t="s">
        <v>41</v>
      </c>
      <c r="U957" s="29">
        <v>46313.306585648148</v>
      </c>
      <c r="V957" s="29">
        <v>46313.306041666663</v>
      </c>
      <c r="W957" t="s">
        <v>2983</v>
      </c>
      <c r="X957">
        <v>22411</v>
      </c>
      <c r="Z957">
        <v>0</v>
      </c>
      <c r="AA957" s="30">
        <v>0.30138888888888887</v>
      </c>
      <c r="AB957">
        <v>6</v>
      </c>
      <c r="AC957" t="s">
        <v>41</v>
      </c>
    </row>
    <row r="958" spans="1:29">
      <c r="A958" t="s">
        <v>734</v>
      </c>
      <c r="B958" s="29">
        <v>46313.291898148149</v>
      </c>
      <c r="C958">
        <v>630</v>
      </c>
      <c r="D958" t="s">
        <v>41</v>
      </c>
      <c r="E958">
        <v>3</v>
      </c>
      <c r="F958" t="s">
        <v>41</v>
      </c>
      <c r="G958" t="s">
        <v>41</v>
      </c>
      <c r="H958" t="s">
        <v>2984</v>
      </c>
      <c r="I958" s="29">
        <v>46313.292685185188</v>
      </c>
      <c r="J958" t="s">
        <v>41</v>
      </c>
      <c r="K958" s="29">
        <v>46313.292523148149</v>
      </c>
      <c r="L958">
        <v>13</v>
      </c>
      <c r="O958" s="29">
        <v>46313.291678240741</v>
      </c>
      <c r="P958" t="s">
        <v>43</v>
      </c>
      <c r="Q958" t="s">
        <v>736</v>
      </c>
      <c r="R958" t="s">
        <v>2985</v>
      </c>
      <c r="S958">
        <v>4247</v>
      </c>
      <c r="T958" t="s">
        <v>41</v>
      </c>
      <c r="U958" s="29">
        <v>46313.294479166667</v>
      </c>
      <c r="V958" s="29">
        <v>46313.294444444444</v>
      </c>
      <c r="W958" t="s">
        <v>2986</v>
      </c>
      <c r="X958">
        <v>22411</v>
      </c>
      <c r="Z958">
        <v>0</v>
      </c>
      <c r="AA958" s="30">
        <v>0.29166666666666669</v>
      </c>
      <c r="AB958">
        <v>3</v>
      </c>
      <c r="AC958" t="s">
        <v>41</v>
      </c>
    </row>
    <row r="959" spans="1:29">
      <c r="A959" t="s">
        <v>98</v>
      </c>
      <c r="B959" s="29">
        <v>46313.29109953704</v>
      </c>
      <c r="C959">
        <v>2093</v>
      </c>
      <c r="D959" t="s">
        <v>41</v>
      </c>
      <c r="E959">
        <v>6</v>
      </c>
      <c r="F959" t="s">
        <v>41</v>
      </c>
      <c r="G959" t="s">
        <v>41</v>
      </c>
      <c r="H959" t="s">
        <v>2987</v>
      </c>
      <c r="I959" s="29">
        <v>46313.292997685188</v>
      </c>
      <c r="J959" t="s">
        <v>41</v>
      </c>
      <c r="K959" s="29">
        <v>46313.292673611111</v>
      </c>
      <c r="L959">
        <v>27</v>
      </c>
      <c r="O959" s="29">
        <v>46313.290995370371</v>
      </c>
      <c r="P959" t="s">
        <v>43</v>
      </c>
      <c r="Q959" t="s">
        <v>3005</v>
      </c>
      <c r="R959" t="s">
        <v>2988</v>
      </c>
      <c r="S959">
        <v>4247</v>
      </c>
      <c r="T959" t="s">
        <v>41</v>
      </c>
      <c r="U959" s="29">
        <v>46313.29891203704</v>
      </c>
      <c r="V959" s="29">
        <v>46313.296944444446</v>
      </c>
      <c r="W959" t="s">
        <v>2989</v>
      </c>
      <c r="X959">
        <v>22411</v>
      </c>
      <c r="Z959">
        <v>0</v>
      </c>
      <c r="AA959" s="30">
        <v>0.29097222222222224</v>
      </c>
      <c r="AB959">
        <v>6</v>
      </c>
      <c r="AC959" t="s">
        <v>41</v>
      </c>
    </row>
    <row r="960" spans="1:29">
      <c r="A960" t="s">
        <v>185</v>
      </c>
      <c r="B960" s="29">
        <v>46313.272916666669</v>
      </c>
      <c r="C960">
        <v>1722</v>
      </c>
      <c r="D960" t="s">
        <v>41</v>
      </c>
      <c r="E960">
        <v>5</v>
      </c>
      <c r="F960" t="s">
        <v>41</v>
      </c>
      <c r="G960" t="s">
        <v>41</v>
      </c>
      <c r="H960" t="s">
        <v>2990</v>
      </c>
      <c r="I960" s="29">
        <v>46313.274270833332</v>
      </c>
      <c r="J960" t="s">
        <v>41</v>
      </c>
      <c r="K960" s="29">
        <v>46313.274131944447</v>
      </c>
      <c r="L960">
        <v>11</v>
      </c>
      <c r="O960" s="29">
        <v>46313.27275462963</v>
      </c>
      <c r="P960" t="s">
        <v>43</v>
      </c>
      <c r="Q960" t="s">
        <v>3007</v>
      </c>
      <c r="R960" t="s">
        <v>2991</v>
      </c>
      <c r="S960">
        <v>4247</v>
      </c>
      <c r="T960" t="s">
        <v>41</v>
      </c>
      <c r="U960" s="29">
        <v>46313.278124999997</v>
      </c>
      <c r="V960" s="29">
        <v>46313.277488425927</v>
      </c>
      <c r="W960" t="s">
        <v>2992</v>
      </c>
      <c r="X960">
        <v>22411</v>
      </c>
      <c r="Z960">
        <v>0</v>
      </c>
      <c r="AA960" s="30">
        <v>0.2722222222222222</v>
      </c>
      <c r="AB960">
        <v>5</v>
      </c>
      <c r="AC960" t="s">
        <v>41</v>
      </c>
    </row>
    <row r="961" spans="1:29">
      <c r="A961" t="s">
        <v>655</v>
      </c>
      <c r="B961" s="29">
        <v>46313.265960648147</v>
      </c>
      <c r="C961">
        <v>1157</v>
      </c>
      <c r="D961" t="s">
        <v>41</v>
      </c>
      <c r="E961">
        <v>3</v>
      </c>
      <c r="F961" t="s">
        <v>41</v>
      </c>
      <c r="G961" t="s">
        <v>41</v>
      </c>
      <c r="H961" t="s">
        <v>2993</v>
      </c>
      <c r="I961" s="29">
        <v>46313.267083333332</v>
      </c>
      <c r="J961" t="s">
        <v>41</v>
      </c>
      <c r="K961" s="29">
        <v>46313.266851851855</v>
      </c>
      <c r="L961">
        <v>19</v>
      </c>
      <c r="O961" s="29">
        <v>46313.265856481485</v>
      </c>
      <c r="P961" t="s">
        <v>43</v>
      </c>
      <c r="Q961" t="s">
        <v>657</v>
      </c>
      <c r="R961" t="s">
        <v>2994</v>
      </c>
      <c r="S961">
        <v>4247</v>
      </c>
      <c r="T961" t="s">
        <v>41</v>
      </c>
      <c r="U961" s="29">
        <v>46313.269791666666</v>
      </c>
      <c r="V961" s="29">
        <v>46313.268599537034</v>
      </c>
      <c r="W961" t="s">
        <v>2995</v>
      </c>
      <c r="X961">
        <v>22411</v>
      </c>
      <c r="Z961">
        <v>0</v>
      </c>
      <c r="AA961" s="30">
        <v>0.26527777777777778</v>
      </c>
      <c r="AB961">
        <v>2</v>
      </c>
      <c r="AC961" t="s">
        <v>41</v>
      </c>
    </row>
    <row r="962" spans="1:29">
      <c r="A962" t="s">
        <v>2258</v>
      </c>
      <c r="B962" s="29">
        <v>46313.259259259263</v>
      </c>
      <c r="C962">
        <v>1475</v>
      </c>
      <c r="D962" t="s">
        <v>41</v>
      </c>
      <c r="E962">
        <v>2</v>
      </c>
      <c r="F962" t="s">
        <v>41</v>
      </c>
      <c r="G962" t="s">
        <v>41</v>
      </c>
      <c r="H962" t="s">
        <v>2996</v>
      </c>
      <c r="I962" s="29">
        <v>46313.26152777778</v>
      </c>
      <c r="J962" t="s">
        <v>41</v>
      </c>
      <c r="K962" s="29">
        <v>46313.261365740742</v>
      </c>
      <c r="L962">
        <v>13</v>
      </c>
      <c r="O962" s="29">
        <v>46313.259062500001</v>
      </c>
      <c r="P962" t="s">
        <v>43</v>
      </c>
      <c r="Q962" t="s">
        <v>2260</v>
      </c>
      <c r="R962" t="s">
        <v>2997</v>
      </c>
      <c r="S962">
        <v>4247</v>
      </c>
      <c r="T962" t="s">
        <v>41</v>
      </c>
      <c r="U962" s="29">
        <v>46313.267256944448</v>
      </c>
      <c r="V962" s="29">
        <v>46313.262962962966</v>
      </c>
      <c r="W962" t="s">
        <v>2998</v>
      </c>
      <c r="X962">
        <v>22411</v>
      </c>
      <c r="Z962">
        <v>0</v>
      </c>
      <c r="AA962" s="30">
        <v>0.2590277777777778</v>
      </c>
      <c r="AB962">
        <v>2</v>
      </c>
      <c r="AC962" t="s">
        <v>41</v>
      </c>
    </row>
    <row r="963" spans="1:29">
      <c r="A963" t="s">
        <v>2979</v>
      </c>
      <c r="B963" s="29">
        <v>46313.258067129631</v>
      </c>
      <c r="C963">
        <v>1549</v>
      </c>
      <c r="D963" t="s">
        <v>41</v>
      </c>
      <c r="E963">
        <v>4</v>
      </c>
      <c r="F963" t="s">
        <v>41</v>
      </c>
      <c r="G963" t="s">
        <v>41</v>
      </c>
      <c r="H963" t="s">
        <v>2999</v>
      </c>
      <c r="I963" s="29">
        <v>46313.259756944448</v>
      </c>
      <c r="J963" t="s">
        <v>41</v>
      </c>
      <c r="K963" s="29">
        <v>46313.259502314817</v>
      </c>
      <c r="L963">
        <v>21</v>
      </c>
      <c r="O963" s="29">
        <v>46313.257870370369</v>
      </c>
      <c r="P963" t="s">
        <v>43</v>
      </c>
      <c r="Q963" t="s">
        <v>2981</v>
      </c>
      <c r="R963" t="s">
        <v>3000</v>
      </c>
      <c r="S963">
        <v>4247</v>
      </c>
      <c r="T963" t="s">
        <v>41</v>
      </c>
      <c r="U963" s="29">
        <v>46313.265069444446</v>
      </c>
      <c r="V963" s="29">
        <v>46313.262106481481</v>
      </c>
      <c r="W963" t="s">
        <v>3001</v>
      </c>
      <c r="X963">
        <v>22411</v>
      </c>
      <c r="Z963">
        <v>0</v>
      </c>
      <c r="AA963" s="30">
        <v>0.25763888888888892</v>
      </c>
      <c r="AB963">
        <v>3</v>
      </c>
      <c r="AC963" t="s">
        <v>41</v>
      </c>
    </row>
    <row r="964" spans="1:29">
      <c r="A964" t="s">
        <v>655</v>
      </c>
      <c r="B964" s="29">
        <v>46313.253032407411</v>
      </c>
      <c r="C964">
        <v>1209</v>
      </c>
      <c r="D964" t="s">
        <v>41</v>
      </c>
      <c r="E964">
        <v>2</v>
      </c>
      <c r="F964" t="s">
        <v>41</v>
      </c>
      <c r="G964" t="s">
        <v>41</v>
      </c>
      <c r="H964" t="s">
        <v>3002</v>
      </c>
      <c r="I964" s="29">
        <v>46313.25371527778</v>
      </c>
      <c r="J964" t="s">
        <v>41</v>
      </c>
      <c r="K964" s="29">
        <v>46313.253483796296</v>
      </c>
      <c r="L964">
        <v>19</v>
      </c>
      <c r="O964" s="29">
        <v>46313.252916666665</v>
      </c>
      <c r="P964" t="s">
        <v>43</v>
      </c>
      <c r="Q964" t="s">
        <v>657</v>
      </c>
      <c r="R964" t="s">
        <v>3003</v>
      </c>
      <c r="S964">
        <v>4247</v>
      </c>
      <c r="T964" t="s">
        <v>41</v>
      </c>
      <c r="U964" s="29">
        <v>46313.256678240738</v>
      </c>
      <c r="V964" s="29">
        <v>46313.255127314813</v>
      </c>
      <c r="W964" t="s">
        <v>3004</v>
      </c>
      <c r="X964">
        <v>22411</v>
      </c>
      <c r="Z964">
        <v>0</v>
      </c>
      <c r="AA964" s="30">
        <v>0.25277777777777777</v>
      </c>
      <c r="AB964">
        <v>2</v>
      </c>
      <c r="AC96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2000"/>
  <sheetViews>
    <sheetView tabSelected="1" topLeftCell="U1" workbookViewId="0">
      <selection activeCell="AA6" sqref="AA6"/>
    </sheetView>
  </sheetViews>
  <sheetFormatPr baseColWidth="10" defaultColWidth="12.6640625" defaultRowHeight="15.75" customHeight="1"/>
  <cols>
    <col min="2" max="2" width="15" customWidth="1"/>
    <col min="8" max="8" width="33.1640625" customWidth="1"/>
    <col min="9" max="9" width="13.6640625" customWidth="1"/>
    <col min="15" max="15" width="11.6640625" customWidth="1"/>
    <col min="18" max="18" width="25.6640625" customWidth="1"/>
    <col min="21" max="21" width="17" customWidth="1"/>
    <col min="22" max="22" width="15" customWidth="1"/>
    <col min="38" max="38" width="14.6640625" customWidth="1"/>
    <col min="39" max="39" width="19" customWidth="1"/>
    <col min="40" max="40" width="21.1640625" customWidth="1"/>
  </cols>
  <sheetData>
    <row r="1" spans="1:41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/>
    </row>
    <row r="2" spans="1:41" ht="16">
      <c r="A2" s="3" t="s">
        <v>40</v>
      </c>
      <c r="B2" s="4">
        <v>46313.997916666667</v>
      </c>
      <c r="C2" s="5">
        <v>989</v>
      </c>
      <c r="D2" s="1" t="s">
        <v>41</v>
      </c>
      <c r="E2" s="1">
        <v>4</v>
      </c>
      <c r="F2" s="1" t="s">
        <v>41</v>
      </c>
      <c r="G2" s="1" t="s">
        <v>41</v>
      </c>
      <c r="H2" s="1" t="s">
        <v>42</v>
      </c>
      <c r="I2" s="4">
        <v>46313.998611111114</v>
      </c>
      <c r="J2" s="1" t="s">
        <v>41</v>
      </c>
      <c r="K2" s="4">
        <v>46313.998611111114</v>
      </c>
      <c r="L2" s="1">
        <v>24</v>
      </c>
      <c r="M2" s="4"/>
      <c r="N2" s="1"/>
      <c r="O2" s="6">
        <v>46313.997916666667</v>
      </c>
      <c r="P2" s="1" t="s">
        <v>43</v>
      </c>
      <c r="Q2" s="1" t="s">
        <v>44</v>
      </c>
      <c r="R2" s="1" t="s">
        <v>45</v>
      </c>
      <c r="S2" s="5">
        <v>4247</v>
      </c>
      <c r="T2" s="1" t="s">
        <v>41</v>
      </c>
      <c r="U2" s="6">
        <v>46314.001388888886</v>
      </c>
      <c r="V2" s="4">
        <v>46314.000694444447</v>
      </c>
      <c r="W2" s="7" t="s">
        <v>46</v>
      </c>
      <c r="X2" s="5">
        <v>22411</v>
      </c>
      <c r="Y2" s="1"/>
      <c r="Z2" s="5">
        <v>0</v>
      </c>
      <c r="AA2" s="8">
        <v>0.99791666666666667</v>
      </c>
      <c r="AB2" s="1">
        <v>3</v>
      </c>
      <c r="AC2" s="1" t="s">
        <v>41</v>
      </c>
      <c r="AD2" s="9" t="str">
        <f t="shared" ref="AD2:AD256" si="0">IF(LEFT(R2,2)="AM","Dummy","Actual")</f>
        <v>Actual</v>
      </c>
      <c r="AE2" s="9" t="str">
        <f t="shared" ref="AE2:AE256" si="1">LEFT(H2,4)</f>
        <v>TMK7</v>
      </c>
      <c r="AF2" s="9">
        <f>HOUR(O2)</f>
        <v>23</v>
      </c>
      <c r="AG2" s="9">
        <f>DAY(O2)</f>
        <v>18</v>
      </c>
      <c r="AH2" s="9">
        <f>IFERROR((I2-K2)*24*60,0)</f>
        <v>0</v>
      </c>
      <c r="AI2" s="9">
        <f t="shared" ref="AI2:AI256" si="2">IF(AH2&gt;0,AH2,0)</f>
        <v>0</v>
      </c>
      <c r="AJ2" s="9">
        <f>C2</f>
        <v>989</v>
      </c>
      <c r="AK2" s="9">
        <f>IF(P2="completed",((V2-K2)*24*60),0)</f>
        <v>2.9999999993015081</v>
      </c>
      <c r="AL2" s="9">
        <f>IF(P2="completed",((U2-K2)*24*60),0)</f>
        <v>3.9999999920837581</v>
      </c>
      <c r="AM2" s="9" t="str">
        <f t="shared" ref="AM2:AM256" si="3">IF(AK2&lt;AL2,"OTP Achieved","OTP Breached")</f>
        <v>OTP Achieved</v>
      </c>
      <c r="AN2" s="9" t="str">
        <f t="shared" ref="AN2:AN256" si="4">IF(AK2&lt;(AL2+3),"OTP Achieved","OTP Breached")</f>
        <v>OTP Achieved</v>
      </c>
      <c r="AO2" s="9"/>
    </row>
    <row r="3" spans="1:41" ht="16">
      <c r="A3" s="3" t="s">
        <v>47</v>
      </c>
      <c r="B3" s="4">
        <v>46313.99722222222</v>
      </c>
      <c r="C3" s="5">
        <v>957</v>
      </c>
      <c r="D3" s="1" t="s">
        <v>41</v>
      </c>
      <c r="E3" s="1">
        <v>3</v>
      </c>
      <c r="F3" s="1" t="s">
        <v>41</v>
      </c>
      <c r="G3" s="1" t="s">
        <v>41</v>
      </c>
      <c r="H3" s="1" t="s">
        <v>48</v>
      </c>
      <c r="I3" s="4">
        <v>46314.000694444447</v>
      </c>
      <c r="J3" s="1" t="s">
        <v>41</v>
      </c>
      <c r="K3" s="4">
        <v>46314.000694444447</v>
      </c>
      <c r="L3" s="1">
        <v>11</v>
      </c>
      <c r="M3" s="4"/>
      <c r="N3" s="1"/>
      <c r="O3" s="6">
        <v>46313.99722222222</v>
      </c>
      <c r="P3" s="1" t="s">
        <v>43</v>
      </c>
      <c r="Q3" s="1" t="s">
        <v>49</v>
      </c>
      <c r="R3" s="1" t="s">
        <v>50</v>
      </c>
      <c r="S3" s="5">
        <v>4247</v>
      </c>
      <c r="T3" s="1" t="s">
        <v>41</v>
      </c>
      <c r="U3" s="6">
        <v>46314.003472222219</v>
      </c>
      <c r="V3" s="4">
        <v>46314.002083333333</v>
      </c>
      <c r="W3" s="7" t="s">
        <v>51</v>
      </c>
      <c r="X3" s="5">
        <v>22411</v>
      </c>
      <c r="Y3" s="1"/>
      <c r="Z3" s="5">
        <v>0</v>
      </c>
      <c r="AA3" s="8">
        <v>0.99722222222222223</v>
      </c>
      <c r="AB3" s="1">
        <v>2</v>
      </c>
      <c r="AC3" s="1" t="s">
        <v>41</v>
      </c>
      <c r="AD3" s="9" t="str">
        <f t="shared" si="0"/>
        <v>Actual</v>
      </c>
      <c r="AE3" s="9" t="str">
        <f t="shared" si="1"/>
        <v>TMK7</v>
      </c>
      <c r="AF3" s="9">
        <f>HOUR(O3)</f>
        <v>23</v>
      </c>
      <c r="AG3" s="9">
        <f>DAY(O3)</f>
        <v>18</v>
      </c>
      <c r="AH3" s="9">
        <f>IFERROR((I3-K3)*24*60,0)</f>
        <v>0</v>
      </c>
      <c r="AI3" s="9">
        <f t="shared" si="2"/>
        <v>0</v>
      </c>
      <c r="AJ3" s="9">
        <f>C3</f>
        <v>957</v>
      </c>
      <c r="AK3" s="9">
        <f>IF(P3="completed",((V3-K3)*24*60),0)</f>
        <v>1.9999999960418791</v>
      </c>
      <c r="AL3" s="9">
        <f>IF(P3="completed",((U3-K3)*24*60),0)</f>
        <v>3.9999999920837581</v>
      </c>
      <c r="AM3" s="9" t="str">
        <f t="shared" si="3"/>
        <v>OTP Achieved</v>
      </c>
      <c r="AN3" s="9" t="str">
        <f t="shared" si="4"/>
        <v>OTP Achieved</v>
      </c>
      <c r="AO3" s="9"/>
    </row>
    <row r="4" spans="1:41" ht="16">
      <c r="A4" s="3" t="s">
        <v>52</v>
      </c>
      <c r="B4" s="4">
        <v>46313.997916666667</v>
      </c>
      <c r="C4" s="5">
        <v>1399</v>
      </c>
      <c r="D4" s="1" t="s">
        <v>41</v>
      </c>
      <c r="E4" s="1">
        <v>5</v>
      </c>
      <c r="F4" s="1" t="s">
        <v>41</v>
      </c>
      <c r="G4" s="1" t="s">
        <v>41</v>
      </c>
      <c r="H4" s="1" t="s">
        <v>53</v>
      </c>
      <c r="I4" s="4">
        <v>46313.997916666667</v>
      </c>
      <c r="J4" s="1" t="s">
        <v>41</v>
      </c>
      <c r="K4" s="4">
        <v>46313.997916666667</v>
      </c>
      <c r="L4" s="1">
        <v>19</v>
      </c>
      <c r="M4" s="4"/>
      <c r="N4" s="1"/>
      <c r="O4" s="6">
        <v>46313.996527777781</v>
      </c>
      <c r="P4" s="1" t="s">
        <v>43</v>
      </c>
      <c r="Q4" s="1" t="s">
        <v>54</v>
      </c>
      <c r="R4" s="1" t="s">
        <v>55</v>
      </c>
      <c r="S4" s="5">
        <v>4247</v>
      </c>
      <c r="T4" s="1" t="s">
        <v>41</v>
      </c>
      <c r="U4" s="6">
        <v>46314.001388888886</v>
      </c>
      <c r="V4" s="4">
        <v>46314.001388888886</v>
      </c>
      <c r="W4" s="7" t="s">
        <v>56</v>
      </c>
      <c r="X4" s="5">
        <v>22411</v>
      </c>
      <c r="Y4" s="1"/>
      <c r="Z4" s="5">
        <v>0</v>
      </c>
      <c r="AA4" s="8">
        <v>0.99791666666666667</v>
      </c>
      <c r="AB4" s="1">
        <v>5</v>
      </c>
      <c r="AC4" s="1" t="s">
        <v>41</v>
      </c>
      <c r="AD4" s="9" t="str">
        <f t="shared" si="0"/>
        <v>Actual</v>
      </c>
      <c r="AE4" s="9" t="str">
        <f t="shared" si="1"/>
        <v>TMK7</v>
      </c>
      <c r="AF4" s="9">
        <f>HOUR(O4)</f>
        <v>23</v>
      </c>
      <c r="AG4" s="9">
        <f>DAY(O4)</f>
        <v>18</v>
      </c>
      <c r="AH4" s="9">
        <f>IFERROR((I4-K4)*24*60,0)</f>
        <v>0</v>
      </c>
      <c r="AI4" s="9">
        <f t="shared" si="2"/>
        <v>0</v>
      </c>
      <c r="AJ4" s="9">
        <f>C4</f>
        <v>1399</v>
      </c>
      <c r="AK4" s="9">
        <f>IF(P4="completed",((V4-K4)*24*60),0)</f>
        <v>4.9999999953433871</v>
      </c>
      <c r="AL4" s="9">
        <f>IF(P4="completed",((U4-K4)*24*60),0)</f>
        <v>4.9999999953433871</v>
      </c>
      <c r="AM4" s="9" t="str">
        <f t="shared" si="3"/>
        <v>OTP Breached</v>
      </c>
      <c r="AN4" s="9" t="str">
        <f t="shared" si="4"/>
        <v>OTP Achieved</v>
      </c>
      <c r="AO4" s="9"/>
    </row>
    <row r="5" spans="1:41" ht="16">
      <c r="A5" s="3" t="s">
        <v>57</v>
      </c>
      <c r="B5" s="4">
        <v>46313.990972222222</v>
      </c>
      <c r="C5" s="5">
        <v>1547</v>
      </c>
      <c r="D5" s="1" t="s">
        <v>41</v>
      </c>
      <c r="E5" s="1">
        <v>5</v>
      </c>
      <c r="F5" s="1" t="s">
        <v>41</v>
      </c>
      <c r="G5" s="1" t="s">
        <v>41</v>
      </c>
      <c r="H5" s="1" t="s">
        <v>58</v>
      </c>
      <c r="I5" s="4">
        <v>46313.992361111108</v>
      </c>
      <c r="J5" s="1" t="s">
        <v>41</v>
      </c>
      <c r="K5" s="4">
        <v>46313.992361111108</v>
      </c>
      <c r="L5" s="1">
        <v>18</v>
      </c>
      <c r="M5" s="4"/>
      <c r="N5" s="1"/>
      <c r="O5" s="6">
        <v>46313.990972222222</v>
      </c>
      <c r="P5" s="1" t="s">
        <v>43</v>
      </c>
      <c r="Q5" s="1" t="s">
        <v>59</v>
      </c>
      <c r="R5" s="1" t="s">
        <v>60</v>
      </c>
      <c r="S5" s="5">
        <v>4247</v>
      </c>
      <c r="T5" s="1" t="s">
        <v>41</v>
      </c>
      <c r="U5" s="6">
        <v>46313.997916666667</v>
      </c>
      <c r="V5" s="4">
        <v>46313.995833333334</v>
      </c>
      <c r="W5" s="7" t="s">
        <v>61</v>
      </c>
      <c r="X5" s="5">
        <v>22411</v>
      </c>
      <c r="Y5" s="4"/>
      <c r="Z5" s="5">
        <v>0</v>
      </c>
      <c r="AA5" s="8">
        <v>0.99097222222222225</v>
      </c>
      <c r="AB5" s="1">
        <v>5</v>
      </c>
      <c r="AC5" s="1" t="s">
        <v>41</v>
      </c>
      <c r="AD5" s="9" t="str">
        <f t="shared" si="0"/>
        <v>Actual</v>
      </c>
      <c r="AE5" s="9" t="str">
        <f t="shared" si="1"/>
        <v>TMK7</v>
      </c>
      <c r="AF5" s="9">
        <f>HOUR(O5)</f>
        <v>23</v>
      </c>
      <c r="AG5" s="9">
        <f>DAY(O5)</f>
        <v>18</v>
      </c>
      <c r="AH5" s="9">
        <f>IFERROR((I5-K5)*24*60,0)</f>
        <v>0</v>
      </c>
      <c r="AI5" s="9">
        <f t="shared" si="2"/>
        <v>0</v>
      </c>
      <c r="AJ5" s="9">
        <f>C5</f>
        <v>1547</v>
      </c>
      <c r="AK5" s="9">
        <f>IF(P5="completed",((V5-K5)*24*60),0)</f>
        <v>5.0000000058207661</v>
      </c>
      <c r="AL5" s="9">
        <f>IF(P5="completed",((U5-K5)*24*60),0)</f>
        <v>8.0000000051222742</v>
      </c>
      <c r="AM5" s="9" t="str">
        <f t="shared" si="3"/>
        <v>OTP Achieved</v>
      </c>
      <c r="AN5" s="9" t="str">
        <f t="shared" si="4"/>
        <v>OTP Achieved</v>
      </c>
      <c r="AO5" s="9"/>
    </row>
    <row r="6" spans="1:41" ht="16">
      <c r="A6" s="3" t="s">
        <v>62</v>
      </c>
      <c r="B6" s="6">
        <v>46313.990972222222</v>
      </c>
      <c r="C6" s="5">
        <v>1327</v>
      </c>
      <c r="D6" s="1" t="s">
        <v>41</v>
      </c>
      <c r="E6" s="5">
        <v>6</v>
      </c>
      <c r="F6" s="1" t="s">
        <v>41</v>
      </c>
      <c r="G6" s="1" t="s">
        <v>41</v>
      </c>
      <c r="H6" s="1" t="s">
        <v>63</v>
      </c>
      <c r="I6" s="6">
        <v>46313.990972222222</v>
      </c>
      <c r="J6" s="1" t="s">
        <v>41</v>
      </c>
      <c r="K6" s="6">
        <v>46313.990972222222</v>
      </c>
      <c r="L6" s="5">
        <v>23</v>
      </c>
      <c r="M6" s="4"/>
      <c r="N6" s="1"/>
      <c r="O6" s="6">
        <v>46313.990277777775</v>
      </c>
      <c r="P6" s="1" t="s">
        <v>43</v>
      </c>
      <c r="Q6" s="1" t="s">
        <v>64</v>
      </c>
      <c r="R6" s="1" t="s">
        <v>65</v>
      </c>
      <c r="S6" s="5">
        <v>4247</v>
      </c>
      <c r="T6" s="1" t="s">
        <v>41</v>
      </c>
      <c r="U6" s="6">
        <v>46313.996527777781</v>
      </c>
      <c r="V6" s="4">
        <v>46313.995138888888</v>
      </c>
      <c r="W6" s="7" t="s">
        <v>66</v>
      </c>
      <c r="X6" s="5">
        <v>22411</v>
      </c>
      <c r="Y6" s="4"/>
      <c r="Z6" s="5">
        <v>0</v>
      </c>
      <c r="AA6" s="8">
        <v>0.99027777777777781</v>
      </c>
      <c r="AB6" s="5">
        <v>6</v>
      </c>
      <c r="AC6" s="1" t="s">
        <v>41</v>
      </c>
      <c r="AD6" s="9" t="str">
        <f t="shared" si="0"/>
        <v>Actual</v>
      </c>
      <c r="AE6" s="9" t="str">
        <f t="shared" si="1"/>
        <v>TMK7</v>
      </c>
      <c r="AF6" s="9">
        <f>HOUR(O6)</f>
        <v>23</v>
      </c>
      <c r="AG6" s="9">
        <f>DAY(O6)</f>
        <v>18</v>
      </c>
      <c r="AH6" s="9">
        <f>IFERROR((I6-K6)*24*60,0)</f>
        <v>0</v>
      </c>
      <c r="AI6" s="9">
        <f t="shared" si="2"/>
        <v>0</v>
      </c>
      <c r="AJ6" s="9">
        <f>C6</f>
        <v>1327</v>
      </c>
      <c r="AK6" s="9">
        <f>IF(P6="completed",((V6-K6)*24*60),0)</f>
        <v>5.9999999986030161</v>
      </c>
      <c r="AL6" s="9">
        <f>IF(P6="completed",((U6-K6)*24*60),0)</f>
        <v>8.0000000051222742</v>
      </c>
      <c r="AM6" s="9" t="str">
        <f t="shared" si="3"/>
        <v>OTP Achieved</v>
      </c>
      <c r="AN6" s="9" t="str">
        <f t="shared" si="4"/>
        <v>OTP Achieved</v>
      </c>
      <c r="AO6" s="9"/>
    </row>
    <row r="7" spans="1:41" ht="16">
      <c r="A7" s="3" t="s">
        <v>67</v>
      </c>
      <c r="B7" s="4">
        <v>46313.988888888889</v>
      </c>
      <c r="C7" s="5">
        <v>1886</v>
      </c>
      <c r="D7" s="1" t="s">
        <v>41</v>
      </c>
      <c r="E7" s="1">
        <v>6</v>
      </c>
      <c r="F7" s="1" t="s">
        <v>41</v>
      </c>
      <c r="G7" s="1" t="s">
        <v>41</v>
      </c>
      <c r="H7" s="1" t="s">
        <v>68</v>
      </c>
      <c r="I7" s="4">
        <v>46313.990277777775</v>
      </c>
      <c r="J7" s="1" t="s">
        <v>41</v>
      </c>
      <c r="K7" s="4">
        <v>46313.989583333336</v>
      </c>
      <c r="L7" s="1">
        <v>30</v>
      </c>
      <c r="M7" s="4"/>
      <c r="N7" s="1"/>
      <c r="O7" s="6">
        <v>46313.988888888889</v>
      </c>
      <c r="P7" s="1" t="s">
        <v>43</v>
      </c>
      <c r="Q7" s="1" t="s">
        <v>69</v>
      </c>
      <c r="R7" s="1" t="s">
        <v>70</v>
      </c>
      <c r="S7" s="5">
        <v>4247</v>
      </c>
      <c r="T7" s="1" t="s">
        <v>41</v>
      </c>
      <c r="U7" s="6">
        <v>46313.993750000001</v>
      </c>
      <c r="V7" s="4">
        <v>46313.993750000001</v>
      </c>
      <c r="W7" s="7" t="s">
        <v>71</v>
      </c>
      <c r="X7" s="5">
        <v>22411</v>
      </c>
      <c r="Y7" s="4"/>
      <c r="Z7" s="5">
        <v>0</v>
      </c>
      <c r="AA7" s="8">
        <v>0.98888888888888893</v>
      </c>
      <c r="AB7" s="1">
        <v>5</v>
      </c>
      <c r="AC7" s="1" t="s">
        <v>41</v>
      </c>
      <c r="AD7" s="9" t="str">
        <f t="shared" si="0"/>
        <v>Actual</v>
      </c>
      <c r="AE7" s="9" t="str">
        <f t="shared" si="1"/>
        <v>TMK7</v>
      </c>
      <c r="AF7" s="9">
        <f>HOUR(O7)</f>
        <v>23</v>
      </c>
      <c r="AG7" s="9">
        <f>DAY(O7)</f>
        <v>18</v>
      </c>
      <c r="AH7" s="9">
        <f>IFERROR((I7-K7)*24*60,0)</f>
        <v>0.99999999278225005</v>
      </c>
      <c r="AI7" s="9">
        <f t="shared" si="2"/>
        <v>0.99999999278225005</v>
      </c>
      <c r="AJ7" s="9">
        <f>C7</f>
        <v>1886</v>
      </c>
      <c r="AK7" s="9">
        <f>IF(P7="completed",((V7-K7)*24*60),0)</f>
        <v>5.9999999986030161</v>
      </c>
      <c r="AL7" s="9">
        <f>IF(P7="completed",((U7-K7)*24*60),0)</f>
        <v>5.9999999986030161</v>
      </c>
      <c r="AM7" s="9" t="str">
        <f t="shared" si="3"/>
        <v>OTP Breached</v>
      </c>
      <c r="AN7" s="9" t="str">
        <f t="shared" si="4"/>
        <v>OTP Achieved</v>
      </c>
      <c r="AO7" s="9"/>
    </row>
    <row r="8" spans="1:41" ht="16">
      <c r="A8" s="3" t="s">
        <v>72</v>
      </c>
      <c r="B8" s="6">
        <v>46313.987500000003</v>
      </c>
      <c r="C8" s="5">
        <v>1510</v>
      </c>
      <c r="D8" s="1" t="s">
        <v>41</v>
      </c>
      <c r="E8" s="5">
        <v>4</v>
      </c>
      <c r="F8" s="1" t="s">
        <v>41</v>
      </c>
      <c r="G8" s="1" t="s">
        <v>41</v>
      </c>
      <c r="H8" s="1" t="s">
        <v>73</v>
      </c>
      <c r="I8" s="6">
        <v>46313.990277777775</v>
      </c>
      <c r="J8" s="1" t="s">
        <v>41</v>
      </c>
      <c r="K8" s="6">
        <v>46313.989583333336</v>
      </c>
      <c r="L8" s="5">
        <v>24</v>
      </c>
      <c r="M8" s="4"/>
      <c r="N8" s="1"/>
      <c r="O8" s="6">
        <v>46313.987500000003</v>
      </c>
      <c r="P8" s="1" t="s">
        <v>43</v>
      </c>
      <c r="Q8" s="1" t="s">
        <v>74</v>
      </c>
      <c r="R8" s="1" t="s">
        <v>75</v>
      </c>
      <c r="S8" s="5">
        <v>4247</v>
      </c>
      <c r="T8" s="1" t="s">
        <v>41</v>
      </c>
      <c r="U8" s="6">
        <v>46313.995138888888</v>
      </c>
      <c r="V8" s="4">
        <v>46313.992361111108</v>
      </c>
      <c r="W8" s="7" t="s">
        <v>76</v>
      </c>
      <c r="X8" s="5">
        <v>22411</v>
      </c>
      <c r="Y8" s="10"/>
      <c r="Z8" s="5">
        <v>0</v>
      </c>
      <c r="AA8" s="8">
        <v>0.98750000000000004</v>
      </c>
      <c r="AB8" s="5">
        <v>3</v>
      </c>
      <c r="AC8" s="1" t="s">
        <v>41</v>
      </c>
      <c r="AD8" s="9" t="str">
        <f t="shared" si="0"/>
        <v>Actual</v>
      </c>
      <c r="AE8" s="9" t="str">
        <f t="shared" si="1"/>
        <v>TMK7</v>
      </c>
      <c r="AF8" s="9">
        <f>HOUR(O8)</f>
        <v>23</v>
      </c>
      <c r="AG8" s="9">
        <f>DAY(O8)</f>
        <v>18</v>
      </c>
      <c r="AH8" s="9">
        <f>IFERROR((I8-K8)*24*60,0)</f>
        <v>0.99999999278225005</v>
      </c>
      <c r="AI8" s="9">
        <f t="shared" si="2"/>
        <v>0.99999999278225005</v>
      </c>
      <c r="AJ8" s="9">
        <f>C8</f>
        <v>1510</v>
      </c>
      <c r="AK8" s="9">
        <f>IF(P8="completed",((V8-K8)*24*60),0)</f>
        <v>3.9999999920837581</v>
      </c>
      <c r="AL8" s="9">
        <f>IF(P8="completed",((U8-K8)*24*60),0)</f>
        <v>7.9999999946448952</v>
      </c>
      <c r="AM8" s="9" t="str">
        <f t="shared" si="3"/>
        <v>OTP Achieved</v>
      </c>
      <c r="AN8" s="9" t="str">
        <f t="shared" si="4"/>
        <v>OTP Achieved</v>
      </c>
      <c r="AO8" s="9"/>
    </row>
    <row r="9" spans="1:41" ht="16">
      <c r="A9" s="3" t="s">
        <v>77</v>
      </c>
      <c r="B9" s="6">
        <v>46313.986805555556</v>
      </c>
      <c r="C9" s="5">
        <v>957</v>
      </c>
      <c r="D9" s="1" t="s">
        <v>41</v>
      </c>
      <c r="E9" s="5">
        <v>4</v>
      </c>
      <c r="F9" s="1" t="s">
        <v>41</v>
      </c>
      <c r="G9" s="1" t="s">
        <v>41</v>
      </c>
      <c r="H9" s="1" t="s">
        <v>78</v>
      </c>
      <c r="I9" s="6">
        <v>46313.990972222222</v>
      </c>
      <c r="J9" s="1" t="s">
        <v>41</v>
      </c>
      <c r="K9" s="6">
        <v>46313.990972222222</v>
      </c>
      <c r="L9" s="5">
        <v>28</v>
      </c>
      <c r="M9" s="4"/>
      <c r="N9" s="1"/>
      <c r="O9" s="6">
        <v>46313.986111111109</v>
      </c>
      <c r="P9" s="1" t="s">
        <v>43</v>
      </c>
      <c r="Q9" s="1" t="s">
        <v>79</v>
      </c>
      <c r="R9" s="1" t="s">
        <v>80</v>
      </c>
      <c r="S9" s="5">
        <v>4247</v>
      </c>
      <c r="T9" s="1" t="s">
        <v>41</v>
      </c>
      <c r="U9" s="6">
        <v>46313.993750000001</v>
      </c>
      <c r="V9" s="4">
        <v>46313.993750000001</v>
      </c>
      <c r="W9" s="7" t="s">
        <v>81</v>
      </c>
      <c r="X9" s="5">
        <v>22411</v>
      </c>
      <c r="Y9" s="1"/>
      <c r="Z9" s="5">
        <v>0</v>
      </c>
      <c r="AA9" s="8">
        <v>0.9868055555555556</v>
      </c>
      <c r="AB9" s="5">
        <v>3</v>
      </c>
      <c r="AC9" s="1" t="s">
        <v>41</v>
      </c>
      <c r="AD9" s="9" t="str">
        <f t="shared" si="0"/>
        <v>Actual</v>
      </c>
      <c r="AE9" s="9" t="str">
        <f t="shared" si="1"/>
        <v>TMK7</v>
      </c>
      <c r="AF9" s="9">
        <f>HOUR(O9)</f>
        <v>23</v>
      </c>
      <c r="AG9" s="9">
        <f>DAY(O9)</f>
        <v>18</v>
      </c>
      <c r="AH9" s="9">
        <f>IFERROR((I9-K9)*24*60,0)</f>
        <v>0</v>
      </c>
      <c r="AI9" s="9">
        <f t="shared" si="2"/>
        <v>0</v>
      </c>
      <c r="AJ9" s="9">
        <f>C9</f>
        <v>957</v>
      </c>
      <c r="AK9" s="9">
        <f>IF(P9="completed",((V9-K9)*24*60),0)</f>
        <v>4.0000000025611371</v>
      </c>
      <c r="AL9" s="9">
        <f>IF(P9="completed",((U9-K9)*24*60),0)</f>
        <v>4.0000000025611371</v>
      </c>
      <c r="AM9" s="9" t="str">
        <f t="shared" si="3"/>
        <v>OTP Breached</v>
      </c>
      <c r="AN9" s="9" t="str">
        <f t="shared" si="4"/>
        <v>OTP Achieved</v>
      </c>
      <c r="AO9" s="9"/>
    </row>
    <row r="10" spans="1:41" ht="16">
      <c r="A10" s="3" t="s">
        <v>82</v>
      </c>
      <c r="B10" s="6">
        <v>46313.986111111109</v>
      </c>
      <c r="C10" s="5">
        <v>1410</v>
      </c>
      <c r="D10" s="1" t="s">
        <v>41</v>
      </c>
      <c r="E10" s="5">
        <v>5</v>
      </c>
      <c r="F10" s="1" t="s">
        <v>41</v>
      </c>
      <c r="G10" s="1" t="s">
        <v>41</v>
      </c>
      <c r="H10" s="1" t="s">
        <v>83</v>
      </c>
      <c r="I10" s="6">
        <v>46313.987500000003</v>
      </c>
      <c r="J10" s="1" t="s">
        <v>41</v>
      </c>
      <c r="K10" s="6">
        <v>46313.986805555556</v>
      </c>
      <c r="L10" s="5">
        <v>19</v>
      </c>
      <c r="M10" s="4"/>
      <c r="N10" s="1"/>
      <c r="O10" s="6">
        <v>46313.986111111109</v>
      </c>
      <c r="P10" s="1" t="s">
        <v>43</v>
      </c>
      <c r="Q10" s="1" t="s">
        <v>84</v>
      </c>
      <c r="R10" s="1" t="s">
        <v>85</v>
      </c>
      <c r="S10" s="5">
        <v>4247</v>
      </c>
      <c r="T10" s="1" t="s">
        <v>41</v>
      </c>
      <c r="U10" s="6">
        <v>46313.990277777775</v>
      </c>
      <c r="V10" s="4">
        <v>46313.990277777775</v>
      </c>
      <c r="W10" s="7" t="s">
        <v>86</v>
      </c>
      <c r="X10" s="5">
        <v>22411</v>
      </c>
      <c r="Y10" s="4"/>
      <c r="Z10" s="5">
        <v>0</v>
      </c>
      <c r="AA10" s="8">
        <v>0.98611111111111116</v>
      </c>
      <c r="AB10" s="5">
        <v>5</v>
      </c>
      <c r="AC10" s="1" t="s">
        <v>41</v>
      </c>
      <c r="AD10" s="9" t="str">
        <f t="shared" si="0"/>
        <v>Actual</v>
      </c>
      <c r="AE10" s="9" t="str">
        <f t="shared" si="1"/>
        <v>TMK7</v>
      </c>
      <c r="AF10" s="9">
        <f>HOUR(O10)</f>
        <v>23</v>
      </c>
      <c r="AG10" s="9">
        <f>DAY(O10)</f>
        <v>18</v>
      </c>
      <c r="AH10" s="9">
        <f>IFERROR((I10-K10)*24*60,0)</f>
        <v>1.000000003259629</v>
      </c>
      <c r="AI10" s="9">
        <f t="shared" si="2"/>
        <v>1.000000003259629</v>
      </c>
      <c r="AJ10" s="9">
        <f>C10</f>
        <v>1410</v>
      </c>
      <c r="AK10" s="9">
        <f>IF(P10="completed",((V10-K10)*24*60),0)</f>
        <v>4.9999999953433871</v>
      </c>
      <c r="AL10" s="9">
        <f>IF(P10="completed",((U10-K10)*24*60),0)</f>
        <v>4.9999999953433871</v>
      </c>
      <c r="AM10" s="9" t="str">
        <f t="shared" si="3"/>
        <v>OTP Breached</v>
      </c>
      <c r="AN10" s="9" t="str">
        <f t="shared" si="4"/>
        <v>OTP Achieved</v>
      </c>
      <c r="AO10" s="9"/>
    </row>
    <row r="11" spans="1:41" ht="16">
      <c r="A11" s="3" t="s">
        <v>52</v>
      </c>
      <c r="B11" s="6">
        <v>46313.98541666667</v>
      </c>
      <c r="C11" s="5">
        <v>2705</v>
      </c>
      <c r="D11" s="1" t="s">
        <v>41</v>
      </c>
      <c r="E11" s="5">
        <v>7</v>
      </c>
      <c r="F11" s="1" t="s">
        <v>41</v>
      </c>
      <c r="G11" s="1" t="s">
        <v>41</v>
      </c>
      <c r="H11" s="1" t="s">
        <v>87</v>
      </c>
      <c r="I11" s="6">
        <v>46313.986111111109</v>
      </c>
      <c r="J11" s="1" t="s">
        <v>41</v>
      </c>
      <c r="K11" s="6">
        <v>46313.986111111109</v>
      </c>
      <c r="L11" s="5">
        <v>33</v>
      </c>
      <c r="M11" s="4"/>
      <c r="N11" s="1"/>
      <c r="O11" s="6">
        <v>46313.98541666667</v>
      </c>
      <c r="P11" s="1" t="s">
        <v>43</v>
      </c>
      <c r="Q11" s="1" t="s">
        <v>54</v>
      </c>
      <c r="R11" s="1" t="s">
        <v>88</v>
      </c>
      <c r="S11" s="5">
        <v>4247</v>
      </c>
      <c r="T11" s="1" t="s">
        <v>41</v>
      </c>
      <c r="U11" s="6">
        <v>46313.992361111108</v>
      </c>
      <c r="V11" s="4">
        <v>46313.990972222222</v>
      </c>
      <c r="W11" s="7" t="s">
        <v>89</v>
      </c>
      <c r="X11" s="5">
        <v>22411</v>
      </c>
      <c r="Y11" s="4"/>
      <c r="Z11" s="5">
        <v>0</v>
      </c>
      <c r="AA11" s="8">
        <v>0.98541666666666672</v>
      </c>
      <c r="AB11" s="5">
        <v>6</v>
      </c>
      <c r="AC11" s="1" t="s">
        <v>41</v>
      </c>
      <c r="AD11" s="9" t="str">
        <f t="shared" si="0"/>
        <v>Actual</v>
      </c>
      <c r="AE11" s="9" t="str">
        <f t="shared" si="1"/>
        <v>TMK7</v>
      </c>
      <c r="AF11" s="9">
        <f>HOUR(O11)</f>
        <v>23</v>
      </c>
      <c r="AG11" s="9">
        <f>DAY(O11)</f>
        <v>18</v>
      </c>
      <c r="AH11" s="9">
        <f>IFERROR((I11-K11)*24*60,0)</f>
        <v>0</v>
      </c>
      <c r="AI11" s="9">
        <f t="shared" si="2"/>
        <v>0</v>
      </c>
      <c r="AJ11" s="9">
        <f>C11</f>
        <v>2705</v>
      </c>
      <c r="AK11" s="9">
        <f>IF(P11="completed",((V11-K11)*24*60),0)</f>
        <v>7.0000000018626451</v>
      </c>
      <c r="AL11" s="9">
        <f>IF(P11="completed",((U11-K11)*24*60),0)</f>
        <v>8.9999999979045242</v>
      </c>
      <c r="AM11" s="9" t="str">
        <f t="shared" si="3"/>
        <v>OTP Achieved</v>
      </c>
      <c r="AN11" s="9" t="str">
        <f t="shared" si="4"/>
        <v>OTP Achieved</v>
      </c>
      <c r="AO11" s="9"/>
    </row>
    <row r="12" spans="1:41" ht="16">
      <c r="A12" s="3" t="s">
        <v>47</v>
      </c>
      <c r="B12" s="6">
        <v>46313.98333333333</v>
      </c>
      <c r="C12" s="5">
        <v>1248</v>
      </c>
      <c r="D12" s="1" t="s">
        <v>41</v>
      </c>
      <c r="E12" s="5">
        <v>3</v>
      </c>
      <c r="F12" s="1" t="s">
        <v>41</v>
      </c>
      <c r="G12" s="1" t="s">
        <v>41</v>
      </c>
      <c r="H12" s="1" t="s">
        <v>90</v>
      </c>
      <c r="I12" s="6">
        <v>46313.98541666667</v>
      </c>
      <c r="J12" s="1" t="s">
        <v>41</v>
      </c>
      <c r="K12" s="6">
        <v>46313.984722222223</v>
      </c>
      <c r="L12" s="5">
        <v>26</v>
      </c>
      <c r="M12" s="4"/>
      <c r="N12" s="1"/>
      <c r="O12" s="6">
        <v>46313.98333333333</v>
      </c>
      <c r="P12" s="1" t="s">
        <v>43</v>
      </c>
      <c r="Q12" s="1" t="s">
        <v>49</v>
      </c>
      <c r="R12" s="1" t="s">
        <v>91</v>
      </c>
      <c r="S12" s="5">
        <v>4247</v>
      </c>
      <c r="T12" s="1" t="s">
        <v>41</v>
      </c>
      <c r="U12" s="6">
        <v>46313.989583333336</v>
      </c>
      <c r="V12" s="4">
        <v>46313.986805555556</v>
      </c>
      <c r="W12" s="7" t="s">
        <v>92</v>
      </c>
      <c r="X12" s="5">
        <v>22411</v>
      </c>
      <c r="Y12" s="10"/>
      <c r="Z12" s="5">
        <v>0</v>
      </c>
      <c r="AA12" s="8">
        <v>0.98333333333333328</v>
      </c>
      <c r="AB12" s="5">
        <v>2</v>
      </c>
      <c r="AC12" s="1" t="s">
        <v>41</v>
      </c>
      <c r="AD12" s="9" t="str">
        <f t="shared" si="0"/>
        <v>Actual</v>
      </c>
      <c r="AE12" s="9" t="str">
        <f t="shared" si="1"/>
        <v>TMK7</v>
      </c>
      <c r="AF12" s="9">
        <f>HOUR(O12)</f>
        <v>23</v>
      </c>
      <c r="AG12" s="9">
        <f>DAY(O12)</f>
        <v>18</v>
      </c>
      <c r="AH12" s="9">
        <f>IFERROR((I12-K12)*24*60,0)</f>
        <v>1.000000003259629</v>
      </c>
      <c r="AI12" s="9">
        <f t="shared" si="2"/>
        <v>1.000000003259629</v>
      </c>
      <c r="AJ12" s="9">
        <f>C12</f>
        <v>1248</v>
      </c>
      <c r="AK12" s="9">
        <f>IF(P12="completed",((V12-K12)*24*60),0)</f>
        <v>2.9999999993015081</v>
      </c>
      <c r="AL12" s="9">
        <f>IF(P12="completed",((U12-K12)*24*60),0)</f>
        <v>7.0000000018626451</v>
      </c>
      <c r="AM12" s="9" t="str">
        <f t="shared" si="3"/>
        <v>OTP Achieved</v>
      </c>
      <c r="AN12" s="9" t="str">
        <f t="shared" si="4"/>
        <v>OTP Achieved</v>
      </c>
      <c r="AO12" s="9"/>
    </row>
    <row r="13" spans="1:41" ht="16">
      <c r="A13" s="3" t="s">
        <v>93</v>
      </c>
      <c r="B13" s="6">
        <v>46313.98333333333</v>
      </c>
      <c r="C13" s="5">
        <v>1003</v>
      </c>
      <c r="D13" s="1" t="s">
        <v>41</v>
      </c>
      <c r="E13" s="5">
        <v>4</v>
      </c>
      <c r="F13" s="1" t="s">
        <v>41</v>
      </c>
      <c r="G13" s="1" t="s">
        <v>41</v>
      </c>
      <c r="H13" s="1" t="s">
        <v>94</v>
      </c>
      <c r="I13" s="6">
        <v>46313.984027777777</v>
      </c>
      <c r="J13" s="1" t="s">
        <v>41</v>
      </c>
      <c r="K13" s="6">
        <v>46313.98333333333</v>
      </c>
      <c r="L13" s="5">
        <v>41</v>
      </c>
      <c r="M13" s="4"/>
      <c r="N13" s="1"/>
      <c r="O13" s="6">
        <v>46313.982638888891</v>
      </c>
      <c r="P13" s="1" t="s">
        <v>43</v>
      </c>
      <c r="Q13" s="1" t="s">
        <v>95</v>
      </c>
      <c r="R13" s="1" t="s">
        <v>96</v>
      </c>
      <c r="S13" s="5">
        <v>4247</v>
      </c>
      <c r="T13" s="1" t="s">
        <v>41</v>
      </c>
      <c r="U13" s="6">
        <v>46313.986111111109</v>
      </c>
      <c r="V13" s="4">
        <v>46313.986111111109</v>
      </c>
      <c r="W13" s="7" t="s">
        <v>97</v>
      </c>
      <c r="X13" s="5">
        <v>22411</v>
      </c>
      <c r="Y13" s="4"/>
      <c r="Z13" s="5">
        <v>0</v>
      </c>
      <c r="AA13" s="8">
        <v>0.98333333333333328</v>
      </c>
      <c r="AB13" s="5">
        <v>3</v>
      </c>
      <c r="AC13" s="1" t="s">
        <v>41</v>
      </c>
      <c r="AD13" s="9" t="str">
        <f t="shared" si="0"/>
        <v>Actual</v>
      </c>
      <c r="AE13" s="9" t="str">
        <f t="shared" si="1"/>
        <v>TMK7</v>
      </c>
      <c r="AF13" s="9">
        <f>HOUR(O13)</f>
        <v>23</v>
      </c>
      <c r="AG13" s="9">
        <f>DAY(O13)</f>
        <v>18</v>
      </c>
      <c r="AH13" s="9">
        <f>IFERROR((I13-K13)*24*60,0)</f>
        <v>1.000000003259629</v>
      </c>
      <c r="AI13" s="9">
        <f t="shared" si="2"/>
        <v>1.000000003259629</v>
      </c>
      <c r="AJ13" s="9">
        <f>C13</f>
        <v>1003</v>
      </c>
      <c r="AK13" s="9">
        <f>IF(P13="completed",((V13-K13)*24*60),0)</f>
        <v>4.0000000025611371</v>
      </c>
      <c r="AL13" s="9">
        <f>IF(P13="completed",((U13-K13)*24*60),0)</f>
        <v>4.0000000025611371</v>
      </c>
      <c r="AM13" s="9" t="str">
        <f t="shared" si="3"/>
        <v>OTP Breached</v>
      </c>
      <c r="AN13" s="9" t="str">
        <f t="shared" si="4"/>
        <v>OTP Achieved</v>
      </c>
      <c r="AO13" s="9"/>
    </row>
    <row r="14" spans="1:41" ht="16">
      <c r="A14" s="3" t="s">
        <v>98</v>
      </c>
      <c r="B14" s="6">
        <v>46313.977083333331</v>
      </c>
      <c r="C14" s="5">
        <v>338</v>
      </c>
      <c r="D14" s="1" t="s">
        <v>41</v>
      </c>
      <c r="E14" s="5">
        <v>1</v>
      </c>
      <c r="F14" s="1" t="s">
        <v>41</v>
      </c>
      <c r="G14" s="1" t="s">
        <v>41</v>
      </c>
      <c r="H14" s="1" t="s">
        <v>99</v>
      </c>
      <c r="I14" s="6">
        <v>46313.979166666664</v>
      </c>
      <c r="J14" s="1" t="s">
        <v>41</v>
      </c>
      <c r="K14" s="6">
        <v>46313.978472222225</v>
      </c>
      <c r="L14" s="5">
        <v>32</v>
      </c>
      <c r="M14" s="4"/>
      <c r="N14" s="1"/>
      <c r="O14" s="6">
        <v>46313.977083333331</v>
      </c>
      <c r="P14" s="1" t="s">
        <v>43</v>
      </c>
      <c r="Q14" s="1" t="s">
        <v>100</v>
      </c>
      <c r="R14" s="1" t="s">
        <v>101</v>
      </c>
      <c r="S14" s="5">
        <v>4247</v>
      </c>
      <c r="T14" s="1" t="s">
        <v>41</v>
      </c>
      <c r="U14" s="6">
        <v>46313.980555555558</v>
      </c>
      <c r="V14" s="4">
        <v>46313.979166666664</v>
      </c>
      <c r="W14" s="7" t="s">
        <v>102</v>
      </c>
      <c r="X14" s="5">
        <v>22411</v>
      </c>
      <c r="Y14" s="4"/>
      <c r="Z14" s="5">
        <v>0</v>
      </c>
      <c r="AA14" s="8">
        <v>0.9770833333333333</v>
      </c>
      <c r="AB14" s="5">
        <v>0</v>
      </c>
      <c r="AC14" s="1" t="s">
        <v>41</v>
      </c>
      <c r="AD14" s="9" t="str">
        <f t="shared" si="0"/>
        <v>Actual</v>
      </c>
      <c r="AE14" s="9" t="str">
        <f t="shared" si="1"/>
        <v>TMK7</v>
      </c>
      <c r="AF14" s="9">
        <f>HOUR(O14)</f>
        <v>23</v>
      </c>
      <c r="AG14" s="9">
        <f>DAY(O14)</f>
        <v>18</v>
      </c>
      <c r="AH14" s="9">
        <f>IFERROR((I14-K14)*24*60,0)</f>
        <v>0.99999999278225005</v>
      </c>
      <c r="AI14" s="9">
        <f t="shared" si="2"/>
        <v>0.99999999278225005</v>
      </c>
      <c r="AJ14" s="9">
        <f>C14</f>
        <v>338</v>
      </c>
      <c r="AK14" s="9">
        <f>IF(P14="completed",((V14-K14)*24*60),0)</f>
        <v>0.99999999278225005</v>
      </c>
      <c r="AL14" s="9">
        <f>IF(P14="completed",((U14-K14)*24*60),0)</f>
        <v>2.9999999993015081</v>
      </c>
      <c r="AM14" s="9" t="str">
        <f t="shared" si="3"/>
        <v>OTP Achieved</v>
      </c>
      <c r="AN14" s="9" t="str">
        <f t="shared" si="4"/>
        <v>OTP Achieved</v>
      </c>
      <c r="AO14" s="9"/>
    </row>
    <row r="15" spans="1:41" ht="16">
      <c r="A15" s="3" t="s">
        <v>40</v>
      </c>
      <c r="B15" s="6">
        <v>46313.975694444445</v>
      </c>
      <c r="C15" s="5">
        <v>2042</v>
      </c>
      <c r="D15" s="1" t="s">
        <v>41</v>
      </c>
      <c r="E15" s="5">
        <v>6</v>
      </c>
      <c r="F15" s="1" t="s">
        <v>41</v>
      </c>
      <c r="G15" s="1" t="s">
        <v>41</v>
      </c>
      <c r="H15" s="1" t="s">
        <v>103</v>
      </c>
      <c r="I15" s="6">
        <v>46313.977083333331</v>
      </c>
      <c r="J15" s="1" t="s">
        <v>41</v>
      </c>
      <c r="K15" s="6">
        <v>46313.977083333331</v>
      </c>
      <c r="L15" s="5">
        <v>23</v>
      </c>
      <c r="M15" s="4"/>
      <c r="N15" s="1"/>
      <c r="O15" s="6">
        <v>46313.975694444445</v>
      </c>
      <c r="P15" s="1" t="s">
        <v>43</v>
      </c>
      <c r="Q15" s="1" t="s">
        <v>44</v>
      </c>
      <c r="R15" s="1" t="s">
        <v>104</v>
      </c>
      <c r="S15" s="5">
        <v>4247</v>
      </c>
      <c r="T15" s="1" t="s">
        <v>41</v>
      </c>
      <c r="U15" s="6">
        <v>46313.981249999997</v>
      </c>
      <c r="V15" s="4">
        <v>46313.980555555558</v>
      </c>
      <c r="W15" s="7" t="s">
        <v>105</v>
      </c>
      <c r="X15" s="5">
        <v>22411</v>
      </c>
      <c r="Y15" s="4"/>
      <c r="Z15" s="5">
        <v>0</v>
      </c>
      <c r="AA15" s="8">
        <v>0.97569444444444442</v>
      </c>
      <c r="AB15" s="5">
        <v>6</v>
      </c>
      <c r="AC15" s="1" t="s">
        <v>41</v>
      </c>
      <c r="AD15" s="9" t="str">
        <f t="shared" si="0"/>
        <v>Actual</v>
      </c>
      <c r="AE15" s="9" t="str">
        <f t="shared" si="1"/>
        <v>TMK7</v>
      </c>
      <c r="AF15" s="9">
        <f>HOUR(O15)</f>
        <v>23</v>
      </c>
      <c r="AG15" s="9">
        <f>DAY(O15)</f>
        <v>18</v>
      </c>
      <c r="AH15" s="9">
        <f>IFERROR((I15-K15)*24*60,0)</f>
        <v>0</v>
      </c>
      <c r="AI15" s="9">
        <f t="shared" si="2"/>
        <v>0</v>
      </c>
      <c r="AJ15" s="9">
        <f>C15</f>
        <v>2042</v>
      </c>
      <c r="AK15" s="9">
        <f>IF(P15="completed",((V15-K15)*24*60),0)</f>
        <v>5.0000000058207661</v>
      </c>
      <c r="AL15" s="9">
        <f>IF(P15="completed",((U15-K15)*24*60),0)</f>
        <v>5.9999999986030161</v>
      </c>
      <c r="AM15" s="9" t="str">
        <f t="shared" si="3"/>
        <v>OTP Achieved</v>
      </c>
      <c r="AN15" s="9" t="str">
        <f t="shared" si="4"/>
        <v>OTP Achieved</v>
      </c>
      <c r="AO15" s="9"/>
    </row>
    <row r="16" spans="1:41" ht="16">
      <c r="A16" s="3" t="s">
        <v>106</v>
      </c>
      <c r="B16" s="6">
        <v>46313.975694444445</v>
      </c>
      <c r="C16" s="5">
        <v>1308</v>
      </c>
      <c r="D16" s="1" t="s">
        <v>41</v>
      </c>
      <c r="E16" s="5">
        <v>5</v>
      </c>
      <c r="F16" s="1" t="s">
        <v>41</v>
      </c>
      <c r="G16" s="1" t="s">
        <v>41</v>
      </c>
      <c r="H16" s="1" t="s">
        <v>107</v>
      </c>
      <c r="I16" s="6">
        <v>46313.977083333331</v>
      </c>
      <c r="J16" s="1" t="s">
        <v>41</v>
      </c>
      <c r="K16" s="6">
        <v>46313.976388888892</v>
      </c>
      <c r="L16" s="5">
        <v>37</v>
      </c>
      <c r="M16" s="4"/>
      <c r="N16" s="1"/>
      <c r="O16" s="6">
        <v>46313.975694444445</v>
      </c>
      <c r="P16" s="1" t="s">
        <v>43</v>
      </c>
      <c r="Q16" s="1" t="s">
        <v>108</v>
      </c>
      <c r="R16" s="1" t="s">
        <v>109</v>
      </c>
      <c r="S16" s="5">
        <v>4247</v>
      </c>
      <c r="T16" s="1" t="s">
        <v>41</v>
      </c>
      <c r="U16" s="6">
        <v>46313.981249999997</v>
      </c>
      <c r="V16" s="4">
        <v>46313.979861111111</v>
      </c>
      <c r="W16" s="7" t="s">
        <v>110</v>
      </c>
      <c r="X16" s="5">
        <v>22411</v>
      </c>
      <c r="Y16" s="1"/>
      <c r="Z16" s="5">
        <v>0</v>
      </c>
      <c r="AA16" s="8">
        <v>0.97569444444444442</v>
      </c>
      <c r="AB16" s="5">
        <v>4</v>
      </c>
      <c r="AC16" s="1" t="s">
        <v>41</v>
      </c>
      <c r="AD16" s="9" t="str">
        <f t="shared" si="0"/>
        <v>Actual</v>
      </c>
      <c r="AE16" s="9" t="str">
        <f t="shared" si="1"/>
        <v>TMK7</v>
      </c>
      <c r="AF16" s="9">
        <f>HOUR(O16)</f>
        <v>23</v>
      </c>
      <c r="AG16" s="9">
        <f>DAY(O16)</f>
        <v>18</v>
      </c>
      <c r="AH16" s="9">
        <f>IFERROR((I16-K16)*24*60,0)</f>
        <v>0.99999999278225005</v>
      </c>
      <c r="AI16" s="9">
        <f t="shared" si="2"/>
        <v>0.99999999278225005</v>
      </c>
      <c r="AJ16" s="9">
        <f>C16</f>
        <v>1308</v>
      </c>
      <c r="AK16" s="9">
        <f>IF(P16="completed",((V16-K16)*24*60),0)</f>
        <v>4.9999999953433871</v>
      </c>
      <c r="AL16" s="9">
        <f>IF(P16="completed",((U16-K16)*24*60),0)</f>
        <v>6.9999999913852662</v>
      </c>
      <c r="AM16" s="9" t="str">
        <f t="shared" si="3"/>
        <v>OTP Achieved</v>
      </c>
      <c r="AN16" s="9" t="str">
        <f t="shared" si="4"/>
        <v>OTP Achieved</v>
      </c>
      <c r="AO16" s="9"/>
    </row>
    <row r="17" spans="1:41" ht="16">
      <c r="A17" s="3" t="s">
        <v>72</v>
      </c>
      <c r="B17" s="6">
        <v>46313.974999999999</v>
      </c>
      <c r="C17" s="5">
        <v>292</v>
      </c>
      <c r="D17" s="1" t="s">
        <v>41</v>
      </c>
      <c r="E17" s="5">
        <v>2</v>
      </c>
      <c r="F17" s="1" t="s">
        <v>41</v>
      </c>
      <c r="G17" s="1" t="s">
        <v>41</v>
      </c>
      <c r="H17" s="1" t="s">
        <v>111</v>
      </c>
      <c r="I17" s="6">
        <v>46313.974999999999</v>
      </c>
      <c r="J17" s="1" t="s">
        <v>41</v>
      </c>
      <c r="K17" s="6">
        <v>46313.974999999999</v>
      </c>
      <c r="L17" s="5">
        <v>24</v>
      </c>
      <c r="M17" s="4"/>
      <c r="N17" s="1"/>
      <c r="O17" s="6">
        <v>46313.974305555559</v>
      </c>
      <c r="P17" s="1" t="s">
        <v>43</v>
      </c>
      <c r="Q17" s="1" t="s">
        <v>74</v>
      </c>
      <c r="R17" s="1" t="s">
        <v>112</v>
      </c>
      <c r="S17" s="5">
        <v>4247</v>
      </c>
      <c r="T17" s="1" t="s">
        <v>41</v>
      </c>
      <c r="U17" s="6">
        <v>46313.977083333331</v>
      </c>
      <c r="V17" s="4">
        <v>46313.975694444445</v>
      </c>
      <c r="W17" s="7" t="s">
        <v>113</v>
      </c>
      <c r="X17" s="5">
        <v>22411</v>
      </c>
      <c r="Y17" s="10"/>
      <c r="Z17" s="5">
        <v>0</v>
      </c>
      <c r="AA17" s="8">
        <v>0.97499999999999998</v>
      </c>
      <c r="AB17" s="5">
        <v>1</v>
      </c>
      <c r="AC17" s="1" t="s">
        <v>41</v>
      </c>
      <c r="AD17" s="9" t="str">
        <f t="shared" si="0"/>
        <v>Actual</v>
      </c>
      <c r="AE17" s="9" t="str">
        <f t="shared" si="1"/>
        <v>TMK7</v>
      </c>
      <c r="AF17" s="9">
        <f>HOUR(O17)</f>
        <v>23</v>
      </c>
      <c r="AG17" s="9">
        <f>DAY(O17)</f>
        <v>18</v>
      </c>
      <c r="AH17" s="9">
        <f>IFERROR((I17-K17)*24*60,0)</f>
        <v>0</v>
      </c>
      <c r="AI17" s="9">
        <f t="shared" si="2"/>
        <v>0</v>
      </c>
      <c r="AJ17" s="9">
        <f>C17</f>
        <v>292</v>
      </c>
      <c r="AK17" s="9">
        <f>IF(P17="completed",((V17-K17)*24*60),0)</f>
        <v>1.000000003259629</v>
      </c>
      <c r="AL17" s="9">
        <f>IF(P17="completed",((U17-K17)*24*60),0)</f>
        <v>2.9999999993015081</v>
      </c>
      <c r="AM17" s="9" t="str">
        <f t="shared" si="3"/>
        <v>OTP Achieved</v>
      </c>
      <c r="AN17" s="9" t="str">
        <f t="shared" si="4"/>
        <v>OTP Achieved</v>
      </c>
      <c r="AO17" s="9"/>
    </row>
    <row r="18" spans="1:41" ht="16">
      <c r="A18" s="3" t="s">
        <v>77</v>
      </c>
      <c r="B18" s="6">
        <v>46313.97152777778</v>
      </c>
      <c r="C18" s="5">
        <v>809</v>
      </c>
      <c r="D18" s="1" t="s">
        <v>41</v>
      </c>
      <c r="E18" s="5">
        <v>3</v>
      </c>
      <c r="F18" s="1" t="s">
        <v>41</v>
      </c>
      <c r="G18" s="1" t="s">
        <v>41</v>
      </c>
      <c r="H18" s="1" t="s">
        <v>114</v>
      </c>
      <c r="I18" s="6">
        <v>46313.97152777778</v>
      </c>
      <c r="J18" s="1" t="s">
        <v>41</v>
      </c>
      <c r="K18" s="6">
        <v>46313.970833333333</v>
      </c>
      <c r="L18" s="5">
        <v>19</v>
      </c>
      <c r="M18" s="4"/>
      <c r="N18" s="1"/>
      <c r="O18" s="6">
        <v>46313.970138888886</v>
      </c>
      <c r="P18" s="1" t="s">
        <v>43</v>
      </c>
      <c r="Q18" s="1" t="s">
        <v>79</v>
      </c>
      <c r="R18" s="1" t="s">
        <v>115</v>
      </c>
      <c r="S18" s="5">
        <v>4247</v>
      </c>
      <c r="T18" s="1" t="s">
        <v>41</v>
      </c>
      <c r="U18" s="6">
        <v>46313.974305555559</v>
      </c>
      <c r="V18" s="4">
        <v>46313.973611111112</v>
      </c>
      <c r="W18" s="7" t="s">
        <v>116</v>
      </c>
      <c r="X18" s="5">
        <v>22411</v>
      </c>
      <c r="Y18" s="1"/>
      <c r="Z18" s="5">
        <v>0</v>
      </c>
      <c r="AA18" s="8">
        <v>0.97152777777777777</v>
      </c>
      <c r="AB18" s="5">
        <v>3</v>
      </c>
      <c r="AC18" s="1" t="s">
        <v>41</v>
      </c>
      <c r="AD18" s="9" t="str">
        <f t="shared" si="0"/>
        <v>Actual</v>
      </c>
      <c r="AE18" s="9" t="str">
        <f t="shared" si="1"/>
        <v>TMK7</v>
      </c>
      <c r="AF18" s="9">
        <f>HOUR(O18)</f>
        <v>23</v>
      </c>
      <c r="AG18" s="9">
        <f>DAY(O18)</f>
        <v>18</v>
      </c>
      <c r="AH18" s="9">
        <f>IFERROR((I18-K18)*24*60,0)</f>
        <v>1.000000003259629</v>
      </c>
      <c r="AI18" s="9">
        <f t="shared" si="2"/>
        <v>1.000000003259629</v>
      </c>
      <c r="AJ18" s="9">
        <f>C18</f>
        <v>809</v>
      </c>
      <c r="AK18" s="9">
        <f>IF(P18="completed",((V18-K18)*24*60),0)</f>
        <v>4.0000000025611371</v>
      </c>
      <c r="AL18" s="9">
        <f>IF(P18="completed",((U18-K18)*24*60),0)</f>
        <v>5.0000000058207661</v>
      </c>
      <c r="AM18" s="9" t="str">
        <f t="shared" si="3"/>
        <v>OTP Achieved</v>
      </c>
      <c r="AN18" s="9" t="str">
        <f t="shared" si="4"/>
        <v>OTP Achieved</v>
      </c>
      <c r="AO18" s="9"/>
    </row>
    <row r="19" spans="1:41" ht="16">
      <c r="A19" s="3" t="s">
        <v>117</v>
      </c>
      <c r="B19" s="6">
        <v>46313.970138888886</v>
      </c>
      <c r="C19" s="5">
        <v>1505</v>
      </c>
      <c r="D19" s="1" t="s">
        <v>41</v>
      </c>
      <c r="E19" s="5">
        <v>5</v>
      </c>
      <c r="F19" s="1" t="s">
        <v>41</v>
      </c>
      <c r="G19" s="1" t="s">
        <v>41</v>
      </c>
      <c r="H19" s="1" t="s">
        <v>118</v>
      </c>
      <c r="I19" s="6">
        <v>46313.972916666666</v>
      </c>
      <c r="J19" s="1" t="s">
        <v>41</v>
      </c>
      <c r="K19" s="6">
        <v>46313.972222222219</v>
      </c>
      <c r="L19" s="5">
        <v>26</v>
      </c>
      <c r="M19" s="4"/>
      <c r="N19" s="1"/>
      <c r="O19" s="6">
        <v>46313.970138888886</v>
      </c>
      <c r="P19" s="1" t="s">
        <v>43</v>
      </c>
      <c r="Q19" s="1" t="s">
        <v>119</v>
      </c>
      <c r="R19" s="1" t="s">
        <v>120</v>
      </c>
      <c r="S19" s="5">
        <v>4247</v>
      </c>
      <c r="T19" s="1" t="s">
        <v>41</v>
      </c>
      <c r="U19" s="6">
        <v>46313.976388888892</v>
      </c>
      <c r="V19" s="4">
        <v>46313.975694444445</v>
      </c>
      <c r="W19" s="7" t="s">
        <v>121</v>
      </c>
      <c r="X19" s="5">
        <v>22411</v>
      </c>
      <c r="Y19" s="4"/>
      <c r="Z19" s="5">
        <v>0</v>
      </c>
      <c r="AA19" s="8">
        <v>0.97013888888888888</v>
      </c>
      <c r="AB19" s="5">
        <v>5</v>
      </c>
      <c r="AC19" s="1" t="s">
        <v>41</v>
      </c>
      <c r="AD19" s="9" t="str">
        <f t="shared" si="0"/>
        <v>Actual</v>
      </c>
      <c r="AE19" s="9" t="str">
        <f t="shared" si="1"/>
        <v>TMK7</v>
      </c>
      <c r="AF19" s="9">
        <f>HOUR(O19)</f>
        <v>23</v>
      </c>
      <c r="AG19" s="9">
        <f>DAY(O19)</f>
        <v>18</v>
      </c>
      <c r="AH19" s="9">
        <f>IFERROR((I19-K19)*24*60,0)</f>
        <v>1.000000003259629</v>
      </c>
      <c r="AI19" s="9">
        <f t="shared" si="2"/>
        <v>1.000000003259629</v>
      </c>
      <c r="AJ19" s="9">
        <f>C19</f>
        <v>1505</v>
      </c>
      <c r="AK19" s="9">
        <f>IF(P19="completed",((V19-K19)*24*60),0)</f>
        <v>5.0000000058207661</v>
      </c>
      <c r="AL19" s="9">
        <f>IF(P19="completed",((U19-K19)*24*60),0)</f>
        <v>6.0000000090803951</v>
      </c>
      <c r="AM19" s="9" t="str">
        <f t="shared" si="3"/>
        <v>OTP Achieved</v>
      </c>
      <c r="AN19" s="9" t="str">
        <f t="shared" si="4"/>
        <v>OTP Achieved</v>
      </c>
      <c r="AO19" s="9"/>
    </row>
    <row r="20" spans="1:41" ht="16">
      <c r="A20" s="3" t="s">
        <v>62</v>
      </c>
      <c r="B20" s="6">
        <v>46313.96875</v>
      </c>
      <c r="C20" s="5">
        <v>1383</v>
      </c>
      <c r="D20" s="1" t="s">
        <v>41</v>
      </c>
      <c r="E20" s="5">
        <v>5</v>
      </c>
      <c r="F20" s="1" t="s">
        <v>41</v>
      </c>
      <c r="G20" s="1" t="s">
        <v>41</v>
      </c>
      <c r="H20" s="1" t="s">
        <v>122</v>
      </c>
      <c r="I20" s="6">
        <v>46313.970138888886</v>
      </c>
      <c r="J20" s="1" t="s">
        <v>41</v>
      </c>
      <c r="K20" s="6">
        <v>46313.970138888886</v>
      </c>
      <c r="L20" s="5">
        <v>20</v>
      </c>
      <c r="M20" s="4"/>
      <c r="N20" s="1"/>
      <c r="O20" s="6">
        <v>46313.96875</v>
      </c>
      <c r="P20" s="1" t="s">
        <v>43</v>
      </c>
      <c r="Q20" s="1" t="s">
        <v>64</v>
      </c>
      <c r="R20" s="1" t="s">
        <v>123</v>
      </c>
      <c r="S20" s="5">
        <v>4247</v>
      </c>
      <c r="T20" s="1" t="s">
        <v>41</v>
      </c>
      <c r="U20" s="6">
        <v>46313.974305555559</v>
      </c>
      <c r="V20" s="4">
        <v>46313.973611111112</v>
      </c>
      <c r="W20" s="7" t="s">
        <v>124</v>
      </c>
      <c r="X20" s="5">
        <v>22411</v>
      </c>
      <c r="Y20" s="10"/>
      <c r="Z20" s="5">
        <v>0</v>
      </c>
      <c r="AA20" s="8">
        <v>0.96875</v>
      </c>
      <c r="AB20" s="5">
        <v>5</v>
      </c>
      <c r="AC20" s="1" t="s">
        <v>41</v>
      </c>
      <c r="AD20" s="9" t="str">
        <f t="shared" si="0"/>
        <v>Actual</v>
      </c>
      <c r="AE20" s="9" t="str">
        <f t="shared" si="1"/>
        <v>TMK7</v>
      </c>
      <c r="AF20" s="9">
        <f>HOUR(O20)</f>
        <v>23</v>
      </c>
      <c r="AG20" s="9">
        <f>DAY(O20)</f>
        <v>18</v>
      </c>
      <c r="AH20" s="9">
        <f>IFERROR((I20-K20)*24*60,0)</f>
        <v>0</v>
      </c>
      <c r="AI20" s="9">
        <f t="shared" si="2"/>
        <v>0</v>
      </c>
      <c r="AJ20" s="9">
        <f>C20</f>
        <v>1383</v>
      </c>
      <c r="AK20" s="9">
        <f>IF(P20="completed",((V20-K20)*24*60),0)</f>
        <v>5.0000000058207661</v>
      </c>
      <c r="AL20" s="9">
        <f>IF(P20="completed",((U20-K20)*24*60),0)</f>
        <v>6.0000000090803951</v>
      </c>
      <c r="AM20" s="9" t="str">
        <f t="shared" si="3"/>
        <v>OTP Achieved</v>
      </c>
      <c r="AN20" s="9" t="str">
        <f t="shared" si="4"/>
        <v>OTP Achieved</v>
      </c>
      <c r="AO20" s="9"/>
    </row>
    <row r="21" spans="1:41" ht="16">
      <c r="A21" s="3" t="s">
        <v>125</v>
      </c>
      <c r="B21" s="6">
        <v>46313.964583333334</v>
      </c>
      <c r="C21" s="5">
        <v>2118</v>
      </c>
      <c r="D21" s="1" t="s">
        <v>41</v>
      </c>
      <c r="E21" s="5">
        <v>8</v>
      </c>
      <c r="F21" s="1" t="s">
        <v>41</v>
      </c>
      <c r="G21" s="1" t="s">
        <v>41</v>
      </c>
      <c r="H21" s="1" t="s">
        <v>126</v>
      </c>
      <c r="I21" s="6">
        <v>46313.966666666667</v>
      </c>
      <c r="J21" s="1" t="s">
        <v>41</v>
      </c>
      <c r="K21" s="6">
        <v>46313.96597222222</v>
      </c>
      <c r="L21" s="5">
        <v>21</v>
      </c>
      <c r="M21" s="4"/>
      <c r="N21" s="1"/>
      <c r="O21" s="6">
        <v>46313.964583333334</v>
      </c>
      <c r="P21" s="1" t="s">
        <v>43</v>
      </c>
      <c r="Q21" s="1" t="s">
        <v>127</v>
      </c>
      <c r="R21" s="1" t="s">
        <v>128</v>
      </c>
      <c r="S21" s="5">
        <v>4247</v>
      </c>
      <c r="T21" s="1" t="s">
        <v>41</v>
      </c>
      <c r="U21" s="6">
        <v>46313.97152777778</v>
      </c>
      <c r="V21" s="6">
        <v>46313.97152777778</v>
      </c>
      <c r="W21" s="7" t="s">
        <v>129</v>
      </c>
      <c r="X21" s="5">
        <v>22411</v>
      </c>
      <c r="Y21" s="4"/>
      <c r="Z21" s="5">
        <v>0</v>
      </c>
      <c r="AA21" s="8">
        <v>0.96458333333333335</v>
      </c>
      <c r="AB21" s="5">
        <v>7</v>
      </c>
      <c r="AC21" s="1" t="s">
        <v>41</v>
      </c>
      <c r="AD21" s="9" t="str">
        <f t="shared" si="0"/>
        <v>Actual</v>
      </c>
      <c r="AE21" s="9" t="str">
        <f t="shared" si="1"/>
        <v>TMK7</v>
      </c>
      <c r="AF21" s="9">
        <f>HOUR(O21)</f>
        <v>23</v>
      </c>
      <c r="AG21" s="9">
        <f>DAY(O21)</f>
        <v>18</v>
      </c>
      <c r="AH21" s="9">
        <f>IFERROR((I21-K21)*24*60,0)</f>
        <v>1.000000003259629</v>
      </c>
      <c r="AI21" s="9">
        <f t="shared" si="2"/>
        <v>1.000000003259629</v>
      </c>
      <c r="AJ21" s="9">
        <f>C21</f>
        <v>2118</v>
      </c>
      <c r="AK21" s="9">
        <f>IF(P21="completed",((V21-K21)*24*60),0)</f>
        <v>8.0000000051222742</v>
      </c>
      <c r="AL21" s="9">
        <f>IF(P21="completed",((U21-K21)*24*60),0)</f>
        <v>8.0000000051222742</v>
      </c>
      <c r="AM21" s="9" t="str">
        <f t="shared" si="3"/>
        <v>OTP Breached</v>
      </c>
      <c r="AN21" s="9" t="str">
        <f t="shared" si="4"/>
        <v>OTP Achieved</v>
      </c>
      <c r="AO21" s="9"/>
    </row>
    <row r="22" spans="1:41" ht="16">
      <c r="A22" s="3" t="s">
        <v>40</v>
      </c>
      <c r="B22" s="6">
        <v>46313.963888888888</v>
      </c>
      <c r="C22" s="5">
        <v>910</v>
      </c>
      <c r="D22" s="1" t="s">
        <v>41</v>
      </c>
      <c r="E22" s="5">
        <v>4</v>
      </c>
      <c r="F22" s="1" t="s">
        <v>41</v>
      </c>
      <c r="G22" s="1" t="s">
        <v>41</v>
      </c>
      <c r="H22" s="1" t="s">
        <v>130</v>
      </c>
      <c r="I22" s="6">
        <v>46313.965277777781</v>
      </c>
      <c r="J22" s="1" t="s">
        <v>41</v>
      </c>
      <c r="K22" s="6">
        <v>46313.964583333334</v>
      </c>
      <c r="L22" s="5">
        <v>30</v>
      </c>
      <c r="M22" s="4"/>
      <c r="N22" s="1"/>
      <c r="O22" s="6">
        <v>46313.963888888888</v>
      </c>
      <c r="P22" s="1" t="s">
        <v>43</v>
      </c>
      <c r="Q22" s="1" t="s">
        <v>44</v>
      </c>
      <c r="R22" s="1" t="s">
        <v>131</v>
      </c>
      <c r="S22" s="5">
        <v>4247</v>
      </c>
      <c r="T22" s="1" t="s">
        <v>41</v>
      </c>
      <c r="U22" s="6">
        <v>46313.968055555553</v>
      </c>
      <c r="V22" s="4">
        <v>46313.967361111114</v>
      </c>
      <c r="W22" s="7" t="s">
        <v>132</v>
      </c>
      <c r="X22" s="5">
        <v>22411</v>
      </c>
      <c r="Y22" s="4"/>
      <c r="Z22" s="5">
        <v>0</v>
      </c>
      <c r="AA22" s="8">
        <v>0.96388888888888891</v>
      </c>
      <c r="AB22" s="5">
        <v>3</v>
      </c>
      <c r="AC22" s="1" t="s">
        <v>41</v>
      </c>
      <c r="AD22" s="9" t="str">
        <f t="shared" si="0"/>
        <v>Actual</v>
      </c>
      <c r="AE22" s="9" t="str">
        <f t="shared" si="1"/>
        <v>TMK7</v>
      </c>
      <c r="AF22" s="9">
        <f>HOUR(O22)</f>
        <v>23</v>
      </c>
      <c r="AG22" s="9">
        <f>DAY(O22)</f>
        <v>18</v>
      </c>
      <c r="AH22" s="9">
        <f>IFERROR((I22-K22)*24*60,0)</f>
        <v>1.000000003259629</v>
      </c>
      <c r="AI22" s="9">
        <f t="shared" si="2"/>
        <v>1.000000003259629</v>
      </c>
      <c r="AJ22" s="9">
        <f>C22</f>
        <v>910</v>
      </c>
      <c r="AK22" s="9">
        <f>IF(P22="completed",((V22-K22)*24*60),0)</f>
        <v>4.0000000025611371</v>
      </c>
      <c r="AL22" s="9">
        <f>IF(P22="completed",((U22-K22)*24*60),0)</f>
        <v>4.9999999953433871</v>
      </c>
      <c r="AM22" s="9" t="str">
        <f t="shared" si="3"/>
        <v>OTP Achieved</v>
      </c>
      <c r="AN22" s="9" t="str">
        <f t="shared" si="4"/>
        <v>OTP Achieved</v>
      </c>
      <c r="AO22" s="9"/>
    </row>
    <row r="23" spans="1:41" ht="16">
      <c r="A23" s="3" t="s">
        <v>82</v>
      </c>
      <c r="B23" s="6">
        <v>46313.963888888888</v>
      </c>
      <c r="C23" s="5">
        <v>2106</v>
      </c>
      <c r="D23" s="1" t="s">
        <v>41</v>
      </c>
      <c r="E23" s="5">
        <v>4</v>
      </c>
      <c r="F23" s="1" t="s">
        <v>41</v>
      </c>
      <c r="G23" s="1" t="s">
        <v>41</v>
      </c>
      <c r="H23" s="1" t="s">
        <v>133</v>
      </c>
      <c r="I23" s="6">
        <v>46313.965277777781</v>
      </c>
      <c r="J23" s="1" t="s">
        <v>41</v>
      </c>
      <c r="K23" s="6">
        <v>46313.964583333334</v>
      </c>
      <c r="L23" s="5">
        <v>20</v>
      </c>
      <c r="M23" s="4"/>
      <c r="N23" s="1"/>
      <c r="O23" s="6">
        <v>46313.963888888888</v>
      </c>
      <c r="P23" s="1" t="s">
        <v>43</v>
      </c>
      <c r="Q23" s="1" t="s">
        <v>84</v>
      </c>
      <c r="R23" s="1" t="s">
        <v>134</v>
      </c>
      <c r="S23" s="5">
        <v>4247</v>
      </c>
      <c r="T23" s="1" t="s">
        <v>41</v>
      </c>
      <c r="U23" s="6">
        <v>46313.970138888886</v>
      </c>
      <c r="V23" s="4">
        <v>46313.968055555553</v>
      </c>
      <c r="W23" s="7" t="s">
        <v>135</v>
      </c>
      <c r="X23" s="5">
        <v>22411</v>
      </c>
      <c r="Y23" s="4"/>
      <c r="Z23" s="5">
        <v>0</v>
      </c>
      <c r="AA23" s="8">
        <v>0.96388888888888891</v>
      </c>
      <c r="AB23" s="5">
        <v>4</v>
      </c>
      <c r="AC23" s="1" t="s">
        <v>41</v>
      </c>
      <c r="AD23" s="9" t="str">
        <f t="shared" si="0"/>
        <v>Actual</v>
      </c>
      <c r="AE23" s="9" t="str">
        <f t="shared" si="1"/>
        <v>TMK7</v>
      </c>
      <c r="AF23" s="9">
        <f>HOUR(O23)</f>
        <v>23</v>
      </c>
      <c r="AG23" s="9">
        <f>DAY(O23)</f>
        <v>18</v>
      </c>
      <c r="AH23" s="9">
        <f>IFERROR((I23-K23)*24*60,0)</f>
        <v>1.000000003259629</v>
      </c>
      <c r="AI23" s="9">
        <f t="shared" si="2"/>
        <v>1.000000003259629</v>
      </c>
      <c r="AJ23" s="9">
        <f>C23</f>
        <v>2106</v>
      </c>
      <c r="AK23" s="9">
        <f>IF(P23="completed",((V23-K23)*24*60),0)</f>
        <v>4.9999999953433871</v>
      </c>
      <c r="AL23" s="9">
        <f>IF(P23="completed",((U23-K23)*24*60),0)</f>
        <v>7.9999999946448952</v>
      </c>
      <c r="AM23" s="9" t="str">
        <f t="shared" si="3"/>
        <v>OTP Achieved</v>
      </c>
      <c r="AN23" s="9" t="str">
        <f t="shared" si="4"/>
        <v>OTP Achieved</v>
      </c>
      <c r="AO23" s="9"/>
    </row>
    <row r="24" spans="1:41" ht="16">
      <c r="A24" s="3" t="s">
        <v>67</v>
      </c>
      <c r="B24" s="6">
        <v>46313.961805555555</v>
      </c>
      <c r="C24" s="5">
        <v>2723</v>
      </c>
      <c r="D24" s="1" t="s">
        <v>41</v>
      </c>
      <c r="E24" s="5">
        <v>9</v>
      </c>
      <c r="F24" s="1" t="s">
        <v>41</v>
      </c>
      <c r="G24" s="1" t="s">
        <v>41</v>
      </c>
      <c r="H24" s="1" t="s">
        <v>136</v>
      </c>
      <c r="I24" s="6">
        <v>46313.964583333334</v>
      </c>
      <c r="J24" s="1" t="s">
        <v>41</v>
      </c>
      <c r="K24" s="6">
        <v>46313.963888888888</v>
      </c>
      <c r="L24" s="5">
        <v>29</v>
      </c>
      <c r="M24" s="4"/>
      <c r="N24" s="1"/>
      <c r="O24" s="6">
        <v>46313.961111111108</v>
      </c>
      <c r="P24" s="1" t="s">
        <v>43</v>
      </c>
      <c r="Q24" s="1" t="s">
        <v>69</v>
      </c>
      <c r="R24" s="1" t="s">
        <v>137</v>
      </c>
      <c r="S24" s="5">
        <v>4247</v>
      </c>
      <c r="T24" s="1" t="s">
        <v>41</v>
      </c>
      <c r="U24" s="6">
        <v>46313.97152777778</v>
      </c>
      <c r="V24" s="4">
        <v>46313.970138888886</v>
      </c>
      <c r="W24" s="7" t="s">
        <v>138</v>
      </c>
      <c r="X24" s="5">
        <v>22411</v>
      </c>
      <c r="Y24" s="4"/>
      <c r="Z24" s="5">
        <v>0</v>
      </c>
      <c r="AA24" s="8">
        <v>0.96180555555555558</v>
      </c>
      <c r="AB24" s="5">
        <v>8</v>
      </c>
      <c r="AC24" s="1" t="s">
        <v>41</v>
      </c>
      <c r="AD24" s="9" t="str">
        <f t="shared" si="0"/>
        <v>Actual</v>
      </c>
      <c r="AE24" s="9" t="str">
        <f t="shared" si="1"/>
        <v>TMK7</v>
      </c>
      <c r="AF24" s="9">
        <f>HOUR(O24)</f>
        <v>23</v>
      </c>
      <c r="AG24" s="9">
        <f>DAY(O24)</f>
        <v>18</v>
      </c>
      <c r="AH24" s="9">
        <f>IFERROR((I24-K24)*24*60,0)</f>
        <v>1.000000003259629</v>
      </c>
      <c r="AI24" s="9">
        <f t="shared" si="2"/>
        <v>1.000000003259629</v>
      </c>
      <c r="AJ24" s="9">
        <f>C24</f>
        <v>2723</v>
      </c>
      <c r="AK24" s="9">
        <f>IF(P24="completed",((V24-K24)*24*60),0)</f>
        <v>8.9999999979045242</v>
      </c>
      <c r="AL24" s="9">
        <f>IF(P24="completed",((U24-K24)*24*60),0)</f>
        <v>11.000000004423782</v>
      </c>
      <c r="AM24" s="9" t="str">
        <f t="shared" si="3"/>
        <v>OTP Achieved</v>
      </c>
      <c r="AN24" s="9" t="str">
        <f t="shared" si="4"/>
        <v>OTP Achieved</v>
      </c>
      <c r="AO24" s="9"/>
    </row>
    <row r="25" spans="1:41" ht="16">
      <c r="A25" s="3" t="s">
        <v>47</v>
      </c>
      <c r="B25" s="6">
        <v>46313.961111111108</v>
      </c>
      <c r="C25" s="5">
        <v>2501</v>
      </c>
      <c r="D25" s="1" t="s">
        <v>41</v>
      </c>
      <c r="E25" s="5">
        <v>6</v>
      </c>
      <c r="F25" s="1" t="s">
        <v>41</v>
      </c>
      <c r="G25" s="1" t="s">
        <v>41</v>
      </c>
      <c r="H25" s="1" t="s">
        <v>139</v>
      </c>
      <c r="I25" s="6">
        <v>46313.962500000001</v>
      </c>
      <c r="J25" s="1" t="s">
        <v>41</v>
      </c>
      <c r="K25" s="6">
        <v>46313.961805555555</v>
      </c>
      <c r="L25" s="5">
        <v>22</v>
      </c>
      <c r="M25" s="4"/>
      <c r="N25" s="1"/>
      <c r="O25" s="6">
        <v>46313.961111111108</v>
      </c>
      <c r="P25" s="1" t="s">
        <v>43</v>
      </c>
      <c r="Q25" s="1" t="s">
        <v>49</v>
      </c>
      <c r="R25" s="1" t="s">
        <v>140</v>
      </c>
      <c r="S25" s="5">
        <v>4247</v>
      </c>
      <c r="T25" s="1" t="s">
        <v>41</v>
      </c>
      <c r="U25" s="6">
        <v>46313.968055555553</v>
      </c>
      <c r="V25" s="4">
        <v>46313.96597222222</v>
      </c>
      <c r="W25" s="7" t="s">
        <v>141</v>
      </c>
      <c r="X25" s="5">
        <v>22411</v>
      </c>
      <c r="Y25" s="4"/>
      <c r="Z25" s="5">
        <v>0</v>
      </c>
      <c r="AA25" s="8">
        <v>0.96111111111111114</v>
      </c>
      <c r="AB25" s="5">
        <v>5</v>
      </c>
      <c r="AC25" s="1" t="s">
        <v>41</v>
      </c>
      <c r="AD25" s="9" t="str">
        <f t="shared" si="0"/>
        <v>Actual</v>
      </c>
      <c r="AE25" s="9" t="str">
        <f t="shared" si="1"/>
        <v>TMK7</v>
      </c>
      <c r="AF25" s="9">
        <f>HOUR(O25)</f>
        <v>23</v>
      </c>
      <c r="AG25" s="9">
        <f>DAY(O25)</f>
        <v>18</v>
      </c>
      <c r="AH25" s="9">
        <f>IFERROR((I25-K25)*24*60,0)</f>
        <v>1.000000003259629</v>
      </c>
      <c r="AI25" s="9">
        <f t="shared" si="2"/>
        <v>1.000000003259629</v>
      </c>
      <c r="AJ25" s="9">
        <f>C25</f>
        <v>2501</v>
      </c>
      <c r="AK25" s="9">
        <f>IF(P25="completed",((V25-K25)*24*60),0)</f>
        <v>5.9999999986030161</v>
      </c>
      <c r="AL25" s="9">
        <f>IF(P25="completed",((U25-K25)*24*60),0)</f>
        <v>8.9999999979045242</v>
      </c>
      <c r="AM25" s="9" t="str">
        <f t="shared" si="3"/>
        <v>OTP Achieved</v>
      </c>
      <c r="AN25" s="9" t="str">
        <f t="shared" si="4"/>
        <v>OTP Achieved</v>
      </c>
      <c r="AO25" s="9"/>
    </row>
    <row r="26" spans="1:41" ht="16">
      <c r="A26" s="3" t="s">
        <v>93</v>
      </c>
      <c r="B26" s="6">
        <v>46313.961111111108</v>
      </c>
      <c r="C26" s="5">
        <v>2344</v>
      </c>
      <c r="D26" s="1" t="s">
        <v>41</v>
      </c>
      <c r="E26" s="5">
        <v>8</v>
      </c>
      <c r="F26" s="1" t="s">
        <v>41</v>
      </c>
      <c r="G26" s="1" t="s">
        <v>41</v>
      </c>
      <c r="H26" s="1" t="s">
        <v>142</v>
      </c>
      <c r="I26" s="6">
        <v>46313.962500000001</v>
      </c>
      <c r="J26" s="1" t="s">
        <v>41</v>
      </c>
      <c r="K26" s="6">
        <v>46313.961805555555</v>
      </c>
      <c r="L26" s="5">
        <v>47</v>
      </c>
      <c r="M26" s="4"/>
      <c r="N26" s="1"/>
      <c r="O26" s="6">
        <v>46313.960416666669</v>
      </c>
      <c r="P26" s="1" t="s">
        <v>43</v>
      </c>
      <c r="Q26" s="1" t="s">
        <v>95</v>
      </c>
      <c r="R26" s="1" t="s">
        <v>143</v>
      </c>
      <c r="S26" s="5">
        <v>4247</v>
      </c>
      <c r="T26" s="1" t="s">
        <v>41</v>
      </c>
      <c r="U26" s="6">
        <v>46313.969444444447</v>
      </c>
      <c r="V26" s="6">
        <v>46313.967361111114</v>
      </c>
      <c r="W26" s="7" t="s">
        <v>144</v>
      </c>
      <c r="X26" s="5">
        <v>22411</v>
      </c>
      <c r="Y26" s="4"/>
      <c r="Z26" s="5">
        <v>0</v>
      </c>
      <c r="AA26" s="8">
        <v>0.96111111111111114</v>
      </c>
      <c r="AB26" s="5">
        <v>7</v>
      </c>
      <c r="AC26" s="1" t="s">
        <v>41</v>
      </c>
      <c r="AD26" s="9" t="str">
        <f t="shared" si="0"/>
        <v>Actual</v>
      </c>
      <c r="AE26" s="9" t="str">
        <f t="shared" si="1"/>
        <v>TMK7</v>
      </c>
      <c r="AF26" s="9">
        <f>HOUR(O26)</f>
        <v>23</v>
      </c>
      <c r="AG26" s="9">
        <f>DAY(O26)</f>
        <v>18</v>
      </c>
      <c r="AH26" s="9">
        <f>IFERROR((I26-K26)*24*60,0)</f>
        <v>1.000000003259629</v>
      </c>
      <c r="AI26" s="9">
        <f t="shared" si="2"/>
        <v>1.000000003259629</v>
      </c>
      <c r="AJ26" s="9">
        <f>C26</f>
        <v>2344</v>
      </c>
      <c r="AK26" s="9">
        <f>IF(P26="completed",((V26-K26)*24*60),0)</f>
        <v>8.0000000051222742</v>
      </c>
      <c r="AL26" s="9">
        <f>IF(P26="completed",((U26-K26)*24*60),0)</f>
        <v>11.000000004423782</v>
      </c>
      <c r="AM26" s="9" t="str">
        <f t="shared" si="3"/>
        <v>OTP Achieved</v>
      </c>
      <c r="AN26" s="9" t="str">
        <f t="shared" si="4"/>
        <v>OTP Achieved</v>
      </c>
      <c r="AO26" s="9"/>
    </row>
    <row r="27" spans="1:41" ht="16">
      <c r="A27" s="3" t="s">
        <v>52</v>
      </c>
      <c r="B27" s="6">
        <v>46313.959027777775</v>
      </c>
      <c r="C27" s="5">
        <v>3745</v>
      </c>
      <c r="D27" s="1" t="s">
        <v>41</v>
      </c>
      <c r="E27" s="5">
        <v>10</v>
      </c>
      <c r="F27" s="1" t="s">
        <v>41</v>
      </c>
      <c r="G27" s="1" t="s">
        <v>41</v>
      </c>
      <c r="H27" s="1" t="s">
        <v>145</v>
      </c>
      <c r="I27" s="6">
        <v>46313.959722222222</v>
      </c>
      <c r="J27" s="1" t="s">
        <v>41</v>
      </c>
      <c r="K27" s="6">
        <v>46313.959027777775</v>
      </c>
      <c r="L27" s="5">
        <v>33</v>
      </c>
      <c r="M27" s="4"/>
      <c r="N27" s="1"/>
      <c r="O27" s="6">
        <v>46313.959027777775</v>
      </c>
      <c r="P27" s="1" t="s">
        <v>43</v>
      </c>
      <c r="Q27" s="1" t="s">
        <v>54</v>
      </c>
      <c r="R27" s="1" t="s">
        <v>146</v>
      </c>
      <c r="S27" s="5">
        <v>4247</v>
      </c>
      <c r="T27" s="1" t="s">
        <v>41</v>
      </c>
      <c r="U27" s="6">
        <v>46313.96875</v>
      </c>
      <c r="V27" s="6">
        <v>46313.96597222222</v>
      </c>
      <c r="W27" s="7" t="s">
        <v>147</v>
      </c>
      <c r="X27" s="5">
        <v>22411</v>
      </c>
      <c r="Y27" s="4"/>
      <c r="Z27" s="5">
        <v>0</v>
      </c>
      <c r="AA27" s="8">
        <v>0.95902777777777781</v>
      </c>
      <c r="AB27" s="5">
        <v>9</v>
      </c>
      <c r="AC27" s="1" t="s">
        <v>41</v>
      </c>
      <c r="AD27" s="9" t="str">
        <f t="shared" si="0"/>
        <v>Actual</v>
      </c>
      <c r="AE27" s="9" t="str">
        <f t="shared" si="1"/>
        <v>TMK7</v>
      </c>
      <c r="AF27" s="9">
        <f>HOUR(O27)</f>
        <v>23</v>
      </c>
      <c r="AG27" s="9">
        <f>DAY(O27)</f>
        <v>18</v>
      </c>
      <c r="AH27" s="9">
        <f>IFERROR((I27-K27)*24*60,0)</f>
        <v>1.000000003259629</v>
      </c>
      <c r="AI27" s="9">
        <f t="shared" si="2"/>
        <v>1.000000003259629</v>
      </c>
      <c r="AJ27" s="9">
        <f>C27</f>
        <v>3745</v>
      </c>
      <c r="AK27" s="9">
        <f>IF(P27="completed",((V27-K27)*24*60),0)</f>
        <v>10.000000001164153</v>
      </c>
      <c r="AL27" s="9">
        <f>IF(P27="completed",((U27-K27)*24*60),0)</f>
        <v>14.00000000372529</v>
      </c>
      <c r="AM27" s="9" t="str">
        <f t="shared" si="3"/>
        <v>OTP Achieved</v>
      </c>
      <c r="AN27" s="9" t="str">
        <f t="shared" si="4"/>
        <v>OTP Achieved</v>
      </c>
      <c r="AO27" s="9"/>
    </row>
    <row r="28" spans="1:41" ht="16">
      <c r="A28" s="11" t="s">
        <v>98</v>
      </c>
      <c r="B28" s="6">
        <v>46313.957638888889</v>
      </c>
      <c r="C28" s="5">
        <v>1327</v>
      </c>
      <c r="D28" s="1" t="s">
        <v>41</v>
      </c>
      <c r="E28" s="1">
        <v>5</v>
      </c>
      <c r="F28" s="1" t="s">
        <v>41</v>
      </c>
      <c r="G28" s="1" t="s">
        <v>41</v>
      </c>
      <c r="H28" s="1" t="s">
        <v>148</v>
      </c>
      <c r="I28" s="4">
        <v>46313.962500000001</v>
      </c>
      <c r="J28" s="1" t="s">
        <v>41</v>
      </c>
      <c r="K28" s="4">
        <v>46313.962500000001</v>
      </c>
      <c r="L28" s="1">
        <v>29</v>
      </c>
      <c r="M28" s="4"/>
      <c r="N28" s="1"/>
      <c r="O28" s="6">
        <v>46313.957638888889</v>
      </c>
      <c r="P28" s="1" t="s">
        <v>43</v>
      </c>
      <c r="Q28" s="1" t="s">
        <v>100</v>
      </c>
      <c r="R28" s="1" t="s">
        <v>149</v>
      </c>
      <c r="S28" s="5">
        <v>4247</v>
      </c>
      <c r="T28" s="1" t="s">
        <v>41</v>
      </c>
      <c r="U28" s="6">
        <v>46313.968055555553</v>
      </c>
      <c r="V28" s="4">
        <v>46313.96597222222</v>
      </c>
      <c r="W28" s="7" t="s">
        <v>150</v>
      </c>
      <c r="X28" s="5">
        <v>22411</v>
      </c>
      <c r="Y28" s="4"/>
      <c r="Z28" s="5">
        <v>0</v>
      </c>
      <c r="AA28" s="8">
        <v>0.95763888888888893</v>
      </c>
      <c r="AB28" s="1">
        <v>5</v>
      </c>
      <c r="AC28" s="1" t="s">
        <v>41</v>
      </c>
      <c r="AD28" s="9" t="str">
        <f t="shared" si="0"/>
        <v>Actual</v>
      </c>
      <c r="AE28" s="9" t="str">
        <f t="shared" si="1"/>
        <v>TMK7</v>
      </c>
      <c r="AF28" s="9">
        <f>HOUR(O28)</f>
        <v>22</v>
      </c>
      <c r="AG28" s="9">
        <f>DAY(O28)</f>
        <v>18</v>
      </c>
      <c r="AH28" s="9">
        <f>IFERROR((I28-K28)*24*60,0)</f>
        <v>0</v>
      </c>
      <c r="AI28" s="9">
        <f t="shared" si="2"/>
        <v>0</v>
      </c>
      <c r="AJ28" s="9">
        <f>C28</f>
        <v>1327</v>
      </c>
      <c r="AK28" s="9">
        <f>IF(P28="completed",((V28-K28)*24*60),0)</f>
        <v>4.9999999953433871</v>
      </c>
      <c r="AL28" s="9">
        <f>IF(P28="completed",((U28-K28)*24*60),0)</f>
        <v>7.9999999946448952</v>
      </c>
      <c r="AM28" s="9" t="str">
        <f t="shared" si="3"/>
        <v>OTP Achieved</v>
      </c>
      <c r="AN28" s="9" t="str">
        <f t="shared" si="4"/>
        <v>OTP Achieved</v>
      </c>
      <c r="AO28" s="9"/>
    </row>
    <row r="29" spans="1:41" ht="16">
      <c r="A29" s="3" t="s">
        <v>72</v>
      </c>
      <c r="B29" s="6">
        <v>46313.956944444442</v>
      </c>
      <c r="C29" s="5">
        <v>521</v>
      </c>
      <c r="D29" s="1" t="s">
        <v>41</v>
      </c>
      <c r="E29" s="5">
        <v>3</v>
      </c>
      <c r="F29" s="1" t="s">
        <v>41</v>
      </c>
      <c r="G29" s="1" t="s">
        <v>41</v>
      </c>
      <c r="H29" s="1" t="s">
        <v>151</v>
      </c>
      <c r="I29" s="6">
        <v>46313.957638888889</v>
      </c>
      <c r="J29" s="1" t="s">
        <v>41</v>
      </c>
      <c r="K29" s="6">
        <v>46313.957638888889</v>
      </c>
      <c r="L29" s="5">
        <v>27</v>
      </c>
      <c r="M29" s="4"/>
      <c r="N29" s="1"/>
      <c r="O29" s="6">
        <v>46313.956944444442</v>
      </c>
      <c r="P29" s="1" t="s">
        <v>43</v>
      </c>
      <c r="Q29" s="1" t="s">
        <v>74</v>
      </c>
      <c r="R29" s="1" t="s">
        <v>152</v>
      </c>
      <c r="S29" s="5">
        <v>4247</v>
      </c>
      <c r="T29" s="1" t="s">
        <v>41</v>
      </c>
      <c r="U29" s="6">
        <v>46313.959722222222</v>
      </c>
      <c r="V29" s="6">
        <v>46313.959722222222</v>
      </c>
      <c r="W29" s="7" t="s">
        <v>153</v>
      </c>
      <c r="X29" s="5">
        <v>22411</v>
      </c>
      <c r="Y29" s="4"/>
      <c r="Z29" s="5">
        <v>0</v>
      </c>
      <c r="AA29" s="8">
        <v>0.95694444444444449</v>
      </c>
      <c r="AB29" s="5">
        <v>3</v>
      </c>
      <c r="AC29" s="1" t="s">
        <v>41</v>
      </c>
      <c r="AD29" s="9" t="str">
        <f t="shared" si="0"/>
        <v>Actual</v>
      </c>
      <c r="AE29" s="9" t="str">
        <f t="shared" si="1"/>
        <v>TMK7</v>
      </c>
      <c r="AF29" s="9">
        <f>HOUR(O29)</f>
        <v>22</v>
      </c>
      <c r="AG29" s="9">
        <f>DAY(O29)</f>
        <v>18</v>
      </c>
      <c r="AH29" s="9">
        <f>IFERROR((I29-K29)*24*60,0)</f>
        <v>0</v>
      </c>
      <c r="AI29" s="9">
        <f t="shared" si="2"/>
        <v>0</v>
      </c>
      <c r="AJ29" s="9">
        <f>C29</f>
        <v>521</v>
      </c>
      <c r="AK29" s="9">
        <f>IF(P29="completed",((V29-K29)*24*60),0)</f>
        <v>2.9999999993015081</v>
      </c>
      <c r="AL29" s="9">
        <f>IF(P29="completed",((U29-K29)*24*60),0)</f>
        <v>2.9999999993015081</v>
      </c>
      <c r="AM29" s="9" t="str">
        <f t="shared" si="3"/>
        <v>OTP Breached</v>
      </c>
      <c r="AN29" s="9" t="str">
        <f t="shared" si="4"/>
        <v>OTP Achieved</v>
      </c>
      <c r="AO29" s="9"/>
    </row>
    <row r="30" spans="1:41" ht="16">
      <c r="A30" s="3" t="s">
        <v>106</v>
      </c>
      <c r="B30" s="6">
        <v>46313.95416666667</v>
      </c>
      <c r="C30" s="5">
        <v>2146</v>
      </c>
      <c r="D30" s="1" t="s">
        <v>41</v>
      </c>
      <c r="E30" s="5">
        <v>7</v>
      </c>
      <c r="F30" s="1" t="s">
        <v>41</v>
      </c>
      <c r="G30" s="1" t="s">
        <v>41</v>
      </c>
      <c r="H30" s="1" t="s">
        <v>154</v>
      </c>
      <c r="I30" s="6">
        <v>46313.955555555556</v>
      </c>
      <c r="J30" s="1" t="s">
        <v>41</v>
      </c>
      <c r="K30" s="6">
        <v>46313.954861111109</v>
      </c>
      <c r="L30" s="5">
        <v>33</v>
      </c>
      <c r="M30" s="4"/>
      <c r="N30" s="1"/>
      <c r="O30" s="6">
        <v>46313.95416666667</v>
      </c>
      <c r="P30" s="1" t="s">
        <v>43</v>
      </c>
      <c r="Q30" s="1" t="s">
        <v>108</v>
      </c>
      <c r="R30" s="1" t="s">
        <v>155</v>
      </c>
      <c r="S30" s="5">
        <v>4247</v>
      </c>
      <c r="T30" s="1" t="s">
        <v>41</v>
      </c>
      <c r="U30" s="6">
        <v>46313.961805555555</v>
      </c>
      <c r="V30" s="6">
        <v>46313.959722222222</v>
      </c>
      <c r="W30" s="7" t="s">
        <v>156</v>
      </c>
      <c r="X30" s="5">
        <v>22411</v>
      </c>
      <c r="Y30" s="4"/>
      <c r="Z30" s="5">
        <v>0</v>
      </c>
      <c r="AA30" s="8">
        <v>0.95416666666666672</v>
      </c>
      <c r="AB30" s="5">
        <v>7</v>
      </c>
      <c r="AC30" s="1" t="s">
        <v>41</v>
      </c>
      <c r="AD30" s="9" t="str">
        <f t="shared" si="0"/>
        <v>Actual</v>
      </c>
      <c r="AE30" s="9" t="str">
        <f t="shared" si="1"/>
        <v>TMK7</v>
      </c>
      <c r="AF30" s="9">
        <f>HOUR(O30)</f>
        <v>22</v>
      </c>
      <c r="AG30" s="9">
        <f>DAY(O30)</f>
        <v>18</v>
      </c>
      <c r="AH30" s="9">
        <f>IFERROR((I30-K30)*24*60,0)</f>
        <v>1.000000003259629</v>
      </c>
      <c r="AI30" s="9">
        <f t="shared" si="2"/>
        <v>1.000000003259629</v>
      </c>
      <c r="AJ30" s="9">
        <f>C30</f>
        <v>2146</v>
      </c>
      <c r="AK30" s="9">
        <f>IF(P30="completed",((V30-K30)*24*60),0)</f>
        <v>7.0000000018626451</v>
      </c>
      <c r="AL30" s="9">
        <f>IF(P30="completed",((U30-K30)*24*60),0)</f>
        <v>10.000000001164153</v>
      </c>
      <c r="AM30" s="9" t="str">
        <f t="shared" si="3"/>
        <v>OTP Achieved</v>
      </c>
      <c r="AN30" s="9" t="str">
        <f t="shared" si="4"/>
        <v>OTP Achieved</v>
      </c>
      <c r="AO30" s="9"/>
    </row>
    <row r="31" spans="1:41" ht="16">
      <c r="A31" s="3" t="s">
        <v>157</v>
      </c>
      <c r="B31" s="6">
        <v>46313.953472222223</v>
      </c>
      <c r="C31" s="5">
        <v>1223</v>
      </c>
      <c r="D31" s="1" t="s">
        <v>41</v>
      </c>
      <c r="E31" s="5">
        <v>3</v>
      </c>
      <c r="F31" s="1" t="s">
        <v>41</v>
      </c>
      <c r="G31" s="1" t="s">
        <v>41</v>
      </c>
      <c r="H31" s="1" t="s">
        <v>158</v>
      </c>
      <c r="I31" s="6">
        <v>46313.95416666667</v>
      </c>
      <c r="J31" s="1" t="s">
        <v>41</v>
      </c>
      <c r="K31" s="6">
        <v>46313.953472222223</v>
      </c>
      <c r="L31" s="5">
        <v>25</v>
      </c>
      <c r="M31" s="4"/>
      <c r="N31" s="1"/>
      <c r="O31" s="6">
        <v>46313.953472222223</v>
      </c>
      <c r="P31" s="1" t="s">
        <v>43</v>
      </c>
      <c r="Q31" s="1" t="s">
        <v>159</v>
      </c>
      <c r="R31" s="1" t="s">
        <v>160</v>
      </c>
      <c r="S31" s="5">
        <v>4247</v>
      </c>
      <c r="T31" s="1" t="s">
        <v>41</v>
      </c>
      <c r="U31" s="6">
        <v>46313.956944444442</v>
      </c>
      <c r="V31" s="4">
        <v>46313.955555555556</v>
      </c>
      <c r="W31" s="7" t="s">
        <v>161</v>
      </c>
      <c r="X31" s="5">
        <v>22411</v>
      </c>
      <c r="Y31" s="1"/>
      <c r="Z31" s="5">
        <v>0</v>
      </c>
      <c r="AA31" s="8">
        <v>0.95347222222222228</v>
      </c>
      <c r="AB31" s="5">
        <v>3</v>
      </c>
      <c r="AC31" s="1" t="s">
        <v>41</v>
      </c>
      <c r="AD31" s="9" t="str">
        <f t="shared" si="0"/>
        <v>Actual</v>
      </c>
      <c r="AE31" s="9" t="str">
        <f t="shared" si="1"/>
        <v>TMK7</v>
      </c>
      <c r="AF31" s="9">
        <f>HOUR(O31)</f>
        <v>22</v>
      </c>
      <c r="AG31" s="9">
        <f>DAY(O31)</f>
        <v>18</v>
      </c>
      <c r="AH31" s="9">
        <f>IFERROR((I31-K31)*24*60,0)</f>
        <v>1.000000003259629</v>
      </c>
      <c r="AI31" s="9">
        <f t="shared" si="2"/>
        <v>1.000000003259629</v>
      </c>
      <c r="AJ31" s="9">
        <f>C31</f>
        <v>1223</v>
      </c>
      <c r="AK31" s="9">
        <f>IF(P31="completed",((V31-K31)*24*60),0)</f>
        <v>2.9999999993015081</v>
      </c>
      <c r="AL31" s="9">
        <f>IF(P31="completed",((U31-K31)*24*60),0)</f>
        <v>4.9999999953433871</v>
      </c>
      <c r="AM31" s="9" t="str">
        <f t="shared" si="3"/>
        <v>OTP Achieved</v>
      </c>
      <c r="AN31" s="9" t="str">
        <f t="shared" si="4"/>
        <v>OTP Achieved</v>
      </c>
      <c r="AO31" s="9"/>
    </row>
    <row r="32" spans="1:41" ht="16">
      <c r="A32" s="3" t="s">
        <v>125</v>
      </c>
      <c r="B32" s="6">
        <v>46313.946527777778</v>
      </c>
      <c r="C32" s="5">
        <v>457</v>
      </c>
      <c r="D32" s="1" t="s">
        <v>41</v>
      </c>
      <c r="E32" s="5">
        <v>2</v>
      </c>
      <c r="F32" s="1" t="s">
        <v>41</v>
      </c>
      <c r="G32" s="1" t="s">
        <v>41</v>
      </c>
      <c r="H32" s="1" t="s">
        <v>162</v>
      </c>
      <c r="I32" s="6">
        <v>46313.947222222225</v>
      </c>
      <c r="J32" s="1" t="s">
        <v>41</v>
      </c>
      <c r="K32" s="6">
        <v>46313.947222222225</v>
      </c>
      <c r="L32" s="5">
        <v>15</v>
      </c>
      <c r="M32" s="4"/>
      <c r="N32" s="1"/>
      <c r="O32" s="6">
        <v>46313.946527777778</v>
      </c>
      <c r="P32" s="1" t="s">
        <v>43</v>
      </c>
      <c r="Q32" s="1" t="s">
        <v>127</v>
      </c>
      <c r="R32" s="1" t="s">
        <v>163</v>
      </c>
      <c r="S32" s="5">
        <v>4247</v>
      </c>
      <c r="T32" s="1" t="s">
        <v>41</v>
      </c>
      <c r="U32" s="6">
        <v>46313.949305555558</v>
      </c>
      <c r="V32" s="6">
        <v>46313.948611111111</v>
      </c>
      <c r="W32" s="7" t="s">
        <v>164</v>
      </c>
      <c r="X32" s="5">
        <v>22411</v>
      </c>
      <c r="Y32" s="4"/>
      <c r="Z32" s="5">
        <v>0</v>
      </c>
      <c r="AA32" s="8">
        <v>0.94652777777777775</v>
      </c>
      <c r="AB32" s="5">
        <v>2</v>
      </c>
      <c r="AC32" s="1" t="s">
        <v>41</v>
      </c>
      <c r="AD32" s="9" t="str">
        <f t="shared" si="0"/>
        <v>Actual</v>
      </c>
      <c r="AE32" s="9" t="str">
        <f t="shared" si="1"/>
        <v>TMK7</v>
      </c>
      <c r="AF32" s="9">
        <f>HOUR(O32)</f>
        <v>22</v>
      </c>
      <c r="AG32" s="9">
        <f>DAY(O32)</f>
        <v>18</v>
      </c>
      <c r="AH32" s="9">
        <f>IFERROR((I32-K32)*24*60,0)</f>
        <v>0</v>
      </c>
      <c r="AI32" s="9">
        <f t="shared" si="2"/>
        <v>0</v>
      </c>
      <c r="AJ32" s="9">
        <f>C32</f>
        <v>457</v>
      </c>
      <c r="AK32" s="9">
        <f>IF(P32="completed",((V32-K32)*24*60),0)</f>
        <v>1.9999999960418791</v>
      </c>
      <c r="AL32" s="9">
        <f>IF(P32="completed",((U32-K32)*24*60),0)</f>
        <v>2.9999999993015081</v>
      </c>
      <c r="AM32" s="9" t="str">
        <f t="shared" si="3"/>
        <v>OTP Achieved</v>
      </c>
      <c r="AN32" s="9" t="str">
        <f t="shared" si="4"/>
        <v>OTP Achieved</v>
      </c>
      <c r="AO32" s="9"/>
    </row>
    <row r="33" spans="1:41" ht="16">
      <c r="A33" s="3" t="s">
        <v>117</v>
      </c>
      <c r="B33" s="6">
        <v>46313.945833333331</v>
      </c>
      <c r="C33" s="5">
        <v>1434</v>
      </c>
      <c r="D33" s="1" t="s">
        <v>41</v>
      </c>
      <c r="E33" s="5">
        <v>4</v>
      </c>
      <c r="F33" s="1" t="s">
        <v>41</v>
      </c>
      <c r="G33" s="1" t="s">
        <v>41</v>
      </c>
      <c r="H33" s="1" t="s">
        <v>165</v>
      </c>
      <c r="I33" s="6">
        <v>46313.947222222225</v>
      </c>
      <c r="J33" s="1" t="s">
        <v>41</v>
      </c>
      <c r="K33" s="6">
        <v>46313.946527777778</v>
      </c>
      <c r="L33" s="5">
        <v>24</v>
      </c>
      <c r="M33" s="4"/>
      <c r="N33" s="1"/>
      <c r="O33" s="6">
        <v>46313.945833333331</v>
      </c>
      <c r="P33" s="1" t="s">
        <v>43</v>
      </c>
      <c r="Q33" s="1" t="s">
        <v>119</v>
      </c>
      <c r="R33" s="1" t="s">
        <v>166</v>
      </c>
      <c r="S33" s="5">
        <v>4247</v>
      </c>
      <c r="T33" s="1" t="s">
        <v>41</v>
      </c>
      <c r="U33" s="6">
        <v>46313.950694444444</v>
      </c>
      <c r="V33" s="6">
        <v>46313.95</v>
      </c>
      <c r="W33" s="7" t="s">
        <v>167</v>
      </c>
      <c r="X33" s="5">
        <v>22411</v>
      </c>
      <c r="Y33" s="4"/>
      <c r="Z33" s="5">
        <v>0</v>
      </c>
      <c r="AA33" s="8">
        <v>0.9458333333333333</v>
      </c>
      <c r="AB33" s="5">
        <v>4</v>
      </c>
      <c r="AC33" s="1" t="s">
        <v>41</v>
      </c>
      <c r="AD33" s="9" t="str">
        <f t="shared" si="0"/>
        <v>Actual</v>
      </c>
      <c r="AE33" s="9" t="str">
        <f t="shared" si="1"/>
        <v>TMK7</v>
      </c>
      <c r="AF33" s="9">
        <f>HOUR(O33)</f>
        <v>22</v>
      </c>
      <c r="AG33" s="9">
        <f>DAY(O33)</f>
        <v>18</v>
      </c>
      <c r="AH33" s="9">
        <f>IFERROR((I33-K33)*24*60,0)</f>
        <v>1.000000003259629</v>
      </c>
      <c r="AI33" s="9">
        <f t="shared" si="2"/>
        <v>1.000000003259629</v>
      </c>
      <c r="AJ33" s="9">
        <f>C33</f>
        <v>1434</v>
      </c>
      <c r="AK33" s="9">
        <f>IF(P33="completed",((V33-K33)*24*60),0)</f>
        <v>4.9999999953433871</v>
      </c>
      <c r="AL33" s="9">
        <f>IF(P33="completed",((U33-K33)*24*60),0)</f>
        <v>5.9999999986030161</v>
      </c>
      <c r="AM33" s="9" t="str">
        <f t="shared" si="3"/>
        <v>OTP Achieved</v>
      </c>
      <c r="AN33" s="9" t="str">
        <f t="shared" si="4"/>
        <v>OTP Achieved</v>
      </c>
      <c r="AO33" s="9"/>
    </row>
    <row r="34" spans="1:41" ht="16">
      <c r="A34" s="3" t="s">
        <v>57</v>
      </c>
      <c r="B34" s="6">
        <v>46313.945833333331</v>
      </c>
      <c r="C34" s="5">
        <v>2803</v>
      </c>
      <c r="D34" s="1" t="s">
        <v>41</v>
      </c>
      <c r="E34" s="5">
        <v>9</v>
      </c>
      <c r="F34" s="1" t="s">
        <v>41</v>
      </c>
      <c r="G34" s="1" t="s">
        <v>41</v>
      </c>
      <c r="H34" s="1" t="s">
        <v>168</v>
      </c>
      <c r="I34" s="6">
        <v>46313.947916666664</v>
      </c>
      <c r="J34" s="1" t="s">
        <v>41</v>
      </c>
      <c r="K34" s="6">
        <v>46313.947916666664</v>
      </c>
      <c r="L34" s="5">
        <v>22</v>
      </c>
      <c r="M34" s="4"/>
      <c r="N34" s="1"/>
      <c r="O34" s="6">
        <v>46313.945833333331</v>
      </c>
      <c r="P34" s="1" t="s">
        <v>43</v>
      </c>
      <c r="Q34" s="1" t="s">
        <v>59</v>
      </c>
      <c r="R34" s="1" t="s">
        <v>169</v>
      </c>
      <c r="S34" s="5">
        <v>4247</v>
      </c>
      <c r="T34" s="1" t="s">
        <v>41</v>
      </c>
      <c r="U34" s="6">
        <v>46313.955555555556</v>
      </c>
      <c r="V34" s="6">
        <v>46313.95416666667</v>
      </c>
      <c r="W34" s="7" t="s">
        <v>170</v>
      </c>
      <c r="X34" s="5">
        <v>22411</v>
      </c>
      <c r="Y34" s="4"/>
      <c r="Z34" s="5">
        <v>0</v>
      </c>
      <c r="AA34" s="8">
        <v>0.9458333333333333</v>
      </c>
      <c r="AB34" s="5">
        <v>9</v>
      </c>
      <c r="AC34" s="1" t="s">
        <v>41</v>
      </c>
      <c r="AD34" s="9" t="str">
        <f t="shared" si="0"/>
        <v>Actual</v>
      </c>
      <c r="AE34" s="9" t="str">
        <f t="shared" si="1"/>
        <v>TMK7</v>
      </c>
      <c r="AF34" s="9">
        <f>HOUR(O34)</f>
        <v>22</v>
      </c>
      <c r="AG34" s="9">
        <f>DAY(O34)</f>
        <v>18</v>
      </c>
      <c r="AH34" s="9">
        <f>IFERROR((I34-K34)*24*60,0)</f>
        <v>0</v>
      </c>
      <c r="AI34" s="9">
        <f t="shared" si="2"/>
        <v>0</v>
      </c>
      <c r="AJ34" s="9">
        <f>C34</f>
        <v>2803</v>
      </c>
      <c r="AK34" s="9">
        <f>IF(P34="completed",((V34-K34)*24*60),0)</f>
        <v>9.0000000083819032</v>
      </c>
      <c r="AL34" s="9">
        <f>IF(P34="completed",((U34-K34)*24*60),0)</f>
        <v>11.000000004423782</v>
      </c>
      <c r="AM34" s="9" t="str">
        <f t="shared" si="3"/>
        <v>OTP Achieved</v>
      </c>
      <c r="AN34" s="9" t="str">
        <f t="shared" si="4"/>
        <v>OTP Achieved</v>
      </c>
      <c r="AO34" s="9"/>
    </row>
    <row r="35" spans="1:41" ht="16">
      <c r="A35" s="3" t="s">
        <v>98</v>
      </c>
      <c r="B35" s="6">
        <v>46313.944444444445</v>
      </c>
      <c r="C35" s="5">
        <v>365</v>
      </c>
      <c r="D35" s="1" t="s">
        <v>41</v>
      </c>
      <c r="E35" s="5">
        <v>2</v>
      </c>
      <c r="F35" s="1" t="s">
        <v>41</v>
      </c>
      <c r="G35" s="1" t="s">
        <v>41</v>
      </c>
      <c r="H35" s="1" t="s">
        <v>171</v>
      </c>
      <c r="I35" s="6">
        <v>46313.945138888892</v>
      </c>
      <c r="J35" s="1" t="s">
        <v>41</v>
      </c>
      <c r="K35" s="6">
        <v>46313.945138888892</v>
      </c>
      <c r="L35" s="5">
        <v>26</v>
      </c>
      <c r="M35" s="4"/>
      <c r="N35" s="1"/>
      <c r="O35" s="6">
        <v>46313.944444444445</v>
      </c>
      <c r="P35" s="1" t="s">
        <v>43</v>
      </c>
      <c r="Q35" s="1" t="s">
        <v>100</v>
      </c>
      <c r="R35" s="1" t="s">
        <v>172</v>
      </c>
      <c r="S35" s="5">
        <v>4247</v>
      </c>
      <c r="T35" s="1" t="s">
        <v>41</v>
      </c>
      <c r="U35" s="6">
        <v>46313.947222222225</v>
      </c>
      <c r="V35" s="6">
        <v>46313.946527777778</v>
      </c>
      <c r="W35" s="7" t="s">
        <v>173</v>
      </c>
      <c r="X35" s="5">
        <v>22411</v>
      </c>
      <c r="Y35" s="4"/>
      <c r="Z35" s="5">
        <v>0</v>
      </c>
      <c r="AA35" s="8">
        <v>0.94444444444444442</v>
      </c>
      <c r="AB35" s="5">
        <v>1</v>
      </c>
      <c r="AC35" s="1" t="s">
        <v>41</v>
      </c>
      <c r="AD35" s="9" t="str">
        <f t="shared" si="0"/>
        <v>Actual</v>
      </c>
      <c r="AE35" s="9" t="str">
        <f t="shared" si="1"/>
        <v>TMK7</v>
      </c>
      <c r="AF35" s="9">
        <f>HOUR(O35)</f>
        <v>22</v>
      </c>
      <c r="AG35" s="9">
        <f>DAY(O35)</f>
        <v>18</v>
      </c>
      <c r="AH35" s="9">
        <f>IFERROR((I35-K35)*24*60,0)</f>
        <v>0</v>
      </c>
      <c r="AI35" s="9">
        <f t="shared" si="2"/>
        <v>0</v>
      </c>
      <c r="AJ35" s="9">
        <f>C35</f>
        <v>365</v>
      </c>
      <c r="AK35" s="9">
        <f>IF(P35="completed",((V35-K35)*24*60),0)</f>
        <v>1.9999999960418791</v>
      </c>
      <c r="AL35" s="9">
        <f>IF(P35="completed",((U35-K35)*24*60),0)</f>
        <v>2.9999999993015081</v>
      </c>
      <c r="AM35" s="9" t="str">
        <f t="shared" si="3"/>
        <v>OTP Achieved</v>
      </c>
      <c r="AN35" s="9" t="str">
        <f t="shared" si="4"/>
        <v>OTP Achieved</v>
      </c>
      <c r="AO35" s="9"/>
    </row>
    <row r="36" spans="1:41" ht="16">
      <c r="A36" s="3" t="s">
        <v>47</v>
      </c>
      <c r="B36" s="6">
        <v>46313.943749999999</v>
      </c>
      <c r="C36" s="5">
        <v>1433</v>
      </c>
      <c r="D36" s="1" t="s">
        <v>41</v>
      </c>
      <c r="E36" s="5">
        <v>4</v>
      </c>
      <c r="F36" s="1" t="s">
        <v>41</v>
      </c>
      <c r="G36" s="1" t="s">
        <v>41</v>
      </c>
      <c r="H36" s="1" t="s">
        <v>174</v>
      </c>
      <c r="I36" s="6">
        <v>46313.943749999999</v>
      </c>
      <c r="J36" s="1" t="s">
        <v>41</v>
      </c>
      <c r="K36" s="6">
        <v>46313.943749999999</v>
      </c>
      <c r="L36" s="5">
        <v>18</v>
      </c>
      <c r="M36" s="4"/>
      <c r="N36" s="1"/>
      <c r="O36" s="6">
        <v>46313.943055555559</v>
      </c>
      <c r="P36" s="1" t="s">
        <v>43</v>
      </c>
      <c r="Q36" s="1" t="s">
        <v>49</v>
      </c>
      <c r="R36" s="1" t="s">
        <v>175</v>
      </c>
      <c r="S36" s="5">
        <v>4247</v>
      </c>
      <c r="T36" s="1" t="s">
        <v>41</v>
      </c>
      <c r="U36" s="6">
        <v>46313.948611111111</v>
      </c>
      <c r="V36" s="6">
        <v>46313.946527777778</v>
      </c>
      <c r="W36" s="7" t="s">
        <v>176</v>
      </c>
      <c r="X36" s="5">
        <v>22411</v>
      </c>
      <c r="Y36" s="4"/>
      <c r="Z36" s="5">
        <v>0</v>
      </c>
      <c r="AA36" s="8">
        <v>0.94374999999999998</v>
      </c>
      <c r="AB36" s="5">
        <v>3</v>
      </c>
      <c r="AC36" s="1" t="s">
        <v>41</v>
      </c>
      <c r="AD36" s="9" t="str">
        <f t="shared" si="0"/>
        <v>Actual</v>
      </c>
      <c r="AE36" s="9" t="str">
        <f t="shared" si="1"/>
        <v>TMK7</v>
      </c>
      <c r="AF36" s="9">
        <f>HOUR(O36)</f>
        <v>22</v>
      </c>
      <c r="AG36" s="9">
        <f>DAY(O36)</f>
        <v>18</v>
      </c>
      <c r="AH36" s="9">
        <f>IFERROR((I36-K36)*24*60,0)</f>
        <v>0</v>
      </c>
      <c r="AI36" s="9">
        <f t="shared" si="2"/>
        <v>0</v>
      </c>
      <c r="AJ36" s="9">
        <f>C36</f>
        <v>1433</v>
      </c>
      <c r="AK36" s="9">
        <f>IF(P36="completed",((V36-K36)*24*60),0)</f>
        <v>4.0000000025611371</v>
      </c>
      <c r="AL36" s="9">
        <f>IF(P36="completed",((U36-K36)*24*60),0)</f>
        <v>7.0000000018626451</v>
      </c>
      <c r="AM36" s="9" t="str">
        <f t="shared" si="3"/>
        <v>OTP Achieved</v>
      </c>
      <c r="AN36" s="9" t="str">
        <f t="shared" si="4"/>
        <v>OTP Achieved</v>
      </c>
      <c r="AO36" s="9"/>
    </row>
    <row r="37" spans="1:41" ht="16">
      <c r="A37" s="3" t="s">
        <v>177</v>
      </c>
      <c r="B37" s="6">
        <v>46313.943749999999</v>
      </c>
      <c r="C37" s="5">
        <v>2146</v>
      </c>
      <c r="D37" s="1" t="s">
        <v>41</v>
      </c>
      <c r="E37" s="5">
        <v>7</v>
      </c>
      <c r="F37" s="1" t="s">
        <v>41</v>
      </c>
      <c r="G37" s="1" t="s">
        <v>41</v>
      </c>
      <c r="H37" s="1" t="s">
        <v>178</v>
      </c>
      <c r="I37" s="6">
        <v>46313.944444444445</v>
      </c>
      <c r="J37" s="1" t="s">
        <v>41</v>
      </c>
      <c r="K37" s="6">
        <v>46313.943749999999</v>
      </c>
      <c r="L37" s="5">
        <v>45</v>
      </c>
      <c r="M37" s="4"/>
      <c r="N37" s="1"/>
      <c r="O37" s="6">
        <v>46313.943055555559</v>
      </c>
      <c r="P37" s="1" t="s">
        <v>43</v>
      </c>
      <c r="Q37" s="1" t="s">
        <v>179</v>
      </c>
      <c r="R37" s="1" t="s">
        <v>180</v>
      </c>
      <c r="S37" s="5">
        <v>4247</v>
      </c>
      <c r="T37" s="1" t="s">
        <v>41</v>
      </c>
      <c r="U37" s="6">
        <v>46313.950694444444</v>
      </c>
      <c r="V37" s="6">
        <v>46313.949305555558</v>
      </c>
      <c r="W37" s="7" t="s">
        <v>181</v>
      </c>
      <c r="X37" s="5">
        <v>22411</v>
      </c>
      <c r="Y37" s="4"/>
      <c r="Z37" s="5">
        <v>0</v>
      </c>
      <c r="AA37" s="8">
        <v>0.94374999999999998</v>
      </c>
      <c r="AB37" s="5">
        <v>7</v>
      </c>
      <c r="AC37" s="1" t="s">
        <v>41</v>
      </c>
      <c r="AD37" s="9" t="str">
        <f t="shared" si="0"/>
        <v>Actual</v>
      </c>
      <c r="AE37" s="9" t="str">
        <f t="shared" si="1"/>
        <v>TMK7</v>
      </c>
      <c r="AF37" s="9">
        <f>HOUR(O37)</f>
        <v>22</v>
      </c>
      <c r="AG37" s="9">
        <f>DAY(O37)</f>
        <v>18</v>
      </c>
      <c r="AH37" s="9">
        <f>IFERROR((I37-K37)*24*60,0)</f>
        <v>1.000000003259629</v>
      </c>
      <c r="AI37" s="9">
        <f t="shared" si="2"/>
        <v>1.000000003259629</v>
      </c>
      <c r="AJ37" s="9">
        <f>C37</f>
        <v>2146</v>
      </c>
      <c r="AK37" s="9">
        <f>IF(P37="completed",((V37-K37)*24*60),0)</f>
        <v>8.0000000051222742</v>
      </c>
      <c r="AL37" s="9">
        <f>IF(P37="completed",((U37-K37)*24*60),0)</f>
        <v>10.000000001164153</v>
      </c>
      <c r="AM37" s="9" t="str">
        <f t="shared" si="3"/>
        <v>OTP Achieved</v>
      </c>
      <c r="AN37" s="9" t="str">
        <f t="shared" si="4"/>
        <v>OTP Achieved</v>
      </c>
      <c r="AO37" s="9"/>
    </row>
    <row r="38" spans="1:41" ht="16">
      <c r="A38" s="3" t="s">
        <v>77</v>
      </c>
      <c r="B38" s="6">
        <v>46313.943055555559</v>
      </c>
      <c r="C38" s="5">
        <v>3042</v>
      </c>
      <c r="D38" s="1" t="s">
        <v>41</v>
      </c>
      <c r="E38" s="5">
        <v>8</v>
      </c>
      <c r="F38" s="1" t="s">
        <v>41</v>
      </c>
      <c r="G38" s="1" t="s">
        <v>41</v>
      </c>
      <c r="H38" s="1" t="s">
        <v>182</v>
      </c>
      <c r="I38" s="6">
        <v>46313.945138888892</v>
      </c>
      <c r="J38" s="1" t="s">
        <v>41</v>
      </c>
      <c r="K38" s="6">
        <v>46313.945138888892</v>
      </c>
      <c r="L38" s="5">
        <v>28</v>
      </c>
      <c r="M38" s="4"/>
      <c r="N38" s="1"/>
      <c r="O38" s="6">
        <v>46313.943055555559</v>
      </c>
      <c r="P38" s="1" t="s">
        <v>43</v>
      </c>
      <c r="Q38" s="1" t="s">
        <v>79</v>
      </c>
      <c r="R38" s="1" t="s">
        <v>183</v>
      </c>
      <c r="S38" s="5">
        <v>4247</v>
      </c>
      <c r="T38" s="1" t="s">
        <v>41</v>
      </c>
      <c r="U38" s="6">
        <v>46313.952777777777</v>
      </c>
      <c r="V38" s="6">
        <v>46313.95</v>
      </c>
      <c r="W38" s="7" t="s">
        <v>184</v>
      </c>
      <c r="X38" s="5">
        <v>22411</v>
      </c>
      <c r="Y38" s="4"/>
      <c r="Z38" s="5">
        <v>0</v>
      </c>
      <c r="AA38" s="8">
        <v>0.94305555555555554</v>
      </c>
      <c r="AB38" s="5">
        <v>7</v>
      </c>
      <c r="AC38" s="1" t="s">
        <v>41</v>
      </c>
      <c r="AD38" s="9" t="str">
        <f t="shared" si="0"/>
        <v>Actual</v>
      </c>
      <c r="AE38" s="9" t="str">
        <f t="shared" si="1"/>
        <v>TMK7</v>
      </c>
      <c r="AF38" s="9">
        <f>HOUR(O38)</f>
        <v>22</v>
      </c>
      <c r="AG38" s="9">
        <f>DAY(O38)</f>
        <v>18</v>
      </c>
      <c r="AH38" s="9">
        <f>IFERROR((I38-K38)*24*60,0)</f>
        <v>0</v>
      </c>
      <c r="AI38" s="9">
        <f t="shared" si="2"/>
        <v>0</v>
      </c>
      <c r="AJ38" s="9">
        <f>C38</f>
        <v>3042</v>
      </c>
      <c r="AK38" s="9">
        <f>IF(P38="completed",((V38-K38)*24*60),0)</f>
        <v>6.9999999913852662</v>
      </c>
      <c r="AL38" s="9">
        <f>IF(P38="completed",((U38-K38)*24*60),0)</f>
        <v>10.999999993946403</v>
      </c>
      <c r="AM38" s="9" t="str">
        <f t="shared" si="3"/>
        <v>OTP Achieved</v>
      </c>
      <c r="AN38" s="9" t="str">
        <f t="shared" si="4"/>
        <v>OTP Achieved</v>
      </c>
      <c r="AO38" s="9"/>
    </row>
    <row r="39" spans="1:41" ht="16">
      <c r="A39" s="3" t="s">
        <v>185</v>
      </c>
      <c r="B39" s="6">
        <v>46313.942361111112</v>
      </c>
      <c r="C39" s="5">
        <v>1238</v>
      </c>
      <c r="D39" s="1" t="s">
        <v>41</v>
      </c>
      <c r="E39" s="5">
        <v>6</v>
      </c>
      <c r="F39" s="1" t="s">
        <v>41</v>
      </c>
      <c r="G39" s="1" t="s">
        <v>41</v>
      </c>
      <c r="H39" s="1" t="s">
        <v>186</v>
      </c>
      <c r="I39" s="6">
        <v>46313.943055555559</v>
      </c>
      <c r="J39" s="1" t="s">
        <v>41</v>
      </c>
      <c r="K39" s="6">
        <v>46313.943055555559</v>
      </c>
      <c r="L39" s="5">
        <v>23</v>
      </c>
      <c r="M39" s="4"/>
      <c r="N39" s="1"/>
      <c r="O39" s="6">
        <v>46313.942361111112</v>
      </c>
      <c r="P39" s="1" t="s">
        <v>43</v>
      </c>
      <c r="Q39" s="1" t="s">
        <v>187</v>
      </c>
      <c r="R39" s="1" t="s">
        <v>188</v>
      </c>
      <c r="S39" s="5">
        <v>4247</v>
      </c>
      <c r="T39" s="1" t="s">
        <v>41</v>
      </c>
      <c r="U39" s="6">
        <v>46313.946527777778</v>
      </c>
      <c r="V39" s="6">
        <v>46313.947222222225</v>
      </c>
      <c r="W39" s="7" t="s">
        <v>189</v>
      </c>
      <c r="X39" s="5">
        <v>22411</v>
      </c>
      <c r="Y39" s="4"/>
      <c r="Z39" s="5">
        <v>0</v>
      </c>
      <c r="AA39" s="8">
        <v>0.94236111111111109</v>
      </c>
      <c r="AB39" s="5">
        <v>6</v>
      </c>
      <c r="AC39" s="1" t="s">
        <v>41</v>
      </c>
      <c r="AD39" s="9" t="str">
        <f t="shared" si="0"/>
        <v>Actual</v>
      </c>
      <c r="AE39" s="9" t="str">
        <f t="shared" si="1"/>
        <v>TMK7</v>
      </c>
      <c r="AF39" s="9">
        <f>HOUR(O39)</f>
        <v>22</v>
      </c>
      <c r="AG39" s="9">
        <f>DAY(O39)</f>
        <v>18</v>
      </c>
      <c r="AH39" s="9">
        <f>IFERROR((I39-K39)*24*60,0)</f>
        <v>0</v>
      </c>
      <c r="AI39" s="9">
        <f t="shared" si="2"/>
        <v>0</v>
      </c>
      <c r="AJ39" s="9">
        <f>C39</f>
        <v>1238</v>
      </c>
      <c r="AK39" s="9">
        <f>IF(P39="completed",((V39-K39)*24*60),0)</f>
        <v>5.9999999986030161</v>
      </c>
      <c r="AL39" s="9">
        <f>IF(P39="completed",((U39-K39)*24*60),0)</f>
        <v>4.9999999953433871</v>
      </c>
      <c r="AM39" s="9" t="str">
        <f t="shared" si="3"/>
        <v>OTP Breached</v>
      </c>
      <c r="AN39" s="9" t="str">
        <f t="shared" si="4"/>
        <v>OTP Achieved</v>
      </c>
      <c r="AO39" s="9"/>
    </row>
    <row r="40" spans="1:41" ht="16">
      <c r="A40" s="3" t="s">
        <v>190</v>
      </c>
      <c r="B40" s="6">
        <v>46313.941666666666</v>
      </c>
      <c r="C40" s="5">
        <v>2326</v>
      </c>
      <c r="D40" s="1" t="s">
        <v>41</v>
      </c>
      <c r="E40" s="5">
        <v>8</v>
      </c>
      <c r="F40" s="1" t="s">
        <v>41</v>
      </c>
      <c r="G40" s="1" t="s">
        <v>41</v>
      </c>
      <c r="H40" s="1" t="s">
        <v>191</v>
      </c>
      <c r="I40" s="6">
        <v>46313.942361111112</v>
      </c>
      <c r="J40" s="1" t="s">
        <v>41</v>
      </c>
      <c r="K40" s="6">
        <v>46313.942361111112</v>
      </c>
      <c r="L40" s="5">
        <v>21</v>
      </c>
      <c r="M40" s="4"/>
      <c r="N40" s="1"/>
      <c r="O40" s="6">
        <v>46313.940972222219</v>
      </c>
      <c r="P40" s="1" t="s">
        <v>43</v>
      </c>
      <c r="Q40" s="1" t="s">
        <v>192</v>
      </c>
      <c r="R40" s="1" t="s">
        <v>193</v>
      </c>
      <c r="S40" s="5">
        <v>4247</v>
      </c>
      <c r="T40" s="1" t="s">
        <v>41</v>
      </c>
      <c r="U40" s="6">
        <v>46313.949305555558</v>
      </c>
      <c r="V40" s="6">
        <v>46313.947222222225</v>
      </c>
      <c r="W40" s="7" t="s">
        <v>194</v>
      </c>
      <c r="X40" s="5">
        <v>22411</v>
      </c>
      <c r="Y40" s="4"/>
      <c r="Z40" s="5">
        <v>0</v>
      </c>
      <c r="AA40" s="8">
        <v>0.94166666666666665</v>
      </c>
      <c r="AB40" s="5">
        <v>7</v>
      </c>
      <c r="AC40" s="1" t="s">
        <v>41</v>
      </c>
      <c r="AD40" s="9" t="str">
        <f t="shared" si="0"/>
        <v>Actual</v>
      </c>
      <c r="AE40" s="9" t="str">
        <f t="shared" si="1"/>
        <v>TMK7</v>
      </c>
      <c r="AF40" s="9">
        <f>HOUR(O40)</f>
        <v>22</v>
      </c>
      <c r="AG40" s="9">
        <f>DAY(O40)</f>
        <v>18</v>
      </c>
      <c r="AH40" s="9">
        <f>IFERROR((I40-K40)*24*60,0)</f>
        <v>0</v>
      </c>
      <c r="AI40" s="9">
        <f t="shared" si="2"/>
        <v>0</v>
      </c>
      <c r="AJ40" s="9">
        <f>C40</f>
        <v>2326</v>
      </c>
      <c r="AK40" s="9">
        <f>IF(P40="completed",((V40-K40)*24*60),0)</f>
        <v>7.0000000018626451</v>
      </c>
      <c r="AL40" s="9">
        <f>IF(P40="completed",((U40-K40)*24*60),0)</f>
        <v>10.000000001164153</v>
      </c>
      <c r="AM40" s="9" t="str">
        <f t="shared" si="3"/>
        <v>OTP Achieved</v>
      </c>
      <c r="AN40" s="9" t="str">
        <f t="shared" si="4"/>
        <v>OTP Achieved</v>
      </c>
      <c r="AO40" s="9"/>
    </row>
    <row r="41" spans="1:41" ht="16">
      <c r="A41" s="3" t="s">
        <v>93</v>
      </c>
      <c r="B41" s="6">
        <v>46313.940972222219</v>
      </c>
      <c r="C41" s="5">
        <v>2653</v>
      </c>
      <c r="D41" s="1" t="s">
        <v>41</v>
      </c>
      <c r="E41" s="5">
        <v>6</v>
      </c>
      <c r="F41" s="1" t="s">
        <v>41</v>
      </c>
      <c r="G41" s="1" t="s">
        <v>41</v>
      </c>
      <c r="H41" s="1" t="s">
        <v>195</v>
      </c>
      <c r="I41" s="6">
        <v>46313.942361111112</v>
      </c>
      <c r="J41" s="1" t="s">
        <v>41</v>
      </c>
      <c r="K41" s="6">
        <v>46313.941666666666</v>
      </c>
      <c r="L41" s="5">
        <v>29</v>
      </c>
      <c r="M41" s="4"/>
      <c r="N41" s="1"/>
      <c r="O41" s="6">
        <v>46313.940972222219</v>
      </c>
      <c r="P41" s="1" t="s">
        <v>43</v>
      </c>
      <c r="Q41" s="1" t="s">
        <v>95</v>
      </c>
      <c r="R41" s="1" t="s">
        <v>196</v>
      </c>
      <c r="S41" s="5">
        <v>4247</v>
      </c>
      <c r="T41" s="1" t="s">
        <v>41</v>
      </c>
      <c r="U41" s="6">
        <v>46313.947916666664</v>
      </c>
      <c r="V41" s="6">
        <v>46313.946527777778</v>
      </c>
      <c r="W41" s="7" t="s">
        <v>197</v>
      </c>
      <c r="X41" s="5">
        <v>22411</v>
      </c>
      <c r="Y41" s="4"/>
      <c r="Z41" s="5">
        <v>0</v>
      </c>
      <c r="AA41" s="8">
        <v>0.94097222222222221</v>
      </c>
      <c r="AB41" s="5">
        <v>6</v>
      </c>
      <c r="AC41" s="1" t="s">
        <v>41</v>
      </c>
      <c r="AD41" s="9" t="str">
        <f t="shared" si="0"/>
        <v>Actual</v>
      </c>
      <c r="AE41" s="9" t="str">
        <f t="shared" si="1"/>
        <v>TMK7</v>
      </c>
      <c r="AF41" s="9">
        <f>HOUR(O41)</f>
        <v>22</v>
      </c>
      <c r="AG41" s="9">
        <f>DAY(O41)</f>
        <v>18</v>
      </c>
      <c r="AH41" s="9">
        <f>IFERROR((I41-K41)*24*60,0)</f>
        <v>1.000000003259629</v>
      </c>
      <c r="AI41" s="9">
        <f t="shared" si="2"/>
        <v>1.000000003259629</v>
      </c>
      <c r="AJ41" s="9">
        <f>C41</f>
        <v>2653</v>
      </c>
      <c r="AK41" s="9">
        <f>IF(P41="completed",((V41-K41)*24*60),0)</f>
        <v>7.0000000018626451</v>
      </c>
      <c r="AL41" s="9">
        <f>IF(P41="completed",((U41-K41)*24*60),0)</f>
        <v>8.9999999979045242</v>
      </c>
      <c r="AM41" s="9" t="str">
        <f t="shared" si="3"/>
        <v>OTP Achieved</v>
      </c>
      <c r="AN41" s="9" t="str">
        <f t="shared" si="4"/>
        <v>OTP Achieved</v>
      </c>
      <c r="AO41" s="9"/>
    </row>
    <row r="42" spans="1:41" ht="16">
      <c r="A42" s="3" t="s">
        <v>198</v>
      </c>
      <c r="B42" s="6">
        <v>46313.940972222219</v>
      </c>
      <c r="C42" s="5">
        <v>1462</v>
      </c>
      <c r="D42" s="1" t="s">
        <v>41</v>
      </c>
      <c r="E42" s="5">
        <v>6</v>
      </c>
      <c r="F42" s="1" t="s">
        <v>41</v>
      </c>
      <c r="G42" s="1" t="s">
        <v>41</v>
      </c>
      <c r="H42" s="1" t="s">
        <v>199</v>
      </c>
      <c r="I42" s="6">
        <v>46313.943055555559</v>
      </c>
      <c r="J42" s="1" t="s">
        <v>41</v>
      </c>
      <c r="K42" s="6">
        <v>46313.942361111112</v>
      </c>
      <c r="L42" s="5">
        <v>23</v>
      </c>
      <c r="M42" s="4"/>
      <c r="N42" s="1"/>
      <c r="O42" s="6">
        <v>46313.940972222219</v>
      </c>
      <c r="P42" s="1" t="s">
        <v>43</v>
      </c>
      <c r="Q42" s="1" t="s">
        <v>200</v>
      </c>
      <c r="R42" s="1" t="s">
        <v>201</v>
      </c>
      <c r="S42" s="5">
        <v>4247</v>
      </c>
      <c r="T42" s="1" t="s">
        <v>41</v>
      </c>
      <c r="U42" s="6">
        <v>46313.947222222225</v>
      </c>
      <c r="V42" s="6">
        <v>46313.946527777778</v>
      </c>
      <c r="W42" s="7" t="s">
        <v>202</v>
      </c>
      <c r="X42" s="5">
        <v>22411</v>
      </c>
      <c r="Y42" s="4"/>
      <c r="Z42" s="5">
        <v>0</v>
      </c>
      <c r="AA42" s="8">
        <v>0.94097222222222221</v>
      </c>
      <c r="AB42" s="5">
        <v>5</v>
      </c>
      <c r="AC42" s="1" t="s">
        <v>41</v>
      </c>
      <c r="AD42" s="9" t="str">
        <f t="shared" si="0"/>
        <v>Actual</v>
      </c>
      <c r="AE42" s="9" t="str">
        <f t="shared" si="1"/>
        <v>TMK7</v>
      </c>
      <c r="AF42" s="9">
        <f>HOUR(O42)</f>
        <v>22</v>
      </c>
      <c r="AG42" s="9">
        <f>DAY(O42)</f>
        <v>18</v>
      </c>
      <c r="AH42" s="9">
        <f>IFERROR((I42-K42)*24*60,0)</f>
        <v>1.000000003259629</v>
      </c>
      <c r="AI42" s="9">
        <f t="shared" si="2"/>
        <v>1.000000003259629</v>
      </c>
      <c r="AJ42" s="9">
        <f>C42</f>
        <v>1462</v>
      </c>
      <c r="AK42" s="9">
        <f>IF(P42="completed",((V42-K42)*24*60),0)</f>
        <v>5.9999999986030161</v>
      </c>
      <c r="AL42" s="9">
        <f>IF(P42="completed",((U42-K42)*24*60),0)</f>
        <v>7.0000000018626451</v>
      </c>
      <c r="AM42" s="9" t="str">
        <f t="shared" si="3"/>
        <v>OTP Achieved</v>
      </c>
      <c r="AN42" s="9" t="str">
        <f t="shared" si="4"/>
        <v>OTP Achieved</v>
      </c>
      <c r="AO42" s="9"/>
    </row>
    <row r="43" spans="1:41" ht="16">
      <c r="A43" s="3" t="s">
        <v>52</v>
      </c>
      <c r="B43" s="6">
        <v>46313.939583333333</v>
      </c>
      <c r="C43" s="5">
        <v>2036</v>
      </c>
      <c r="D43" s="1" t="s">
        <v>41</v>
      </c>
      <c r="E43" s="5">
        <v>5</v>
      </c>
      <c r="F43" s="1" t="s">
        <v>41</v>
      </c>
      <c r="G43" s="1" t="s">
        <v>41</v>
      </c>
      <c r="H43" s="1" t="s">
        <v>203</v>
      </c>
      <c r="I43" s="6">
        <v>46313.940972222219</v>
      </c>
      <c r="J43" s="1" t="s">
        <v>41</v>
      </c>
      <c r="K43" s="6">
        <v>46313.94027777778</v>
      </c>
      <c r="L43" s="5">
        <v>55</v>
      </c>
      <c r="M43" s="4"/>
      <c r="N43" s="1"/>
      <c r="O43" s="6">
        <v>46313.939583333333</v>
      </c>
      <c r="P43" s="1" t="s">
        <v>43</v>
      </c>
      <c r="Q43" s="1" t="s">
        <v>54</v>
      </c>
      <c r="R43" s="1" t="s">
        <v>204</v>
      </c>
      <c r="S43" s="5">
        <v>4247</v>
      </c>
      <c r="T43" s="1" t="s">
        <v>41</v>
      </c>
      <c r="U43" s="6">
        <v>46313.947222222225</v>
      </c>
      <c r="V43" s="6">
        <v>46313.943749999999</v>
      </c>
      <c r="W43" s="7" t="s">
        <v>205</v>
      </c>
      <c r="X43" s="5">
        <v>22411</v>
      </c>
      <c r="Y43" s="4"/>
      <c r="Z43" s="5">
        <v>0</v>
      </c>
      <c r="AA43" s="8">
        <v>0.93958333333333333</v>
      </c>
      <c r="AB43" s="5">
        <v>4</v>
      </c>
      <c r="AC43" s="1" t="s">
        <v>41</v>
      </c>
      <c r="AD43" s="9" t="str">
        <f t="shared" si="0"/>
        <v>Actual</v>
      </c>
      <c r="AE43" s="9" t="str">
        <f t="shared" si="1"/>
        <v>TMK7</v>
      </c>
      <c r="AF43" s="9">
        <f>HOUR(O43)</f>
        <v>22</v>
      </c>
      <c r="AG43" s="9">
        <f>DAY(O43)</f>
        <v>18</v>
      </c>
      <c r="AH43" s="9">
        <f>IFERROR((I43-K43)*24*60,0)</f>
        <v>0.99999999278225005</v>
      </c>
      <c r="AI43" s="9">
        <f t="shared" si="2"/>
        <v>0.99999999278225005</v>
      </c>
      <c r="AJ43" s="9">
        <f>C43</f>
        <v>2036</v>
      </c>
      <c r="AK43" s="9">
        <f>IF(P43="completed",((V43-K43)*24*60),0)</f>
        <v>4.9999999953433871</v>
      </c>
      <c r="AL43" s="9">
        <f>IF(P43="completed",((U43-K43)*24*60),0)</f>
        <v>10.000000001164153</v>
      </c>
      <c r="AM43" s="9" t="str">
        <f t="shared" si="3"/>
        <v>OTP Achieved</v>
      </c>
      <c r="AN43" s="9" t="str">
        <f t="shared" si="4"/>
        <v>OTP Achieved</v>
      </c>
      <c r="AO43" s="9"/>
    </row>
    <row r="44" spans="1:41" ht="16">
      <c r="A44" s="3" t="s">
        <v>62</v>
      </c>
      <c r="B44" s="6">
        <v>46313.936805555553</v>
      </c>
      <c r="C44" s="5">
        <v>3143</v>
      </c>
      <c r="D44" s="1" t="s">
        <v>41</v>
      </c>
      <c r="E44" s="5">
        <v>9</v>
      </c>
      <c r="F44" s="1" t="s">
        <v>41</v>
      </c>
      <c r="G44" s="1" t="s">
        <v>41</v>
      </c>
      <c r="H44" s="1" t="s">
        <v>206</v>
      </c>
      <c r="I44" s="6">
        <v>46313.9375</v>
      </c>
      <c r="J44" s="1" t="s">
        <v>41</v>
      </c>
      <c r="K44" s="6">
        <v>46313.9375</v>
      </c>
      <c r="L44" s="5">
        <v>23</v>
      </c>
      <c r="M44" s="4"/>
      <c r="N44" s="1"/>
      <c r="O44" s="6">
        <v>46313.936111111114</v>
      </c>
      <c r="P44" s="1" t="s">
        <v>43</v>
      </c>
      <c r="Q44" s="1" t="s">
        <v>64</v>
      </c>
      <c r="R44" s="1" t="s">
        <v>207</v>
      </c>
      <c r="S44" s="5">
        <v>4247</v>
      </c>
      <c r="T44" s="1" t="s">
        <v>41</v>
      </c>
      <c r="U44" s="6">
        <v>46313.945833333331</v>
      </c>
      <c r="V44" s="6">
        <v>46313.943749999999</v>
      </c>
      <c r="W44" s="7" t="s">
        <v>208</v>
      </c>
      <c r="X44" s="5">
        <v>22411</v>
      </c>
      <c r="Y44" s="4"/>
      <c r="Z44" s="5">
        <v>0</v>
      </c>
      <c r="AA44" s="8">
        <v>0.93680555555555556</v>
      </c>
      <c r="AB44" s="5">
        <v>9</v>
      </c>
      <c r="AC44" s="1" t="s">
        <v>41</v>
      </c>
      <c r="AD44" s="9" t="str">
        <f t="shared" si="0"/>
        <v>Actual</v>
      </c>
      <c r="AE44" s="9" t="str">
        <f t="shared" si="1"/>
        <v>TMK7</v>
      </c>
      <c r="AF44" s="9">
        <f>HOUR(O44)</f>
        <v>22</v>
      </c>
      <c r="AG44" s="9">
        <f>DAY(O44)</f>
        <v>18</v>
      </c>
      <c r="AH44" s="9">
        <f>IFERROR((I44-K44)*24*60,0)</f>
        <v>0</v>
      </c>
      <c r="AI44" s="9">
        <f t="shared" si="2"/>
        <v>0</v>
      </c>
      <c r="AJ44" s="9">
        <f>C44</f>
        <v>3143</v>
      </c>
      <c r="AK44" s="9">
        <f>IF(P44="completed",((V44-K44)*24*60),0)</f>
        <v>8.9999999979045242</v>
      </c>
      <c r="AL44" s="9">
        <f>IF(P44="completed",((U44-K44)*24*60),0)</f>
        <v>11.999999997206032</v>
      </c>
      <c r="AM44" s="9" t="str">
        <f t="shared" si="3"/>
        <v>OTP Achieved</v>
      </c>
      <c r="AN44" s="9" t="str">
        <f t="shared" si="4"/>
        <v>OTP Achieved</v>
      </c>
      <c r="AO44" s="9"/>
    </row>
    <row r="45" spans="1:41" ht="16">
      <c r="A45" s="3" t="s">
        <v>209</v>
      </c>
      <c r="B45" s="6">
        <v>46313.935416666667</v>
      </c>
      <c r="C45" s="5">
        <v>2281</v>
      </c>
      <c r="D45" s="1" t="s">
        <v>41</v>
      </c>
      <c r="E45" s="5">
        <v>8</v>
      </c>
      <c r="F45" s="1" t="s">
        <v>41</v>
      </c>
      <c r="G45" s="1" t="s">
        <v>41</v>
      </c>
      <c r="H45" s="1" t="s">
        <v>210</v>
      </c>
      <c r="I45" s="6">
        <v>46313.936111111114</v>
      </c>
      <c r="J45" s="1" t="s">
        <v>41</v>
      </c>
      <c r="K45" s="6">
        <v>46313.936111111114</v>
      </c>
      <c r="L45" s="5">
        <v>40</v>
      </c>
      <c r="M45" s="4"/>
      <c r="N45" s="1"/>
      <c r="O45" s="6">
        <v>46313.935416666667</v>
      </c>
      <c r="P45" s="1" t="s">
        <v>43</v>
      </c>
      <c r="Q45" s="1" t="s">
        <v>211</v>
      </c>
      <c r="R45" s="1" t="s">
        <v>212</v>
      </c>
      <c r="S45" s="5">
        <v>4247</v>
      </c>
      <c r="T45" s="1" t="s">
        <v>41</v>
      </c>
      <c r="U45" s="6">
        <v>46313.941666666666</v>
      </c>
      <c r="V45" s="6">
        <v>46313.940972222219</v>
      </c>
      <c r="W45" s="7" t="s">
        <v>213</v>
      </c>
      <c r="X45" s="5">
        <v>22411</v>
      </c>
      <c r="Y45" s="10"/>
      <c r="Z45" s="5">
        <v>0</v>
      </c>
      <c r="AA45" s="8">
        <v>0.93541666666666667</v>
      </c>
      <c r="AB45" s="5">
        <v>7</v>
      </c>
      <c r="AC45" s="1" t="s">
        <v>41</v>
      </c>
      <c r="AD45" s="9" t="str">
        <f t="shared" si="0"/>
        <v>Actual</v>
      </c>
      <c r="AE45" s="9" t="str">
        <f t="shared" si="1"/>
        <v>TMK7</v>
      </c>
      <c r="AF45" s="9">
        <f>HOUR(O45)</f>
        <v>22</v>
      </c>
      <c r="AG45" s="9">
        <f>DAY(O45)</f>
        <v>18</v>
      </c>
      <c r="AH45" s="9">
        <f>IFERROR((I45-K45)*24*60,0)</f>
        <v>0</v>
      </c>
      <c r="AI45" s="9">
        <f t="shared" si="2"/>
        <v>0</v>
      </c>
      <c r="AJ45" s="9">
        <f>C45</f>
        <v>2281</v>
      </c>
      <c r="AK45" s="9">
        <f>IF(P45="completed",((V45-K45)*24*60),0)</f>
        <v>6.9999999913852662</v>
      </c>
      <c r="AL45" s="9">
        <f>IF(P45="completed",((U45-K45)*24*60),0)</f>
        <v>7.9999999946448952</v>
      </c>
      <c r="AM45" s="9" t="str">
        <f t="shared" si="3"/>
        <v>OTP Achieved</v>
      </c>
      <c r="AN45" s="9" t="str">
        <f t="shared" si="4"/>
        <v>OTP Achieved</v>
      </c>
      <c r="AO45" s="9"/>
    </row>
    <row r="46" spans="1:41" ht="16">
      <c r="A46" s="3" t="s">
        <v>157</v>
      </c>
      <c r="B46" s="6">
        <v>46313.932638888888</v>
      </c>
      <c r="C46" s="5">
        <v>1504</v>
      </c>
      <c r="D46" s="1" t="s">
        <v>41</v>
      </c>
      <c r="E46" s="5">
        <v>4</v>
      </c>
      <c r="F46" s="1" t="s">
        <v>41</v>
      </c>
      <c r="G46" s="1" t="s">
        <v>41</v>
      </c>
      <c r="H46" s="1" t="s">
        <v>214</v>
      </c>
      <c r="I46" s="6">
        <v>46313.934027777781</v>
      </c>
      <c r="J46" s="1" t="s">
        <v>41</v>
      </c>
      <c r="K46" s="6">
        <v>46313.934027777781</v>
      </c>
      <c r="L46" s="5">
        <v>29</v>
      </c>
      <c r="M46" s="4"/>
      <c r="N46" s="1"/>
      <c r="O46" s="6">
        <v>46313.932638888888</v>
      </c>
      <c r="P46" s="1" t="s">
        <v>43</v>
      </c>
      <c r="Q46" s="1" t="s">
        <v>159</v>
      </c>
      <c r="R46" s="1" t="s">
        <v>215</v>
      </c>
      <c r="S46" s="5">
        <v>4247</v>
      </c>
      <c r="T46" s="1" t="s">
        <v>41</v>
      </c>
      <c r="U46" s="6">
        <v>46313.938194444447</v>
      </c>
      <c r="V46" s="6">
        <v>46313.936805555553</v>
      </c>
      <c r="W46" s="7" t="s">
        <v>216</v>
      </c>
      <c r="X46" s="5">
        <v>22411</v>
      </c>
      <c r="Y46" s="4"/>
      <c r="Z46" s="5">
        <v>0</v>
      </c>
      <c r="AA46" s="8">
        <v>0.93263888888888891</v>
      </c>
      <c r="AB46" s="5">
        <v>4</v>
      </c>
      <c r="AC46" s="1" t="s">
        <v>41</v>
      </c>
      <c r="AD46" s="9" t="str">
        <f t="shared" si="0"/>
        <v>Actual</v>
      </c>
      <c r="AE46" s="9" t="str">
        <f t="shared" si="1"/>
        <v>TMK7</v>
      </c>
      <c r="AF46" s="9">
        <f>HOUR(O46)</f>
        <v>22</v>
      </c>
      <c r="AG46" s="9">
        <f>DAY(O46)</f>
        <v>18</v>
      </c>
      <c r="AH46" s="9">
        <f>IFERROR((I46-K46)*24*60,0)</f>
        <v>0</v>
      </c>
      <c r="AI46" s="9">
        <f t="shared" si="2"/>
        <v>0</v>
      </c>
      <c r="AJ46" s="9">
        <f>C46</f>
        <v>1504</v>
      </c>
      <c r="AK46" s="9">
        <f>IF(P46="completed",((V46-K46)*24*60),0)</f>
        <v>3.9999999920837581</v>
      </c>
      <c r="AL46" s="9">
        <f>IF(P46="completed",((U46-K46)*24*60),0)</f>
        <v>5.9999999986030161</v>
      </c>
      <c r="AM46" s="9" t="str">
        <f t="shared" si="3"/>
        <v>OTP Achieved</v>
      </c>
      <c r="AN46" s="9" t="str">
        <f t="shared" si="4"/>
        <v>OTP Achieved</v>
      </c>
      <c r="AO46" s="9"/>
    </row>
    <row r="47" spans="1:41" ht="16">
      <c r="A47" s="3" t="s">
        <v>106</v>
      </c>
      <c r="B47" s="6">
        <v>46313.930555555555</v>
      </c>
      <c r="C47" s="5">
        <v>1914</v>
      </c>
      <c r="D47" s="1" t="s">
        <v>41</v>
      </c>
      <c r="E47" s="5">
        <v>6</v>
      </c>
      <c r="F47" s="1" t="s">
        <v>41</v>
      </c>
      <c r="G47" s="1" t="s">
        <v>41</v>
      </c>
      <c r="H47" s="1" t="s">
        <v>217</v>
      </c>
      <c r="I47" s="6">
        <v>46313.931944444441</v>
      </c>
      <c r="J47" s="1" t="s">
        <v>41</v>
      </c>
      <c r="K47" s="6">
        <v>46313.931944444441</v>
      </c>
      <c r="L47" s="5">
        <v>23</v>
      </c>
      <c r="M47" s="4"/>
      <c r="N47" s="1"/>
      <c r="O47" s="6">
        <v>46313.930555555555</v>
      </c>
      <c r="P47" s="1" t="s">
        <v>43</v>
      </c>
      <c r="Q47" s="1" t="s">
        <v>108</v>
      </c>
      <c r="R47" s="1" t="s">
        <v>218</v>
      </c>
      <c r="S47" s="5">
        <v>4247</v>
      </c>
      <c r="T47" s="1" t="s">
        <v>41</v>
      </c>
      <c r="U47" s="6">
        <v>46313.936805555553</v>
      </c>
      <c r="V47" s="6">
        <v>46313.936111111114</v>
      </c>
      <c r="W47" s="7" t="s">
        <v>219</v>
      </c>
      <c r="X47" s="5">
        <v>22411</v>
      </c>
      <c r="Y47" s="4"/>
      <c r="Z47" s="5">
        <v>0</v>
      </c>
      <c r="AA47" s="8">
        <v>0.93055555555555558</v>
      </c>
      <c r="AB47" s="5">
        <v>5</v>
      </c>
      <c r="AC47" s="1" t="s">
        <v>41</v>
      </c>
      <c r="AD47" s="9" t="str">
        <f t="shared" si="0"/>
        <v>Actual</v>
      </c>
      <c r="AE47" s="9" t="str">
        <f t="shared" si="1"/>
        <v>TMK7</v>
      </c>
      <c r="AF47" s="9">
        <f>HOUR(O47)</f>
        <v>22</v>
      </c>
      <c r="AG47" s="9">
        <f>DAY(O47)</f>
        <v>18</v>
      </c>
      <c r="AH47" s="9">
        <f>IFERROR((I47-K47)*24*60,0)</f>
        <v>0</v>
      </c>
      <c r="AI47" s="9">
        <f t="shared" si="2"/>
        <v>0</v>
      </c>
      <c r="AJ47" s="9">
        <f>C47</f>
        <v>1914</v>
      </c>
      <c r="AK47" s="9">
        <f>IF(P47="completed",((V47-K47)*24*60),0)</f>
        <v>6.0000000090803951</v>
      </c>
      <c r="AL47" s="9">
        <f>IF(P47="completed",((U47-K47)*24*60),0)</f>
        <v>7.0000000018626451</v>
      </c>
      <c r="AM47" s="9" t="str">
        <f t="shared" si="3"/>
        <v>OTP Achieved</v>
      </c>
      <c r="AN47" s="9" t="str">
        <f t="shared" si="4"/>
        <v>OTP Achieved</v>
      </c>
      <c r="AO47" s="9"/>
    </row>
    <row r="48" spans="1:41" ht="16">
      <c r="A48" s="3" t="s">
        <v>125</v>
      </c>
      <c r="B48" s="6">
        <v>46313.929166666669</v>
      </c>
      <c r="C48" s="5">
        <v>1186</v>
      </c>
      <c r="D48" s="1" t="s">
        <v>41</v>
      </c>
      <c r="E48" s="5">
        <v>6</v>
      </c>
      <c r="F48" s="1" t="s">
        <v>41</v>
      </c>
      <c r="G48" s="1" t="s">
        <v>41</v>
      </c>
      <c r="H48" s="1" t="s">
        <v>220</v>
      </c>
      <c r="I48" s="6">
        <v>46313.930555555555</v>
      </c>
      <c r="J48" s="1" t="s">
        <v>41</v>
      </c>
      <c r="K48" s="6">
        <v>46313.930555555555</v>
      </c>
      <c r="L48" s="5">
        <v>16</v>
      </c>
      <c r="M48" s="4"/>
      <c r="N48" s="1"/>
      <c r="O48" s="6">
        <v>46313.929166666669</v>
      </c>
      <c r="P48" s="1" t="s">
        <v>43</v>
      </c>
      <c r="Q48" s="1" t="s">
        <v>127</v>
      </c>
      <c r="R48" s="1" t="s">
        <v>221</v>
      </c>
      <c r="S48" s="5">
        <v>4247</v>
      </c>
      <c r="T48" s="1" t="s">
        <v>41</v>
      </c>
      <c r="U48" s="6">
        <v>46313.93472222222</v>
      </c>
      <c r="V48" s="6">
        <v>46313.93472222222</v>
      </c>
      <c r="W48" s="7" t="s">
        <v>222</v>
      </c>
      <c r="X48" s="5">
        <v>22411</v>
      </c>
      <c r="Y48" s="4"/>
      <c r="Z48" s="5">
        <v>0</v>
      </c>
      <c r="AA48" s="8">
        <v>0.9291666666666667</v>
      </c>
      <c r="AB48" s="5">
        <v>6</v>
      </c>
      <c r="AC48" s="1" t="s">
        <v>41</v>
      </c>
      <c r="AD48" s="9" t="str">
        <f t="shared" si="0"/>
        <v>Actual</v>
      </c>
      <c r="AE48" s="9" t="str">
        <f t="shared" si="1"/>
        <v>TMK7</v>
      </c>
      <c r="AF48" s="9">
        <f>HOUR(O48)</f>
        <v>22</v>
      </c>
      <c r="AG48" s="9">
        <f>DAY(O48)</f>
        <v>18</v>
      </c>
      <c r="AH48" s="9">
        <f>IFERROR((I48-K48)*24*60,0)</f>
        <v>0</v>
      </c>
      <c r="AI48" s="9">
        <f t="shared" si="2"/>
        <v>0</v>
      </c>
      <c r="AJ48" s="9">
        <f>C48</f>
        <v>1186</v>
      </c>
      <c r="AK48" s="9">
        <f>IF(P48="completed",((V48-K48)*24*60),0)</f>
        <v>5.9999999986030161</v>
      </c>
      <c r="AL48" s="9">
        <f>IF(P48="completed",((U48-K48)*24*60),0)</f>
        <v>5.9999999986030161</v>
      </c>
      <c r="AM48" s="9" t="str">
        <f t="shared" si="3"/>
        <v>OTP Breached</v>
      </c>
      <c r="AN48" s="9" t="str">
        <f t="shared" si="4"/>
        <v>OTP Achieved</v>
      </c>
      <c r="AO48" s="9"/>
    </row>
    <row r="49" spans="1:41" ht="16">
      <c r="A49" s="3" t="s">
        <v>117</v>
      </c>
      <c r="B49" s="6">
        <v>46313.928472222222</v>
      </c>
      <c r="C49" s="5">
        <v>1376</v>
      </c>
      <c r="D49" s="1" t="s">
        <v>41</v>
      </c>
      <c r="E49" s="5">
        <v>4</v>
      </c>
      <c r="F49" s="1" t="s">
        <v>41</v>
      </c>
      <c r="G49" s="1" t="s">
        <v>41</v>
      </c>
      <c r="H49" s="1" t="s">
        <v>223</v>
      </c>
      <c r="I49" s="6">
        <v>46313.931944444441</v>
      </c>
      <c r="J49" s="1" t="s">
        <v>41</v>
      </c>
      <c r="K49" s="6">
        <v>46313.931250000001</v>
      </c>
      <c r="L49" s="5">
        <v>32</v>
      </c>
      <c r="M49" s="4"/>
      <c r="N49" s="1"/>
      <c r="O49" s="6">
        <v>46313.928472222222</v>
      </c>
      <c r="P49" s="1" t="s">
        <v>43</v>
      </c>
      <c r="Q49" s="1" t="s">
        <v>119</v>
      </c>
      <c r="R49" s="1" t="s">
        <v>224</v>
      </c>
      <c r="S49" s="5">
        <v>4247</v>
      </c>
      <c r="T49" s="1" t="s">
        <v>41</v>
      </c>
      <c r="U49" s="6">
        <v>46313.93472222222</v>
      </c>
      <c r="V49" s="6">
        <v>46313.934027777781</v>
      </c>
      <c r="W49" s="7" t="s">
        <v>225</v>
      </c>
      <c r="X49" s="5">
        <v>22411</v>
      </c>
      <c r="Y49" s="4"/>
      <c r="Z49" s="5">
        <v>0</v>
      </c>
      <c r="AA49" s="8">
        <v>0.92847222222222225</v>
      </c>
      <c r="AB49" s="5">
        <v>4</v>
      </c>
      <c r="AC49" s="1" t="s">
        <v>41</v>
      </c>
      <c r="AD49" s="9" t="str">
        <f t="shared" si="0"/>
        <v>Actual</v>
      </c>
      <c r="AE49" s="9" t="str">
        <f t="shared" si="1"/>
        <v>TMK7</v>
      </c>
      <c r="AF49" s="9">
        <f>HOUR(O49)</f>
        <v>22</v>
      </c>
      <c r="AG49" s="9">
        <f>DAY(O49)</f>
        <v>18</v>
      </c>
      <c r="AH49" s="9">
        <f>IFERROR((I49-K49)*24*60,0)</f>
        <v>0.99999999278225005</v>
      </c>
      <c r="AI49" s="9">
        <f t="shared" si="2"/>
        <v>0.99999999278225005</v>
      </c>
      <c r="AJ49" s="9">
        <f>C49</f>
        <v>1376</v>
      </c>
      <c r="AK49" s="9">
        <f>IF(P49="completed",((V49-K49)*24*60),0)</f>
        <v>4.0000000025611371</v>
      </c>
      <c r="AL49" s="9">
        <f>IF(P49="completed",((U49-K49)*24*60),0)</f>
        <v>4.9999999953433871</v>
      </c>
      <c r="AM49" s="9" t="str">
        <f t="shared" si="3"/>
        <v>OTP Achieved</v>
      </c>
      <c r="AN49" s="9" t="str">
        <f t="shared" si="4"/>
        <v>OTP Achieved</v>
      </c>
      <c r="AO49" s="9"/>
    </row>
    <row r="50" spans="1:41" ht="16">
      <c r="A50" s="3" t="s">
        <v>57</v>
      </c>
      <c r="B50" s="6">
        <v>46313.928472222222</v>
      </c>
      <c r="C50" s="5">
        <v>1384</v>
      </c>
      <c r="D50" s="1" t="s">
        <v>41</v>
      </c>
      <c r="E50" s="5">
        <v>6</v>
      </c>
      <c r="F50" s="1" t="s">
        <v>41</v>
      </c>
      <c r="G50" s="1" t="s">
        <v>41</v>
      </c>
      <c r="H50" s="1" t="s">
        <v>226</v>
      </c>
      <c r="I50" s="6">
        <v>46313.929861111108</v>
      </c>
      <c r="J50" s="1" t="s">
        <v>41</v>
      </c>
      <c r="K50" s="6">
        <v>46313.929861111108</v>
      </c>
      <c r="L50" s="5">
        <v>16</v>
      </c>
      <c r="M50" s="4"/>
      <c r="N50" s="1"/>
      <c r="O50" s="6">
        <v>46313.927777777775</v>
      </c>
      <c r="P50" s="1" t="s">
        <v>43</v>
      </c>
      <c r="Q50" s="1" t="s">
        <v>59</v>
      </c>
      <c r="R50" s="1" t="s">
        <v>227</v>
      </c>
      <c r="S50" s="5">
        <v>4247</v>
      </c>
      <c r="T50" s="1" t="s">
        <v>41</v>
      </c>
      <c r="U50" s="6">
        <v>46313.934027777781</v>
      </c>
      <c r="V50" s="6">
        <v>46313.934027777781</v>
      </c>
      <c r="W50" s="7" t="s">
        <v>228</v>
      </c>
      <c r="X50" s="5">
        <v>22411</v>
      </c>
      <c r="Y50" s="10"/>
      <c r="Z50" s="5">
        <v>0</v>
      </c>
      <c r="AA50" s="8">
        <v>0.92847222222222225</v>
      </c>
      <c r="AB50" s="5">
        <v>5</v>
      </c>
      <c r="AC50" s="1" t="s">
        <v>41</v>
      </c>
      <c r="AD50" s="9" t="str">
        <f t="shared" si="0"/>
        <v>Actual</v>
      </c>
      <c r="AE50" s="9" t="str">
        <f t="shared" si="1"/>
        <v>TMK7</v>
      </c>
      <c r="AF50" s="9">
        <f>HOUR(O50)</f>
        <v>22</v>
      </c>
      <c r="AG50" s="9">
        <f>DAY(O50)</f>
        <v>18</v>
      </c>
      <c r="AH50" s="9">
        <f>IFERROR((I50-K50)*24*60,0)</f>
        <v>0</v>
      </c>
      <c r="AI50" s="9">
        <f t="shared" si="2"/>
        <v>0</v>
      </c>
      <c r="AJ50" s="9">
        <f>C50</f>
        <v>1384</v>
      </c>
      <c r="AK50" s="9">
        <f>IF(P50="completed",((V50-K50)*24*60),0)</f>
        <v>6.0000000090803951</v>
      </c>
      <c r="AL50" s="9">
        <f>IF(P50="completed",((U50-K50)*24*60),0)</f>
        <v>6.0000000090803951</v>
      </c>
      <c r="AM50" s="9" t="str">
        <f t="shared" si="3"/>
        <v>OTP Breached</v>
      </c>
      <c r="AN50" s="9" t="str">
        <f t="shared" si="4"/>
        <v>OTP Achieved</v>
      </c>
      <c r="AO50" s="9"/>
    </row>
    <row r="51" spans="1:41" ht="16">
      <c r="A51" s="3" t="s">
        <v>72</v>
      </c>
      <c r="B51" s="6">
        <v>46313.927777777775</v>
      </c>
      <c r="C51" s="5">
        <v>3699</v>
      </c>
      <c r="D51" s="1" t="s">
        <v>41</v>
      </c>
      <c r="E51" s="5">
        <v>12</v>
      </c>
      <c r="F51" s="1" t="s">
        <v>41</v>
      </c>
      <c r="G51" s="1" t="s">
        <v>41</v>
      </c>
      <c r="H51" s="1" t="s">
        <v>229</v>
      </c>
      <c r="I51" s="6">
        <v>46313.929861111108</v>
      </c>
      <c r="J51" s="1" t="s">
        <v>41</v>
      </c>
      <c r="K51" s="6">
        <v>46313.929861111108</v>
      </c>
      <c r="L51" s="5">
        <v>47</v>
      </c>
      <c r="M51" s="4"/>
      <c r="N51" s="1"/>
      <c r="O51" s="6">
        <v>46313.927083333336</v>
      </c>
      <c r="P51" s="1" t="s">
        <v>43</v>
      </c>
      <c r="Q51" s="1" t="s">
        <v>74</v>
      </c>
      <c r="R51" s="1" t="s">
        <v>230</v>
      </c>
      <c r="S51" s="5">
        <v>4247</v>
      </c>
      <c r="T51" s="1" t="s">
        <v>41</v>
      </c>
      <c r="U51" s="6">
        <v>46313.938888888886</v>
      </c>
      <c r="V51" s="4">
        <v>46313.938194444447</v>
      </c>
      <c r="W51" s="7" t="s">
        <v>231</v>
      </c>
      <c r="X51" s="5">
        <v>22411</v>
      </c>
      <c r="Y51" s="4"/>
      <c r="Z51" s="5">
        <v>0</v>
      </c>
      <c r="AA51" s="8">
        <v>0.92777777777777781</v>
      </c>
      <c r="AB51" s="5">
        <v>12</v>
      </c>
      <c r="AC51" s="1" t="s">
        <v>41</v>
      </c>
      <c r="AD51" s="9" t="str">
        <f t="shared" si="0"/>
        <v>Actual</v>
      </c>
      <c r="AE51" s="9" t="str">
        <f t="shared" si="1"/>
        <v>TMK7</v>
      </c>
      <c r="AF51" s="9">
        <f>HOUR(O51)</f>
        <v>22</v>
      </c>
      <c r="AG51" s="9">
        <f>DAY(O51)</f>
        <v>18</v>
      </c>
      <c r="AH51" s="9">
        <f>IFERROR((I51-K51)*24*60,0)</f>
        <v>0</v>
      </c>
      <c r="AI51" s="9">
        <f t="shared" si="2"/>
        <v>0</v>
      </c>
      <c r="AJ51" s="9">
        <f>C51</f>
        <v>3699</v>
      </c>
      <c r="AK51" s="9">
        <f>IF(P51="completed",((V51-K51)*24*60),0)</f>
        <v>12.000000007683411</v>
      </c>
      <c r="AL51" s="9">
        <f>IF(P51="completed",((U51-K51)*24*60),0)</f>
        <v>13.000000000465661</v>
      </c>
      <c r="AM51" s="9" t="str">
        <f t="shared" si="3"/>
        <v>OTP Achieved</v>
      </c>
      <c r="AN51" s="9" t="str">
        <f t="shared" si="4"/>
        <v>OTP Achieved</v>
      </c>
      <c r="AO51" s="9"/>
    </row>
    <row r="52" spans="1:41" ht="16">
      <c r="A52" s="3" t="s">
        <v>190</v>
      </c>
      <c r="B52" s="6">
        <v>46313.925694444442</v>
      </c>
      <c r="C52" s="5">
        <v>291</v>
      </c>
      <c r="D52" s="1" t="s">
        <v>41</v>
      </c>
      <c r="E52" s="5">
        <v>0</v>
      </c>
      <c r="F52" s="1" t="s">
        <v>41</v>
      </c>
      <c r="G52" s="1" t="s">
        <v>41</v>
      </c>
      <c r="H52" s="1" t="s">
        <v>232</v>
      </c>
      <c r="I52" s="6">
        <v>46313.927083333336</v>
      </c>
      <c r="J52" s="1" t="s">
        <v>41</v>
      </c>
      <c r="K52" s="6">
        <v>46313.926388888889</v>
      </c>
      <c r="L52" s="5">
        <v>10</v>
      </c>
      <c r="M52" s="4"/>
      <c r="N52" s="1"/>
      <c r="O52" s="6">
        <v>46313.925694444442</v>
      </c>
      <c r="P52" s="1" t="s">
        <v>43</v>
      </c>
      <c r="Q52" s="1" t="s">
        <v>192</v>
      </c>
      <c r="R52" s="1" t="s">
        <v>233</v>
      </c>
      <c r="S52" s="5">
        <v>4247</v>
      </c>
      <c r="T52" s="1" t="s">
        <v>41</v>
      </c>
      <c r="U52" s="6">
        <v>46313.928472222222</v>
      </c>
      <c r="V52" s="6">
        <v>46313.927083333336</v>
      </c>
      <c r="W52" s="7" t="s">
        <v>234</v>
      </c>
      <c r="X52" s="5">
        <v>22411</v>
      </c>
      <c r="Y52" s="4"/>
      <c r="Z52" s="5">
        <v>0</v>
      </c>
      <c r="AA52" s="8">
        <v>0.92569444444444449</v>
      </c>
      <c r="AB52" s="5">
        <v>0</v>
      </c>
      <c r="AC52" s="1" t="s">
        <v>41</v>
      </c>
      <c r="AD52" s="9" t="str">
        <f t="shared" si="0"/>
        <v>Actual</v>
      </c>
      <c r="AE52" s="9" t="str">
        <f t="shared" si="1"/>
        <v>TMK7</v>
      </c>
      <c r="AF52" s="9">
        <f>HOUR(O52)</f>
        <v>22</v>
      </c>
      <c r="AG52" s="9">
        <f>DAY(O52)</f>
        <v>18</v>
      </c>
      <c r="AH52" s="9">
        <f>IFERROR((I52-K52)*24*60,0)</f>
        <v>1.000000003259629</v>
      </c>
      <c r="AI52" s="9">
        <f t="shared" si="2"/>
        <v>1.000000003259629</v>
      </c>
      <c r="AJ52" s="9">
        <f>C52</f>
        <v>291</v>
      </c>
      <c r="AK52" s="9">
        <f>IF(P52="completed",((V52-K52)*24*60),0)</f>
        <v>1.000000003259629</v>
      </c>
      <c r="AL52" s="9">
        <f>IF(P52="completed",((U52-K52)*24*60),0)</f>
        <v>2.9999999993015081</v>
      </c>
      <c r="AM52" s="9" t="str">
        <f t="shared" si="3"/>
        <v>OTP Achieved</v>
      </c>
      <c r="AN52" s="9" t="str">
        <f t="shared" si="4"/>
        <v>OTP Achieved</v>
      </c>
      <c r="AO52" s="9"/>
    </row>
    <row r="53" spans="1:41" ht="16">
      <c r="A53" s="3" t="s">
        <v>235</v>
      </c>
      <c r="B53" s="6">
        <v>46313.925000000003</v>
      </c>
      <c r="C53" s="5">
        <v>1991</v>
      </c>
      <c r="D53" s="1" t="s">
        <v>41</v>
      </c>
      <c r="E53" s="5">
        <v>11</v>
      </c>
      <c r="F53" s="1" t="s">
        <v>41</v>
      </c>
      <c r="G53" s="1" t="s">
        <v>41</v>
      </c>
      <c r="H53" s="1" t="s">
        <v>236</v>
      </c>
      <c r="I53" s="6">
        <v>46313.925000000003</v>
      </c>
      <c r="J53" s="1" t="s">
        <v>41</v>
      </c>
      <c r="K53" s="6">
        <v>46313.925000000003</v>
      </c>
      <c r="L53" s="5">
        <v>25</v>
      </c>
      <c r="M53" s="4"/>
      <c r="N53" s="1"/>
      <c r="O53" s="6">
        <v>46313.924305555556</v>
      </c>
      <c r="P53" s="1" t="s">
        <v>43</v>
      </c>
      <c r="Q53" s="1" t="s">
        <v>237</v>
      </c>
      <c r="R53" s="1" t="s">
        <v>238</v>
      </c>
      <c r="S53" s="5">
        <v>4247</v>
      </c>
      <c r="T53" s="1" t="s">
        <v>41</v>
      </c>
      <c r="U53" s="6">
        <v>46313.930555555555</v>
      </c>
      <c r="V53" s="6">
        <v>46313.932638888888</v>
      </c>
      <c r="W53" s="7" t="s">
        <v>239</v>
      </c>
      <c r="X53" s="5">
        <v>22411</v>
      </c>
      <c r="Y53" s="4"/>
      <c r="Z53" s="5">
        <v>0</v>
      </c>
      <c r="AA53" s="8">
        <v>0.92500000000000004</v>
      </c>
      <c r="AB53" s="5">
        <v>10</v>
      </c>
      <c r="AC53" s="1" t="s">
        <v>41</v>
      </c>
      <c r="AD53" s="9" t="str">
        <f t="shared" si="0"/>
        <v>Actual</v>
      </c>
      <c r="AE53" s="9" t="str">
        <f t="shared" si="1"/>
        <v>TMK7</v>
      </c>
      <c r="AF53" s="9">
        <f>HOUR(O53)</f>
        <v>22</v>
      </c>
      <c r="AG53" s="9">
        <f>DAY(O53)</f>
        <v>18</v>
      </c>
      <c r="AH53" s="9">
        <f>IFERROR((I53-K53)*24*60,0)</f>
        <v>0</v>
      </c>
      <c r="AI53" s="9">
        <f t="shared" si="2"/>
        <v>0</v>
      </c>
      <c r="AJ53" s="9">
        <f>C53</f>
        <v>1991</v>
      </c>
      <c r="AK53" s="9">
        <f>IF(P53="completed",((V53-K53)*24*60),0)</f>
        <v>10.999999993946403</v>
      </c>
      <c r="AL53" s="9">
        <f>IF(P53="completed",((U53-K53)*24*60),0)</f>
        <v>7.9999999946448952</v>
      </c>
      <c r="AM53" s="9" t="str">
        <f t="shared" si="3"/>
        <v>OTP Breached</v>
      </c>
      <c r="AN53" s="9" t="str">
        <f t="shared" si="4"/>
        <v>OTP Achieved</v>
      </c>
      <c r="AO53" s="9"/>
    </row>
    <row r="54" spans="1:41" ht="16">
      <c r="A54" s="3" t="s">
        <v>185</v>
      </c>
      <c r="B54" s="6">
        <v>46313.921527777777</v>
      </c>
      <c r="C54" s="5">
        <v>1372</v>
      </c>
      <c r="D54" s="1" t="s">
        <v>41</v>
      </c>
      <c r="E54" s="5">
        <v>5</v>
      </c>
      <c r="F54" s="1" t="s">
        <v>41</v>
      </c>
      <c r="G54" s="1" t="s">
        <v>41</v>
      </c>
      <c r="H54" s="1" t="s">
        <v>240</v>
      </c>
      <c r="I54" s="6">
        <v>46313.923611111109</v>
      </c>
      <c r="J54" s="1" t="s">
        <v>41</v>
      </c>
      <c r="K54" s="6">
        <v>46313.92291666667</v>
      </c>
      <c r="L54" s="5">
        <v>36</v>
      </c>
      <c r="M54" s="4"/>
      <c r="N54" s="1"/>
      <c r="O54" s="6">
        <v>46313.921527777777</v>
      </c>
      <c r="P54" s="1" t="s">
        <v>43</v>
      </c>
      <c r="Q54" s="1" t="s">
        <v>187</v>
      </c>
      <c r="R54" s="1" t="s">
        <v>241</v>
      </c>
      <c r="S54" s="5">
        <v>4247</v>
      </c>
      <c r="T54" s="1" t="s">
        <v>41</v>
      </c>
      <c r="U54" s="6">
        <v>46313.926388888889</v>
      </c>
      <c r="V54" s="6">
        <v>46313.926388888889</v>
      </c>
      <c r="W54" s="7" t="s">
        <v>242</v>
      </c>
      <c r="X54" s="5">
        <v>22411</v>
      </c>
      <c r="Y54" s="4"/>
      <c r="Z54" s="5">
        <v>0</v>
      </c>
      <c r="AA54" s="8">
        <v>0.92152777777777772</v>
      </c>
      <c r="AB54" s="5">
        <v>4</v>
      </c>
      <c r="AC54" s="1" t="s">
        <v>41</v>
      </c>
      <c r="AD54" s="9" t="str">
        <f t="shared" si="0"/>
        <v>Actual</v>
      </c>
      <c r="AE54" s="9" t="str">
        <f t="shared" si="1"/>
        <v>TMK7</v>
      </c>
      <c r="AF54" s="9">
        <f>HOUR(O54)</f>
        <v>22</v>
      </c>
      <c r="AG54" s="9">
        <f>DAY(O54)</f>
        <v>18</v>
      </c>
      <c r="AH54" s="9">
        <f>IFERROR((I54-K54)*24*60,0)</f>
        <v>0.99999999278225005</v>
      </c>
      <c r="AI54" s="9">
        <f t="shared" si="2"/>
        <v>0.99999999278225005</v>
      </c>
      <c r="AJ54" s="9">
        <f>C54</f>
        <v>1372</v>
      </c>
      <c r="AK54" s="9">
        <f>IF(P54="completed",((V54-K54)*24*60),0)</f>
        <v>4.9999999953433871</v>
      </c>
      <c r="AL54" s="9">
        <f>IF(P54="completed",((U54-K54)*24*60),0)</f>
        <v>4.9999999953433871</v>
      </c>
      <c r="AM54" s="9" t="str">
        <f t="shared" si="3"/>
        <v>OTP Breached</v>
      </c>
      <c r="AN54" s="9" t="str">
        <f t="shared" si="4"/>
        <v>OTP Achieved</v>
      </c>
      <c r="AO54" s="9"/>
    </row>
    <row r="55" spans="1:41" ht="16">
      <c r="A55" s="3" t="s">
        <v>82</v>
      </c>
      <c r="B55" s="6">
        <v>46313.921527777777</v>
      </c>
      <c r="C55" s="5">
        <v>1890</v>
      </c>
      <c r="D55" s="1" t="s">
        <v>41</v>
      </c>
      <c r="E55" s="5">
        <v>6</v>
      </c>
      <c r="F55" s="1" t="s">
        <v>41</v>
      </c>
      <c r="G55" s="1" t="s">
        <v>41</v>
      </c>
      <c r="H55" s="1" t="s">
        <v>243</v>
      </c>
      <c r="I55" s="6">
        <v>46313.922222222223</v>
      </c>
      <c r="J55" s="1" t="s">
        <v>41</v>
      </c>
      <c r="K55" s="6">
        <v>46313.922222222223</v>
      </c>
      <c r="L55" s="5">
        <v>18</v>
      </c>
      <c r="M55" s="4"/>
      <c r="N55" s="1"/>
      <c r="O55" s="6">
        <v>46313.920138888891</v>
      </c>
      <c r="P55" s="1" t="s">
        <v>43</v>
      </c>
      <c r="Q55" s="1" t="s">
        <v>84</v>
      </c>
      <c r="R55" s="1" t="s">
        <v>244</v>
      </c>
      <c r="S55" s="5">
        <v>4247</v>
      </c>
      <c r="T55" s="1" t="s">
        <v>41</v>
      </c>
      <c r="U55" s="6">
        <v>46313.926388888889</v>
      </c>
      <c r="V55" s="6">
        <v>46313.926388888889</v>
      </c>
      <c r="W55" s="7" t="s">
        <v>245</v>
      </c>
      <c r="X55" s="5">
        <v>22411</v>
      </c>
      <c r="Y55" s="4"/>
      <c r="Z55" s="5">
        <v>0</v>
      </c>
      <c r="AA55" s="8">
        <v>0.92152777777777772</v>
      </c>
      <c r="AB55" s="5">
        <v>6</v>
      </c>
      <c r="AC55" s="1" t="s">
        <v>41</v>
      </c>
      <c r="AD55" s="9" t="str">
        <f t="shared" si="0"/>
        <v>Actual</v>
      </c>
      <c r="AE55" s="9" t="str">
        <f t="shared" si="1"/>
        <v>TMK7</v>
      </c>
      <c r="AF55" s="9">
        <f>HOUR(O55)</f>
        <v>22</v>
      </c>
      <c r="AG55" s="9">
        <f>DAY(O55)</f>
        <v>18</v>
      </c>
      <c r="AH55" s="9">
        <f>IFERROR((I55-K55)*24*60,0)</f>
        <v>0</v>
      </c>
      <c r="AI55" s="9">
        <f t="shared" si="2"/>
        <v>0</v>
      </c>
      <c r="AJ55" s="9">
        <f>C55</f>
        <v>1890</v>
      </c>
      <c r="AK55" s="9">
        <f>IF(P55="completed",((V55-K55)*24*60),0)</f>
        <v>5.9999999986030161</v>
      </c>
      <c r="AL55" s="9">
        <f>IF(P55="completed",((U55-K55)*24*60),0)</f>
        <v>5.9999999986030161</v>
      </c>
      <c r="AM55" s="9" t="str">
        <f t="shared" si="3"/>
        <v>OTP Breached</v>
      </c>
      <c r="AN55" s="9" t="str">
        <f t="shared" si="4"/>
        <v>OTP Achieved</v>
      </c>
      <c r="AO55" s="9"/>
    </row>
    <row r="56" spans="1:41" ht="16">
      <c r="A56" s="3" t="s">
        <v>77</v>
      </c>
      <c r="B56" s="6">
        <v>46313.920138888891</v>
      </c>
      <c r="C56" s="5">
        <v>2313</v>
      </c>
      <c r="D56" s="1" t="s">
        <v>41</v>
      </c>
      <c r="E56" s="5">
        <v>6</v>
      </c>
      <c r="F56" s="1" t="s">
        <v>41</v>
      </c>
      <c r="G56" s="1" t="s">
        <v>41</v>
      </c>
      <c r="H56" s="1" t="s">
        <v>246</v>
      </c>
      <c r="I56" s="6">
        <v>46313.920138888891</v>
      </c>
      <c r="J56" s="1" t="s">
        <v>41</v>
      </c>
      <c r="K56" s="6">
        <v>46313.919444444444</v>
      </c>
      <c r="L56" s="5">
        <v>28</v>
      </c>
      <c r="M56" s="4"/>
      <c r="N56" s="1"/>
      <c r="O56" s="6">
        <v>46313.918749999997</v>
      </c>
      <c r="P56" s="1" t="s">
        <v>43</v>
      </c>
      <c r="Q56" s="1" t="s">
        <v>79</v>
      </c>
      <c r="R56" s="1" t="s">
        <v>247</v>
      </c>
      <c r="S56" s="5">
        <v>4247</v>
      </c>
      <c r="T56" s="1" t="s">
        <v>41</v>
      </c>
      <c r="U56" s="6">
        <v>46313.925694444442</v>
      </c>
      <c r="V56" s="6">
        <v>46313.923611111109</v>
      </c>
      <c r="W56" s="7" t="s">
        <v>248</v>
      </c>
      <c r="X56" s="5">
        <v>22411</v>
      </c>
      <c r="Y56" s="4"/>
      <c r="Z56" s="5">
        <v>0</v>
      </c>
      <c r="AA56" s="8">
        <v>0.92013888888888884</v>
      </c>
      <c r="AB56" s="5">
        <v>5</v>
      </c>
      <c r="AC56" s="1" t="s">
        <v>41</v>
      </c>
      <c r="AD56" s="9" t="str">
        <f t="shared" si="0"/>
        <v>Actual</v>
      </c>
      <c r="AE56" s="9" t="str">
        <f t="shared" si="1"/>
        <v>TMK7</v>
      </c>
      <c r="AF56" s="9">
        <f>HOUR(O56)</f>
        <v>22</v>
      </c>
      <c r="AG56" s="9">
        <f>DAY(O56)</f>
        <v>18</v>
      </c>
      <c r="AH56" s="9">
        <f>IFERROR((I56-K56)*24*60,0)</f>
        <v>1.000000003259629</v>
      </c>
      <c r="AI56" s="9">
        <f t="shared" si="2"/>
        <v>1.000000003259629</v>
      </c>
      <c r="AJ56" s="9">
        <f>C56</f>
        <v>2313</v>
      </c>
      <c r="AK56" s="9">
        <f>IF(P56="completed",((V56-K56)*24*60),0)</f>
        <v>5.9999999986030161</v>
      </c>
      <c r="AL56" s="9">
        <f>IF(P56="completed",((U56-K56)*24*60),0)</f>
        <v>8.9999999979045242</v>
      </c>
      <c r="AM56" s="9" t="str">
        <f t="shared" si="3"/>
        <v>OTP Achieved</v>
      </c>
      <c r="AN56" s="9" t="str">
        <f t="shared" si="4"/>
        <v>OTP Achieved</v>
      </c>
      <c r="AO56" s="9"/>
    </row>
    <row r="57" spans="1:41" ht="16">
      <c r="A57" s="3" t="s">
        <v>198</v>
      </c>
      <c r="B57" s="6">
        <v>46313.918749999997</v>
      </c>
      <c r="C57" s="5">
        <v>1178</v>
      </c>
      <c r="D57" s="1" t="s">
        <v>41</v>
      </c>
      <c r="E57" s="5">
        <v>6</v>
      </c>
      <c r="F57" s="1" t="s">
        <v>41</v>
      </c>
      <c r="G57" s="1" t="s">
        <v>41</v>
      </c>
      <c r="H57" s="1" t="s">
        <v>249</v>
      </c>
      <c r="I57" s="6">
        <v>46313.919444444444</v>
      </c>
      <c r="J57" s="1" t="s">
        <v>41</v>
      </c>
      <c r="K57" s="6">
        <v>46313.918055555558</v>
      </c>
      <c r="L57" s="5">
        <v>20</v>
      </c>
      <c r="M57" s="4"/>
      <c r="N57" s="1"/>
      <c r="O57" s="6">
        <v>46313.916666666664</v>
      </c>
      <c r="P57" s="1" t="s">
        <v>43</v>
      </c>
      <c r="Q57" s="1" t="s">
        <v>200</v>
      </c>
      <c r="R57" s="1" t="s">
        <v>250</v>
      </c>
      <c r="S57" s="5">
        <v>4247</v>
      </c>
      <c r="T57" s="1" t="s">
        <v>41</v>
      </c>
      <c r="U57" s="6">
        <v>46313.92291666667</v>
      </c>
      <c r="V57" s="6">
        <v>46313.92291666667</v>
      </c>
      <c r="W57" s="7" t="s">
        <v>251</v>
      </c>
      <c r="X57" s="5">
        <v>22411</v>
      </c>
      <c r="Y57" s="4"/>
      <c r="Z57" s="5">
        <v>0</v>
      </c>
      <c r="AA57" s="8">
        <v>0.91874999999999996</v>
      </c>
      <c r="AB57" s="5">
        <v>5</v>
      </c>
      <c r="AC57" s="1" t="s">
        <v>41</v>
      </c>
      <c r="AD57" s="9" t="str">
        <f t="shared" si="0"/>
        <v>Actual</v>
      </c>
      <c r="AE57" s="9" t="str">
        <f t="shared" si="1"/>
        <v>TMK7</v>
      </c>
      <c r="AF57" s="9">
        <f>HOUR(O57)</f>
        <v>22</v>
      </c>
      <c r="AG57" s="9">
        <f>DAY(O57)</f>
        <v>18</v>
      </c>
      <c r="AH57" s="9">
        <f>IFERROR((I57-K57)*24*60,0)</f>
        <v>1.9999999960418791</v>
      </c>
      <c r="AI57" s="9">
        <f t="shared" si="2"/>
        <v>1.9999999960418791</v>
      </c>
      <c r="AJ57" s="9">
        <f>C57</f>
        <v>1178</v>
      </c>
      <c r="AK57" s="9">
        <f>IF(P57="completed",((V57-K57)*24*60),0)</f>
        <v>7.0000000018626451</v>
      </c>
      <c r="AL57" s="9">
        <f>IF(P57="completed",((U57-K57)*24*60),0)</f>
        <v>7.0000000018626451</v>
      </c>
      <c r="AM57" s="9" t="str">
        <f t="shared" si="3"/>
        <v>OTP Breached</v>
      </c>
      <c r="AN57" s="9" t="str">
        <f t="shared" si="4"/>
        <v>OTP Achieved</v>
      </c>
      <c r="AO57" s="9"/>
    </row>
    <row r="58" spans="1:41" ht="16">
      <c r="A58" s="3" t="s">
        <v>157</v>
      </c>
      <c r="B58" s="6">
        <v>46313.918055555558</v>
      </c>
      <c r="C58" s="5">
        <v>918</v>
      </c>
      <c r="D58" s="1" t="s">
        <v>41</v>
      </c>
      <c r="E58" s="5">
        <v>4</v>
      </c>
      <c r="F58" s="1" t="s">
        <v>41</v>
      </c>
      <c r="G58" s="1" t="s">
        <v>41</v>
      </c>
      <c r="H58" s="1" t="s">
        <v>252</v>
      </c>
      <c r="I58" s="6">
        <v>46313.918749999997</v>
      </c>
      <c r="J58" s="1" t="s">
        <v>41</v>
      </c>
      <c r="K58" s="6">
        <v>46313.917361111111</v>
      </c>
      <c r="L58" s="5">
        <v>36</v>
      </c>
      <c r="M58" s="4"/>
      <c r="N58" s="1"/>
      <c r="O58" s="6">
        <v>46313.915972222225</v>
      </c>
      <c r="P58" s="1" t="s">
        <v>43</v>
      </c>
      <c r="Q58" s="1" t="s">
        <v>159</v>
      </c>
      <c r="R58" s="1" t="s">
        <v>253</v>
      </c>
      <c r="S58" s="5">
        <v>4247</v>
      </c>
      <c r="T58" s="1" t="s">
        <v>41</v>
      </c>
      <c r="U58" s="6">
        <v>46313.921527777777</v>
      </c>
      <c r="V58" s="6">
        <v>46313.92083333333</v>
      </c>
      <c r="W58" s="7" t="s">
        <v>254</v>
      </c>
      <c r="X58" s="5">
        <v>22411</v>
      </c>
      <c r="Y58" s="4"/>
      <c r="Z58" s="5">
        <v>0</v>
      </c>
      <c r="AA58" s="8">
        <v>0.91805555555555551</v>
      </c>
      <c r="AB58" s="5">
        <v>3</v>
      </c>
      <c r="AC58" s="1" t="s">
        <v>41</v>
      </c>
      <c r="AD58" s="9" t="str">
        <f t="shared" si="0"/>
        <v>Actual</v>
      </c>
      <c r="AE58" s="9" t="str">
        <f t="shared" si="1"/>
        <v>TMK7</v>
      </c>
      <c r="AF58" s="9">
        <f>HOUR(O58)</f>
        <v>21</v>
      </c>
      <c r="AG58" s="9">
        <f>DAY(O58)</f>
        <v>18</v>
      </c>
      <c r="AH58" s="9">
        <f>IFERROR((I58-K58)*24*60,0)</f>
        <v>1.9999999960418791</v>
      </c>
      <c r="AI58" s="9">
        <f t="shared" si="2"/>
        <v>1.9999999960418791</v>
      </c>
      <c r="AJ58" s="9">
        <f>C58</f>
        <v>918</v>
      </c>
      <c r="AK58" s="9">
        <f>IF(P58="completed",((V58-K58)*24*60),0)</f>
        <v>4.9999999953433871</v>
      </c>
      <c r="AL58" s="9">
        <f>IF(P58="completed",((U58-K58)*24*60),0)</f>
        <v>5.9999999986030161</v>
      </c>
      <c r="AM58" s="9" t="str">
        <f t="shared" si="3"/>
        <v>OTP Achieved</v>
      </c>
      <c r="AN58" s="9" t="str">
        <f t="shared" si="4"/>
        <v>OTP Achieved</v>
      </c>
      <c r="AO58" s="9"/>
    </row>
    <row r="59" spans="1:41" ht="16">
      <c r="A59" s="3" t="s">
        <v>47</v>
      </c>
      <c r="B59" s="6">
        <v>46313.916666666664</v>
      </c>
      <c r="C59" s="5">
        <v>2069</v>
      </c>
      <c r="D59" s="1" t="s">
        <v>41</v>
      </c>
      <c r="E59" s="5">
        <v>7</v>
      </c>
      <c r="F59" s="1" t="s">
        <v>41</v>
      </c>
      <c r="G59" s="1" t="s">
        <v>41</v>
      </c>
      <c r="H59" s="1" t="s">
        <v>255</v>
      </c>
      <c r="I59" s="6">
        <v>46313.917361111111</v>
      </c>
      <c r="J59" s="1" t="s">
        <v>41</v>
      </c>
      <c r="K59" s="6">
        <v>46313.916666666664</v>
      </c>
      <c r="L59" s="5">
        <v>28</v>
      </c>
      <c r="M59" s="4"/>
      <c r="N59" s="1"/>
      <c r="O59" s="6">
        <v>46313.915277777778</v>
      </c>
      <c r="P59" s="1" t="s">
        <v>43</v>
      </c>
      <c r="Q59" s="1" t="s">
        <v>49</v>
      </c>
      <c r="R59" s="1" t="s">
        <v>256</v>
      </c>
      <c r="S59" s="5">
        <v>4247</v>
      </c>
      <c r="T59" s="1" t="s">
        <v>41</v>
      </c>
      <c r="U59" s="6">
        <v>46313.922222222223</v>
      </c>
      <c r="V59" s="6">
        <v>46313.921527777777</v>
      </c>
      <c r="W59" s="7" t="s">
        <v>257</v>
      </c>
      <c r="X59" s="5">
        <v>22411</v>
      </c>
      <c r="Y59" s="4"/>
      <c r="Z59" s="5">
        <v>0</v>
      </c>
      <c r="AA59" s="8">
        <v>0.91666666666666663</v>
      </c>
      <c r="AB59" s="5">
        <v>7</v>
      </c>
      <c r="AC59" s="1" t="s">
        <v>41</v>
      </c>
      <c r="AD59" s="9" t="str">
        <f t="shared" si="0"/>
        <v>Actual</v>
      </c>
      <c r="AE59" s="9" t="str">
        <f t="shared" si="1"/>
        <v>TMK7</v>
      </c>
      <c r="AF59" s="9">
        <f>HOUR(O59)</f>
        <v>21</v>
      </c>
      <c r="AG59" s="9">
        <f>DAY(O59)</f>
        <v>18</v>
      </c>
      <c r="AH59" s="9">
        <f>IFERROR((I59-K59)*24*60,0)</f>
        <v>1.000000003259629</v>
      </c>
      <c r="AI59" s="9">
        <f t="shared" si="2"/>
        <v>1.000000003259629</v>
      </c>
      <c r="AJ59" s="9">
        <f>C59</f>
        <v>2069</v>
      </c>
      <c r="AK59" s="9">
        <f>IF(P59="completed",((V59-K59)*24*60),0)</f>
        <v>7.0000000018626451</v>
      </c>
      <c r="AL59" s="9">
        <f>IF(P59="completed",((U59-K59)*24*60),0)</f>
        <v>8.0000000051222742</v>
      </c>
      <c r="AM59" s="9" t="str">
        <f t="shared" si="3"/>
        <v>OTP Achieved</v>
      </c>
      <c r="AN59" s="9" t="str">
        <f t="shared" si="4"/>
        <v>OTP Achieved</v>
      </c>
      <c r="AO59" s="9"/>
    </row>
    <row r="60" spans="1:41" ht="16">
      <c r="A60" s="3" t="s">
        <v>125</v>
      </c>
      <c r="B60" s="6">
        <v>46313.915972222225</v>
      </c>
      <c r="C60" s="5">
        <v>887</v>
      </c>
      <c r="D60" s="1" t="s">
        <v>41</v>
      </c>
      <c r="E60" s="5">
        <v>4</v>
      </c>
      <c r="F60" s="1" t="s">
        <v>41</v>
      </c>
      <c r="G60" s="1" t="s">
        <v>41</v>
      </c>
      <c r="H60" s="1" t="s">
        <v>258</v>
      </c>
      <c r="I60" s="6">
        <v>46313.916666666664</v>
      </c>
      <c r="J60" s="1" t="s">
        <v>41</v>
      </c>
      <c r="K60" s="6">
        <v>46313.916666666664</v>
      </c>
      <c r="L60" s="5">
        <v>22</v>
      </c>
      <c r="M60" s="4"/>
      <c r="N60" s="1"/>
      <c r="O60" s="6">
        <v>46313.914583333331</v>
      </c>
      <c r="P60" s="1" t="s">
        <v>43</v>
      </c>
      <c r="Q60" s="1" t="s">
        <v>127</v>
      </c>
      <c r="R60" s="1" t="s">
        <v>259</v>
      </c>
      <c r="S60" s="5">
        <v>4247</v>
      </c>
      <c r="T60" s="1" t="s">
        <v>41</v>
      </c>
      <c r="U60" s="6">
        <v>46313.918749999997</v>
      </c>
      <c r="V60" s="6">
        <v>46313.919444444444</v>
      </c>
      <c r="W60" s="7" t="s">
        <v>260</v>
      </c>
      <c r="X60" s="5">
        <v>22411</v>
      </c>
      <c r="Y60" s="4"/>
      <c r="Z60" s="5">
        <v>0</v>
      </c>
      <c r="AA60" s="8">
        <v>0.91597222222222219</v>
      </c>
      <c r="AB60" s="5">
        <v>4</v>
      </c>
      <c r="AC60" s="1" t="s">
        <v>41</v>
      </c>
      <c r="AD60" s="9" t="str">
        <f t="shared" si="0"/>
        <v>Actual</v>
      </c>
      <c r="AE60" s="9" t="str">
        <f t="shared" si="1"/>
        <v>TMK7</v>
      </c>
      <c r="AF60" s="9">
        <f>HOUR(O60)</f>
        <v>21</v>
      </c>
      <c r="AG60" s="9">
        <f>DAY(O60)</f>
        <v>18</v>
      </c>
      <c r="AH60" s="9">
        <f>IFERROR((I60-K60)*24*60,0)</f>
        <v>0</v>
      </c>
      <c r="AI60" s="9">
        <f t="shared" si="2"/>
        <v>0</v>
      </c>
      <c r="AJ60" s="9">
        <f>C60</f>
        <v>887</v>
      </c>
      <c r="AK60" s="9">
        <f>IF(P60="completed",((V60-K60)*24*60),0)</f>
        <v>4.0000000025611371</v>
      </c>
      <c r="AL60" s="9">
        <f>IF(P60="completed",((U60-K60)*24*60),0)</f>
        <v>2.9999999993015081</v>
      </c>
      <c r="AM60" s="9" t="str">
        <f t="shared" si="3"/>
        <v>OTP Breached</v>
      </c>
      <c r="AN60" s="9" t="str">
        <f t="shared" si="4"/>
        <v>OTP Achieved</v>
      </c>
      <c r="AO60" s="9"/>
    </row>
    <row r="61" spans="1:41" ht="16">
      <c r="A61" s="3" t="s">
        <v>93</v>
      </c>
      <c r="B61" s="6">
        <v>46313.915972222225</v>
      </c>
      <c r="C61" s="5">
        <v>2829</v>
      </c>
      <c r="D61" s="1" t="s">
        <v>41</v>
      </c>
      <c r="E61" s="5">
        <v>8</v>
      </c>
      <c r="F61" s="1" t="s">
        <v>41</v>
      </c>
      <c r="G61" s="1" t="s">
        <v>41</v>
      </c>
      <c r="H61" s="1" t="s">
        <v>261</v>
      </c>
      <c r="I61" s="6">
        <v>46313.916666666664</v>
      </c>
      <c r="J61" s="1" t="s">
        <v>41</v>
      </c>
      <c r="K61" s="6">
        <v>46313.915972222225</v>
      </c>
      <c r="L61" s="5">
        <v>36</v>
      </c>
      <c r="M61" s="4"/>
      <c r="N61" s="1"/>
      <c r="O61" s="6">
        <v>46313.914583333331</v>
      </c>
      <c r="P61" s="1" t="s">
        <v>43</v>
      </c>
      <c r="Q61" s="1" t="s">
        <v>95</v>
      </c>
      <c r="R61" s="1" t="s">
        <v>262</v>
      </c>
      <c r="S61" s="5">
        <v>4247</v>
      </c>
      <c r="T61" s="1" t="s">
        <v>41</v>
      </c>
      <c r="U61" s="6">
        <v>46313.924305555556</v>
      </c>
      <c r="V61" s="6">
        <v>46313.921527777777</v>
      </c>
      <c r="W61" s="7" t="s">
        <v>263</v>
      </c>
      <c r="X61" s="5">
        <v>22411</v>
      </c>
      <c r="Y61" s="4"/>
      <c r="Z61" s="5">
        <v>0</v>
      </c>
      <c r="AA61" s="8">
        <v>0.91597222222222219</v>
      </c>
      <c r="AB61" s="5">
        <v>8</v>
      </c>
      <c r="AC61" s="1" t="s">
        <v>41</v>
      </c>
      <c r="AD61" s="9" t="str">
        <f t="shared" si="0"/>
        <v>Actual</v>
      </c>
      <c r="AE61" s="9" t="str">
        <f t="shared" si="1"/>
        <v>TMK7</v>
      </c>
      <c r="AF61" s="9">
        <f>HOUR(O61)</f>
        <v>21</v>
      </c>
      <c r="AG61" s="9">
        <f>DAY(O61)</f>
        <v>18</v>
      </c>
      <c r="AH61" s="9">
        <f>IFERROR((I61-K61)*24*60,0)</f>
        <v>0.99999999278225005</v>
      </c>
      <c r="AI61" s="9">
        <f t="shared" si="2"/>
        <v>0.99999999278225005</v>
      </c>
      <c r="AJ61" s="9">
        <f>C61</f>
        <v>2829</v>
      </c>
      <c r="AK61" s="9">
        <f>IF(P61="completed",((V61-K61)*24*60),0)</f>
        <v>7.9999999946448952</v>
      </c>
      <c r="AL61" s="9">
        <f>IF(P61="completed",((U61-K61)*24*60),0)</f>
        <v>11.999999997206032</v>
      </c>
      <c r="AM61" s="9" t="str">
        <f t="shared" si="3"/>
        <v>OTP Achieved</v>
      </c>
      <c r="AN61" s="9" t="str">
        <f t="shared" si="4"/>
        <v>OTP Achieved</v>
      </c>
      <c r="AO61" s="9"/>
    </row>
    <row r="62" spans="1:41" ht="16">
      <c r="A62" s="3" t="s">
        <v>57</v>
      </c>
      <c r="B62" s="6">
        <v>46313.915277777778</v>
      </c>
      <c r="C62" s="5">
        <v>1552</v>
      </c>
      <c r="D62" s="1" t="s">
        <v>41</v>
      </c>
      <c r="E62" s="5">
        <v>5</v>
      </c>
      <c r="F62" s="1" t="s">
        <v>41</v>
      </c>
      <c r="G62" s="1" t="s">
        <v>41</v>
      </c>
      <c r="H62" s="1" t="s">
        <v>264</v>
      </c>
      <c r="I62" s="6">
        <v>46313.915972222225</v>
      </c>
      <c r="J62" s="1" t="s">
        <v>41</v>
      </c>
      <c r="K62" s="6">
        <v>46313.915972222225</v>
      </c>
      <c r="L62" s="5">
        <v>15</v>
      </c>
      <c r="M62" s="4"/>
      <c r="N62" s="1"/>
      <c r="O62" s="6">
        <v>46313.913888888892</v>
      </c>
      <c r="P62" s="1" t="s">
        <v>43</v>
      </c>
      <c r="Q62" s="1" t="s">
        <v>59</v>
      </c>
      <c r="R62" s="1" t="s">
        <v>265</v>
      </c>
      <c r="S62" s="5">
        <v>4247</v>
      </c>
      <c r="T62" s="1" t="s">
        <v>41</v>
      </c>
      <c r="U62" s="6">
        <v>46313.921527777777</v>
      </c>
      <c r="V62" s="6">
        <v>46313.918749999997</v>
      </c>
      <c r="W62" s="7" t="s">
        <v>266</v>
      </c>
      <c r="X62" s="5">
        <v>22411</v>
      </c>
      <c r="Y62" s="4"/>
      <c r="Z62" s="5">
        <v>0</v>
      </c>
      <c r="AA62" s="8">
        <v>0.9145833333333333</v>
      </c>
      <c r="AB62" s="5">
        <v>4</v>
      </c>
      <c r="AC62" s="1" t="s">
        <v>41</v>
      </c>
      <c r="AD62" s="9" t="str">
        <f t="shared" si="0"/>
        <v>Actual</v>
      </c>
      <c r="AE62" s="9" t="str">
        <f t="shared" si="1"/>
        <v>TMK7</v>
      </c>
      <c r="AF62" s="9">
        <f>HOUR(O62)</f>
        <v>21</v>
      </c>
      <c r="AG62" s="9">
        <f>DAY(O62)</f>
        <v>18</v>
      </c>
      <c r="AH62" s="9">
        <f>IFERROR((I62-K62)*24*60,0)</f>
        <v>0</v>
      </c>
      <c r="AI62" s="9">
        <f t="shared" si="2"/>
        <v>0</v>
      </c>
      <c r="AJ62" s="9">
        <f>C62</f>
        <v>1552</v>
      </c>
      <c r="AK62" s="9">
        <f>IF(P62="completed",((V62-K62)*24*60),0)</f>
        <v>3.9999999920837581</v>
      </c>
      <c r="AL62" s="9">
        <f>IF(P62="completed",((U62-K62)*24*60),0)</f>
        <v>7.9999999946448952</v>
      </c>
      <c r="AM62" s="9" t="str">
        <f t="shared" si="3"/>
        <v>OTP Achieved</v>
      </c>
      <c r="AN62" s="9" t="str">
        <f t="shared" si="4"/>
        <v>OTP Achieved</v>
      </c>
      <c r="AO62" s="9"/>
    </row>
    <row r="63" spans="1:41" ht="16">
      <c r="A63" s="3" t="s">
        <v>98</v>
      </c>
      <c r="B63" s="6">
        <v>46313.913888888892</v>
      </c>
      <c r="C63" s="5">
        <v>4033</v>
      </c>
      <c r="D63" s="1" t="s">
        <v>41</v>
      </c>
      <c r="E63" s="5">
        <v>11</v>
      </c>
      <c r="F63" s="1" t="s">
        <v>41</v>
      </c>
      <c r="G63" s="1" t="s">
        <v>41</v>
      </c>
      <c r="H63" s="1" t="s">
        <v>267</v>
      </c>
      <c r="I63" s="6">
        <v>46313.915972222225</v>
      </c>
      <c r="J63" s="1" t="s">
        <v>41</v>
      </c>
      <c r="K63" s="6">
        <v>46313.915277777778</v>
      </c>
      <c r="L63" s="5">
        <v>20</v>
      </c>
      <c r="M63" s="4"/>
      <c r="N63" s="1"/>
      <c r="O63" s="6">
        <v>46313.912499999999</v>
      </c>
      <c r="P63" s="1" t="s">
        <v>43</v>
      </c>
      <c r="Q63" s="1" t="s">
        <v>100</v>
      </c>
      <c r="R63" s="1" t="s">
        <v>268</v>
      </c>
      <c r="S63" s="5">
        <v>4247</v>
      </c>
      <c r="T63" s="1" t="s">
        <v>41</v>
      </c>
      <c r="U63" s="6">
        <v>46313.925694444442</v>
      </c>
      <c r="V63" s="6">
        <v>46313.92291666667</v>
      </c>
      <c r="W63" s="7" t="s">
        <v>269</v>
      </c>
      <c r="X63" s="5">
        <v>22411</v>
      </c>
      <c r="Y63" s="4"/>
      <c r="Z63" s="5">
        <v>0</v>
      </c>
      <c r="AA63" s="8">
        <v>0.91388888888888886</v>
      </c>
      <c r="AB63" s="5">
        <v>10</v>
      </c>
      <c r="AC63" s="1" t="s">
        <v>41</v>
      </c>
      <c r="AD63" s="9" t="str">
        <f t="shared" si="0"/>
        <v>Actual</v>
      </c>
      <c r="AE63" s="9" t="str">
        <f t="shared" si="1"/>
        <v>TMK7</v>
      </c>
      <c r="AF63" s="9">
        <f>HOUR(O63)</f>
        <v>21</v>
      </c>
      <c r="AG63" s="9">
        <f>DAY(O63)</f>
        <v>18</v>
      </c>
      <c r="AH63" s="9">
        <f>IFERROR((I63-K63)*24*60,0)</f>
        <v>1.000000003259629</v>
      </c>
      <c r="AI63" s="9">
        <f t="shared" si="2"/>
        <v>1.000000003259629</v>
      </c>
      <c r="AJ63" s="9">
        <f>C63</f>
        <v>4033</v>
      </c>
      <c r="AK63" s="9">
        <f>IF(P63="completed",((V63-K63)*24*60),0)</f>
        <v>11.000000004423782</v>
      </c>
      <c r="AL63" s="9">
        <f>IF(P63="completed",((U63-K63)*24*60),0)</f>
        <v>14.99999999650754</v>
      </c>
      <c r="AM63" s="9" t="str">
        <f t="shared" si="3"/>
        <v>OTP Achieved</v>
      </c>
      <c r="AN63" s="9" t="str">
        <f t="shared" si="4"/>
        <v>OTP Achieved</v>
      </c>
      <c r="AO63" s="9"/>
    </row>
    <row r="64" spans="1:41" ht="16">
      <c r="A64" s="3" t="s">
        <v>117</v>
      </c>
      <c r="B64" s="6">
        <v>46313.913194444445</v>
      </c>
      <c r="C64" s="5">
        <v>1021</v>
      </c>
      <c r="D64" s="1" t="s">
        <v>41</v>
      </c>
      <c r="E64" s="5">
        <v>5</v>
      </c>
      <c r="F64" s="1" t="s">
        <v>41</v>
      </c>
      <c r="G64" s="1" t="s">
        <v>41</v>
      </c>
      <c r="H64" s="1" t="s">
        <v>270</v>
      </c>
      <c r="I64" s="6">
        <v>46313.915277777778</v>
      </c>
      <c r="J64" s="1" t="s">
        <v>41</v>
      </c>
      <c r="K64" s="6">
        <v>46313.914583333331</v>
      </c>
      <c r="L64" s="5">
        <v>33</v>
      </c>
      <c r="M64" s="4"/>
      <c r="N64" s="1"/>
      <c r="O64" s="6">
        <v>46313.912499999999</v>
      </c>
      <c r="P64" s="1" t="s">
        <v>43</v>
      </c>
      <c r="Q64" s="1" t="s">
        <v>119</v>
      </c>
      <c r="R64" s="1" t="s">
        <v>271</v>
      </c>
      <c r="S64" s="5">
        <v>4247</v>
      </c>
      <c r="T64" s="1" t="s">
        <v>41</v>
      </c>
      <c r="U64" s="6">
        <v>46313.918055555558</v>
      </c>
      <c r="V64" s="6">
        <v>46313.918055555558</v>
      </c>
      <c r="W64" s="7" t="s">
        <v>272</v>
      </c>
      <c r="X64" s="5">
        <v>22411</v>
      </c>
      <c r="Y64" s="4"/>
      <c r="Z64" s="5">
        <v>0</v>
      </c>
      <c r="AA64" s="8">
        <v>0.91319444444444442</v>
      </c>
      <c r="AB64" s="5">
        <v>4</v>
      </c>
      <c r="AC64" s="1" t="s">
        <v>41</v>
      </c>
      <c r="AD64" s="9" t="str">
        <f t="shared" si="0"/>
        <v>Actual</v>
      </c>
      <c r="AE64" s="9" t="str">
        <f t="shared" si="1"/>
        <v>TMK7</v>
      </c>
      <c r="AF64" s="9">
        <f>HOUR(O64)</f>
        <v>21</v>
      </c>
      <c r="AG64" s="9">
        <f>DAY(O64)</f>
        <v>18</v>
      </c>
      <c r="AH64" s="9">
        <f>IFERROR((I64-K64)*24*60,0)</f>
        <v>1.000000003259629</v>
      </c>
      <c r="AI64" s="9">
        <f t="shared" si="2"/>
        <v>1.000000003259629</v>
      </c>
      <c r="AJ64" s="9">
        <f>C64</f>
        <v>1021</v>
      </c>
      <c r="AK64" s="9">
        <f>IF(P64="completed",((V64-K64)*24*60),0)</f>
        <v>5.0000000058207661</v>
      </c>
      <c r="AL64" s="9">
        <f>IF(P64="completed",((U64-K64)*24*60),0)</f>
        <v>5.0000000058207661</v>
      </c>
      <c r="AM64" s="9" t="str">
        <f t="shared" si="3"/>
        <v>OTP Breached</v>
      </c>
      <c r="AN64" s="9" t="str">
        <f t="shared" si="4"/>
        <v>OTP Achieved</v>
      </c>
      <c r="AO64" s="9"/>
    </row>
    <row r="65" spans="1:41" ht="16">
      <c r="A65" s="3" t="s">
        <v>157</v>
      </c>
      <c r="B65" s="6">
        <v>46313.911805555559</v>
      </c>
      <c r="C65" s="5">
        <v>204</v>
      </c>
      <c r="D65" s="1" t="s">
        <v>41</v>
      </c>
      <c r="E65" s="5">
        <v>0</v>
      </c>
      <c r="F65" s="1" t="s">
        <v>41</v>
      </c>
      <c r="G65" s="1" t="s">
        <v>41</v>
      </c>
      <c r="H65" s="1" t="s">
        <v>273</v>
      </c>
      <c r="I65" s="6">
        <v>46313.913194444445</v>
      </c>
      <c r="J65" s="1" t="s">
        <v>41</v>
      </c>
      <c r="K65" s="6">
        <v>46313.912499999999</v>
      </c>
      <c r="L65" s="5">
        <v>24</v>
      </c>
      <c r="M65" s="4"/>
      <c r="N65" s="1"/>
      <c r="O65" s="6">
        <v>46313.911805555559</v>
      </c>
      <c r="P65" s="1" t="s">
        <v>43</v>
      </c>
      <c r="Q65" s="1" t="s">
        <v>159</v>
      </c>
      <c r="R65" s="1" t="s">
        <v>274</v>
      </c>
      <c r="S65" s="5">
        <v>4247</v>
      </c>
      <c r="T65" s="1" t="s">
        <v>41</v>
      </c>
      <c r="U65" s="6">
        <v>46313.913888888892</v>
      </c>
      <c r="V65" s="6">
        <v>46313.913194444445</v>
      </c>
      <c r="W65" s="7" t="s">
        <v>275</v>
      </c>
      <c r="X65" s="5">
        <v>22411</v>
      </c>
      <c r="Y65" s="4"/>
      <c r="Z65" s="5">
        <v>0</v>
      </c>
      <c r="AA65" s="8">
        <v>0.91180555555555554</v>
      </c>
      <c r="AB65" s="5">
        <v>0</v>
      </c>
      <c r="AC65" s="1" t="s">
        <v>41</v>
      </c>
      <c r="AD65" s="9" t="str">
        <f t="shared" si="0"/>
        <v>Actual</v>
      </c>
      <c r="AE65" s="9" t="str">
        <f t="shared" si="1"/>
        <v>TMK7</v>
      </c>
      <c r="AF65" s="9">
        <f>HOUR(O65)</f>
        <v>21</v>
      </c>
      <c r="AG65" s="9">
        <f>DAY(O65)</f>
        <v>18</v>
      </c>
      <c r="AH65" s="9">
        <f>IFERROR((I65-K65)*24*60,0)</f>
        <v>1.000000003259629</v>
      </c>
      <c r="AI65" s="9">
        <f t="shared" si="2"/>
        <v>1.000000003259629</v>
      </c>
      <c r="AJ65" s="9">
        <f>C65</f>
        <v>204</v>
      </c>
      <c r="AK65" s="9">
        <f>IF(P65="completed",((V65-K65)*24*60),0)</f>
        <v>1.000000003259629</v>
      </c>
      <c r="AL65" s="9">
        <f>IF(P65="completed",((U65-K65)*24*60),0)</f>
        <v>2.000000006519258</v>
      </c>
      <c r="AM65" s="9" t="str">
        <f t="shared" si="3"/>
        <v>OTP Achieved</v>
      </c>
      <c r="AN65" s="9" t="str">
        <f t="shared" si="4"/>
        <v>OTP Achieved</v>
      </c>
      <c r="AO65" s="9"/>
    </row>
    <row r="66" spans="1:41" ht="16">
      <c r="A66" s="3" t="s">
        <v>106</v>
      </c>
      <c r="B66" s="6">
        <v>46313.911805555559</v>
      </c>
      <c r="C66" s="5">
        <v>1877</v>
      </c>
      <c r="D66" s="1" t="s">
        <v>41</v>
      </c>
      <c r="E66" s="5">
        <v>6</v>
      </c>
      <c r="F66" s="1" t="s">
        <v>41</v>
      </c>
      <c r="G66" s="1" t="s">
        <v>41</v>
      </c>
      <c r="H66" s="1" t="s">
        <v>276</v>
      </c>
      <c r="I66" s="6">
        <v>46313.912499999999</v>
      </c>
      <c r="J66" s="1" t="s">
        <v>41</v>
      </c>
      <c r="K66" s="6">
        <v>46313.912499999999</v>
      </c>
      <c r="L66" s="5">
        <v>33</v>
      </c>
      <c r="M66" s="4"/>
      <c r="N66" s="1"/>
      <c r="O66" s="6">
        <v>46313.911805555559</v>
      </c>
      <c r="P66" s="1" t="s">
        <v>43</v>
      </c>
      <c r="Q66" s="1" t="s">
        <v>108</v>
      </c>
      <c r="R66" s="1" t="s">
        <v>277</v>
      </c>
      <c r="S66" s="5">
        <v>4247</v>
      </c>
      <c r="T66" s="1" t="s">
        <v>41</v>
      </c>
      <c r="U66" s="6">
        <v>46313.917361111111</v>
      </c>
      <c r="V66" s="6">
        <v>46313.916666666664</v>
      </c>
      <c r="W66" s="7" t="s">
        <v>278</v>
      </c>
      <c r="X66" s="5">
        <v>22411</v>
      </c>
      <c r="Y66" s="4"/>
      <c r="Z66" s="5">
        <v>0</v>
      </c>
      <c r="AA66" s="8">
        <v>0.91180555555555554</v>
      </c>
      <c r="AB66" s="5">
        <v>5</v>
      </c>
      <c r="AC66" s="1" t="s">
        <v>41</v>
      </c>
      <c r="AD66" s="9" t="str">
        <f t="shared" si="0"/>
        <v>Actual</v>
      </c>
      <c r="AE66" s="9" t="str">
        <f t="shared" si="1"/>
        <v>TMK7</v>
      </c>
      <c r="AF66" s="9">
        <f>HOUR(O66)</f>
        <v>21</v>
      </c>
      <c r="AG66" s="9">
        <f>DAY(O66)</f>
        <v>18</v>
      </c>
      <c r="AH66" s="9">
        <f>IFERROR((I66-K66)*24*60,0)</f>
        <v>0</v>
      </c>
      <c r="AI66" s="9">
        <f t="shared" si="2"/>
        <v>0</v>
      </c>
      <c r="AJ66" s="9">
        <f>C66</f>
        <v>1877</v>
      </c>
      <c r="AK66" s="9">
        <f>IF(P66="completed",((V66-K66)*24*60),0)</f>
        <v>5.9999999986030161</v>
      </c>
      <c r="AL66" s="9">
        <f>IF(P66="completed",((U66-K66)*24*60),0)</f>
        <v>7.0000000018626451</v>
      </c>
      <c r="AM66" s="9" t="str">
        <f t="shared" si="3"/>
        <v>OTP Achieved</v>
      </c>
      <c r="AN66" s="9" t="str">
        <f t="shared" si="4"/>
        <v>OTP Achieved</v>
      </c>
      <c r="AO66" s="9"/>
    </row>
    <row r="67" spans="1:41" ht="16">
      <c r="A67" s="3" t="s">
        <v>77</v>
      </c>
      <c r="B67" s="6">
        <v>46313.911111111112</v>
      </c>
      <c r="C67" s="5">
        <v>266</v>
      </c>
      <c r="D67" s="1" t="s">
        <v>41</v>
      </c>
      <c r="E67" s="5">
        <v>1</v>
      </c>
      <c r="F67" s="1" t="s">
        <v>41</v>
      </c>
      <c r="G67" s="1" t="s">
        <v>41</v>
      </c>
      <c r="H67" s="1" t="s">
        <v>279</v>
      </c>
      <c r="I67" s="6">
        <v>46313.913194444445</v>
      </c>
      <c r="J67" s="1" t="s">
        <v>41</v>
      </c>
      <c r="K67" s="6">
        <v>46313.912499999999</v>
      </c>
      <c r="L67" s="5">
        <v>46</v>
      </c>
      <c r="M67" s="4"/>
      <c r="N67" s="1"/>
      <c r="O67" s="6">
        <v>46313.911111111112</v>
      </c>
      <c r="P67" s="1" t="s">
        <v>43</v>
      </c>
      <c r="Q67" s="1" t="s">
        <v>79</v>
      </c>
      <c r="R67" s="1" t="s">
        <v>280</v>
      </c>
      <c r="S67" s="5">
        <v>4247</v>
      </c>
      <c r="T67" s="1" t="s">
        <v>41</v>
      </c>
      <c r="U67" s="6">
        <v>46313.914583333331</v>
      </c>
      <c r="V67" s="6">
        <v>46313.913194444445</v>
      </c>
      <c r="W67" s="7" t="s">
        <v>281</v>
      </c>
      <c r="X67" s="5">
        <v>22411</v>
      </c>
      <c r="Y67" s="4"/>
      <c r="Z67" s="5">
        <v>0</v>
      </c>
      <c r="AA67" s="8">
        <v>0.91111111111111109</v>
      </c>
      <c r="AB67" s="5">
        <v>0</v>
      </c>
      <c r="AC67" s="1" t="s">
        <v>41</v>
      </c>
      <c r="AD67" s="9" t="str">
        <f t="shared" si="0"/>
        <v>Actual</v>
      </c>
      <c r="AE67" s="9" t="str">
        <f t="shared" si="1"/>
        <v>TMK7</v>
      </c>
      <c r="AF67" s="9">
        <f>HOUR(O67)</f>
        <v>21</v>
      </c>
      <c r="AG67" s="9">
        <f>DAY(O67)</f>
        <v>18</v>
      </c>
      <c r="AH67" s="9">
        <f>IFERROR((I67-K67)*24*60,0)</f>
        <v>1.000000003259629</v>
      </c>
      <c r="AI67" s="9">
        <f t="shared" si="2"/>
        <v>1.000000003259629</v>
      </c>
      <c r="AJ67" s="9">
        <f>C67</f>
        <v>266</v>
      </c>
      <c r="AK67" s="9">
        <f>IF(P67="completed",((V67-K67)*24*60),0)</f>
        <v>1.000000003259629</v>
      </c>
      <c r="AL67" s="9">
        <f>IF(P67="completed",((U67-K67)*24*60),0)</f>
        <v>2.9999999993015081</v>
      </c>
      <c r="AM67" s="9" t="str">
        <f t="shared" si="3"/>
        <v>OTP Achieved</v>
      </c>
      <c r="AN67" s="9" t="str">
        <f t="shared" si="4"/>
        <v>OTP Achieved</v>
      </c>
      <c r="AO67" s="9"/>
    </row>
    <row r="68" spans="1:41" ht="16">
      <c r="A68" s="3" t="s">
        <v>125</v>
      </c>
      <c r="B68" s="6">
        <v>46313.909722222219</v>
      </c>
      <c r="C68" s="5">
        <v>240</v>
      </c>
      <c r="D68" s="1" t="s">
        <v>41</v>
      </c>
      <c r="E68" s="5">
        <v>1</v>
      </c>
      <c r="F68" s="1" t="s">
        <v>41</v>
      </c>
      <c r="G68" s="1" t="s">
        <v>41</v>
      </c>
      <c r="H68" s="1" t="s">
        <v>282</v>
      </c>
      <c r="I68" s="6">
        <v>46313.910416666666</v>
      </c>
      <c r="J68" s="1" t="s">
        <v>41</v>
      </c>
      <c r="K68" s="6">
        <v>46313.90902777778</v>
      </c>
      <c r="L68" s="5">
        <v>26</v>
      </c>
      <c r="M68" s="4"/>
      <c r="N68" s="1"/>
      <c r="O68" s="6">
        <v>46313.908333333333</v>
      </c>
      <c r="P68" s="1" t="s">
        <v>43</v>
      </c>
      <c r="Q68" s="1" t="s">
        <v>127</v>
      </c>
      <c r="R68" s="1" t="s">
        <v>283</v>
      </c>
      <c r="S68" s="5">
        <v>4247</v>
      </c>
      <c r="T68" s="1" t="s">
        <v>41</v>
      </c>
      <c r="U68" s="6">
        <v>46313.911805555559</v>
      </c>
      <c r="V68" s="6">
        <v>46313.910416666666</v>
      </c>
      <c r="W68" s="7" t="s">
        <v>284</v>
      </c>
      <c r="X68" s="5">
        <v>22411</v>
      </c>
      <c r="Y68" s="10"/>
      <c r="Z68" s="5">
        <v>0</v>
      </c>
      <c r="AA68" s="8">
        <v>0.90972222222222221</v>
      </c>
      <c r="AB68" s="5">
        <v>0</v>
      </c>
      <c r="AC68" s="1" t="s">
        <v>41</v>
      </c>
      <c r="AD68" s="9" t="str">
        <f t="shared" si="0"/>
        <v>Actual</v>
      </c>
      <c r="AE68" s="9" t="str">
        <f t="shared" si="1"/>
        <v>TMK7</v>
      </c>
      <c r="AF68" s="9">
        <f>HOUR(O68)</f>
        <v>21</v>
      </c>
      <c r="AG68" s="9">
        <f>DAY(O68)</f>
        <v>18</v>
      </c>
      <c r="AH68" s="9">
        <f>IFERROR((I68-K68)*24*60,0)</f>
        <v>1.9999999960418791</v>
      </c>
      <c r="AI68" s="9">
        <f t="shared" si="2"/>
        <v>1.9999999960418791</v>
      </c>
      <c r="AJ68" s="9">
        <f>C68</f>
        <v>240</v>
      </c>
      <c r="AK68" s="9">
        <f>IF(P68="completed",((V68-K68)*24*60),0)</f>
        <v>1.9999999960418791</v>
      </c>
      <c r="AL68" s="9">
        <f>IF(P68="completed",((U68-K68)*24*60),0)</f>
        <v>4.0000000025611371</v>
      </c>
      <c r="AM68" s="9" t="str">
        <f t="shared" si="3"/>
        <v>OTP Achieved</v>
      </c>
      <c r="AN68" s="9" t="str">
        <f t="shared" si="4"/>
        <v>OTP Achieved</v>
      </c>
      <c r="AO68" s="9"/>
    </row>
    <row r="69" spans="1:41" ht="16">
      <c r="A69" s="3" t="s">
        <v>52</v>
      </c>
      <c r="B69" s="6">
        <v>46313.909722222219</v>
      </c>
      <c r="C69" s="5">
        <v>2235</v>
      </c>
      <c r="D69" s="1" t="s">
        <v>41</v>
      </c>
      <c r="E69" s="5">
        <v>7</v>
      </c>
      <c r="F69" s="1" t="s">
        <v>41</v>
      </c>
      <c r="G69" s="1" t="s">
        <v>41</v>
      </c>
      <c r="H69" s="1" t="s">
        <v>285</v>
      </c>
      <c r="I69" s="6">
        <v>46313.910416666666</v>
      </c>
      <c r="J69" s="1" t="s">
        <v>41</v>
      </c>
      <c r="K69" s="6">
        <v>46313.909722222219</v>
      </c>
      <c r="L69" s="5">
        <v>40</v>
      </c>
      <c r="M69" s="4"/>
      <c r="N69" s="1"/>
      <c r="O69" s="6">
        <v>46313.907638888886</v>
      </c>
      <c r="P69" s="1" t="s">
        <v>43</v>
      </c>
      <c r="Q69" s="1" t="s">
        <v>54</v>
      </c>
      <c r="R69" s="1" t="s">
        <v>286</v>
      </c>
      <c r="S69" s="5">
        <v>4247</v>
      </c>
      <c r="T69" s="1" t="s">
        <v>41</v>
      </c>
      <c r="U69" s="6">
        <v>46313.916666666664</v>
      </c>
      <c r="V69" s="6">
        <v>46313.914583333331</v>
      </c>
      <c r="W69" s="7" t="s">
        <v>287</v>
      </c>
      <c r="X69" s="5">
        <v>22411</v>
      </c>
      <c r="Y69" s="4"/>
      <c r="Z69" s="5">
        <v>0</v>
      </c>
      <c r="AA69" s="8">
        <v>0.90972222222222221</v>
      </c>
      <c r="AB69" s="5">
        <v>6</v>
      </c>
      <c r="AC69" s="1" t="s">
        <v>41</v>
      </c>
      <c r="AD69" s="9" t="str">
        <f t="shared" si="0"/>
        <v>Actual</v>
      </c>
      <c r="AE69" s="9" t="str">
        <f t="shared" si="1"/>
        <v>TMK7</v>
      </c>
      <c r="AF69" s="9">
        <f>HOUR(O69)</f>
        <v>21</v>
      </c>
      <c r="AG69" s="9">
        <f>DAY(O69)</f>
        <v>18</v>
      </c>
      <c r="AH69" s="9">
        <f>IFERROR((I69-K69)*24*60,0)</f>
        <v>1.000000003259629</v>
      </c>
      <c r="AI69" s="9">
        <f t="shared" si="2"/>
        <v>1.000000003259629</v>
      </c>
      <c r="AJ69" s="9">
        <f>C69</f>
        <v>2235</v>
      </c>
      <c r="AK69" s="9">
        <f>IF(P69="completed",((V69-K69)*24*60),0)</f>
        <v>7.0000000018626451</v>
      </c>
      <c r="AL69" s="9">
        <f>IF(P69="completed",((U69-K69)*24*60),0)</f>
        <v>10.000000001164153</v>
      </c>
      <c r="AM69" s="9" t="str">
        <f t="shared" si="3"/>
        <v>OTP Achieved</v>
      </c>
      <c r="AN69" s="9" t="str">
        <f t="shared" si="4"/>
        <v>OTP Achieved</v>
      </c>
      <c r="AO69" s="9"/>
    </row>
    <row r="70" spans="1:41" ht="16">
      <c r="A70" s="3" t="s">
        <v>185</v>
      </c>
      <c r="B70" s="6">
        <v>46313.90902777778</v>
      </c>
      <c r="C70" s="5">
        <v>1751</v>
      </c>
      <c r="D70" s="1" t="s">
        <v>41</v>
      </c>
      <c r="E70" s="5">
        <v>7</v>
      </c>
      <c r="F70" s="1" t="s">
        <v>41</v>
      </c>
      <c r="G70" s="1" t="s">
        <v>41</v>
      </c>
      <c r="H70" s="1" t="s">
        <v>288</v>
      </c>
      <c r="I70" s="6">
        <v>46313.909722222219</v>
      </c>
      <c r="J70" s="1" t="s">
        <v>41</v>
      </c>
      <c r="K70" s="6">
        <v>46313.908333333333</v>
      </c>
      <c r="L70" s="5">
        <v>43</v>
      </c>
      <c r="M70" s="4"/>
      <c r="N70" s="1"/>
      <c r="O70" s="6">
        <v>46313.906944444447</v>
      </c>
      <c r="P70" s="1" t="s">
        <v>43</v>
      </c>
      <c r="Q70" s="1" t="s">
        <v>187</v>
      </c>
      <c r="R70" s="1" t="s">
        <v>289</v>
      </c>
      <c r="S70" s="5">
        <v>4247</v>
      </c>
      <c r="T70" s="1" t="s">
        <v>41</v>
      </c>
      <c r="U70" s="6">
        <v>46313.913888888892</v>
      </c>
      <c r="V70" s="6">
        <v>46313.913888888892</v>
      </c>
      <c r="W70" s="7" t="s">
        <v>290</v>
      </c>
      <c r="X70" s="5">
        <v>22411</v>
      </c>
      <c r="Y70" s="10"/>
      <c r="Z70" s="5">
        <v>0</v>
      </c>
      <c r="AA70" s="8">
        <v>0.90902777777777777</v>
      </c>
      <c r="AB70" s="5">
        <v>7</v>
      </c>
      <c r="AC70" s="1" t="s">
        <v>41</v>
      </c>
      <c r="AD70" s="9" t="str">
        <f t="shared" si="0"/>
        <v>Actual</v>
      </c>
      <c r="AE70" s="9" t="str">
        <f t="shared" si="1"/>
        <v>TMK7</v>
      </c>
      <c r="AF70" s="9">
        <f>HOUR(O70)</f>
        <v>21</v>
      </c>
      <c r="AG70" s="9">
        <f>DAY(O70)</f>
        <v>18</v>
      </c>
      <c r="AH70" s="9">
        <f>IFERROR((I70-K70)*24*60,0)</f>
        <v>1.9999999960418791</v>
      </c>
      <c r="AI70" s="9">
        <f t="shared" si="2"/>
        <v>1.9999999960418791</v>
      </c>
      <c r="AJ70" s="9">
        <f>C70</f>
        <v>1751</v>
      </c>
      <c r="AK70" s="9">
        <f>IF(P70="completed",((V70-K70)*24*60),0)</f>
        <v>8.0000000051222742</v>
      </c>
      <c r="AL70" s="9">
        <f>IF(P70="completed",((U70-K70)*24*60),0)</f>
        <v>8.0000000051222742</v>
      </c>
      <c r="AM70" s="9" t="str">
        <f t="shared" si="3"/>
        <v>OTP Breached</v>
      </c>
      <c r="AN70" s="9" t="str">
        <f t="shared" si="4"/>
        <v>OTP Achieved</v>
      </c>
      <c r="AO70" s="9"/>
    </row>
    <row r="71" spans="1:41" ht="16">
      <c r="A71" s="3" t="s">
        <v>235</v>
      </c>
      <c r="B71" s="6">
        <v>46313.90902777778</v>
      </c>
      <c r="C71" s="5">
        <v>1252</v>
      </c>
      <c r="D71" s="1" t="s">
        <v>41</v>
      </c>
      <c r="E71" s="5">
        <v>9</v>
      </c>
      <c r="F71" s="1" t="s">
        <v>41</v>
      </c>
      <c r="G71" s="1" t="s">
        <v>41</v>
      </c>
      <c r="H71" s="1" t="s">
        <v>291</v>
      </c>
      <c r="I71" s="6">
        <v>46313.90902777778</v>
      </c>
      <c r="J71" s="1" t="s">
        <v>41</v>
      </c>
      <c r="K71" s="6">
        <v>46313.90902777778</v>
      </c>
      <c r="L71" s="5">
        <v>34</v>
      </c>
      <c r="M71" s="4"/>
      <c r="N71" s="1"/>
      <c r="O71" s="6">
        <v>46313.90625</v>
      </c>
      <c r="P71" s="1" t="s">
        <v>43</v>
      </c>
      <c r="Q71" s="1" t="s">
        <v>237</v>
      </c>
      <c r="R71" s="1" t="s">
        <v>292</v>
      </c>
      <c r="S71" s="5">
        <v>4247</v>
      </c>
      <c r="T71" s="1" t="s">
        <v>41</v>
      </c>
      <c r="U71" s="6">
        <v>46313.913194444445</v>
      </c>
      <c r="V71" s="6">
        <v>46313.915277777778</v>
      </c>
      <c r="W71" s="7" t="s">
        <v>293</v>
      </c>
      <c r="X71" s="5">
        <v>22411</v>
      </c>
      <c r="Y71" s="4"/>
      <c r="Z71" s="5">
        <v>0</v>
      </c>
      <c r="AA71" s="8">
        <v>0.90902777777777777</v>
      </c>
      <c r="AB71" s="5">
        <v>8</v>
      </c>
      <c r="AC71" s="1" t="s">
        <v>41</v>
      </c>
      <c r="AD71" s="9" t="str">
        <f t="shared" si="0"/>
        <v>Actual</v>
      </c>
      <c r="AE71" s="9" t="str">
        <f t="shared" si="1"/>
        <v>TMK7</v>
      </c>
      <c r="AF71" s="9">
        <f>HOUR(O71)</f>
        <v>21</v>
      </c>
      <c r="AG71" s="9">
        <f>DAY(O71)</f>
        <v>18</v>
      </c>
      <c r="AH71" s="9">
        <f>IFERROR((I71-K71)*24*60,0)</f>
        <v>0</v>
      </c>
      <c r="AI71" s="9">
        <f t="shared" si="2"/>
        <v>0</v>
      </c>
      <c r="AJ71" s="9">
        <f>C71</f>
        <v>1252</v>
      </c>
      <c r="AK71" s="9">
        <f>IF(P71="completed",((V71-K71)*24*60),0)</f>
        <v>8.9999999979045242</v>
      </c>
      <c r="AL71" s="9">
        <f>IF(P71="completed",((U71-K71)*24*60),0)</f>
        <v>5.9999999986030161</v>
      </c>
      <c r="AM71" s="9" t="str">
        <f t="shared" si="3"/>
        <v>OTP Breached</v>
      </c>
      <c r="AN71" s="9" t="str">
        <f t="shared" si="4"/>
        <v>OTP Achieved</v>
      </c>
      <c r="AO71" s="9"/>
    </row>
    <row r="72" spans="1:41" ht="16">
      <c r="A72" s="3" t="s">
        <v>47</v>
      </c>
      <c r="B72" s="6">
        <v>46313.908333333333</v>
      </c>
      <c r="C72" s="5">
        <v>1210</v>
      </c>
      <c r="D72" s="1" t="s">
        <v>41</v>
      </c>
      <c r="E72" s="5">
        <v>4</v>
      </c>
      <c r="F72" s="1" t="s">
        <v>41</v>
      </c>
      <c r="G72" s="1" t="s">
        <v>41</v>
      </c>
      <c r="H72" s="1" t="s">
        <v>294</v>
      </c>
      <c r="I72" s="6">
        <v>46313.90902777778</v>
      </c>
      <c r="J72" s="1" t="s">
        <v>41</v>
      </c>
      <c r="K72" s="6">
        <v>46313.906944444447</v>
      </c>
      <c r="L72" s="5">
        <v>25</v>
      </c>
      <c r="M72" s="4"/>
      <c r="N72" s="1"/>
      <c r="O72" s="6">
        <v>46313.905555555553</v>
      </c>
      <c r="P72" s="1" t="s">
        <v>43</v>
      </c>
      <c r="Q72" s="1" t="s">
        <v>49</v>
      </c>
      <c r="R72" s="1" t="s">
        <v>295</v>
      </c>
      <c r="S72" s="5">
        <v>4247</v>
      </c>
      <c r="T72" s="1" t="s">
        <v>41</v>
      </c>
      <c r="U72" s="6">
        <v>46313.911805555559</v>
      </c>
      <c r="V72" s="6">
        <v>46313.911111111112</v>
      </c>
      <c r="W72" s="7" t="s">
        <v>296</v>
      </c>
      <c r="X72" s="5">
        <v>22411</v>
      </c>
      <c r="Y72" s="4"/>
      <c r="Z72" s="5">
        <v>0</v>
      </c>
      <c r="AA72" s="8">
        <v>0.90833333333333333</v>
      </c>
      <c r="AB72" s="5">
        <v>3</v>
      </c>
      <c r="AC72" s="1" t="s">
        <v>41</v>
      </c>
      <c r="AD72" s="9" t="str">
        <f t="shared" si="0"/>
        <v>Actual</v>
      </c>
      <c r="AE72" s="9" t="str">
        <f t="shared" si="1"/>
        <v>TMK7</v>
      </c>
      <c r="AF72" s="9">
        <f>HOUR(O72)</f>
        <v>21</v>
      </c>
      <c r="AG72" s="9">
        <f>DAY(O72)</f>
        <v>18</v>
      </c>
      <c r="AH72" s="9">
        <f>IFERROR((I72-K72)*24*60,0)</f>
        <v>2.9999999993015081</v>
      </c>
      <c r="AI72" s="9">
        <f t="shared" si="2"/>
        <v>2.9999999993015081</v>
      </c>
      <c r="AJ72" s="9">
        <f>C72</f>
        <v>1210</v>
      </c>
      <c r="AK72" s="9">
        <f>IF(P72="completed",((V72-K72)*24*60),0)</f>
        <v>5.9999999986030161</v>
      </c>
      <c r="AL72" s="9">
        <f>IF(P72="completed",((U72-K72)*24*60),0)</f>
        <v>7.0000000018626451</v>
      </c>
      <c r="AM72" s="9" t="str">
        <f t="shared" si="3"/>
        <v>OTP Achieved</v>
      </c>
      <c r="AN72" s="9" t="str">
        <f t="shared" si="4"/>
        <v>OTP Achieved</v>
      </c>
      <c r="AO72" s="9"/>
    </row>
    <row r="73" spans="1:41" ht="16">
      <c r="A73" s="3" t="s">
        <v>117</v>
      </c>
      <c r="B73" s="6">
        <v>46313.908333333333</v>
      </c>
      <c r="C73" s="5">
        <v>288</v>
      </c>
      <c r="D73" s="1" t="s">
        <v>41</v>
      </c>
      <c r="E73" s="5">
        <v>0</v>
      </c>
      <c r="F73" s="1" t="s">
        <v>41</v>
      </c>
      <c r="G73" s="1" t="s">
        <v>41</v>
      </c>
      <c r="H73" s="1" t="s">
        <v>297</v>
      </c>
      <c r="I73" s="6">
        <v>46313.90902777778</v>
      </c>
      <c r="J73" s="1" t="s">
        <v>41</v>
      </c>
      <c r="K73" s="6">
        <v>46313.90625</v>
      </c>
      <c r="L73" s="5">
        <v>26</v>
      </c>
      <c r="M73" s="4"/>
      <c r="N73" s="1"/>
      <c r="O73" s="6">
        <v>46313.905555555553</v>
      </c>
      <c r="P73" s="1" t="s">
        <v>43</v>
      </c>
      <c r="Q73" s="1" t="s">
        <v>119</v>
      </c>
      <c r="R73" s="1" t="s">
        <v>298</v>
      </c>
      <c r="S73" s="5">
        <v>4247</v>
      </c>
      <c r="T73" s="1" t="s">
        <v>41</v>
      </c>
      <c r="U73" s="6">
        <v>46313.910416666666</v>
      </c>
      <c r="V73" s="6">
        <v>46313.90902777778</v>
      </c>
      <c r="W73" s="7" t="s">
        <v>299</v>
      </c>
      <c r="X73" s="5">
        <v>22411</v>
      </c>
      <c r="Y73" s="4"/>
      <c r="Z73" s="5">
        <v>0</v>
      </c>
      <c r="AA73" s="8">
        <v>0.90833333333333333</v>
      </c>
      <c r="AB73" s="5">
        <v>0</v>
      </c>
      <c r="AC73" s="1" t="s">
        <v>41</v>
      </c>
      <c r="AD73" s="9" t="str">
        <f t="shared" si="0"/>
        <v>Actual</v>
      </c>
      <c r="AE73" s="9" t="str">
        <f t="shared" si="1"/>
        <v>TMK7</v>
      </c>
      <c r="AF73" s="9">
        <f>HOUR(O73)</f>
        <v>21</v>
      </c>
      <c r="AG73" s="9">
        <f>DAY(O73)</f>
        <v>18</v>
      </c>
      <c r="AH73" s="9">
        <f>IFERROR((I73-K73)*24*60,0)</f>
        <v>4.0000000025611371</v>
      </c>
      <c r="AI73" s="9">
        <f t="shared" si="2"/>
        <v>4.0000000025611371</v>
      </c>
      <c r="AJ73" s="9">
        <f>C73</f>
        <v>288</v>
      </c>
      <c r="AK73" s="9">
        <f>IF(P73="completed",((V73-K73)*24*60),0)</f>
        <v>4.0000000025611371</v>
      </c>
      <c r="AL73" s="9">
        <f>IF(P73="completed",((U73-K73)*24*60),0)</f>
        <v>5.9999999986030161</v>
      </c>
      <c r="AM73" s="9" t="str">
        <f t="shared" si="3"/>
        <v>OTP Achieved</v>
      </c>
      <c r="AN73" s="9" t="str">
        <f t="shared" si="4"/>
        <v>OTP Achieved</v>
      </c>
      <c r="AO73" s="9"/>
    </row>
    <row r="74" spans="1:41" ht="16">
      <c r="A74" s="3" t="s">
        <v>190</v>
      </c>
      <c r="B74" s="6">
        <v>46313.908333333333</v>
      </c>
      <c r="C74" s="5">
        <v>1941</v>
      </c>
      <c r="D74" s="1" t="s">
        <v>41</v>
      </c>
      <c r="E74" s="5">
        <v>9</v>
      </c>
      <c r="F74" s="1" t="s">
        <v>41</v>
      </c>
      <c r="G74" s="1" t="s">
        <v>41</v>
      </c>
      <c r="H74" s="1" t="s">
        <v>300</v>
      </c>
      <c r="I74" s="6">
        <v>46313.908333333333</v>
      </c>
      <c r="J74" s="1" t="s">
        <v>41</v>
      </c>
      <c r="K74" s="6">
        <v>46313.905555555553</v>
      </c>
      <c r="L74" s="5">
        <v>30</v>
      </c>
      <c r="M74" s="4"/>
      <c r="N74" s="1"/>
      <c r="O74" s="6">
        <v>46313.904861111114</v>
      </c>
      <c r="P74" s="1" t="s">
        <v>43</v>
      </c>
      <c r="Q74" s="1" t="s">
        <v>192</v>
      </c>
      <c r="R74" s="1" t="s">
        <v>301</v>
      </c>
      <c r="S74" s="5">
        <v>4247</v>
      </c>
      <c r="T74" s="1" t="s">
        <v>41</v>
      </c>
      <c r="U74" s="6">
        <v>46313.913194444445</v>
      </c>
      <c r="V74" s="6">
        <v>46313.913888888892</v>
      </c>
      <c r="W74" s="7" t="s">
        <v>302</v>
      </c>
      <c r="X74" s="5">
        <v>22411</v>
      </c>
      <c r="Y74" s="4"/>
      <c r="Z74" s="5">
        <v>0</v>
      </c>
      <c r="AA74" s="8">
        <v>0.90833333333333333</v>
      </c>
      <c r="AB74" s="5">
        <v>8</v>
      </c>
      <c r="AC74" s="1" t="s">
        <v>41</v>
      </c>
      <c r="AD74" s="9" t="str">
        <f t="shared" si="0"/>
        <v>Actual</v>
      </c>
      <c r="AE74" s="9" t="str">
        <f t="shared" si="1"/>
        <v>TMK7</v>
      </c>
      <c r="AF74" s="9">
        <f>HOUR(O74)</f>
        <v>21</v>
      </c>
      <c r="AG74" s="9">
        <f>DAY(O74)</f>
        <v>18</v>
      </c>
      <c r="AH74" s="9">
        <f>IFERROR((I74-K74)*24*60,0)</f>
        <v>4.0000000025611371</v>
      </c>
      <c r="AI74" s="9">
        <f t="shared" si="2"/>
        <v>4.0000000025611371</v>
      </c>
      <c r="AJ74" s="9">
        <f>C74</f>
        <v>1941</v>
      </c>
      <c r="AK74" s="9">
        <f>IF(P74="completed",((V74-K74)*24*60),0)</f>
        <v>12.000000007683411</v>
      </c>
      <c r="AL74" s="9">
        <f>IF(P74="completed",((U74-K74)*24*60),0)</f>
        <v>11.000000004423782</v>
      </c>
      <c r="AM74" s="9" t="str">
        <f t="shared" si="3"/>
        <v>OTP Breached</v>
      </c>
      <c r="AN74" s="9" t="str">
        <f t="shared" si="4"/>
        <v>OTP Achieved</v>
      </c>
      <c r="AO74" s="9"/>
    </row>
    <row r="75" spans="1:41" ht="16">
      <c r="A75" s="3" t="s">
        <v>303</v>
      </c>
      <c r="B75" s="6">
        <v>46313.907638888886</v>
      </c>
      <c r="C75" s="5">
        <v>2111</v>
      </c>
      <c r="D75" s="1" t="s">
        <v>41</v>
      </c>
      <c r="E75" s="5">
        <v>7</v>
      </c>
      <c r="F75" s="1" t="s">
        <v>41</v>
      </c>
      <c r="G75" s="1" t="s">
        <v>41</v>
      </c>
      <c r="H75" s="1" t="s">
        <v>304</v>
      </c>
      <c r="I75" s="6">
        <v>46313.907638888886</v>
      </c>
      <c r="J75" s="1" t="s">
        <v>41</v>
      </c>
      <c r="K75" s="6">
        <v>46313.902777777781</v>
      </c>
      <c r="L75" s="5">
        <v>23</v>
      </c>
      <c r="M75" s="4"/>
      <c r="N75" s="1"/>
      <c r="O75" s="6">
        <v>46313.902083333334</v>
      </c>
      <c r="P75" s="1" t="s">
        <v>43</v>
      </c>
      <c r="Q75" s="1" t="s">
        <v>305</v>
      </c>
      <c r="R75" s="1" t="s">
        <v>306</v>
      </c>
      <c r="S75" s="5">
        <v>4247</v>
      </c>
      <c r="T75" s="1" t="s">
        <v>41</v>
      </c>
      <c r="U75" s="6">
        <v>46313.912499999999</v>
      </c>
      <c r="V75" s="6">
        <v>46313.911805555559</v>
      </c>
      <c r="W75" s="7" t="s">
        <v>307</v>
      </c>
      <c r="X75" s="5">
        <v>22411</v>
      </c>
      <c r="Y75" s="4"/>
      <c r="Z75" s="5">
        <v>0</v>
      </c>
      <c r="AA75" s="8">
        <v>0.90763888888888888</v>
      </c>
      <c r="AB75" s="5">
        <v>6</v>
      </c>
      <c r="AC75" s="1" t="s">
        <v>41</v>
      </c>
      <c r="AD75" s="9" t="str">
        <f t="shared" si="0"/>
        <v>Actual</v>
      </c>
      <c r="AE75" s="9" t="str">
        <f t="shared" si="1"/>
        <v>TMK7</v>
      </c>
      <c r="AF75" s="9">
        <f>HOUR(O75)</f>
        <v>21</v>
      </c>
      <c r="AG75" s="9">
        <f>DAY(O75)</f>
        <v>18</v>
      </c>
      <c r="AH75" s="9">
        <f>IFERROR((I75-K75)*24*60,0)</f>
        <v>6.9999999913852662</v>
      </c>
      <c r="AI75" s="9">
        <f t="shared" si="2"/>
        <v>6.9999999913852662</v>
      </c>
      <c r="AJ75" s="9">
        <f>C75</f>
        <v>2111</v>
      </c>
      <c r="AK75" s="9">
        <f>IF(P75="completed",((V75-K75)*24*60),0)</f>
        <v>13.000000000465661</v>
      </c>
      <c r="AL75" s="9">
        <f>IF(P75="completed",((U75-K75)*24*60),0)</f>
        <v>13.999999993247911</v>
      </c>
      <c r="AM75" s="9" t="str">
        <f t="shared" si="3"/>
        <v>OTP Achieved</v>
      </c>
      <c r="AN75" s="9" t="str">
        <f t="shared" si="4"/>
        <v>OTP Achieved</v>
      </c>
      <c r="AO75" s="9"/>
    </row>
    <row r="76" spans="1:41" ht="16">
      <c r="A76" s="3" t="s">
        <v>93</v>
      </c>
      <c r="B76" s="6">
        <v>46313.906944444447</v>
      </c>
      <c r="C76" s="5">
        <v>1880</v>
      </c>
      <c r="D76" s="1" t="s">
        <v>41</v>
      </c>
      <c r="E76" s="5">
        <v>6</v>
      </c>
      <c r="F76" s="1" t="s">
        <v>41</v>
      </c>
      <c r="G76" s="1" t="s">
        <v>41</v>
      </c>
      <c r="H76" s="1" t="s">
        <v>308</v>
      </c>
      <c r="I76" s="6">
        <v>46313.906944444447</v>
      </c>
      <c r="J76" s="1" t="s">
        <v>41</v>
      </c>
      <c r="K76" s="6">
        <v>46313.90347222222</v>
      </c>
      <c r="L76" s="5">
        <v>22</v>
      </c>
      <c r="M76" s="4"/>
      <c r="N76" s="1"/>
      <c r="O76" s="6">
        <v>46313.900694444441</v>
      </c>
      <c r="P76" s="1" t="s">
        <v>43</v>
      </c>
      <c r="Q76" s="1" t="s">
        <v>95</v>
      </c>
      <c r="R76" s="1" t="s">
        <v>309</v>
      </c>
      <c r="S76" s="5">
        <v>4247</v>
      </c>
      <c r="T76" s="1" t="s">
        <v>41</v>
      </c>
      <c r="U76" s="6">
        <v>46313.911805555559</v>
      </c>
      <c r="V76" s="6">
        <v>46313.911111111112</v>
      </c>
      <c r="W76" s="7" t="s">
        <v>310</v>
      </c>
      <c r="X76" s="5">
        <v>22411</v>
      </c>
      <c r="Y76" s="4"/>
      <c r="Z76" s="5">
        <v>0</v>
      </c>
      <c r="AA76" s="8">
        <v>0.90694444444444444</v>
      </c>
      <c r="AB76" s="5">
        <v>6</v>
      </c>
      <c r="AC76" s="1" t="s">
        <v>41</v>
      </c>
      <c r="AD76" s="9" t="str">
        <f t="shared" si="0"/>
        <v>Actual</v>
      </c>
      <c r="AE76" s="9" t="str">
        <f t="shared" si="1"/>
        <v>TMK7</v>
      </c>
      <c r="AF76" s="9">
        <f>HOUR(O76)</f>
        <v>21</v>
      </c>
      <c r="AG76" s="9">
        <f>DAY(O76)</f>
        <v>18</v>
      </c>
      <c r="AH76" s="9">
        <f>IFERROR((I76-K76)*24*60,0)</f>
        <v>5.0000000058207661</v>
      </c>
      <c r="AI76" s="9">
        <f t="shared" si="2"/>
        <v>5.0000000058207661</v>
      </c>
      <c r="AJ76" s="9">
        <f>C76</f>
        <v>1880</v>
      </c>
      <c r="AK76" s="9">
        <f>IF(P76="completed",((V76-K76)*24*60),0)</f>
        <v>11.000000004423782</v>
      </c>
      <c r="AL76" s="9">
        <f>IF(P76="completed",((U76-K76)*24*60),0)</f>
        <v>12.000000007683411</v>
      </c>
      <c r="AM76" s="9" t="str">
        <f t="shared" si="3"/>
        <v>OTP Achieved</v>
      </c>
      <c r="AN76" s="9" t="str">
        <f t="shared" si="4"/>
        <v>OTP Achieved</v>
      </c>
      <c r="AO76" s="9"/>
    </row>
    <row r="77" spans="1:41" ht="16">
      <c r="A77" s="3" t="s">
        <v>157</v>
      </c>
      <c r="B77" s="6">
        <v>46313.90625</v>
      </c>
      <c r="C77" s="5">
        <v>440</v>
      </c>
      <c r="D77" s="1" t="s">
        <v>41</v>
      </c>
      <c r="E77" s="5">
        <v>2</v>
      </c>
      <c r="F77" s="1" t="s">
        <v>41</v>
      </c>
      <c r="G77" s="1" t="s">
        <v>41</v>
      </c>
      <c r="H77" s="1" t="s">
        <v>311</v>
      </c>
      <c r="I77" s="6">
        <v>46313.90625</v>
      </c>
      <c r="J77" s="1" t="s">
        <v>41</v>
      </c>
      <c r="K77" s="6">
        <v>46313.901388888888</v>
      </c>
      <c r="L77" s="5">
        <v>33</v>
      </c>
      <c r="M77" s="4"/>
      <c r="N77" s="1"/>
      <c r="O77" s="6">
        <v>46313.900694444441</v>
      </c>
      <c r="P77" s="1" t="s">
        <v>43</v>
      </c>
      <c r="Q77" s="1" t="s">
        <v>159</v>
      </c>
      <c r="R77" s="1" t="s">
        <v>312</v>
      </c>
      <c r="S77" s="5">
        <v>4247</v>
      </c>
      <c r="T77" s="1" t="s">
        <v>41</v>
      </c>
      <c r="U77" s="6">
        <v>46313.908333333333</v>
      </c>
      <c r="V77" s="6">
        <v>46313.907638888886</v>
      </c>
      <c r="W77" s="7" t="s">
        <v>313</v>
      </c>
      <c r="X77" s="5">
        <v>22411</v>
      </c>
      <c r="Y77" s="10"/>
      <c r="Z77" s="5">
        <v>0</v>
      </c>
      <c r="AA77" s="8">
        <v>0.90625</v>
      </c>
      <c r="AB77" s="5">
        <v>1</v>
      </c>
      <c r="AC77" s="1" t="s">
        <v>41</v>
      </c>
      <c r="AD77" s="9" t="str">
        <f t="shared" si="0"/>
        <v>Actual</v>
      </c>
      <c r="AE77" s="9" t="str">
        <f t="shared" si="1"/>
        <v>TMK7</v>
      </c>
      <c r="AF77" s="9">
        <f>HOUR(O77)</f>
        <v>21</v>
      </c>
      <c r="AG77" s="9">
        <f>DAY(O77)</f>
        <v>18</v>
      </c>
      <c r="AH77" s="9">
        <f>IFERROR((I77-K77)*24*60,0)</f>
        <v>7.0000000018626451</v>
      </c>
      <c r="AI77" s="9">
        <f t="shared" si="2"/>
        <v>7.0000000018626451</v>
      </c>
      <c r="AJ77" s="9">
        <f>C77</f>
        <v>440</v>
      </c>
      <c r="AK77" s="9">
        <f>IF(P77="completed",((V77-K77)*24*60),0)</f>
        <v>8.9999999979045242</v>
      </c>
      <c r="AL77" s="9">
        <f>IF(P77="completed",((U77-K77)*24*60),0)</f>
        <v>10.000000001164153</v>
      </c>
      <c r="AM77" s="9" t="str">
        <f t="shared" si="3"/>
        <v>OTP Achieved</v>
      </c>
      <c r="AN77" s="9" t="str">
        <f t="shared" si="4"/>
        <v>OTP Achieved</v>
      </c>
      <c r="AO77" s="9"/>
    </row>
    <row r="78" spans="1:41" ht="16">
      <c r="A78" s="3" t="s">
        <v>82</v>
      </c>
      <c r="B78" s="6">
        <v>46313.904861111114</v>
      </c>
      <c r="C78" s="5">
        <v>2133</v>
      </c>
      <c r="D78" s="1" t="s">
        <v>41</v>
      </c>
      <c r="E78" s="5">
        <v>7</v>
      </c>
      <c r="F78" s="1" t="s">
        <v>41</v>
      </c>
      <c r="G78" s="1" t="s">
        <v>41</v>
      </c>
      <c r="H78" s="1" t="s">
        <v>314</v>
      </c>
      <c r="I78" s="6">
        <v>46313.904861111114</v>
      </c>
      <c r="J78" s="1" t="s">
        <v>41</v>
      </c>
      <c r="K78" s="6">
        <v>46313.900694444441</v>
      </c>
      <c r="L78" s="5">
        <v>19</v>
      </c>
      <c r="M78" s="4"/>
      <c r="N78" s="1"/>
      <c r="O78" s="6">
        <v>46313.9</v>
      </c>
      <c r="P78" s="1" t="s">
        <v>315</v>
      </c>
      <c r="Q78" s="1" t="s">
        <v>84</v>
      </c>
      <c r="R78" s="1" t="s">
        <v>316</v>
      </c>
      <c r="S78" s="5">
        <v>4247</v>
      </c>
      <c r="T78" s="1" t="s">
        <v>41</v>
      </c>
      <c r="U78" s="6">
        <v>46313.910416666666</v>
      </c>
      <c r="V78" s="6">
        <v>46313.909722222219</v>
      </c>
      <c r="W78" s="7" t="s">
        <v>317</v>
      </c>
      <c r="X78" s="5">
        <v>22411</v>
      </c>
      <c r="Y78" s="10">
        <v>46313.915277777778</v>
      </c>
      <c r="Z78" s="5">
        <v>0</v>
      </c>
      <c r="AA78" s="8">
        <v>0.90486111111111112</v>
      </c>
      <c r="AB78" s="5">
        <v>7</v>
      </c>
      <c r="AC78" s="1" t="s">
        <v>41</v>
      </c>
      <c r="AD78" s="9" t="str">
        <f t="shared" si="0"/>
        <v>Actual</v>
      </c>
      <c r="AE78" s="9" t="str">
        <f t="shared" si="1"/>
        <v>TMK7</v>
      </c>
      <c r="AF78" s="9">
        <f>HOUR(O78)</f>
        <v>21</v>
      </c>
      <c r="AG78" s="9">
        <f>DAY(O78)</f>
        <v>18</v>
      </c>
      <c r="AH78" s="9">
        <f>IFERROR((I78-K78)*24*60,0)</f>
        <v>6.0000000090803951</v>
      </c>
      <c r="AI78" s="9">
        <f t="shared" si="2"/>
        <v>6.0000000090803951</v>
      </c>
      <c r="AJ78" s="9">
        <f>C78</f>
        <v>2133</v>
      </c>
      <c r="AK78" s="9">
        <f>IF(P78="completed",((V78-K78)*24*60),0)</f>
        <v>0</v>
      </c>
      <c r="AL78" s="9">
        <f>IF(P78="completed",((U78-K78)*24*60),0)</f>
        <v>0</v>
      </c>
      <c r="AM78" s="9" t="str">
        <f t="shared" si="3"/>
        <v>OTP Breached</v>
      </c>
      <c r="AN78" s="9" t="str">
        <f t="shared" si="4"/>
        <v>OTP Achieved</v>
      </c>
      <c r="AO78" s="9"/>
    </row>
    <row r="79" spans="1:41" ht="16">
      <c r="A79" s="3" t="s">
        <v>177</v>
      </c>
      <c r="B79" s="6">
        <v>46313.904861111114</v>
      </c>
      <c r="C79" s="5">
        <v>1034</v>
      </c>
      <c r="D79" s="1" t="s">
        <v>41</v>
      </c>
      <c r="E79" s="5">
        <v>4</v>
      </c>
      <c r="F79" s="1" t="s">
        <v>41</v>
      </c>
      <c r="G79" s="1" t="s">
        <v>41</v>
      </c>
      <c r="H79" s="1" t="s">
        <v>318</v>
      </c>
      <c r="I79" s="6">
        <v>46313.904861111114</v>
      </c>
      <c r="J79" s="1" t="s">
        <v>41</v>
      </c>
      <c r="K79" s="6">
        <v>46313.900694444441</v>
      </c>
      <c r="L79" s="5">
        <v>26</v>
      </c>
      <c r="M79" s="4"/>
      <c r="N79" s="1"/>
      <c r="O79" s="6">
        <v>46313.9</v>
      </c>
      <c r="P79" s="1" t="s">
        <v>43</v>
      </c>
      <c r="Q79" s="1" t="s">
        <v>179</v>
      </c>
      <c r="R79" s="1" t="s">
        <v>319</v>
      </c>
      <c r="S79" s="5">
        <v>4247</v>
      </c>
      <c r="T79" s="1" t="s">
        <v>41</v>
      </c>
      <c r="U79" s="6">
        <v>46313.907638888886</v>
      </c>
      <c r="V79" s="6">
        <v>46313.907638888886</v>
      </c>
      <c r="W79" s="7" t="s">
        <v>320</v>
      </c>
      <c r="X79" s="5">
        <v>22411</v>
      </c>
      <c r="Y79" s="4"/>
      <c r="Z79" s="5">
        <v>0</v>
      </c>
      <c r="AA79" s="8">
        <v>0.90486111111111112</v>
      </c>
      <c r="AB79" s="5">
        <v>3</v>
      </c>
      <c r="AC79" s="1" t="s">
        <v>41</v>
      </c>
      <c r="AD79" s="9" t="str">
        <f t="shared" si="0"/>
        <v>Actual</v>
      </c>
      <c r="AE79" s="9" t="str">
        <f t="shared" si="1"/>
        <v>TMK7</v>
      </c>
      <c r="AF79" s="9">
        <f>HOUR(O79)</f>
        <v>21</v>
      </c>
      <c r="AG79" s="9">
        <f>DAY(O79)</f>
        <v>18</v>
      </c>
      <c r="AH79" s="9">
        <f>IFERROR((I79-K79)*24*60,0)</f>
        <v>6.0000000090803951</v>
      </c>
      <c r="AI79" s="9">
        <f t="shared" si="2"/>
        <v>6.0000000090803951</v>
      </c>
      <c r="AJ79" s="9">
        <f>C79</f>
        <v>1034</v>
      </c>
      <c r="AK79" s="9">
        <f>IF(P79="completed",((V79-K79)*24*60),0)</f>
        <v>10.000000001164153</v>
      </c>
      <c r="AL79" s="9">
        <f>IF(P79="completed",((U79-K79)*24*60),0)</f>
        <v>10.000000001164153</v>
      </c>
      <c r="AM79" s="9" t="str">
        <f t="shared" si="3"/>
        <v>OTP Breached</v>
      </c>
      <c r="AN79" s="9" t="str">
        <f t="shared" si="4"/>
        <v>OTP Achieved</v>
      </c>
      <c r="AO79" s="9"/>
    </row>
    <row r="80" spans="1:41" ht="16">
      <c r="A80" s="3" t="s">
        <v>57</v>
      </c>
      <c r="B80" s="6">
        <v>46313.904166666667</v>
      </c>
      <c r="C80" s="5">
        <v>1097</v>
      </c>
      <c r="D80" s="1" t="s">
        <v>41</v>
      </c>
      <c r="E80" s="5">
        <v>3</v>
      </c>
      <c r="F80" s="1" t="s">
        <v>41</v>
      </c>
      <c r="G80" s="1" t="s">
        <v>41</v>
      </c>
      <c r="H80" s="1" t="s">
        <v>321</v>
      </c>
      <c r="I80" s="6">
        <v>46313.904166666667</v>
      </c>
      <c r="J80" s="1" t="s">
        <v>41</v>
      </c>
      <c r="K80" s="6">
        <v>46313.9</v>
      </c>
      <c r="L80" s="5">
        <v>15</v>
      </c>
      <c r="M80" s="4"/>
      <c r="N80" s="1"/>
      <c r="O80" s="6">
        <v>46313.899305555555</v>
      </c>
      <c r="P80" s="1" t="s">
        <v>43</v>
      </c>
      <c r="Q80" s="1" t="s">
        <v>59</v>
      </c>
      <c r="R80" s="1" t="s">
        <v>322</v>
      </c>
      <c r="S80" s="5">
        <v>4247</v>
      </c>
      <c r="T80" s="1" t="s">
        <v>41</v>
      </c>
      <c r="U80" s="6">
        <v>46313.906944444447</v>
      </c>
      <c r="V80" s="6">
        <v>46313.90625</v>
      </c>
      <c r="W80" s="7" t="s">
        <v>323</v>
      </c>
      <c r="X80" s="5">
        <v>22411</v>
      </c>
      <c r="Y80" s="4"/>
      <c r="Z80" s="5">
        <v>0</v>
      </c>
      <c r="AA80" s="8">
        <v>0.90416666666666667</v>
      </c>
      <c r="AB80" s="5">
        <v>3</v>
      </c>
      <c r="AC80" s="1" t="s">
        <v>41</v>
      </c>
      <c r="AD80" s="9" t="str">
        <f t="shared" si="0"/>
        <v>Actual</v>
      </c>
      <c r="AE80" s="9" t="str">
        <f t="shared" si="1"/>
        <v>TMK7</v>
      </c>
      <c r="AF80" s="9">
        <f>HOUR(O80)</f>
        <v>21</v>
      </c>
      <c r="AG80" s="9">
        <f>DAY(O80)</f>
        <v>18</v>
      </c>
      <c r="AH80" s="9">
        <f>IFERROR((I80-K80)*24*60,0)</f>
        <v>5.9999999986030161</v>
      </c>
      <c r="AI80" s="9">
        <f t="shared" si="2"/>
        <v>5.9999999986030161</v>
      </c>
      <c r="AJ80" s="9">
        <f>C80</f>
        <v>1097</v>
      </c>
      <c r="AK80" s="9">
        <f>IF(P80="completed",((V80-K80)*24*60),0)</f>
        <v>8.9999999979045242</v>
      </c>
      <c r="AL80" s="9">
        <f>IF(P80="completed",((U80-K80)*24*60),0)</f>
        <v>10.000000001164153</v>
      </c>
      <c r="AM80" s="9" t="str">
        <f t="shared" si="3"/>
        <v>OTP Achieved</v>
      </c>
      <c r="AN80" s="9" t="str">
        <f t="shared" si="4"/>
        <v>OTP Achieved</v>
      </c>
      <c r="AO80" s="9"/>
    </row>
    <row r="81" spans="1:41" ht="16">
      <c r="A81" s="3" t="s">
        <v>47</v>
      </c>
      <c r="B81" s="6">
        <v>46313.90347222222</v>
      </c>
      <c r="C81" s="5">
        <v>136</v>
      </c>
      <c r="D81" s="1" t="s">
        <v>41</v>
      </c>
      <c r="E81" s="5">
        <v>0</v>
      </c>
      <c r="F81" s="1" t="s">
        <v>41</v>
      </c>
      <c r="G81" s="1" t="s">
        <v>41</v>
      </c>
      <c r="H81" s="1" t="s">
        <v>324</v>
      </c>
      <c r="I81" s="6">
        <v>46313.90347222222</v>
      </c>
      <c r="J81" s="1" t="s">
        <v>41</v>
      </c>
      <c r="K81" s="6">
        <v>46313.9</v>
      </c>
      <c r="L81" s="5">
        <v>10</v>
      </c>
      <c r="M81" s="4"/>
      <c r="N81" s="1"/>
      <c r="O81" s="6">
        <v>46313.899305555555</v>
      </c>
      <c r="P81" s="1" t="s">
        <v>43</v>
      </c>
      <c r="Q81" s="1" t="s">
        <v>49</v>
      </c>
      <c r="R81" s="1" t="s">
        <v>325</v>
      </c>
      <c r="S81" s="5">
        <v>4247</v>
      </c>
      <c r="T81" s="1" t="s">
        <v>41</v>
      </c>
      <c r="U81" s="6">
        <v>46313.904166666667</v>
      </c>
      <c r="V81" s="6">
        <v>46313.90347222222</v>
      </c>
      <c r="W81" s="7" t="s">
        <v>326</v>
      </c>
      <c r="X81" s="5">
        <v>22411</v>
      </c>
      <c r="Y81" s="4"/>
      <c r="Z81" s="5">
        <v>0</v>
      </c>
      <c r="AA81" s="8">
        <v>0.90347222222222223</v>
      </c>
      <c r="AB81" s="5">
        <v>0</v>
      </c>
      <c r="AC81" s="1" t="s">
        <v>41</v>
      </c>
      <c r="AD81" s="9" t="str">
        <f t="shared" si="0"/>
        <v>Actual</v>
      </c>
      <c r="AE81" s="9" t="str">
        <f t="shared" si="1"/>
        <v>TMK7</v>
      </c>
      <c r="AF81" s="9">
        <f>HOUR(O81)</f>
        <v>21</v>
      </c>
      <c r="AG81" s="9">
        <f>DAY(O81)</f>
        <v>18</v>
      </c>
      <c r="AH81" s="9">
        <f>IFERROR((I81-K81)*24*60,0)</f>
        <v>4.9999999953433871</v>
      </c>
      <c r="AI81" s="9">
        <f t="shared" si="2"/>
        <v>4.9999999953433871</v>
      </c>
      <c r="AJ81" s="9">
        <f>C81</f>
        <v>136</v>
      </c>
      <c r="AK81" s="9">
        <f>IF(P81="completed",((V81-K81)*24*60),0)</f>
        <v>4.9999999953433871</v>
      </c>
      <c r="AL81" s="9">
        <f>IF(P81="completed",((U81-K81)*24*60),0)</f>
        <v>5.9999999986030161</v>
      </c>
      <c r="AM81" s="9" t="str">
        <f t="shared" si="3"/>
        <v>OTP Achieved</v>
      </c>
      <c r="AN81" s="9" t="str">
        <f t="shared" si="4"/>
        <v>OTP Achieved</v>
      </c>
      <c r="AO81" s="9"/>
    </row>
    <row r="82" spans="1:41" ht="16">
      <c r="A82" s="3" t="s">
        <v>77</v>
      </c>
      <c r="B82" s="6">
        <v>46313.902777777781</v>
      </c>
      <c r="C82" s="5">
        <v>852</v>
      </c>
      <c r="D82" s="1" t="s">
        <v>41</v>
      </c>
      <c r="E82" s="5">
        <v>3</v>
      </c>
      <c r="F82" s="1" t="s">
        <v>41</v>
      </c>
      <c r="G82" s="1" t="s">
        <v>41</v>
      </c>
      <c r="H82" s="1" t="s">
        <v>327</v>
      </c>
      <c r="I82" s="6">
        <v>46313.90347222222</v>
      </c>
      <c r="J82" s="1" t="s">
        <v>41</v>
      </c>
      <c r="K82" s="6">
        <v>46313.898611111108</v>
      </c>
      <c r="L82" s="5">
        <v>24</v>
      </c>
      <c r="M82" s="4"/>
      <c r="N82" s="1"/>
      <c r="O82" s="6">
        <v>46313.897916666669</v>
      </c>
      <c r="P82" s="1" t="s">
        <v>43</v>
      </c>
      <c r="Q82" s="1" t="s">
        <v>79</v>
      </c>
      <c r="R82" s="1" t="s">
        <v>328</v>
      </c>
      <c r="S82" s="5">
        <v>4247</v>
      </c>
      <c r="T82" s="1" t="s">
        <v>41</v>
      </c>
      <c r="U82" s="6">
        <v>46313.90625</v>
      </c>
      <c r="V82" s="6">
        <v>46313.905555555553</v>
      </c>
      <c r="W82" s="7" t="s">
        <v>329</v>
      </c>
      <c r="X82" s="5">
        <v>22411</v>
      </c>
      <c r="Y82" s="4"/>
      <c r="Z82" s="5">
        <v>0</v>
      </c>
      <c r="AA82" s="8">
        <v>0.90277777777777779</v>
      </c>
      <c r="AB82" s="5">
        <v>3</v>
      </c>
      <c r="AC82" s="1" t="s">
        <v>41</v>
      </c>
      <c r="AD82" s="9" t="str">
        <f t="shared" si="0"/>
        <v>Actual</v>
      </c>
      <c r="AE82" s="9" t="str">
        <f t="shared" si="1"/>
        <v>TMK7</v>
      </c>
      <c r="AF82" s="9">
        <f>HOUR(O82)</f>
        <v>21</v>
      </c>
      <c r="AG82" s="9">
        <f>DAY(O82)</f>
        <v>18</v>
      </c>
      <c r="AH82" s="9">
        <f>IFERROR((I82-K82)*24*60,0)</f>
        <v>7.0000000018626451</v>
      </c>
      <c r="AI82" s="9">
        <f t="shared" si="2"/>
        <v>7.0000000018626451</v>
      </c>
      <c r="AJ82" s="9">
        <f>C82</f>
        <v>852</v>
      </c>
      <c r="AK82" s="9">
        <f>IF(P82="completed",((V82-K82)*24*60),0)</f>
        <v>10.000000001164153</v>
      </c>
      <c r="AL82" s="9">
        <f>IF(P82="completed",((U82-K82)*24*60),0)</f>
        <v>11.000000004423782</v>
      </c>
      <c r="AM82" s="9" t="str">
        <f t="shared" si="3"/>
        <v>OTP Achieved</v>
      </c>
      <c r="AN82" s="9" t="str">
        <f t="shared" si="4"/>
        <v>OTP Achieved</v>
      </c>
      <c r="AO82" s="9"/>
    </row>
    <row r="83" spans="1:41" ht="16">
      <c r="A83" s="3" t="s">
        <v>67</v>
      </c>
      <c r="B83" s="6">
        <v>46313.902083333334</v>
      </c>
      <c r="C83" s="5">
        <v>1998</v>
      </c>
      <c r="D83" s="1" t="s">
        <v>41</v>
      </c>
      <c r="E83" s="5">
        <v>8</v>
      </c>
      <c r="F83" s="1" t="s">
        <v>41</v>
      </c>
      <c r="G83" s="1" t="s">
        <v>41</v>
      </c>
      <c r="H83" s="1" t="s">
        <v>330</v>
      </c>
      <c r="I83" s="6">
        <v>46313.902083333334</v>
      </c>
      <c r="J83" s="1" t="s">
        <v>41</v>
      </c>
      <c r="K83" s="6">
        <v>46313.897916666669</v>
      </c>
      <c r="L83" s="5">
        <v>31</v>
      </c>
      <c r="M83" s="4"/>
      <c r="N83" s="1"/>
      <c r="O83" s="6">
        <v>46313.896527777775</v>
      </c>
      <c r="P83" s="1" t="s">
        <v>43</v>
      </c>
      <c r="Q83" s="1" t="s">
        <v>69</v>
      </c>
      <c r="R83" s="1" t="s">
        <v>331</v>
      </c>
      <c r="S83" s="5">
        <v>4247</v>
      </c>
      <c r="T83" s="1" t="s">
        <v>41</v>
      </c>
      <c r="U83" s="6">
        <v>46313.907638888886</v>
      </c>
      <c r="V83" s="6">
        <v>46313.906944444447</v>
      </c>
      <c r="W83" s="7" t="s">
        <v>332</v>
      </c>
      <c r="X83" s="5">
        <v>22411</v>
      </c>
      <c r="Y83" s="4"/>
      <c r="Z83" s="5">
        <v>0</v>
      </c>
      <c r="AA83" s="8">
        <v>0.90208333333333335</v>
      </c>
      <c r="AB83" s="5">
        <v>7</v>
      </c>
      <c r="AC83" s="1" t="s">
        <v>41</v>
      </c>
      <c r="AD83" s="9" t="str">
        <f t="shared" si="0"/>
        <v>Actual</v>
      </c>
      <c r="AE83" s="9" t="str">
        <f t="shared" si="1"/>
        <v>TMK7</v>
      </c>
      <c r="AF83" s="9">
        <f>HOUR(O83)</f>
        <v>21</v>
      </c>
      <c r="AG83" s="9">
        <f>DAY(O83)</f>
        <v>18</v>
      </c>
      <c r="AH83" s="9">
        <f>IFERROR((I83-K83)*24*60,0)</f>
        <v>5.9999999986030161</v>
      </c>
      <c r="AI83" s="9">
        <f t="shared" si="2"/>
        <v>5.9999999986030161</v>
      </c>
      <c r="AJ83" s="9">
        <f>C83</f>
        <v>1998</v>
      </c>
      <c r="AK83" s="9">
        <f>IF(P83="completed",((V83-K83)*24*60),0)</f>
        <v>13.000000000465661</v>
      </c>
      <c r="AL83" s="9">
        <f>IF(P83="completed",((U83-K83)*24*60),0)</f>
        <v>13.999999993247911</v>
      </c>
      <c r="AM83" s="9" t="str">
        <f t="shared" si="3"/>
        <v>OTP Achieved</v>
      </c>
      <c r="AN83" s="9" t="str">
        <f t="shared" si="4"/>
        <v>OTP Achieved</v>
      </c>
      <c r="AO83" s="9"/>
    </row>
    <row r="84" spans="1:41" ht="16">
      <c r="A84" s="3" t="s">
        <v>72</v>
      </c>
      <c r="B84" s="6">
        <v>46313.902083333334</v>
      </c>
      <c r="C84" s="5">
        <v>2119</v>
      </c>
      <c r="D84" s="1" t="s">
        <v>41</v>
      </c>
      <c r="E84" s="5">
        <v>6</v>
      </c>
      <c r="F84" s="1" t="s">
        <v>41</v>
      </c>
      <c r="G84" s="1" t="s">
        <v>41</v>
      </c>
      <c r="H84" s="1" t="s">
        <v>333</v>
      </c>
      <c r="I84" s="6">
        <v>46313.902083333334</v>
      </c>
      <c r="J84" s="1" t="s">
        <v>41</v>
      </c>
      <c r="K84" s="6">
        <v>46313.896527777775</v>
      </c>
      <c r="L84" s="5">
        <v>31</v>
      </c>
      <c r="M84" s="4"/>
      <c r="N84" s="1"/>
      <c r="O84" s="6">
        <v>46313.895138888889</v>
      </c>
      <c r="P84" s="1" t="s">
        <v>43</v>
      </c>
      <c r="Q84" s="1" t="s">
        <v>74</v>
      </c>
      <c r="R84" s="1" t="s">
        <v>334</v>
      </c>
      <c r="S84" s="5">
        <v>4247</v>
      </c>
      <c r="T84" s="1" t="s">
        <v>41</v>
      </c>
      <c r="U84" s="6">
        <v>46313.90902777778</v>
      </c>
      <c r="V84" s="6">
        <v>46313.90625</v>
      </c>
      <c r="W84" s="7" t="s">
        <v>335</v>
      </c>
      <c r="X84" s="5">
        <v>22411</v>
      </c>
      <c r="Y84" s="4"/>
      <c r="Z84" s="5">
        <v>0</v>
      </c>
      <c r="AA84" s="8">
        <v>0.90208333333333335</v>
      </c>
      <c r="AB84" s="5">
        <v>5</v>
      </c>
      <c r="AC84" s="1" t="s">
        <v>41</v>
      </c>
      <c r="AD84" s="9" t="str">
        <f t="shared" si="0"/>
        <v>Actual</v>
      </c>
      <c r="AE84" s="9" t="str">
        <f t="shared" si="1"/>
        <v>TMK7</v>
      </c>
      <c r="AF84" s="9">
        <f>HOUR(O84)</f>
        <v>21</v>
      </c>
      <c r="AG84" s="9">
        <f>DAY(O84)</f>
        <v>18</v>
      </c>
      <c r="AH84" s="9">
        <f>IFERROR((I84-K84)*24*60,0)</f>
        <v>8.0000000051222742</v>
      </c>
      <c r="AI84" s="9">
        <f t="shared" si="2"/>
        <v>8.0000000051222742</v>
      </c>
      <c r="AJ84" s="9">
        <f>C84</f>
        <v>2119</v>
      </c>
      <c r="AK84" s="9">
        <f>IF(P84="completed",((V84-K84)*24*60),0)</f>
        <v>14.00000000372529</v>
      </c>
      <c r="AL84" s="9">
        <f>IF(P84="completed",((U84-K84)*24*60),0)</f>
        <v>18.000000006286427</v>
      </c>
      <c r="AM84" s="9" t="str">
        <f t="shared" si="3"/>
        <v>OTP Achieved</v>
      </c>
      <c r="AN84" s="9" t="str">
        <f t="shared" si="4"/>
        <v>OTP Achieved</v>
      </c>
      <c r="AO84" s="9"/>
    </row>
    <row r="85" spans="1:41" ht="16">
      <c r="A85" s="3" t="s">
        <v>40</v>
      </c>
      <c r="B85" s="6">
        <v>46313.900694444441</v>
      </c>
      <c r="C85" s="5">
        <v>3697</v>
      </c>
      <c r="D85" s="1" t="s">
        <v>41</v>
      </c>
      <c r="E85" s="5">
        <v>9</v>
      </c>
      <c r="F85" s="1" t="s">
        <v>41</v>
      </c>
      <c r="G85" s="1" t="s">
        <v>41</v>
      </c>
      <c r="H85" s="1" t="s">
        <v>336</v>
      </c>
      <c r="I85" s="6">
        <v>46313.901388888888</v>
      </c>
      <c r="J85" s="1" t="s">
        <v>41</v>
      </c>
      <c r="K85" s="6">
        <v>46313.895833333336</v>
      </c>
      <c r="L85" s="5">
        <v>28</v>
      </c>
      <c r="M85" s="4"/>
      <c r="N85" s="1"/>
      <c r="O85" s="6">
        <v>46313.895138888889</v>
      </c>
      <c r="P85" s="1" t="s">
        <v>43</v>
      </c>
      <c r="Q85" s="1" t="s">
        <v>44</v>
      </c>
      <c r="R85" s="1" t="s">
        <v>337</v>
      </c>
      <c r="S85" s="5">
        <v>4247</v>
      </c>
      <c r="T85" s="1" t="s">
        <v>41</v>
      </c>
      <c r="U85" s="6">
        <v>46313.909722222219</v>
      </c>
      <c r="V85" s="6">
        <v>46313.906944444447</v>
      </c>
      <c r="W85" s="7" t="s">
        <v>338</v>
      </c>
      <c r="X85" s="5">
        <v>22411</v>
      </c>
      <c r="Y85" s="4"/>
      <c r="Z85" s="5">
        <v>0</v>
      </c>
      <c r="AA85" s="8">
        <v>0.90069444444444446</v>
      </c>
      <c r="AB85" s="5">
        <v>8</v>
      </c>
      <c r="AC85" s="1" t="s">
        <v>41</v>
      </c>
      <c r="AD85" s="9" t="str">
        <f t="shared" si="0"/>
        <v>Actual</v>
      </c>
      <c r="AE85" s="9" t="str">
        <f t="shared" si="1"/>
        <v>TMK7</v>
      </c>
      <c r="AF85" s="9">
        <f>HOUR(O85)</f>
        <v>21</v>
      </c>
      <c r="AG85" s="9">
        <f>DAY(O85)</f>
        <v>18</v>
      </c>
      <c r="AH85" s="9">
        <f>IFERROR((I85-K85)*24*60,0)</f>
        <v>7.9999999946448952</v>
      </c>
      <c r="AI85" s="9">
        <f t="shared" si="2"/>
        <v>7.9999999946448952</v>
      </c>
      <c r="AJ85" s="9">
        <f>C85</f>
        <v>3697</v>
      </c>
      <c r="AK85" s="9">
        <f>IF(P85="completed",((V85-K85)*24*60),0)</f>
        <v>15.999999999767169</v>
      </c>
      <c r="AL85" s="9">
        <f>IF(P85="completed",((U85-K85)*24*60),0)</f>
        <v>19.999999991850927</v>
      </c>
      <c r="AM85" s="9" t="str">
        <f t="shared" si="3"/>
        <v>OTP Achieved</v>
      </c>
      <c r="AN85" s="9" t="str">
        <f t="shared" si="4"/>
        <v>OTP Achieved</v>
      </c>
      <c r="AO85" s="9"/>
    </row>
    <row r="86" spans="1:41" ht="16">
      <c r="A86" s="3" t="s">
        <v>339</v>
      </c>
      <c r="B86" s="6">
        <v>46313.900694444441</v>
      </c>
      <c r="C86" s="5">
        <v>837</v>
      </c>
      <c r="D86" s="1" t="s">
        <v>41</v>
      </c>
      <c r="E86" s="5">
        <v>4</v>
      </c>
      <c r="F86" s="1" t="s">
        <v>41</v>
      </c>
      <c r="G86" s="1" t="s">
        <v>41</v>
      </c>
      <c r="H86" s="1" t="s">
        <v>340</v>
      </c>
      <c r="I86" s="6">
        <v>46313.901388888888</v>
      </c>
      <c r="J86" s="1" t="s">
        <v>41</v>
      </c>
      <c r="K86" s="6">
        <v>46313.895833333336</v>
      </c>
      <c r="L86" s="5">
        <v>29</v>
      </c>
      <c r="M86" s="4"/>
      <c r="N86" s="1"/>
      <c r="O86" s="6">
        <v>46313.894444444442</v>
      </c>
      <c r="P86" s="1" t="s">
        <v>43</v>
      </c>
      <c r="Q86" s="1" t="s">
        <v>341</v>
      </c>
      <c r="R86" s="1" t="s">
        <v>342</v>
      </c>
      <c r="S86" s="5">
        <v>4247</v>
      </c>
      <c r="T86" s="1" t="s">
        <v>41</v>
      </c>
      <c r="U86" s="6">
        <v>46313.90347222222</v>
      </c>
      <c r="V86" s="6">
        <v>46313.90347222222</v>
      </c>
      <c r="W86" s="7" t="s">
        <v>343</v>
      </c>
      <c r="X86" s="5">
        <v>22411</v>
      </c>
      <c r="Y86" s="4"/>
      <c r="Z86" s="5">
        <v>0</v>
      </c>
      <c r="AA86" s="8">
        <v>0.90069444444444446</v>
      </c>
      <c r="AB86" s="5">
        <v>3</v>
      </c>
      <c r="AC86" s="1" t="s">
        <v>41</v>
      </c>
      <c r="AD86" s="9" t="str">
        <f t="shared" si="0"/>
        <v>Actual</v>
      </c>
      <c r="AE86" s="9" t="str">
        <f t="shared" si="1"/>
        <v>TMK7</v>
      </c>
      <c r="AF86" s="9">
        <f>HOUR(O86)</f>
        <v>21</v>
      </c>
      <c r="AG86" s="9">
        <f>DAY(O86)</f>
        <v>18</v>
      </c>
      <c r="AH86" s="9">
        <f>IFERROR((I86-K86)*24*60,0)</f>
        <v>7.9999999946448952</v>
      </c>
      <c r="AI86" s="9">
        <f t="shared" si="2"/>
        <v>7.9999999946448952</v>
      </c>
      <c r="AJ86" s="9">
        <f>C86</f>
        <v>837</v>
      </c>
      <c r="AK86" s="9">
        <f>IF(P86="completed",((V86-K86)*24*60),0)</f>
        <v>10.999999993946403</v>
      </c>
      <c r="AL86" s="9">
        <f>IF(P86="completed",((U86-K86)*24*60),0)</f>
        <v>10.999999993946403</v>
      </c>
      <c r="AM86" s="9" t="str">
        <f t="shared" si="3"/>
        <v>OTP Breached</v>
      </c>
      <c r="AN86" s="9" t="str">
        <f t="shared" si="4"/>
        <v>OTP Achieved</v>
      </c>
      <c r="AO86" s="9"/>
    </row>
    <row r="87" spans="1:41" ht="16">
      <c r="A87" s="3" t="s">
        <v>106</v>
      </c>
      <c r="B87" s="6">
        <v>46313.9</v>
      </c>
      <c r="C87" s="5">
        <v>1250</v>
      </c>
      <c r="D87" s="1" t="s">
        <v>41</v>
      </c>
      <c r="E87" s="5">
        <v>6</v>
      </c>
      <c r="F87" s="1" t="s">
        <v>41</v>
      </c>
      <c r="G87" s="1" t="s">
        <v>41</v>
      </c>
      <c r="H87" s="1" t="s">
        <v>344</v>
      </c>
      <c r="I87" s="6">
        <v>46313.900694444441</v>
      </c>
      <c r="J87" s="1" t="s">
        <v>41</v>
      </c>
      <c r="K87" s="6">
        <v>46313.895138888889</v>
      </c>
      <c r="L87" s="5">
        <v>23</v>
      </c>
      <c r="M87" s="4"/>
      <c r="N87" s="1"/>
      <c r="O87" s="6">
        <v>46313.894444444442</v>
      </c>
      <c r="P87" s="1" t="s">
        <v>43</v>
      </c>
      <c r="Q87" s="1" t="s">
        <v>108</v>
      </c>
      <c r="R87" s="1" t="s">
        <v>345</v>
      </c>
      <c r="S87" s="5">
        <v>4247</v>
      </c>
      <c r="T87" s="1" t="s">
        <v>41</v>
      </c>
      <c r="U87" s="6">
        <v>46313.904861111114</v>
      </c>
      <c r="V87" s="6">
        <v>46313.904166666667</v>
      </c>
      <c r="W87" s="7" t="s">
        <v>346</v>
      </c>
      <c r="X87" s="5">
        <v>22411</v>
      </c>
      <c r="Y87" s="4"/>
      <c r="Z87" s="5">
        <v>0</v>
      </c>
      <c r="AA87" s="8">
        <v>0.9</v>
      </c>
      <c r="AB87" s="5">
        <v>5</v>
      </c>
      <c r="AC87" s="1" t="s">
        <v>41</v>
      </c>
      <c r="AD87" s="9" t="str">
        <f t="shared" si="0"/>
        <v>Actual</v>
      </c>
      <c r="AE87" s="9" t="str">
        <f t="shared" si="1"/>
        <v>TMK7</v>
      </c>
      <c r="AF87" s="9">
        <f>HOUR(O87)</f>
        <v>21</v>
      </c>
      <c r="AG87" s="9">
        <f>DAY(O87)</f>
        <v>18</v>
      </c>
      <c r="AH87" s="9">
        <f>IFERROR((I87-K87)*24*60,0)</f>
        <v>7.9999999946448952</v>
      </c>
      <c r="AI87" s="9">
        <f t="shared" si="2"/>
        <v>7.9999999946448952</v>
      </c>
      <c r="AJ87" s="9">
        <f>C87</f>
        <v>1250</v>
      </c>
      <c r="AK87" s="9">
        <f>IF(P87="completed",((V87-K87)*24*60),0)</f>
        <v>13.000000000465661</v>
      </c>
      <c r="AL87" s="9">
        <f>IF(P87="completed",((U87-K87)*24*60),0)</f>
        <v>14.00000000372529</v>
      </c>
      <c r="AM87" s="9" t="str">
        <f t="shared" si="3"/>
        <v>OTP Achieved</v>
      </c>
      <c r="AN87" s="9" t="str">
        <f t="shared" si="4"/>
        <v>OTP Achieved</v>
      </c>
      <c r="AO87" s="9"/>
    </row>
    <row r="88" spans="1:41" ht="16">
      <c r="A88" s="3" t="s">
        <v>347</v>
      </c>
      <c r="B88" s="6">
        <v>46313.9</v>
      </c>
      <c r="C88" s="5">
        <v>2735</v>
      </c>
      <c r="D88" s="1" t="s">
        <v>41</v>
      </c>
      <c r="E88" s="5">
        <v>8</v>
      </c>
      <c r="F88" s="1" t="s">
        <v>41</v>
      </c>
      <c r="G88" s="1" t="s">
        <v>41</v>
      </c>
      <c r="H88" s="1" t="s">
        <v>348</v>
      </c>
      <c r="I88" s="6">
        <v>46313.9</v>
      </c>
      <c r="J88" s="1" t="s">
        <v>41</v>
      </c>
      <c r="K88" s="6">
        <v>46313.894444444442</v>
      </c>
      <c r="L88" s="5">
        <v>16</v>
      </c>
      <c r="M88" s="4"/>
      <c r="N88" s="1"/>
      <c r="O88" s="6">
        <v>46313.893750000003</v>
      </c>
      <c r="P88" s="1" t="s">
        <v>43</v>
      </c>
      <c r="Q88" s="1" t="s">
        <v>349</v>
      </c>
      <c r="R88" s="1" t="s">
        <v>350</v>
      </c>
      <c r="S88" s="5">
        <v>4247</v>
      </c>
      <c r="T88" s="1" t="s">
        <v>41</v>
      </c>
      <c r="U88" s="6">
        <v>46313.906944444447</v>
      </c>
      <c r="V88" s="6">
        <v>46313.905555555553</v>
      </c>
      <c r="W88" s="7" t="s">
        <v>351</v>
      </c>
      <c r="X88" s="5">
        <v>22411</v>
      </c>
      <c r="Y88" s="10"/>
      <c r="Z88" s="5">
        <v>0</v>
      </c>
      <c r="AA88" s="8">
        <v>0.9</v>
      </c>
      <c r="AB88" s="5">
        <v>8</v>
      </c>
      <c r="AC88" s="1" t="s">
        <v>41</v>
      </c>
      <c r="AD88" s="9" t="str">
        <f t="shared" si="0"/>
        <v>Actual</v>
      </c>
      <c r="AE88" s="9" t="str">
        <f t="shared" si="1"/>
        <v>TMK7</v>
      </c>
      <c r="AF88" s="9">
        <f>HOUR(O88)</f>
        <v>21</v>
      </c>
      <c r="AG88" s="9">
        <f>DAY(O88)</f>
        <v>18</v>
      </c>
      <c r="AH88" s="9">
        <f>IFERROR((I88-K88)*24*60,0)</f>
        <v>8.0000000051222742</v>
      </c>
      <c r="AI88" s="9">
        <f t="shared" si="2"/>
        <v>8.0000000051222742</v>
      </c>
      <c r="AJ88" s="9">
        <f>C88</f>
        <v>2735</v>
      </c>
      <c r="AK88" s="9">
        <f>IF(P88="completed",((V88-K88)*24*60),0)</f>
        <v>15.999999999767169</v>
      </c>
      <c r="AL88" s="9">
        <f>IF(P88="completed",((U88-K88)*24*60),0)</f>
        <v>18.000000006286427</v>
      </c>
      <c r="AM88" s="9" t="str">
        <f t="shared" si="3"/>
        <v>OTP Achieved</v>
      </c>
      <c r="AN88" s="9" t="str">
        <f t="shared" si="4"/>
        <v>OTP Achieved</v>
      </c>
      <c r="AO88" s="9"/>
    </row>
    <row r="89" spans="1:41" ht="16">
      <c r="A89" s="3" t="s">
        <v>209</v>
      </c>
      <c r="B89" s="6">
        <v>46313.899305555555</v>
      </c>
      <c r="C89" s="5">
        <v>2429</v>
      </c>
      <c r="D89" s="1" t="s">
        <v>41</v>
      </c>
      <c r="E89" s="5">
        <v>11</v>
      </c>
      <c r="F89" s="1" t="s">
        <v>41</v>
      </c>
      <c r="G89" s="1" t="s">
        <v>41</v>
      </c>
      <c r="H89" s="1" t="s">
        <v>352</v>
      </c>
      <c r="I89" s="6">
        <v>46313.899305555555</v>
      </c>
      <c r="J89" s="1" t="s">
        <v>41</v>
      </c>
      <c r="K89" s="6">
        <v>46313.895138888889</v>
      </c>
      <c r="L89" s="5">
        <v>29</v>
      </c>
      <c r="M89" s="4"/>
      <c r="N89" s="1"/>
      <c r="O89" s="6">
        <v>46313.893055555556</v>
      </c>
      <c r="P89" s="1" t="s">
        <v>43</v>
      </c>
      <c r="Q89" s="1" t="s">
        <v>211</v>
      </c>
      <c r="R89" s="1" t="s">
        <v>353</v>
      </c>
      <c r="S89" s="5">
        <v>4247</v>
      </c>
      <c r="T89" s="1" t="s">
        <v>41</v>
      </c>
      <c r="U89" s="6">
        <v>46313.904861111114</v>
      </c>
      <c r="V89" s="6">
        <v>46313.906944444447</v>
      </c>
      <c r="W89" s="7" t="s">
        <v>354</v>
      </c>
      <c r="X89" s="5">
        <v>22411</v>
      </c>
      <c r="Y89" s="4"/>
      <c r="Z89" s="5">
        <v>0</v>
      </c>
      <c r="AA89" s="8">
        <v>0.89930555555555558</v>
      </c>
      <c r="AB89" s="5">
        <v>11</v>
      </c>
      <c r="AC89" s="1" t="s">
        <v>41</v>
      </c>
      <c r="AD89" s="9" t="str">
        <f t="shared" si="0"/>
        <v>Actual</v>
      </c>
      <c r="AE89" s="9" t="str">
        <f t="shared" si="1"/>
        <v>TMK7</v>
      </c>
      <c r="AF89" s="9">
        <f>HOUR(O89)</f>
        <v>21</v>
      </c>
      <c r="AG89" s="9">
        <f>DAY(O89)</f>
        <v>18</v>
      </c>
      <c r="AH89" s="9">
        <f>IFERROR((I89-K89)*24*60,0)</f>
        <v>5.9999999986030161</v>
      </c>
      <c r="AI89" s="9">
        <f t="shared" si="2"/>
        <v>5.9999999986030161</v>
      </c>
      <c r="AJ89" s="9">
        <f>C89</f>
        <v>2429</v>
      </c>
      <c r="AK89" s="9">
        <f>IF(P89="completed",((V89-K89)*24*60),0)</f>
        <v>17.000000003026798</v>
      </c>
      <c r="AL89" s="9">
        <f>IF(P89="completed",((U89-K89)*24*60),0)</f>
        <v>14.00000000372529</v>
      </c>
      <c r="AM89" s="9" t="str">
        <f t="shared" si="3"/>
        <v>OTP Breached</v>
      </c>
      <c r="AN89" s="9" t="str">
        <f t="shared" si="4"/>
        <v>OTP Achieved</v>
      </c>
      <c r="AO89" s="9"/>
    </row>
    <row r="90" spans="1:41" ht="16">
      <c r="A90" s="3" t="s">
        <v>117</v>
      </c>
      <c r="B90" s="6">
        <v>46313.898611111108</v>
      </c>
      <c r="C90" s="5">
        <v>1498</v>
      </c>
      <c r="D90" s="1" t="s">
        <v>41</v>
      </c>
      <c r="E90" s="5">
        <v>6</v>
      </c>
      <c r="F90" s="1" t="s">
        <v>41</v>
      </c>
      <c r="G90" s="1" t="s">
        <v>41</v>
      </c>
      <c r="H90" s="1" t="s">
        <v>355</v>
      </c>
      <c r="I90" s="6">
        <v>46313.898611111108</v>
      </c>
      <c r="J90" s="1" t="s">
        <v>41</v>
      </c>
      <c r="K90" s="6">
        <v>46313.893055555556</v>
      </c>
      <c r="L90" s="5">
        <v>24</v>
      </c>
      <c r="M90" s="4"/>
      <c r="N90" s="1"/>
      <c r="O90" s="6">
        <v>46313.89166666667</v>
      </c>
      <c r="P90" s="1" t="s">
        <v>43</v>
      </c>
      <c r="Q90" s="1" t="s">
        <v>119</v>
      </c>
      <c r="R90" s="1" t="s">
        <v>356</v>
      </c>
      <c r="S90" s="5">
        <v>4247</v>
      </c>
      <c r="T90" s="1" t="s">
        <v>41</v>
      </c>
      <c r="U90" s="6">
        <v>46313.90347222222</v>
      </c>
      <c r="V90" s="6">
        <v>46313.902777777781</v>
      </c>
      <c r="W90" s="7" t="s">
        <v>357</v>
      </c>
      <c r="X90" s="5">
        <v>22411</v>
      </c>
      <c r="Y90" s="6"/>
      <c r="Z90" s="5">
        <v>0</v>
      </c>
      <c r="AA90" s="8">
        <v>0.89861111111111114</v>
      </c>
      <c r="AB90" s="5">
        <v>6</v>
      </c>
      <c r="AC90" s="1" t="s">
        <v>41</v>
      </c>
      <c r="AD90" s="9" t="str">
        <f t="shared" si="0"/>
        <v>Actual</v>
      </c>
      <c r="AE90" s="9" t="str">
        <f t="shared" si="1"/>
        <v>TMK7</v>
      </c>
      <c r="AF90" s="9">
        <f>HOUR(O90)</f>
        <v>21</v>
      </c>
      <c r="AG90" s="9">
        <f>DAY(O90)</f>
        <v>18</v>
      </c>
      <c r="AH90" s="9">
        <f>IFERROR((I90-K90)*24*60,0)</f>
        <v>7.9999999946448952</v>
      </c>
      <c r="AI90" s="9">
        <f t="shared" si="2"/>
        <v>7.9999999946448952</v>
      </c>
      <c r="AJ90" s="9">
        <f>C90</f>
        <v>1498</v>
      </c>
      <c r="AK90" s="9">
        <f>IF(P90="completed",((V90-K90)*24*60),0)</f>
        <v>14.00000000372529</v>
      </c>
      <c r="AL90" s="9">
        <f>IF(P90="completed",((U90-K90)*24*60),0)</f>
        <v>14.99999999650754</v>
      </c>
      <c r="AM90" s="9" t="str">
        <f t="shared" si="3"/>
        <v>OTP Achieved</v>
      </c>
      <c r="AN90" s="9" t="str">
        <f t="shared" si="4"/>
        <v>OTP Achieved</v>
      </c>
      <c r="AO90" s="9"/>
    </row>
    <row r="91" spans="1:41" ht="16">
      <c r="A91" s="3" t="s">
        <v>185</v>
      </c>
      <c r="B91" s="6">
        <v>46313.897916666669</v>
      </c>
      <c r="C91" s="5">
        <v>1510</v>
      </c>
      <c r="D91" s="1" t="s">
        <v>41</v>
      </c>
      <c r="E91" s="5">
        <v>6</v>
      </c>
      <c r="F91" s="1" t="s">
        <v>41</v>
      </c>
      <c r="G91" s="1" t="s">
        <v>41</v>
      </c>
      <c r="H91" s="1" t="s">
        <v>358</v>
      </c>
      <c r="I91" s="6">
        <v>46313.898611111108</v>
      </c>
      <c r="J91" s="1" t="s">
        <v>41</v>
      </c>
      <c r="K91" s="6">
        <v>46313.893055555556</v>
      </c>
      <c r="L91" s="5">
        <v>25</v>
      </c>
      <c r="M91" s="4"/>
      <c r="N91" s="1"/>
      <c r="O91" s="6">
        <v>46313.890972222223</v>
      </c>
      <c r="P91" s="1" t="s">
        <v>43</v>
      </c>
      <c r="Q91" s="1" t="s">
        <v>187</v>
      </c>
      <c r="R91" s="1" t="s">
        <v>359</v>
      </c>
      <c r="S91" s="5">
        <v>4247</v>
      </c>
      <c r="T91" s="1" t="s">
        <v>41</v>
      </c>
      <c r="U91" s="6">
        <v>46313.90347222222</v>
      </c>
      <c r="V91" s="6">
        <v>46313.902083333334</v>
      </c>
      <c r="W91" s="7" t="s">
        <v>360</v>
      </c>
      <c r="X91" s="5">
        <v>22411</v>
      </c>
      <c r="Y91" s="4"/>
      <c r="Z91" s="5">
        <v>0</v>
      </c>
      <c r="AA91" s="8">
        <v>0.8979166666666667</v>
      </c>
      <c r="AB91" s="5">
        <v>6</v>
      </c>
      <c r="AC91" s="1" t="s">
        <v>41</v>
      </c>
      <c r="AD91" s="9" t="str">
        <f t="shared" si="0"/>
        <v>Actual</v>
      </c>
      <c r="AE91" s="9" t="str">
        <f t="shared" si="1"/>
        <v>TMK7</v>
      </c>
      <c r="AF91" s="9">
        <f>HOUR(O91)</f>
        <v>21</v>
      </c>
      <c r="AG91" s="9">
        <f>DAY(O91)</f>
        <v>18</v>
      </c>
      <c r="AH91" s="9">
        <f>IFERROR((I91-K91)*24*60,0)</f>
        <v>7.9999999946448952</v>
      </c>
      <c r="AI91" s="9">
        <f t="shared" si="2"/>
        <v>7.9999999946448952</v>
      </c>
      <c r="AJ91" s="9">
        <f>C91</f>
        <v>1510</v>
      </c>
      <c r="AK91" s="9">
        <f>IF(P91="completed",((V91-K91)*24*60),0)</f>
        <v>13.000000000465661</v>
      </c>
      <c r="AL91" s="9">
        <f>IF(P91="completed",((U91-K91)*24*60),0)</f>
        <v>14.99999999650754</v>
      </c>
      <c r="AM91" s="9" t="str">
        <f t="shared" si="3"/>
        <v>OTP Achieved</v>
      </c>
      <c r="AN91" s="9" t="str">
        <f t="shared" si="4"/>
        <v>OTP Achieved</v>
      </c>
      <c r="AO91" s="9"/>
    </row>
    <row r="92" spans="1:41" ht="16">
      <c r="A92" s="3" t="s">
        <v>52</v>
      </c>
      <c r="B92" s="6">
        <v>46313.897222222222</v>
      </c>
      <c r="C92" s="5">
        <v>2366</v>
      </c>
      <c r="D92" s="1" t="s">
        <v>41</v>
      </c>
      <c r="E92" s="5">
        <v>7</v>
      </c>
      <c r="F92" s="1" t="s">
        <v>41</v>
      </c>
      <c r="G92" s="1" t="s">
        <v>41</v>
      </c>
      <c r="H92" s="1" t="s">
        <v>361</v>
      </c>
      <c r="I92" s="6">
        <v>46313.897916666669</v>
      </c>
      <c r="J92" s="1" t="s">
        <v>41</v>
      </c>
      <c r="K92" s="6">
        <v>46313.890277777777</v>
      </c>
      <c r="L92" s="5">
        <v>33</v>
      </c>
      <c r="M92" s="4"/>
      <c r="N92" s="1"/>
      <c r="O92" s="6">
        <v>46313.88958333333</v>
      </c>
      <c r="P92" s="1" t="s">
        <v>43</v>
      </c>
      <c r="Q92" s="1" t="s">
        <v>54</v>
      </c>
      <c r="R92" s="1" t="s">
        <v>362</v>
      </c>
      <c r="S92" s="5">
        <v>4247</v>
      </c>
      <c r="T92" s="1" t="s">
        <v>41</v>
      </c>
      <c r="U92" s="6">
        <v>46313.90347222222</v>
      </c>
      <c r="V92" s="6">
        <v>46313.902777777781</v>
      </c>
      <c r="W92" s="7" t="s">
        <v>363</v>
      </c>
      <c r="X92" s="5">
        <v>22411</v>
      </c>
      <c r="Y92" s="4"/>
      <c r="Z92" s="5">
        <v>0</v>
      </c>
      <c r="AA92" s="8">
        <v>0.89722222222222225</v>
      </c>
      <c r="AB92" s="5">
        <v>7</v>
      </c>
      <c r="AC92" s="1" t="s">
        <v>41</v>
      </c>
      <c r="AD92" s="9" t="str">
        <f t="shared" si="0"/>
        <v>Actual</v>
      </c>
      <c r="AE92" s="9" t="str">
        <f t="shared" si="1"/>
        <v>TMK7</v>
      </c>
      <c r="AF92" s="9">
        <f>HOUR(O92)</f>
        <v>21</v>
      </c>
      <c r="AG92" s="9">
        <f>DAY(O92)</f>
        <v>18</v>
      </c>
      <c r="AH92" s="9">
        <f>IFERROR((I92-K92)*24*60,0)</f>
        <v>11.000000004423782</v>
      </c>
      <c r="AI92" s="9">
        <f t="shared" si="2"/>
        <v>11.000000004423782</v>
      </c>
      <c r="AJ92" s="9">
        <f>C92</f>
        <v>2366</v>
      </c>
      <c r="AK92" s="9">
        <f>IF(P92="completed",((V92-K92)*24*60),0)</f>
        <v>18.000000006286427</v>
      </c>
      <c r="AL92" s="9">
        <f>IF(P92="completed",((U92-K92)*24*60),0)</f>
        <v>18.999999999068677</v>
      </c>
      <c r="AM92" s="9" t="str">
        <f t="shared" si="3"/>
        <v>OTP Achieved</v>
      </c>
      <c r="AN92" s="9" t="str">
        <f t="shared" si="4"/>
        <v>OTP Achieved</v>
      </c>
      <c r="AO92" s="9"/>
    </row>
    <row r="93" spans="1:41" ht="16">
      <c r="A93" s="3" t="s">
        <v>198</v>
      </c>
      <c r="B93" s="6">
        <v>46313.897916666669</v>
      </c>
      <c r="C93" s="5">
        <v>1605</v>
      </c>
      <c r="D93" s="1" t="s">
        <v>41</v>
      </c>
      <c r="E93" s="5">
        <v>5</v>
      </c>
      <c r="F93" s="1" t="s">
        <v>41</v>
      </c>
      <c r="G93" s="1" t="s">
        <v>41</v>
      </c>
      <c r="H93" s="1" t="s">
        <v>364</v>
      </c>
      <c r="I93" s="6">
        <v>46313.897916666669</v>
      </c>
      <c r="J93" s="1" t="s">
        <v>41</v>
      </c>
      <c r="K93" s="6">
        <v>46313.88958333333</v>
      </c>
      <c r="L93" s="5">
        <v>31</v>
      </c>
      <c r="M93" s="4"/>
      <c r="N93" s="1"/>
      <c r="O93" s="6">
        <v>46313.888888888891</v>
      </c>
      <c r="P93" s="1" t="s">
        <v>43</v>
      </c>
      <c r="Q93" s="1" t="s">
        <v>200</v>
      </c>
      <c r="R93" s="1" t="s">
        <v>365</v>
      </c>
      <c r="S93" s="5">
        <v>4247</v>
      </c>
      <c r="T93" s="1" t="s">
        <v>41</v>
      </c>
      <c r="U93" s="6">
        <v>46313.902777777781</v>
      </c>
      <c r="V93" s="6">
        <v>46313.901388888888</v>
      </c>
      <c r="W93" s="7" t="s">
        <v>366</v>
      </c>
      <c r="X93" s="5">
        <v>22411</v>
      </c>
      <c r="Y93" s="4"/>
      <c r="Z93" s="5">
        <v>0</v>
      </c>
      <c r="AA93" s="8">
        <v>0.8979166666666667</v>
      </c>
      <c r="AB93" s="5">
        <v>5</v>
      </c>
      <c r="AC93" s="1" t="s">
        <v>41</v>
      </c>
      <c r="AD93" s="9" t="str">
        <f t="shared" si="0"/>
        <v>Actual</v>
      </c>
      <c r="AE93" s="9" t="str">
        <f t="shared" si="1"/>
        <v>TMK7</v>
      </c>
      <c r="AF93" s="9">
        <f>HOUR(O93)</f>
        <v>21</v>
      </c>
      <c r="AG93" s="9">
        <f>DAY(O93)</f>
        <v>18</v>
      </c>
      <c r="AH93" s="9">
        <f>IFERROR((I93-K93)*24*60,0)</f>
        <v>12.000000007683411</v>
      </c>
      <c r="AI93" s="9">
        <f t="shared" si="2"/>
        <v>12.000000007683411</v>
      </c>
      <c r="AJ93" s="9">
        <f>C93</f>
        <v>1605</v>
      </c>
      <c r="AK93" s="9">
        <f>IF(P93="completed",((V93-K93)*24*60),0)</f>
        <v>17.000000003026798</v>
      </c>
      <c r="AL93" s="9">
        <f>IF(P93="completed",((U93-K93)*24*60),0)</f>
        <v>19.000000009546056</v>
      </c>
      <c r="AM93" s="9" t="str">
        <f t="shared" si="3"/>
        <v>OTP Achieved</v>
      </c>
      <c r="AN93" s="9" t="str">
        <f t="shared" si="4"/>
        <v>OTP Achieved</v>
      </c>
      <c r="AO93" s="9"/>
    </row>
    <row r="94" spans="1:41" ht="16">
      <c r="A94" s="3" t="s">
        <v>72</v>
      </c>
      <c r="B94" s="6">
        <v>46313.897222222222</v>
      </c>
      <c r="C94" s="5">
        <v>450</v>
      </c>
      <c r="D94" s="1" t="s">
        <v>41</v>
      </c>
      <c r="E94" s="5">
        <v>2</v>
      </c>
      <c r="F94" s="1" t="s">
        <v>41</v>
      </c>
      <c r="G94" s="1" t="s">
        <v>41</v>
      </c>
      <c r="H94" s="1" t="s">
        <v>367</v>
      </c>
      <c r="I94" s="6">
        <v>46313.897916666669</v>
      </c>
      <c r="J94" s="1" t="s">
        <v>41</v>
      </c>
      <c r="K94" s="6">
        <v>46313.89166666667</v>
      </c>
      <c r="L94" s="5">
        <v>29</v>
      </c>
      <c r="M94" s="4"/>
      <c r="N94" s="1"/>
      <c r="O94" s="6">
        <v>46313.888888888891</v>
      </c>
      <c r="P94" s="1" t="s">
        <v>43</v>
      </c>
      <c r="Q94" s="1" t="s">
        <v>74</v>
      </c>
      <c r="R94" s="1" t="s">
        <v>368</v>
      </c>
      <c r="S94" s="5">
        <v>4247</v>
      </c>
      <c r="T94" s="1" t="s">
        <v>41</v>
      </c>
      <c r="U94" s="6">
        <v>46313.899305555555</v>
      </c>
      <c r="V94" s="6">
        <v>46313.899305555555</v>
      </c>
      <c r="W94" s="7" t="s">
        <v>369</v>
      </c>
      <c r="X94" s="5">
        <v>22411</v>
      </c>
      <c r="Y94" s="4"/>
      <c r="Z94" s="5">
        <v>0</v>
      </c>
      <c r="AA94" s="8">
        <v>0.89722222222222225</v>
      </c>
      <c r="AB94" s="5">
        <v>2</v>
      </c>
      <c r="AC94" s="1" t="s">
        <v>41</v>
      </c>
      <c r="AD94" s="9" t="str">
        <f t="shared" si="0"/>
        <v>Actual</v>
      </c>
      <c r="AE94" s="9" t="str">
        <f t="shared" si="1"/>
        <v>TMK7</v>
      </c>
      <c r="AF94" s="9">
        <f>HOUR(O94)</f>
        <v>21</v>
      </c>
      <c r="AG94" s="9">
        <f>DAY(O94)</f>
        <v>18</v>
      </c>
      <c r="AH94" s="9">
        <f>IFERROR((I94-K94)*24*60,0)</f>
        <v>8.9999999979045242</v>
      </c>
      <c r="AI94" s="9">
        <f t="shared" si="2"/>
        <v>8.9999999979045242</v>
      </c>
      <c r="AJ94" s="9">
        <f>C94</f>
        <v>450</v>
      </c>
      <c r="AK94" s="9">
        <f>IF(P94="completed",((V94-K94)*24*60),0)</f>
        <v>10.999999993946403</v>
      </c>
      <c r="AL94" s="9">
        <f>IF(P94="completed",((U94-K94)*24*60),0)</f>
        <v>10.999999993946403</v>
      </c>
      <c r="AM94" s="9" t="str">
        <f t="shared" si="3"/>
        <v>OTP Breached</v>
      </c>
      <c r="AN94" s="9" t="str">
        <f t="shared" si="4"/>
        <v>OTP Achieved</v>
      </c>
      <c r="AO94" s="9"/>
    </row>
    <row r="95" spans="1:41" ht="16">
      <c r="A95" s="3" t="s">
        <v>190</v>
      </c>
      <c r="B95" s="6">
        <v>46313.897222222222</v>
      </c>
      <c r="C95" s="5">
        <v>1433</v>
      </c>
      <c r="D95" s="1" t="s">
        <v>41</v>
      </c>
      <c r="E95" s="5">
        <v>5</v>
      </c>
      <c r="F95" s="1" t="s">
        <v>41</v>
      </c>
      <c r="G95" s="1" t="s">
        <v>41</v>
      </c>
      <c r="H95" s="1" t="s">
        <v>370</v>
      </c>
      <c r="I95" s="6">
        <v>46313.897222222222</v>
      </c>
      <c r="J95" s="1" t="s">
        <v>41</v>
      </c>
      <c r="K95" s="6">
        <v>46313.888194444444</v>
      </c>
      <c r="L95" s="5">
        <v>28</v>
      </c>
      <c r="M95" s="4"/>
      <c r="N95" s="1"/>
      <c r="O95" s="6">
        <v>46313.888194444444</v>
      </c>
      <c r="P95" s="1" t="s">
        <v>43</v>
      </c>
      <c r="Q95" s="1" t="s">
        <v>192</v>
      </c>
      <c r="R95" s="1" t="s">
        <v>371</v>
      </c>
      <c r="S95" s="5">
        <v>4247</v>
      </c>
      <c r="T95" s="1" t="s">
        <v>41</v>
      </c>
      <c r="U95" s="6">
        <v>46313.901388888888</v>
      </c>
      <c r="V95" s="6">
        <v>46313.9</v>
      </c>
      <c r="W95" s="7" t="s">
        <v>372</v>
      </c>
      <c r="X95" s="5">
        <v>22411</v>
      </c>
      <c r="Y95" s="4"/>
      <c r="Z95" s="5">
        <v>0</v>
      </c>
      <c r="AA95" s="8">
        <v>0.89722222222222225</v>
      </c>
      <c r="AB95" s="5">
        <v>4</v>
      </c>
      <c r="AC95" s="1" t="s">
        <v>41</v>
      </c>
      <c r="AD95" s="9" t="str">
        <f t="shared" si="0"/>
        <v>Actual</v>
      </c>
      <c r="AE95" s="9" t="str">
        <f t="shared" si="1"/>
        <v>TMK7</v>
      </c>
      <c r="AF95" s="9">
        <f>HOUR(O95)</f>
        <v>21</v>
      </c>
      <c r="AG95" s="9">
        <f>DAY(O95)</f>
        <v>18</v>
      </c>
      <c r="AH95" s="9">
        <f>IFERROR((I95-K95)*24*60,0)</f>
        <v>13.000000000465661</v>
      </c>
      <c r="AI95" s="9">
        <f t="shared" si="2"/>
        <v>13.000000000465661</v>
      </c>
      <c r="AJ95" s="9">
        <f>C95</f>
        <v>1433</v>
      </c>
      <c r="AK95" s="9">
        <f>IF(P95="completed",((V95-K95)*24*60),0)</f>
        <v>17.000000003026798</v>
      </c>
      <c r="AL95" s="9">
        <f>IF(P95="completed",((U95-K95)*24*60),0)</f>
        <v>18.999999999068677</v>
      </c>
      <c r="AM95" s="9" t="str">
        <f t="shared" si="3"/>
        <v>OTP Achieved</v>
      </c>
      <c r="AN95" s="9" t="str">
        <f t="shared" si="4"/>
        <v>OTP Achieved</v>
      </c>
      <c r="AO95" s="9"/>
    </row>
    <row r="96" spans="1:41" ht="16">
      <c r="A96" s="3" t="s">
        <v>40</v>
      </c>
      <c r="B96" s="6">
        <v>46313.893750000003</v>
      </c>
      <c r="C96" s="5">
        <v>207</v>
      </c>
      <c r="D96" s="1" t="s">
        <v>41</v>
      </c>
      <c r="E96" s="5">
        <v>0</v>
      </c>
      <c r="F96" s="1" t="s">
        <v>41</v>
      </c>
      <c r="G96" s="1" t="s">
        <v>41</v>
      </c>
      <c r="H96" s="1" t="s">
        <v>373</v>
      </c>
      <c r="I96" s="6">
        <v>46313.894444444442</v>
      </c>
      <c r="J96" s="1" t="s">
        <v>41</v>
      </c>
      <c r="K96" s="6">
        <v>46313.888888888891</v>
      </c>
      <c r="L96" s="5">
        <v>22</v>
      </c>
      <c r="M96" s="4"/>
      <c r="N96" s="1"/>
      <c r="O96" s="6">
        <v>46313.888194444444</v>
      </c>
      <c r="P96" s="1" t="s">
        <v>43</v>
      </c>
      <c r="Q96" s="1" t="s">
        <v>44</v>
      </c>
      <c r="R96" s="1" t="s">
        <v>374</v>
      </c>
      <c r="S96" s="5">
        <v>4247</v>
      </c>
      <c r="T96" s="1" t="s">
        <v>41</v>
      </c>
      <c r="U96" s="6">
        <v>46313.895138888889</v>
      </c>
      <c r="V96" s="6">
        <v>46313.894444444442</v>
      </c>
      <c r="W96" s="7" t="s">
        <v>375</v>
      </c>
      <c r="X96" s="5">
        <v>22411</v>
      </c>
      <c r="Y96" s="4"/>
      <c r="Z96" s="5">
        <v>0</v>
      </c>
      <c r="AA96" s="8">
        <v>0.89375000000000004</v>
      </c>
      <c r="AB96" s="5">
        <v>0</v>
      </c>
      <c r="AC96" s="1" t="s">
        <v>41</v>
      </c>
      <c r="AD96" s="9" t="str">
        <f t="shared" si="0"/>
        <v>Actual</v>
      </c>
      <c r="AE96" s="9" t="str">
        <f t="shared" si="1"/>
        <v>TMK7</v>
      </c>
      <c r="AF96" s="9">
        <f>HOUR(O96)</f>
        <v>21</v>
      </c>
      <c r="AG96" s="9">
        <f>DAY(O96)</f>
        <v>18</v>
      </c>
      <c r="AH96" s="9">
        <f>IFERROR((I96-K96)*24*60,0)</f>
        <v>7.9999999946448952</v>
      </c>
      <c r="AI96" s="9">
        <f t="shared" si="2"/>
        <v>7.9999999946448952</v>
      </c>
      <c r="AJ96" s="9">
        <f>C96</f>
        <v>207</v>
      </c>
      <c r="AK96" s="9">
        <f>IF(P96="completed",((V96-K96)*24*60),0)</f>
        <v>7.9999999946448952</v>
      </c>
      <c r="AL96" s="9">
        <f>IF(P96="completed",((U96-K96)*24*60),0)</f>
        <v>8.9999999979045242</v>
      </c>
      <c r="AM96" s="9" t="str">
        <f t="shared" si="3"/>
        <v>OTP Achieved</v>
      </c>
      <c r="AN96" s="9" t="str">
        <f t="shared" si="4"/>
        <v>OTP Achieved</v>
      </c>
      <c r="AO96" s="9"/>
    </row>
    <row r="97" spans="1:41" ht="16">
      <c r="A97" s="3" t="s">
        <v>106</v>
      </c>
      <c r="B97" s="6">
        <v>46313.893750000003</v>
      </c>
      <c r="C97" s="5">
        <v>825</v>
      </c>
      <c r="D97" s="1" t="s">
        <v>41</v>
      </c>
      <c r="E97" s="5">
        <v>4</v>
      </c>
      <c r="F97" s="1" t="s">
        <v>41</v>
      </c>
      <c r="G97" s="1" t="s">
        <v>41</v>
      </c>
      <c r="H97" s="1" t="s">
        <v>376</v>
      </c>
      <c r="I97" s="6">
        <v>46313.894444444442</v>
      </c>
      <c r="J97" s="1" t="s">
        <v>41</v>
      </c>
      <c r="K97" s="6">
        <v>46313.887499999997</v>
      </c>
      <c r="L97" s="5">
        <v>27</v>
      </c>
      <c r="M97" s="4"/>
      <c r="N97" s="1"/>
      <c r="O97" s="6">
        <v>46313.886805555558</v>
      </c>
      <c r="P97" s="1" t="s">
        <v>43</v>
      </c>
      <c r="Q97" s="1" t="s">
        <v>108</v>
      </c>
      <c r="R97" s="1" t="s">
        <v>377</v>
      </c>
      <c r="S97" s="5">
        <v>4247</v>
      </c>
      <c r="T97" s="1" t="s">
        <v>41</v>
      </c>
      <c r="U97" s="6">
        <v>46313.896527777775</v>
      </c>
      <c r="V97" s="6">
        <v>46313.896527777775</v>
      </c>
      <c r="W97" s="7" t="s">
        <v>378</v>
      </c>
      <c r="X97" s="5">
        <v>22411</v>
      </c>
      <c r="Y97" s="4"/>
      <c r="Z97" s="5">
        <v>0</v>
      </c>
      <c r="AA97" s="8">
        <v>0.89375000000000004</v>
      </c>
      <c r="AB97" s="5">
        <v>3</v>
      </c>
      <c r="AC97" s="1" t="s">
        <v>41</v>
      </c>
      <c r="AD97" s="9" t="str">
        <f t="shared" si="0"/>
        <v>Actual</v>
      </c>
      <c r="AE97" s="9" t="str">
        <f t="shared" si="1"/>
        <v>TMK7</v>
      </c>
      <c r="AF97" s="9">
        <f>HOUR(O97)</f>
        <v>21</v>
      </c>
      <c r="AG97" s="9">
        <f>DAY(O97)</f>
        <v>18</v>
      </c>
      <c r="AH97" s="9">
        <f>IFERROR((I97-K97)*24*60,0)</f>
        <v>10.000000001164153</v>
      </c>
      <c r="AI97" s="9">
        <f t="shared" si="2"/>
        <v>10.000000001164153</v>
      </c>
      <c r="AJ97" s="9">
        <f>C97</f>
        <v>825</v>
      </c>
      <c r="AK97" s="9">
        <f>IF(P97="completed",((V97-K97)*24*60),0)</f>
        <v>13.000000000465661</v>
      </c>
      <c r="AL97" s="9">
        <f>IF(P97="completed",((U97-K97)*24*60),0)</f>
        <v>13.000000000465661</v>
      </c>
      <c r="AM97" s="9" t="str">
        <f t="shared" si="3"/>
        <v>OTP Breached</v>
      </c>
      <c r="AN97" s="9" t="str">
        <f t="shared" si="4"/>
        <v>OTP Achieved</v>
      </c>
      <c r="AO97" s="9"/>
    </row>
    <row r="98" spans="1:41" ht="16">
      <c r="A98" s="3" t="s">
        <v>379</v>
      </c>
      <c r="B98" s="6">
        <v>46313.893750000003</v>
      </c>
      <c r="C98" s="5">
        <v>3732</v>
      </c>
      <c r="D98" s="1" t="s">
        <v>41</v>
      </c>
      <c r="E98" s="5">
        <v>12</v>
      </c>
      <c r="F98" s="1" t="s">
        <v>41</v>
      </c>
      <c r="G98" s="1" t="s">
        <v>41</v>
      </c>
      <c r="H98" s="1" t="s">
        <v>380</v>
      </c>
      <c r="I98" s="6">
        <v>46313.894444444442</v>
      </c>
      <c r="J98" s="1" t="s">
        <v>41</v>
      </c>
      <c r="K98" s="6">
        <v>46313.886805555558</v>
      </c>
      <c r="L98" s="5">
        <v>30</v>
      </c>
      <c r="M98" s="4"/>
      <c r="N98" s="1"/>
      <c r="O98" s="6">
        <v>46313.886111111111</v>
      </c>
      <c r="P98" s="1" t="s">
        <v>43</v>
      </c>
      <c r="Q98" s="1" t="s">
        <v>381</v>
      </c>
      <c r="R98" s="1" t="s">
        <v>382</v>
      </c>
      <c r="S98" s="5">
        <v>4247</v>
      </c>
      <c r="T98" s="1" t="s">
        <v>41</v>
      </c>
      <c r="U98" s="6">
        <v>46313.902777777781</v>
      </c>
      <c r="V98" s="6">
        <v>46313.902083333334</v>
      </c>
      <c r="W98" s="7" t="s">
        <v>383</v>
      </c>
      <c r="X98" s="5">
        <v>22411</v>
      </c>
      <c r="Y98" s="4"/>
      <c r="Z98" s="5">
        <v>0</v>
      </c>
      <c r="AA98" s="8">
        <v>0.89375000000000004</v>
      </c>
      <c r="AB98" s="5">
        <v>11</v>
      </c>
      <c r="AC98" s="1" t="s">
        <v>41</v>
      </c>
      <c r="AD98" s="9" t="str">
        <f t="shared" si="0"/>
        <v>Actual</v>
      </c>
      <c r="AE98" s="9" t="str">
        <f t="shared" si="1"/>
        <v>TMK7</v>
      </c>
      <c r="AF98" s="9">
        <f>HOUR(O98)</f>
        <v>21</v>
      </c>
      <c r="AG98" s="9">
        <f>DAY(O98)</f>
        <v>18</v>
      </c>
      <c r="AH98" s="9">
        <f>IFERROR((I98-K98)*24*60,0)</f>
        <v>10.999999993946403</v>
      </c>
      <c r="AI98" s="9">
        <f t="shared" si="2"/>
        <v>10.999999993946403</v>
      </c>
      <c r="AJ98" s="9">
        <f>C98</f>
        <v>3732</v>
      </c>
      <c r="AK98" s="9">
        <f>IF(P98="completed",((V98-K98)*24*60),0)</f>
        <v>21.999999998370185</v>
      </c>
      <c r="AL98" s="9">
        <f>IF(P98="completed",((U98-K98)*24*60),0)</f>
        <v>23.000000001629815</v>
      </c>
      <c r="AM98" s="9" t="str">
        <f t="shared" si="3"/>
        <v>OTP Achieved</v>
      </c>
      <c r="AN98" s="9" t="str">
        <f t="shared" si="4"/>
        <v>OTP Achieved</v>
      </c>
      <c r="AO98" s="9"/>
    </row>
    <row r="99" spans="1:41" ht="16">
      <c r="A99" s="3" t="s">
        <v>77</v>
      </c>
      <c r="B99" s="6">
        <v>46313.89166666667</v>
      </c>
      <c r="C99" s="5">
        <v>1262</v>
      </c>
      <c r="D99" s="1" t="s">
        <v>41</v>
      </c>
      <c r="E99" s="5">
        <v>8</v>
      </c>
      <c r="F99" s="1" t="s">
        <v>41</v>
      </c>
      <c r="G99" s="1" t="s">
        <v>41</v>
      </c>
      <c r="H99" s="1" t="s">
        <v>384</v>
      </c>
      <c r="I99" s="6">
        <v>46313.892361111109</v>
      </c>
      <c r="J99" s="1" t="s">
        <v>41</v>
      </c>
      <c r="K99" s="6">
        <v>46313.88958333333</v>
      </c>
      <c r="L99" s="5">
        <v>33</v>
      </c>
      <c r="M99" s="4"/>
      <c r="N99" s="1"/>
      <c r="O99" s="6">
        <v>46313.886111111111</v>
      </c>
      <c r="P99" s="1" t="s">
        <v>43</v>
      </c>
      <c r="Q99" s="1" t="s">
        <v>79</v>
      </c>
      <c r="R99" s="1" t="s">
        <v>385</v>
      </c>
      <c r="S99" s="5">
        <v>4247</v>
      </c>
      <c r="T99" s="1" t="s">
        <v>41</v>
      </c>
      <c r="U99" s="6">
        <v>46313.896527777775</v>
      </c>
      <c r="V99" s="6">
        <v>46313.897222222222</v>
      </c>
      <c r="W99" s="7" t="s">
        <v>386</v>
      </c>
      <c r="X99" s="5">
        <v>22411</v>
      </c>
      <c r="Y99" s="4"/>
      <c r="Z99" s="5">
        <v>0</v>
      </c>
      <c r="AA99" s="8">
        <v>0.89166666666666672</v>
      </c>
      <c r="AB99" s="5">
        <v>7</v>
      </c>
      <c r="AC99" s="1" t="s">
        <v>41</v>
      </c>
      <c r="AD99" s="9" t="str">
        <f t="shared" si="0"/>
        <v>Actual</v>
      </c>
      <c r="AE99" s="9" t="str">
        <f t="shared" si="1"/>
        <v>TMK7</v>
      </c>
      <c r="AF99" s="9">
        <f>HOUR(O99)</f>
        <v>21</v>
      </c>
      <c r="AG99" s="9">
        <f>DAY(O99)</f>
        <v>18</v>
      </c>
      <c r="AH99" s="9">
        <f>IFERROR((I99-K99)*24*60,0)</f>
        <v>4.0000000025611371</v>
      </c>
      <c r="AI99" s="9">
        <f t="shared" si="2"/>
        <v>4.0000000025611371</v>
      </c>
      <c r="AJ99" s="9">
        <f>C99</f>
        <v>1262</v>
      </c>
      <c r="AK99" s="9">
        <f>IF(P99="completed",((V99-K99)*24*60),0)</f>
        <v>11.000000004423782</v>
      </c>
      <c r="AL99" s="9">
        <f>IF(P99="completed",((U99-K99)*24*60),0)</f>
        <v>10.000000001164153</v>
      </c>
      <c r="AM99" s="9" t="str">
        <f t="shared" si="3"/>
        <v>OTP Breached</v>
      </c>
      <c r="AN99" s="9" t="str">
        <f t="shared" si="4"/>
        <v>OTP Achieved</v>
      </c>
      <c r="AO99" s="9"/>
    </row>
    <row r="100" spans="1:41" ht="16">
      <c r="A100" s="3" t="s">
        <v>185</v>
      </c>
      <c r="B100" s="6">
        <v>46313.890972222223</v>
      </c>
      <c r="C100" s="5">
        <v>291</v>
      </c>
      <c r="D100" s="1" t="s">
        <v>41</v>
      </c>
      <c r="E100" s="5">
        <v>3</v>
      </c>
      <c r="F100" s="1" t="s">
        <v>41</v>
      </c>
      <c r="G100" s="1" t="s">
        <v>41</v>
      </c>
      <c r="H100" s="1" t="s">
        <v>387</v>
      </c>
      <c r="I100" s="6">
        <v>46313.89166666667</v>
      </c>
      <c r="J100" s="1" t="s">
        <v>41</v>
      </c>
      <c r="K100" s="6">
        <v>46313.886111111111</v>
      </c>
      <c r="L100" s="5">
        <v>37</v>
      </c>
      <c r="M100" s="4"/>
      <c r="N100" s="1"/>
      <c r="O100" s="6">
        <v>46313.885416666664</v>
      </c>
      <c r="P100" s="1" t="s">
        <v>43</v>
      </c>
      <c r="Q100" s="1" t="s">
        <v>187</v>
      </c>
      <c r="R100" s="1" t="s">
        <v>388</v>
      </c>
      <c r="S100" s="5">
        <v>4247</v>
      </c>
      <c r="T100" s="1" t="s">
        <v>41</v>
      </c>
      <c r="U100" s="6">
        <v>46313.893055555556</v>
      </c>
      <c r="V100" s="6">
        <v>46313.893055555556</v>
      </c>
      <c r="W100" s="7" t="s">
        <v>389</v>
      </c>
      <c r="X100" s="5">
        <v>22411</v>
      </c>
      <c r="Y100" s="4"/>
      <c r="Z100" s="5">
        <v>0</v>
      </c>
      <c r="AA100" s="8">
        <v>0.89097222222222228</v>
      </c>
      <c r="AB100" s="5">
        <v>2</v>
      </c>
      <c r="AC100" s="1" t="s">
        <v>41</v>
      </c>
      <c r="AD100" s="9" t="str">
        <f t="shared" si="0"/>
        <v>Actual</v>
      </c>
      <c r="AE100" s="9" t="str">
        <f t="shared" si="1"/>
        <v>TMK7</v>
      </c>
      <c r="AF100" s="9">
        <f>HOUR(O100)</f>
        <v>21</v>
      </c>
      <c r="AG100" s="9">
        <f>DAY(O100)</f>
        <v>18</v>
      </c>
      <c r="AH100" s="9">
        <f>IFERROR((I100-K100)*24*60,0)</f>
        <v>8.0000000051222742</v>
      </c>
      <c r="AI100" s="9">
        <f t="shared" si="2"/>
        <v>8.0000000051222742</v>
      </c>
      <c r="AJ100" s="9">
        <f>C100</f>
        <v>291</v>
      </c>
      <c r="AK100" s="9">
        <f>IF(P100="completed",((V100-K100)*24*60),0)</f>
        <v>10.000000001164153</v>
      </c>
      <c r="AL100" s="9">
        <f>IF(P100="completed",((U100-K100)*24*60),0)</f>
        <v>10.000000001164153</v>
      </c>
      <c r="AM100" s="9" t="str">
        <f t="shared" si="3"/>
        <v>OTP Breached</v>
      </c>
      <c r="AN100" s="9" t="str">
        <f t="shared" si="4"/>
        <v>OTP Achieved</v>
      </c>
      <c r="AO100" s="9"/>
    </row>
    <row r="101" spans="1:41" ht="16">
      <c r="A101" s="3" t="s">
        <v>347</v>
      </c>
      <c r="B101" s="6">
        <v>46313.890972222223</v>
      </c>
      <c r="C101" s="5">
        <v>999</v>
      </c>
      <c r="D101" s="1" t="s">
        <v>41</v>
      </c>
      <c r="E101" s="5">
        <v>3</v>
      </c>
      <c r="F101" s="1" t="s">
        <v>41</v>
      </c>
      <c r="G101" s="1" t="s">
        <v>41</v>
      </c>
      <c r="H101" s="1" t="s">
        <v>390</v>
      </c>
      <c r="I101" s="6">
        <v>46313.890972222223</v>
      </c>
      <c r="J101" s="1" t="s">
        <v>41</v>
      </c>
      <c r="K101" s="6">
        <v>46313.886111111111</v>
      </c>
      <c r="L101" s="5">
        <v>16</v>
      </c>
      <c r="M101" s="4"/>
      <c r="N101" s="1"/>
      <c r="O101" s="6">
        <v>46313.884722222225</v>
      </c>
      <c r="P101" s="1" t="s">
        <v>43</v>
      </c>
      <c r="Q101" s="1" t="s">
        <v>349</v>
      </c>
      <c r="R101" s="1" t="s">
        <v>391</v>
      </c>
      <c r="S101" s="5">
        <v>4247</v>
      </c>
      <c r="T101" s="1" t="s">
        <v>41</v>
      </c>
      <c r="U101" s="6">
        <v>46313.893750000003</v>
      </c>
      <c r="V101" s="6">
        <v>46313.893055555556</v>
      </c>
      <c r="W101" s="7" t="s">
        <v>392</v>
      </c>
      <c r="X101" s="5">
        <v>22411</v>
      </c>
      <c r="Y101" s="6"/>
      <c r="Z101" s="5">
        <v>0</v>
      </c>
      <c r="AA101" s="8">
        <v>0.89097222222222228</v>
      </c>
      <c r="AB101" s="5">
        <v>3</v>
      </c>
      <c r="AC101" s="1" t="s">
        <v>41</v>
      </c>
      <c r="AD101" s="9" t="str">
        <f t="shared" si="0"/>
        <v>Actual</v>
      </c>
      <c r="AE101" s="9" t="str">
        <f t="shared" si="1"/>
        <v>TMK7</v>
      </c>
      <c r="AF101" s="9">
        <f>HOUR(O101)</f>
        <v>21</v>
      </c>
      <c r="AG101" s="9">
        <f>DAY(O101)</f>
        <v>18</v>
      </c>
      <c r="AH101" s="9">
        <f>IFERROR((I101-K101)*24*60,0)</f>
        <v>7.0000000018626451</v>
      </c>
      <c r="AI101" s="9">
        <f t="shared" si="2"/>
        <v>7.0000000018626451</v>
      </c>
      <c r="AJ101" s="9">
        <f>C101</f>
        <v>999</v>
      </c>
      <c r="AK101" s="9">
        <f>IF(P101="completed",((V101-K101)*24*60),0)</f>
        <v>10.000000001164153</v>
      </c>
      <c r="AL101" s="9">
        <f>IF(P101="completed",((U101-K101)*24*60),0)</f>
        <v>11.000000004423782</v>
      </c>
      <c r="AM101" s="9" t="str">
        <f t="shared" si="3"/>
        <v>OTP Achieved</v>
      </c>
      <c r="AN101" s="9" t="str">
        <f t="shared" si="4"/>
        <v>OTP Achieved</v>
      </c>
      <c r="AO101" s="9"/>
    </row>
    <row r="102" spans="1:41" ht="16">
      <c r="A102" s="3" t="s">
        <v>125</v>
      </c>
      <c r="B102" s="6">
        <v>46313.888888888891</v>
      </c>
      <c r="C102" s="5">
        <v>2820</v>
      </c>
      <c r="D102" s="1" t="s">
        <v>41</v>
      </c>
      <c r="E102" s="5">
        <v>9</v>
      </c>
      <c r="F102" s="1" t="s">
        <v>41</v>
      </c>
      <c r="G102" s="1" t="s">
        <v>41</v>
      </c>
      <c r="H102" s="1" t="s">
        <v>393</v>
      </c>
      <c r="I102" s="6">
        <v>46313.88958333333</v>
      </c>
      <c r="J102" s="1" t="s">
        <v>41</v>
      </c>
      <c r="K102" s="6">
        <v>46313.884027777778</v>
      </c>
      <c r="L102" s="5">
        <v>23</v>
      </c>
      <c r="M102" s="4"/>
      <c r="N102" s="1"/>
      <c r="O102" s="6">
        <v>46313.881944444445</v>
      </c>
      <c r="P102" s="1" t="s">
        <v>43</v>
      </c>
      <c r="Q102" s="1" t="s">
        <v>127</v>
      </c>
      <c r="R102" s="1" t="s">
        <v>394</v>
      </c>
      <c r="S102" s="5">
        <v>4247</v>
      </c>
      <c r="T102" s="1" t="s">
        <v>41</v>
      </c>
      <c r="U102" s="6">
        <v>46313.897222222222</v>
      </c>
      <c r="V102" s="6">
        <v>46313.895833333336</v>
      </c>
      <c r="W102" s="7" t="s">
        <v>395</v>
      </c>
      <c r="X102" s="5">
        <v>22411</v>
      </c>
      <c r="Y102" s="4"/>
      <c r="Z102" s="5">
        <v>0</v>
      </c>
      <c r="AA102" s="8">
        <v>0.88888888888888884</v>
      </c>
      <c r="AB102" s="5">
        <v>9</v>
      </c>
      <c r="AC102" s="1" t="s">
        <v>41</v>
      </c>
      <c r="AD102" s="9" t="str">
        <f t="shared" si="0"/>
        <v>Actual</v>
      </c>
      <c r="AE102" s="9" t="str">
        <f t="shared" si="1"/>
        <v>TMK7</v>
      </c>
      <c r="AF102" s="9">
        <f>HOUR(O102)</f>
        <v>21</v>
      </c>
      <c r="AG102" s="9">
        <f>DAY(O102)</f>
        <v>18</v>
      </c>
      <c r="AH102" s="9">
        <f>IFERROR((I102-K102)*24*60,0)</f>
        <v>7.9999999946448952</v>
      </c>
      <c r="AI102" s="9">
        <f t="shared" si="2"/>
        <v>7.9999999946448952</v>
      </c>
      <c r="AJ102" s="9">
        <f>C102</f>
        <v>2820</v>
      </c>
      <c r="AK102" s="9">
        <f>IF(P102="completed",((V102-K102)*24*60),0)</f>
        <v>17.000000003026798</v>
      </c>
      <c r="AL102" s="9">
        <f>IF(P102="completed",((U102-K102)*24*60),0)</f>
        <v>18.999999999068677</v>
      </c>
      <c r="AM102" s="9" t="str">
        <f t="shared" si="3"/>
        <v>OTP Achieved</v>
      </c>
      <c r="AN102" s="9" t="str">
        <f t="shared" si="4"/>
        <v>OTP Achieved</v>
      </c>
      <c r="AO102" s="9"/>
    </row>
    <row r="103" spans="1:41" ht="16">
      <c r="A103" s="3" t="s">
        <v>67</v>
      </c>
      <c r="B103" s="6">
        <v>46313.888888888891</v>
      </c>
      <c r="C103" s="5">
        <v>1576</v>
      </c>
      <c r="D103" s="1" t="s">
        <v>41</v>
      </c>
      <c r="E103" s="5">
        <v>8</v>
      </c>
      <c r="F103" s="1" t="s">
        <v>41</v>
      </c>
      <c r="G103" s="1" t="s">
        <v>41</v>
      </c>
      <c r="H103" s="1" t="s">
        <v>396</v>
      </c>
      <c r="I103" s="6">
        <v>46313.88958333333</v>
      </c>
      <c r="J103" s="1" t="s">
        <v>41</v>
      </c>
      <c r="K103" s="6">
        <v>46313.882638888892</v>
      </c>
      <c r="L103" s="5">
        <v>37</v>
      </c>
      <c r="M103" s="4"/>
      <c r="N103" s="1"/>
      <c r="O103" s="6">
        <v>46313.881249999999</v>
      </c>
      <c r="P103" s="1" t="s">
        <v>43</v>
      </c>
      <c r="Q103" s="1" t="s">
        <v>69</v>
      </c>
      <c r="R103" s="1" t="s">
        <v>397</v>
      </c>
      <c r="S103" s="5">
        <v>4247</v>
      </c>
      <c r="T103" s="1" t="s">
        <v>41</v>
      </c>
      <c r="U103" s="6">
        <v>46313.895138888889</v>
      </c>
      <c r="V103" s="6">
        <v>46313.894444444442</v>
      </c>
      <c r="W103" s="7" t="s">
        <v>398</v>
      </c>
      <c r="X103" s="5">
        <v>22411</v>
      </c>
      <c r="Y103" s="4"/>
      <c r="Z103" s="5">
        <v>0</v>
      </c>
      <c r="AA103" s="8">
        <v>0.88888888888888884</v>
      </c>
      <c r="AB103" s="5">
        <v>7</v>
      </c>
      <c r="AC103" s="1" t="s">
        <v>41</v>
      </c>
      <c r="AD103" s="9" t="str">
        <f t="shared" si="0"/>
        <v>Actual</v>
      </c>
      <c r="AE103" s="9" t="str">
        <f t="shared" si="1"/>
        <v>TMK7</v>
      </c>
      <c r="AF103" s="9">
        <f>HOUR(O103)</f>
        <v>21</v>
      </c>
      <c r="AG103" s="9">
        <f>DAY(O103)</f>
        <v>18</v>
      </c>
      <c r="AH103" s="9">
        <f>IFERROR((I103-K103)*24*60,0)</f>
        <v>9.9999999906867743</v>
      </c>
      <c r="AI103" s="9">
        <f t="shared" si="2"/>
        <v>9.9999999906867743</v>
      </c>
      <c r="AJ103" s="9">
        <f>C103</f>
        <v>1576</v>
      </c>
      <c r="AK103" s="9">
        <f>IF(P103="completed",((V103-K103)*24*60),0)</f>
        <v>16.999999992549419</v>
      </c>
      <c r="AL103" s="9">
        <f>IF(P103="completed",((U103-K103)*24*60),0)</f>
        <v>17.999999995809048</v>
      </c>
      <c r="AM103" s="9" t="str">
        <f t="shared" si="3"/>
        <v>OTP Achieved</v>
      </c>
      <c r="AN103" s="9" t="str">
        <f t="shared" si="4"/>
        <v>OTP Achieved</v>
      </c>
      <c r="AO103" s="9"/>
    </row>
    <row r="104" spans="1:41" ht="16">
      <c r="A104" s="3" t="s">
        <v>98</v>
      </c>
      <c r="B104" s="6">
        <v>46313.888194444444</v>
      </c>
      <c r="C104" s="5">
        <v>3806</v>
      </c>
      <c r="D104" s="1" t="s">
        <v>41</v>
      </c>
      <c r="E104" s="5">
        <v>10</v>
      </c>
      <c r="F104" s="1" t="s">
        <v>41</v>
      </c>
      <c r="G104" s="1" t="s">
        <v>41</v>
      </c>
      <c r="H104" s="1" t="s">
        <v>399</v>
      </c>
      <c r="I104" s="6">
        <v>46313.888888888891</v>
      </c>
      <c r="J104" s="1" t="s">
        <v>41</v>
      </c>
      <c r="K104" s="6">
        <v>46313.882638888892</v>
      </c>
      <c r="L104" s="5">
        <v>31</v>
      </c>
      <c r="M104" s="4"/>
      <c r="N104" s="1"/>
      <c r="O104" s="6">
        <v>46313.879861111112</v>
      </c>
      <c r="P104" s="1" t="s">
        <v>43</v>
      </c>
      <c r="Q104" s="1" t="s">
        <v>100</v>
      </c>
      <c r="R104" s="1" t="s">
        <v>400</v>
      </c>
      <c r="S104" s="5">
        <v>4247</v>
      </c>
      <c r="T104" s="1" t="s">
        <v>41</v>
      </c>
      <c r="U104" s="6">
        <v>46313.897916666669</v>
      </c>
      <c r="V104" s="6">
        <v>46313.895138888889</v>
      </c>
      <c r="W104" s="7" t="s">
        <v>401</v>
      </c>
      <c r="X104" s="5">
        <v>22411</v>
      </c>
      <c r="Y104" s="4"/>
      <c r="Z104" s="5">
        <v>0</v>
      </c>
      <c r="AA104" s="8">
        <v>0.8881944444444444</v>
      </c>
      <c r="AB104" s="5">
        <v>10</v>
      </c>
      <c r="AC104" s="1" t="s">
        <v>41</v>
      </c>
      <c r="AD104" s="9" t="str">
        <f t="shared" si="0"/>
        <v>Actual</v>
      </c>
      <c r="AE104" s="9" t="str">
        <f t="shared" si="1"/>
        <v>TMK7</v>
      </c>
      <c r="AF104" s="9">
        <f>HOUR(O104)</f>
        <v>21</v>
      </c>
      <c r="AG104" s="9">
        <f>DAY(O104)</f>
        <v>18</v>
      </c>
      <c r="AH104" s="9">
        <f>IFERROR((I104-K104)*24*60,0)</f>
        <v>8.9999999979045242</v>
      </c>
      <c r="AI104" s="9">
        <f t="shared" si="2"/>
        <v>8.9999999979045242</v>
      </c>
      <c r="AJ104" s="9">
        <f>C104</f>
        <v>3806</v>
      </c>
      <c r="AK104" s="9">
        <f>IF(P104="completed",((V104-K104)*24*60),0)</f>
        <v>17.999999995809048</v>
      </c>
      <c r="AL104" s="9">
        <f>IF(P104="completed",((U104-K104)*24*60),0)</f>
        <v>21.999999998370185</v>
      </c>
      <c r="AM104" s="9" t="str">
        <f t="shared" si="3"/>
        <v>OTP Achieved</v>
      </c>
      <c r="AN104" s="9" t="str">
        <f t="shared" si="4"/>
        <v>OTP Achieved</v>
      </c>
      <c r="AO104" s="9"/>
    </row>
    <row r="105" spans="1:41" ht="16">
      <c r="A105" s="3" t="s">
        <v>47</v>
      </c>
      <c r="B105" s="6">
        <v>46313.888194444444</v>
      </c>
      <c r="C105" s="5">
        <v>2438</v>
      </c>
      <c r="D105" s="1" t="s">
        <v>41</v>
      </c>
      <c r="E105" s="5">
        <v>7</v>
      </c>
      <c r="F105" s="1" t="s">
        <v>41</v>
      </c>
      <c r="G105" s="1" t="s">
        <v>41</v>
      </c>
      <c r="H105" s="1" t="s">
        <v>402</v>
      </c>
      <c r="I105" s="6">
        <v>46313.888194444444</v>
      </c>
      <c r="J105" s="1" t="s">
        <v>41</v>
      </c>
      <c r="K105" s="6">
        <v>46313.881944444445</v>
      </c>
      <c r="L105" s="5">
        <v>19</v>
      </c>
      <c r="M105" s="4"/>
      <c r="N105" s="1"/>
      <c r="O105" s="6">
        <v>46313.879861111112</v>
      </c>
      <c r="P105" s="1" t="s">
        <v>43</v>
      </c>
      <c r="Q105" s="1" t="s">
        <v>49</v>
      </c>
      <c r="R105" s="1" t="s">
        <v>403</v>
      </c>
      <c r="S105" s="5">
        <v>4247</v>
      </c>
      <c r="T105" s="1" t="s">
        <v>41</v>
      </c>
      <c r="U105" s="6">
        <v>46313.894444444442</v>
      </c>
      <c r="V105" s="6">
        <v>46313.893055555556</v>
      </c>
      <c r="W105" s="7" t="s">
        <v>404</v>
      </c>
      <c r="X105" s="5">
        <v>22411</v>
      </c>
      <c r="Y105" s="10"/>
      <c r="Z105" s="5">
        <v>0</v>
      </c>
      <c r="AA105" s="8">
        <v>0.8881944444444444</v>
      </c>
      <c r="AB105" s="5">
        <v>6</v>
      </c>
      <c r="AC105" s="1" t="s">
        <v>41</v>
      </c>
      <c r="AD105" s="9" t="str">
        <f t="shared" si="0"/>
        <v>Actual</v>
      </c>
      <c r="AE105" s="9" t="str">
        <f t="shared" si="1"/>
        <v>TMK7</v>
      </c>
      <c r="AF105" s="9">
        <f>HOUR(O105)</f>
        <v>21</v>
      </c>
      <c r="AG105" s="9">
        <f>DAY(O105)</f>
        <v>18</v>
      </c>
      <c r="AH105" s="9">
        <f>IFERROR((I105-K105)*24*60,0)</f>
        <v>8.9999999979045242</v>
      </c>
      <c r="AI105" s="9">
        <f t="shared" si="2"/>
        <v>8.9999999979045242</v>
      </c>
      <c r="AJ105" s="9">
        <f>C105</f>
        <v>2438</v>
      </c>
      <c r="AK105" s="9">
        <f>IF(P105="completed",((V105-K105)*24*60),0)</f>
        <v>15.999999999767169</v>
      </c>
      <c r="AL105" s="9">
        <f>IF(P105="completed",((U105-K105)*24*60),0)</f>
        <v>17.999999995809048</v>
      </c>
      <c r="AM105" s="9" t="str">
        <f t="shared" si="3"/>
        <v>OTP Achieved</v>
      </c>
      <c r="AN105" s="9" t="str">
        <f t="shared" si="4"/>
        <v>OTP Achieved</v>
      </c>
      <c r="AO105" s="9"/>
    </row>
    <row r="106" spans="1:41" ht="16">
      <c r="A106" s="3" t="s">
        <v>177</v>
      </c>
      <c r="B106" s="6">
        <v>46313.888194444444</v>
      </c>
      <c r="C106" s="5">
        <v>2356</v>
      </c>
      <c r="D106" s="1" t="s">
        <v>41</v>
      </c>
      <c r="E106" s="5">
        <v>9</v>
      </c>
      <c r="F106" s="1" t="s">
        <v>41</v>
      </c>
      <c r="G106" s="1" t="s">
        <v>41</v>
      </c>
      <c r="H106" s="1" t="s">
        <v>402</v>
      </c>
      <c r="I106" s="6">
        <v>46313.888194444444</v>
      </c>
      <c r="J106" s="1" t="s">
        <v>41</v>
      </c>
      <c r="K106" s="6">
        <v>46313.882638888892</v>
      </c>
      <c r="L106" s="5">
        <v>19</v>
      </c>
      <c r="M106" s="4"/>
      <c r="N106" s="1"/>
      <c r="O106" s="6">
        <v>46313.879861111112</v>
      </c>
      <c r="P106" s="1" t="s">
        <v>43</v>
      </c>
      <c r="Q106" s="1" t="s">
        <v>179</v>
      </c>
      <c r="R106" s="1" t="s">
        <v>405</v>
      </c>
      <c r="S106" s="5">
        <v>4247</v>
      </c>
      <c r="T106" s="1" t="s">
        <v>41</v>
      </c>
      <c r="U106" s="6">
        <v>46313.895833333336</v>
      </c>
      <c r="V106" s="6">
        <v>46313.893750000003</v>
      </c>
      <c r="W106" s="7" t="s">
        <v>406</v>
      </c>
      <c r="X106" s="5">
        <v>22411</v>
      </c>
      <c r="Y106" s="4"/>
      <c r="Z106" s="5">
        <v>0</v>
      </c>
      <c r="AA106" s="8">
        <v>0.8881944444444444</v>
      </c>
      <c r="AB106" s="5">
        <v>9</v>
      </c>
      <c r="AC106" s="1" t="s">
        <v>41</v>
      </c>
      <c r="AD106" s="9" t="str">
        <f t="shared" si="0"/>
        <v>Actual</v>
      </c>
      <c r="AE106" s="9" t="str">
        <f t="shared" si="1"/>
        <v>TMK7</v>
      </c>
      <c r="AF106" s="9">
        <f>HOUR(O106)</f>
        <v>21</v>
      </c>
      <c r="AG106" s="9">
        <f>DAY(O106)</f>
        <v>18</v>
      </c>
      <c r="AH106" s="9">
        <f>IFERROR((I106-K106)*24*60,0)</f>
        <v>7.9999999946448952</v>
      </c>
      <c r="AI106" s="9">
        <f t="shared" si="2"/>
        <v>7.9999999946448952</v>
      </c>
      <c r="AJ106" s="9">
        <f>C106</f>
        <v>2356</v>
      </c>
      <c r="AK106" s="9">
        <f>IF(P106="completed",((V106-K106)*24*60),0)</f>
        <v>15.999999999767169</v>
      </c>
      <c r="AL106" s="9">
        <f>IF(P106="completed",((U106-K106)*24*60),0)</f>
        <v>18.999999999068677</v>
      </c>
      <c r="AM106" s="9" t="str">
        <f t="shared" si="3"/>
        <v>OTP Achieved</v>
      </c>
      <c r="AN106" s="9" t="str">
        <f t="shared" si="4"/>
        <v>OTP Achieved</v>
      </c>
      <c r="AO106" s="9"/>
    </row>
    <row r="107" spans="1:41" ht="16">
      <c r="A107" s="3" t="s">
        <v>190</v>
      </c>
      <c r="B107" s="6">
        <v>46313.887499999997</v>
      </c>
      <c r="C107" s="5">
        <v>1752</v>
      </c>
      <c r="D107" s="1" t="s">
        <v>41</v>
      </c>
      <c r="E107" s="5">
        <v>6</v>
      </c>
      <c r="F107" s="1" t="s">
        <v>41</v>
      </c>
      <c r="G107" s="1" t="s">
        <v>41</v>
      </c>
      <c r="H107" s="1" t="s">
        <v>407</v>
      </c>
      <c r="I107" s="6">
        <v>46313.888194444444</v>
      </c>
      <c r="J107" s="1" t="s">
        <v>41</v>
      </c>
      <c r="K107" s="6">
        <v>46313.880555555559</v>
      </c>
      <c r="L107" s="5">
        <v>41</v>
      </c>
      <c r="M107" s="4"/>
      <c r="N107" s="1"/>
      <c r="O107" s="6">
        <v>46313.879166666666</v>
      </c>
      <c r="P107" s="1" t="s">
        <v>43</v>
      </c>
      <c r="Q107" s="1" t="s">
        <v>192</v>
      </c>
      <c r="R107" s="1" t="s">
        <v>408</v>
      </c>
      <c r="S107" s="5">
        <v>4247</v>
      </c>
      <c r="T107" s="1" t="s">
        <v>41</v>
      </c>
      <c r="U107" s="6">
        <v>46313.893750000003</v>
      </c>
      <c r="V107" s="6">
        <v>46313.89166666667</v>
      </c>
      <c r="W107" s="7" t="s">
        <v>409</v>
      </c>
      <c r="X107" s="5">
        <v>22411</v>
      </c>
      <c r="Y107" s="4"/>
      <c r="Z107" s="5">
        <v>0</v>
      </c>
      <c r="AA107" s="8">
        <v>0.88749999999999996</v>
      </c>
      <c r="AB107" s="5">
        <v>5</v>
      </c>
      <c r="AC107" s="1" t="s">
        <v>41</v>
      </c>
      <c r="AD107" s="9" t="str">
        <f t="shared" si="0"/>
        <v>Actual</v>
      </c>
      <c r="AE107" s="9" t="str">
        <f t="shared" si="1"/>
        <v>TMK7</v>
      </c>
      <c r="AF107" s="9">
        <f>HOUR(O107)</f>
        <v>21</v>
      </c>
      <c r="AG107" s="9">
        <f>DAY(O107)</f>
        <v>18</v>
      </c>
      <c r="AH107" s="9">
        <f>IFERROR((I107-K107)*24*60,0)</f>
        <v>10.999999993946403</v>
      </c>
      <c r="AI107" s="9">
        <f t="shared" si="2"/>
        <v>10.999999993946403</v>
      </c>
      <c r="AJ107" s="9">
        <f>C107</f>
        <v>1752</v>
      </c>
      <c r="AK107" s="9">
        <f>IF(P107="completed",((V107-K107)*24*60),0)</f>
        <v>15.999999999767169</v>
      </c>
      <c r="AL107" s="9">
        <f>IF(P107="completed",((U107-K107)*24*60),0)</f>
        <v>18.999999999068677</v>
      </c>
      <c r="AM107" s="9" t="str">
        <f t="shared" si="3"/>
        <v>OTP Achieved</v>
      </c>
      <c r="AN107" s="9" t="str">
        <f t="shared" si="4"/>
        <v>OTP Achieved</v>
      </c>
      <c r="AO107" s="9"/>
    </row>
    <row r="108" spans="1:41" ht="16">
      <c r="A108" s="3" t="s">
        <v>82</v>
      </c>
      <c r="B108" s="6">
        <v>46313.886805555558</v>
      </c>
      <c r="C108" s="5">
        <v>2072</v>
      </c>
      <c r="D108" s="1" t="s">
        <v>41</v>
      </c>
      <c r="E108" s="5">
        <v>9</v>
      </c>
      <c r="F108" s="1" t="s">
        <v>41</v>
      </c>
      <c r="G108" s="1" t="s">
        <v>41</v>
      </c>
      <c r="H108" s="1" t="s">
        <v>410</v>
      </c>
      <c r="I108" s="6">
        <v>46313.886805555558</v>
      </c>
      <c r="J108" s="1" t="s">
        <v>41</v>
      </c>
      <c r="K108" s="6">
        <v>46313.880555555559</v>
      </c>
      <c r="L108" s="5">
        <v>31</v>
      </c>
      <c r="M108" s="4"/>
      <c r="N108" s="1"/>
      <c r="O108" s="6">
        <v>46313.87777777778</v>
      </c>
      <c r="P108" s="1" t="s">
        <v>43</v>
      </c>
      <c r="Q108" s="1" t="s">
        <v>84</v>
      </c>
      <c r="R108" s="1" t="s">
        <v>411</v>
      </c>
      <c r="S108" s="5">
        <v>4247</v>
      </c>
      <c r="T108" s="1" t="s">
        <v>41</v>
      </c>
      <c r="U108" s="6">
        <v>46313.892361111109</v>
      </c>
      <c r="V108" s="6">
        <v>46313.893055555556</v>
      </c>
      <c r="W108" s="7" t="s">
        <v>412</v>
      </c>
      <c r="X108" s="5">
        <v>22411</v>
      </c>
      <c r="Y108" s="4"/>
      <c r="Z108" s="5">
        <v>0</v>
      </c>
      <c r="AA108" s="8">
        <v>0.88680555555555551</v>
      </c>
      <c r="AB108" s="5">
        <v>9</v>
      </c>
      <c r="AC108" s="1" t="s">
        <v>41</v>
      </c>
      <c r="AD108" s="9" t="str">
        <f t="shared" si="0"/>
        <v>Actual</v>
      </c>
      <c r="AE108" s="9" t="str">
        <f t="shared" si="1"/>
        <v>TMK7</v>
      </c>
      <c r="AF108" s="9">
        <f>HOUR(O108)</f>
        <v>21</v>
      </c>
      <c r="AG108" s="9">
        <f>DAY(O108)</f>
        <v>18</v>
      </c>
      <c r="AH108" s="9">
        <f>IFERROR((I108-K108)*24*60,0)</f>
        <v>8.9999999979045242</v>
      </c>
      <c r="AI108" s="9">
        <f t="shared" si="2"/>
        <v>8.9999999979045242</v>
      </c>
      <c r="AJ108" s="9">
        <f>C108</f>
        <v>2072</v>
      </c>
      <c r="AK108" s="9">
        <f>IF(P108="completed",((V108-K108)*24*60),0)</f>
        <v>17.999999995809048</v>
      </c>
      <c r="AL108" s="9">
        <f>IF(P108="completed",((U108-K108)*24*60),0)</f>
        <v>16.999999992549419</v>
      </c>
      <c r="AM108" s="9" t="str">
        <f t="shared" si="3"/>
        <v>OTP Breached</v>
      </c>
      <c r="AN108" s="9" t="str">
        <f t="shared" si="4"/>
        <v>OTP Achieved</v>
      </c>
      <c r="AO108" s="9"/>
    </row>
    <row r="109" spans="1:41" ht="16">
      <c r="A109" s="3" t="s">
        <v>209</v>
      </c>
      <c r="B109" s="6">
        <v>46313.886805555558</v>
      </c>
      <c r="C109" s="5">
        <v>1835</v>
      </c>
      <c r="D109" s="1" t="s">
        <v>41</v>
      </c>
      <c r="E109" s="5">
        <v>9</v>
      </c>
      <c r="F109" s="1" t="s">
        <v>41</v>
      </c>
      <c r="G109" s="1" t="s">
        <v>41</v>
      </c>
      <c r="H109" s="1" t="s">
        <v>413</v>
      </c>
      <c r="I109" s="6">
        <v>46313.886805555558</v>
      </c>
      <c r="J109" s="1" t="s">
        <v>41</v>
      </c>
      <c r="K109" s="6">
        <v>46313.879166666666</v>
      </c>
      <c r="L109" s="5">
        <v>45</v>
      </c>
      <c r="M109" s="4"/>
      <c r="N109" s="1"/>
      <c r="O109" s="6">
        <v>46313.87777777778</v>
      </c>
      <c r="P109" s="1" t="s">
        <v>43</v>
      </c>
      <c r="Q109" s="1" t="s">
        <v>211</v>
      </c>
      <c r="R109" s="1" t="s">
        <v>414</v>
      </c>
      <c r="S109" s="5">
        <v>4247</v>
      </c>
      <c r="T109" s="1" t="s">
        <v>41</v>
      </c>
      <c r="U109" s="6">
        <v>46313.892361111109</v>
      </c>
      <c r="V109" s="6">
        <v>46313.892361111109</v>
      </c>
      <c r="W109" s="7" t="s">
        <v>415</v>
      </c>
      <c r="X109" s="5">
        <v>22411</v>
      </c>
      <c r="Y109" s="10"/>
      <c r="Z109" s="5">
        <v>0</v>
      </c>
      <c r="AA109" s="8">
        <v>0.88680555555555551</v>
      </c>
      <c r="AB109" s="5">
        <v>8</v>
      </c>
      <c r="AC109" s="1" t="s">
        <v>41</v>
      </c>
      <c r="AD109" s="9" t="str">
        <f t="shared" si="0"/>
        <v>Actual</v>
      </c>
      <c r="AE109" s="9" t="str">
        <f t="shared" si="1"/>
        <v>TMK7</v>
      </c>
      <c r="AF109" s="9">
        <f>HOUR(O109)</f>
        <v>21</v>
      </c>
      <c r="AG109" s="9">
        <f>DAY(O109)</f>
        <v>18</v>
      </c>
      <c r="AH109" s="9">
        <f>IFERROR((I109-K109)*24*60,0)</f>
        <v>11.000000004423782</v>
      </c>
      <c r="AI109" s="9">
        <f t="shared" si="2"/>
        <v>11.000000004423782</v>
      </c>
      <c r="AJ109" s="9">
        <f>C109</f>
        <v>1835</v>
      </c>
      <c r="AK109" s="9">
        <f>IF(P109="completed",((V109-K109)*24*60),0)</f>
        <v>18.999999999068677</v>
      </c>
      <c r="AL109" s="9">
        <f>IF(P109="completed",((U109-K109)*24*60),0)</f>
        <v>18.999999999068677</v>
      </c>
      <c r="AM109" s="9" t="str">
        <f t="shared" si="3"/>
        <v>OTP Breached</v>
      </c>
      <c r="AN109" s="9" t="str">
        <f t="shared" si="4"/>
        <v>OTP Achieved</v>
      </c>
      <c r="AO109" s="9"/>
    </row>
    <row r="110" spans="1:41" ht="16">
      <c r="A110" s="3" t="s">
        <v>235</v>
      </c>
      <c r="B110" s="6">
        <v>46313.886111111111</v>
      </c>
      <c r="C110" s="5">
        <v>1619</v>
      </c>
      <c r="D110" s="1" t="s">
        <v>41</v>
      </c>
      <c r="E110" s="5">
        <v>10</v>
      </c>
      <c r="F110" s="1" t="s">
        <v>41</v>
      </c>
      <c r="G110" s="1" t="s">
        <v>41</v>
      </c>
      <c r="H110" s="1" t="s">
        <v>416</v>
      </c>
      <c r="I110" s="6">
        <v>46313.886805555558</v>
      </c>
      <c r="J110" s="1" t="s">
        <v>41</v>
      </c>
      <c r="K110" s="6">
        <v>46313.878472222219</v>
      </c>
      <c r="L110" s="5">
        <v>55</v>
      </c>
      <c r="M110" s="4"/>
      <c r="N110" s="1"/>
      <c r="O110" s="6">
        <v>46313.877083333333</v>
      </c>
      <c r="P110" s="1" t="s">
        <v>43</v>
      </c>
      <c r="Q110" s="1" t="s">
        <v>237</v>
      </c>
      <c r="R110" s="1" t="s">
        <v>417</v>
      </c>
      <c r="S110" s="5">
        <v>4247</v>
      </c>
      <c r="T110" s="1" t="s">
        <v>41</v>
      </c>
      <c r="U110" s="6">
        <v>46313.89166666667</v>
      </c>
      <c r="V110" s="6">
        <v>46313.893055555556</v>
      </c>
      <c r="W110" s="7" t="s">
        <v>418</v>
      </c>
      <c r="X110" s="5">
        <v>22411</v>
      </c>
      <c r="Y110" s="4"/>
      <c r="Z110" s="5">
        <v>0</v>
      </c>
      <c r="AA110" s="8">
        <v>0.88611111111111107</v>
      </c>
      <c r="AB110" s="5">
        <v>9</v>
      </c>
      <c r="AC110" s="1" t="s">
        <v>41</v>
      </c>
      <c r="AD110" s="9" t="str">
        <f t="shared" si="0"/>
        <v>Actual</v>
      </c>
      <c r="AE110" s="9" t="str">
        <f t="shared" si="1"/>
        <v>TMK7</v>
      </c>
      <c r="AF110" s="9">
        <f>HOUR(O110)</f>
        <v>21</v>
      </c>
      <c r="AG110" s="9">
        <f>DAY(O110)</f>
        <v>18</v>
      </c>
      <c r="AH110" s="9">
        <f>IFERROR((I110-K110)*24*60,0)</f>
        <v>12.000000007683411</v>
      </c>
      <c r="AI110" s="9">
        <f t="shared" si="2"/>
        <v>12.000000007683411</v>
      </c>
      <c r="AJ110" s="9">
        <f>C110</f>
        <v>1619</v>
      </c>
      <c r="AK110" s="9">
        <f>IF(P110="completed",((V110-K110)*24*60),0)</f>
        <v>21.000000005587935</v>
      </c>
      <c r="AL110" s="9">
        <f>IF(P110="completed",((U110-K110)*24*60),0)</f>
        <v>19.000000009546056</v>
      </c>
      <c r="AM110" s="9" t="str">
        <f t="shared" si="3"/>
        <v>OTP Breached</v>
      </c>
      <c r="AN110" s="9" t="str">
        <f t="shared" si="4"/>
        <v>OTP Achieved</v>
      </c>
      <c r="AO110" s="9"/>
    </row>
    <row r="111" spans="1:41" ht="16">
      <c r="A111" s="3" t="s">
        <v>198</v>
      </c>
      <c r="B111" s="6">
        <v>46313.884722222225</v>
      </c>
      <c r="C111" s="5">
        <v>2218</v>
      </c>
      <c r="D111" s="1" t="s">
        <v>41</v>
      </c>
      <c r="E111" s="5">
        <v>8</v>
      </c>
      <c r="F111" s="1" t="s">
        <v>41</v>
      </c>
      <c r="G111" s="1" t="s">
        <v>41</v>
      </c>
      <c r="H111" s="1" t="s">
        <v>419</v>
      </c>
      <c r="I111" s="6">
        <v>46313.885416666664</v>
      </c>
      <c r="J111" s="1" t="s">
        <v>41</v>
      </c>
      <c r="K111" s="6">
        <v>46313.87777777778</v>
      </c>
      <c r="L111" s="5">
        <v>19</v>
      </c>
      <c r="M111" s="4"/>
      <c r="N111" s="1"/>
      <c r="O111" s="6">
        <v>46313.877083333333</v>
      </c>
      <c r="P111" s="1" t="s">
        <v>43</v>
      </c>
      <c r="Q111" s="1" t="s">
        <v>200</v>
      </c>
      <c r="R111" s="1" t="s">
        <v>420</v>
      </c>
      <c r="S111" s="5">
        <v>4247</v>
      </c>
      <c r="T111" s="1" t="s">
        <v>41</v>
      </c>
      <c r="U111" s="6">
        <v>46313.890277777777</v>
      </c>
      <c r="V111" s="6">
        <v>46313.890972222223</v>
      </c>
      <c r="W111" s="7" t="s">
        <v>421</v>
      </c>
      <c r="X111" s="5">
        <v>22411</v>
      </c>
      <c r="Y111" s="4"/>
      <c r="Z111" s="5">
        <v>0</v>
      </c>
      <c r="AA111" s="8">
        <v>0.88472222222222219</v>
      </c>
      <c r="AB111" s="5">
        <v>8</v>
      </c>
      <c r="AC111" s="1" t="s">
        <v>41</v>
      </c>
      <c r="AD111" s="9" t="str">
        <f t="shared" si="0"/>
        <v>Actual</v>
      </c>
      <c r="AE111" s="9" t="str">
        <f t="shared" si="1"/>
        <v>TMK7</v>
      </c>
      <c r="AF111" s="9">
        <f>HOUR(O111)</f>
        <v>21</v>
      </c>
      <c r="AG111" s="9">
        <f>DAY(O111)</f>
        <v>18</v>
      </c>
      <c r="AH111" s="9">
        <f>IFERROR((I111-K111)*24*60,0)</f>
        <v>10.999999993946403</v>
      </c>
      <c r="AI111" s="9">
        <f t="shared" si="2"/>
        <v>10.999999993946403</v>
      </c>
      <c r="AJ111" s="9">
        <f>C111</f>
        <v>2218</v>
      </c>
      <c r="AK111" s="9">
        <f>IF(P111="completed",((V111-K111)*24*60),0)</f>
        <v>18.999999999068677</v>
      </c>
      <c r="AL111" s="9">
        <f>IF(P111="completed",((U111-K111)*24*60),0)</f>
        <v>17.999999995809048</v>
      </c>
      <c r="AM111" s="9" t="str">
        <f t="shared" si="3"/>
        <v>OTP Breached</v>
      </c>
      <c r="AN111" s="9" t="str">
        <f t="shared" si="4"/>
        <v>OTP Achieved</v>
      </c>
      <c r="AO111" s="9"/>
    </row>
    <row r="112" spans="1:41" ht="16">
      <c r="A112" s="3" t="s">
        <v>303</v>
      </c>
      <c r="B112" s="6">
        <v>46313.884027777778</v>
      </c>
      <c r="C112" s="5">
        <v>2978</v>
      </c>
      <c r="D112" s="1" t="s">
        <v>41</v>
      </c>
      <c r="E112" s="5">
        <v>11</v>
      </c>
      <c r="F112" s="1" t="s">
        <v>41</v>
      </c>
      <c r="G112" s="1" t="s">
        <v>41</v>
      </c>
      <c r="H112" s="1" t="s">
        <v>422</v>
      </c>
      <c r="I112" s="6">
        <v>46313.884722222225</v>
      </c>
      <c r="J112" s="1" t="s">
        <v>41</v>
      </c>
      <c r="K112" s="6">
        <v>46313.878472222219</v>
      </c>
      <c r="L112" s="5">
        <v>23</v>
      </c>
      <c r="M112" s="4"/>
      <c r="N112" s="1"/>
      <c r="O112" s="6">
        <v>46313.877083333333</v>
      </c>
      <c r="P112" s="1" t="s">
        <v>43</v>
      </c>
      <c r="Q112" s="1" t="s">
        <v>305</v>
      </c>
      <c r="R112" s="1" t="s">
        <v>423</v>
      </c>
      <c r="S112" s="5">
        <v>4247</v>
      </c>
      <c r="T112" s="1" t="s">
        <v>41</v>
      </c>
      <c r="U112" s="6">
        <v>46313.892361111109</v>
      </c>
      <c r="V112" s="6">
        <v>46313.89166666667</v>
      </c>
      <c r="W112" s="7" t="s">
        <v>424</v>
      </c>
      <c r="X112" s="5">
        <v>22411</v>
      </c>
      <c r="Y112" s="4"/>
      <c r="Z112" s="5">
        <v>0</v>
      </c>
      <c r="AA112" s="8">
        <v>0.88402777777777775</v>
      </c>
      <c r="AB112" s="5">
        <v>10</v>
      </c>
      <c r="AC112" s="1" t="s">
        <v>41</v>
      </c>
      <c r="AD112" s="9" t="str">
        <f t="shared" si="0"/>
        <v>Actual</v>
      </c>
      <c r="AE112" s="9" t="str">
        <f t="shared" si="1"/>
        <v>TMK7</v>
      </c>
      <c r="AF112" s="9">
        <f>HOUR(O112)</f>
        <v>21</v>
      </c>
      <c r="AG112" s="9">
        <f>DAY(O112)</f>
        <v>18</v>
      </c>
      <c r="AH112" s="9">
        <f>IFERROR((I112-K112)*24*60,0)</f>
        <v>9.0000000083819032</v>
      </c>
      <c r="AI112" s="9">
        <f t="shared" si="2"/>
        <v>9.0000000083819032</v>
      </c>
      <c r="AJ112" s="9">
        <f>C112</f>
        <v>2978</v>
      </c>
      <c r="AK112" s="9">
        <f>IF(P112="completed",((V112-K112)*24*60),0)</f>
        <v>19.000000009546056</v>
      </c>
      <c r="AL112" s="9">
        <f>IF(P112="completed",((U112-K112)*24*60),0)</f>
        <v>20.000000002328306</v>
      </c>
      <c r="AM112" s="9" t="str">
        <f t="shared" si="3"/>
        <v>OTP Achieved</v>
      </c>
      <c r="AN112" s="9" t="str">
        <f t="shared" si="4"/>
        <v>OTP Achieved</v>
      </c>
      <c r="AO112" s="9"/>
    </row>
    <row r="113" spans="1:41" ht="16">
      <c r="A113" s="3" t="s">
        <v>57</v>
      </c>
      <c r="B113" s="6">
        <v>46313.884027777778</v>
      </c>
      <c r="C113" s="5">
        <v>3129</v>
      </c>
      <c r="D113" s="1" t="s">
        <v>41</v>
      </c>
      <c r="E113" s="5">
        <v>12</v>
      </c>
      <c r="F113" s="1" t="s">
        <v>41</v>
      </c>
      <c r="G113" s="1" t="s">
        <v>41</v>
      </c>
      <c r="H113" s="1" t="s">
        <v>425</v>
      </c>
      <c r="I113" s="6">
        <v>46313.884027777778</v>
      </c>
      <c r="J113" s="1" t="s">
        <v>41</v>
      </c>
      <c r="K113" s="6">
        <v>46313.878472222219</v>
      </c>
      <c r="L113" s="5">
        <v>14</v>
      </c>
      <c r="M113" s="4"/>
      <c r="N113" s="1"/>
      <c r="O113" s="6">
        <v>46313.876388888886</v>
      </c>
      <c r="P113" s="1" t="s">
        <v>43</v>
      </c>
      <c r="Q113" s="1" t="s">
        <v>59</v>
      </c>
      <c r="R113" s="1" t="s">
        <v>426</v>
      </c>
      <c r="S113" s="5">
        <v>4247</v>
      </c>
      <c r="T113" s="1" t="s">
        <v>41</v>
      </c>
      <c r="U113" s="6">
        <v>46313.893055555556</v>
      </c>
      <c r="V113" s="6">
        <v>46313.892361111109</v>
      </c>
      <c r="W113" s="7" t="s">
        <v>427</v>
      </c>
      <c r="X113" s="5">
        <v>22411</v>
      </c>
      <c r="Y113" s="4"/>
      <c r="Z113" s="5">
        <v>0</v>
      </c>
      <c r="AA113" s="8">
        <v>0.88402777777777775</v>
      </c>
      <c r="AB113" s="5">
        <v>12</v>
      </c>
      <c r="AC113" s="1" t="s">
        <v>41</v>
      </c>
      <c r="AD113" s="9" t="str">
        <f t="shared" si="0"/>
        <v>Actual</v>
      </c>
      <c r="AE113" s="9" t="str">
        <f t="shared" si="1"/>
        <v>TMK7</v>
      </c>
      <c r="AF113" s="9">
        <f>HOUR(O113)</f>
        <v>21</v>
      </c>
      <c r="AG113" s="9">
        <f>DAY(O113)</f>
        <v>18</v>
      </c>
      <c r="AH113" s="9">
        <f>IFERROR((I113-K113)*24*60,0)</f>
        <v>8.0000000051222742</v>
      </c>
      <c r="AI113" s="9">
        <f t="shared" si="2"/>
        <v>8.0000000051222742</v>
      </c>
      <c r="AJ113" s="9">
        <f>C113</f>
        <v>3129</v>
      </c>
      <c r="AK113" s="9">
        <f>IF(P113="completed",((V113-K113)*24*60),0)</f>
        <v>20.000000002328306</v>
      </c>
      <c r="AL113" s="9">
        <f>IF(P113="completed",((U113-K113)*24*60),0)</f>
        <v>21.000000005587935</v>
      </c>
      <c r="AM113" s="9" t="str">
        <f t="shared" si="3"/>
        <v>OTP Achieved</v>
      </c>
      <c r="AN113" s="9" t="str">
        <f t="shared" si="4"/>
        <v>OTP Achieved</v>
      </c>
      <c r="AO113" s="9"/>
    </row>
    <row r="114" spans="1:41" ht="16">
      <c r="A114" s="3" t="s">
        <v>52</v>
      </c>
      <c r="B114" s="6">
        <v>46313.884027777778</v>
      </c>
      <c r="C114" s="5">
        <v>1913</v>
      </c>
      <c r="D114" s="1" t="s">
        <v>41</v>
      </c>
      <c r="E114" s="5">
        <v>7</v>
      </c>
      <c r="F114" s="1" t="s">
        <v>41</v>
      </c>
      <c r="G114" s="1" t="s">
        <v>41</v>
      </c>
      <c r="H114" s="1" t="s">
        <v>428</v>
      </c>
      <c r="I114" s="6">
        <v>46313.884027777778</v>
      </c>
      <c r="J114" s="1" t="s">
        <v>41</v>
      </c>
      <c r="K114" s="6">
        <v>46313.877083333333</v>
      </c>
      <c r="L114" s="5">
        <v>16</v>
      </c>
      <c r="M114" s="4"/>
      <c r="N114" s="1"/>
      <c r="O114" s="6">
        <v>46313.875694444447</v>
      </c>
      <c r="P114" s="1" t="s">
        <v>43</v>
      </c>
      <c r="Q114" s="1" t="s">
        <v>54</v>
      </c>
      <c r="R114" s="1" t="s">
        <v>429</v>
      </c>
      <c r="S114" s="5">
        <v>4247</v>
      </c>
      <c r="T114" s="1" t="s">
        <v>41</v>
      </c>
      <c r="U114" s="6">
        <v>46313.888194444444</v>
      </c>
      <c r="V114" s="6">
        <v>46313.888888888891</v>
      </c>
      <c r="W114" s="7" t="s">
        <v>430</v>
      </c>
      <c r="X114" s="5">
        <v>22411</v>
      </c>
      <c r="Y114" s="4"/>
      <c r="Z114" s="5">
        <v>0</v>
      </c>
      <c r="AA114" s="8">
        <v>0.88402777777777775</v>
      </c>
      <c r="AB114" s="5">
        <v>7</v>
      </c>
      <c r="AC114" s="1" t="s">
        <v>41</v>
      </c>
      <c r="AD114" s="9" t="str">
        <f t="shared" si="0"/>
        <v>Actual</v>
      </c>
      <c r="AE114" s="9" t="str">
        <f t="shared" si="1"/>
        <v>TMK7</v>
      </c>
      <c r="AF114" s="9">
        <f>HOUR(O114)</f>
        <v>21</v>
      </c>
      <c r="AG114" s="9">
        <f>DAY(O114)</f>
        <v>18</v>
      </c>
      <c r="AH114" s="9">
        <f>IFERROR((I114-K114)*24*60,0)</f>
        <v>10.000000001164153</v>
      </c>
      <c r="AI114" s="9">
        <f t="shared" si="2"/>
        <v>10.000000001164153</v>
      </c>
      <c r="AJ114" s="9">
        <f>C114</f>
        <v>1913</v>
      </c>
      <c r="AK114" s="9">
        <f>IF(P114="completed",((V114-K114)*24*60),0)</f>
        <v>17.000000003026798</v>
      </c>
      <c r="AL114" s="9">
        <f>IF(P114="completed",((U114-K114)*24*60),0)</f>
        <v>15.999999999767169</v>
      </c>
      <c r="AM114" s="9" t="str">
        <f t="shared" si="3"/>
        <v>OTP Breached</v>
      </c>
      <c r="AN114" s="9" t="str">
        <f t="shared" si="4"/>
        <v>OTP Achieved</v>
      </c>
      <c r="AO114" s="9"/>
    </row>
    <row r="115" spans="1:41" ht="16">
      <c r="A115" s="3" t="s">
        <v>117</v>
      </c>
      <c r="B115" s="6">
        <v>46313.882638888892</v>
      </c>
      <c r="C115" s="5">
        <v>1985</v>
      </c>
      <c r="D115" s="1" t="s">
        <v>41</v>
      </c>
      <c r="E115" s="5">
        <v>8</v>
      </c>
      <c r="F115" s="1" t="s">
        <v>41</v>
      </c>
      <c r="G115" s="1" t="s">
        <v>41</v>
      </c>
      <c r="H115" s="1" t="s">
        <v>431</v>
      </c>
      <c r="I115" s="6">
        <v>46313.883333333331</v>
      </c>
      <c r="J115" s="1" t="s">
        <v>41</v>
      </c>
      <c r="K115" s="6">
        <v>46313.876388888886</v>
      </c>
      <c r="L115" s="5">
        <v>37</v>
      </c>
      <c r="M115" s="4"/>
      <c r="N115" s="1"/>
      <c r="O115" s="6">
        <v>46313.875694444447</v>
      </c>
      <c r="P115" s="1" t="s">
        <v>43</v>
      </c>
      <c r="Q115" s="1" t="s">
        <v>119</v>
      </c>
      <c r="R115" s="1" t="s">
        <v>432</v>
      </c>
      <c r="S115" s="5">
        <v>4247</v>
      </c>
      <c r="T115" s="1" t="s">
        <v>41</v>
      </c>
      <c r="U115" s="6">
        <v>46313.888888888891</v>
      </c>
      <c r="V115" s="6">
        <v>46313.888194444444</v>
      </c>
      <c r="W115" s="7" t="s">
        <v>433</v>
      </c>
      <c r="X115" s="5">
        <v>22411</v>
      </c>
      <c r="Y115" s="6"/>
      <c r="Z115" s="5">
        <v>0</v>
      </c>
      <c r="AA115" s="8">
        <v>0.88263888888888886</v>
      </c>
      <c r="AB115" s="5">
        <v>8</v>
      </c>
      <c r="AC115" s="1" t="s">
        <v>41</v>
      </c>
      <c r="AD115" s="9" t="str">
        <f t="shared" si="0"/>
        <v>Actual</v>
      </c>
      <c r="AE115" s="9" t="str">
        <f t="shared" si="1"/>
        <v>TMK7</v>
      </c>
      <c r="AF115" s="9">
        <f>HOUR(O115)</f>
        <v>21</v>
      </c>
      <c r="AG115" s="9">
        <f>DAY(O115)</f>
        <v>18</v>
      </c>
      <c r="AH115" s="9">
        <f>IFERROR((I115-K115)*24*60,0)</f>
        <v>10.000000001164153</v>
      </c>
      <c r="AI115" s="9">
        <f t="shared" si="2"/>
        <v>10.000000001164153</v>
      </c>
      <c r="AJ115" s="9">
        <f>C115</f>
        <v>1985</v>
      </c>
      <c r="AK115" s="9">
        <f>IF(P115="completed",((V115-K115)*24*60),0)</f>
        <v>17.000000003026798</v>
      </c>
      <c r="AL115" s="9">
        <f>IF(P115="completed",((U115-K115)*24*60),0)</f>
        <v>18.000000006286427</v>
      </c>
      <c r="AM115" s="9" t="str">
        <f t="shared" si="3"/>
        <v>OTP Achieved</v>
      </c>
      <c r="AN115" s="9" t="str">
        <f t="shared" si="4"/>
        <v>OTP Achieved</v>
      </c>
      <c r="AO115" s="9"/>
    </row>
    <row r="116" spans="1:41" ht="16">
      <c r="A116" s="3" t="s">
        <v>77</v>
      </c>
      <c r="B116" s="6">
        <v>46313.881249999999</v>
      </c>
      <c r="C116" s="5">
        <v>2275</v>
      </c>
      <c r="D116" s="1" t="s">
        <v>41</v>
      </c>
      <c r="E116" s="5">
        <v>6</v>
      </c>
      <c r="F116" s="1" t="s">
        <v>41</v>
      </c>
      <c r="G116" s="1" t="s">
        <v>41</v>
      </c>
      <c r="H116" s="1" t="s">
        <v>434</v>
      </c>
      <c r="I116" s="6">
        <v>46313.881944444445</v>
      </c>
      <c r="J116" s="1" t="s">
        <v>41</v>
      </c>
      <c r="K116" s="6">
        <v>46313.875694444447</v>
      </c>
      <c r="L116" s="5">
        <v>33</v>
      </c>
      <c r="M116" s="4"/>
      <c r="N116" s="1"/>
      <c r="O116" s="6">
        <v>46313.875</v>
      </c>
      <c r="P116" s="1" t="s">
        <v>43</v>
      </c>
      <c r="Q116" s="1" t="s">
        <v>79</v>
      </c>
      <c r="R116" s="1" t="s">
        <v>435</v>
      </c>
      <c r="S116" s="5">
        <v>4247</v>
      </c>
      <c r="T116" s="1" t="s">
        <v>41</v>
      </c>
      <c r="U116" s="6">
        <v>46313.887499999997</v>
      </c>
      <c r="V116" s="6">
        <v>46313.885416666664</v>
      </c>
      <c r="W116" s="7" t="s">
        <v>436</v>
      </c>
      <c r="X116" s="5">
        <v>22411</v>
      </c>
      <c r="Y116" s="4"/>
      <c r="Z116" s="5">
        <v>0</v>
      </c>
      <c r="AA116" s="8">
        <v>0.88124999999999998</v>
      </c>
      <c r="AB116" s="5">
        <v>5</v>
      </c>
      <c r="AC116" s="1" t="s">
        <v>41</v>
      </c>
      <c r="AD116" s="9" t="str">
        <f t="shared" si="0"/>
        <v>Actual</v>
      </c>
      <c r="AE116" s="9" t="str">
        <f t="shared" si="1"/>
        <v>TMK7</v>
      </c>
      <c r="AF116" s="9">
        <f>HOUR(O116)</f>
        <v>21</v>
      </c>
      <c r="AG116" s="9">
        <f>DAY(O116)</f>
        <v>18</v>
      </c>
      <c r="AH116" s="9">
        <f>IFERROR((I116-K116)*24*60,0)</f>
        <v>8.9999999979045242</v>
      </c>
      <c r="AI116" s="9">
        <f t="shared" si="2"/>
        <v>8.9999999979045242</v>
      </c>
      <c r="AJ116" s="9">
        <f>C116</f>
        <v>2275</v>
      </c>
      <c r="AK116" s="9">
        <f>IF(P116="completed",((V116-K116)*24*60),0)</f>
        <v>13.999999993247911</v>
      </c>
      <c r="AL116" s="9">
        <f>IF(P116="completed",((U116-K116)*24*60),0)</f>
        <v>16.999999992549419</v>
      </c>
      <c r="AM116" s="9" t="str">
        <f t="shared" si="3"/>
        <v>OTP Achieved</v>
      </c>
      <c r="AN116" s="9" t="str">
        <f t="shared" si="4"/>
        <v>OTP Achieved</v>
      </c>
      <c r="AO116" s="9"/>
    </row>
    <row r="117" spans="1:41" ht="16">
      <c r="A117" s="3" t="s">
        <v>40</v>
      </c>
      <c r="B117" s="6">
        <v>46313.880555555559</v>
      </c>
      <c r="C117" s="5">
        <v>2364</v>
      </c>
      <c r="D117" s="1" t="s">
        <v>41</v>
      </c>
      <c r="E117" s="5">
        <v>7</v>
      </c>
      <c r="F117" s="1" t="s">
        <v>41</v>
      </c>
      <c r="G117" s="1" t="s">
        <v>41</v>
      </c>
      <c r="H117" s="1" t="s">
        <v>437</v>
      </c>
      <c r="I117" s="6">
        <v>46313.880555555559</v>
      </c>
      <c r="J117" s="1" t="s">
        <v>41</v>
      </c>
      <c r="K117" s="6">
        <v>46313.875</v>
      </c>
      <c r="L117" s="5">
        <v>15</v>
      </c>
      <c r="M117" s="4"/>
      <c r="N117" s="1"/>
      <c r="O117" s="6">
        <v>46313.874305555553</v>
      </c>
      <c r="P117" s="1" t="s">
        <v>43</v>
      </c>
      <c r="Q117" s="1" t="s">
        <v>44</v>
      </c>
      <c r="R117" s="1" t="s">
        <v>438</v>
      </c>
      <c r="S117" s="5">
        <v>4247</v>
      </c>
      <c r="T117" s="1" t="s">
        <v>41</v>
      </c>
      <c r="U117" s="6">
        <v>46313.886111111111</v>
      </c>
      <c r="V117" s="6">
        <v>46313.885416666664</v>
      </c>
      <c r="W117" s="7" t="s">
        <v>439</v>
      </c>
      <c r="X117" s="5">
        <v>22411</v>
      </c>
      <c r="Y117" s="4"/>
      <c r="Z117" s="5">
        <v>0</v>
      </c>
      <c r="AA117" s="8">
        <v>0.88055555555555554</v>
      </c>
      <c r="AB117" s="5">
        <v>7</v>
      </c>
      <c r="AC117" s="1" t="s">
        <v>41</v>
      </c>
      <c r="AD117" s="9" t="str">
        <f t="shared" si="0"/>
        <v>Actual</v>
      </c>
      <c r="AE117" s="9" t="str">
        <f t="shared" si="1"/>
        <v>TMK7</v>
      </c>
      <c r="AF117" s="9">
        <f>HOUR(O117)</f>
        <v>20</v>
      </c>
      <c r="AG117" s="9">
        <f>DAY(O117)</f>
        <v>18</v>
      </c>
      <c r="AH117" s="9">
        <f>IFERROR((I117-K117)*24*60,0)</f>
        <v>8.0000000051222742</v>
      </c>
      <c r="AI117" s="9">
        <f t="shared" si="2"/>
        <v>8.0000000051222742</v>
      </c>
      <c r="AJ117" s="9">
        <f>C117</f>
        <v>2364</v>
      </c>
      <c r="AK117" s="9">
        <f>IF(P117="completed",((V117-K117)*24*60),0)</f>
        <v>14.99999999650754</v>
      </c>
      <c r="AL117" s="9">
        <f>IF(P117="completed",((U117-K117)*24*60),0)</f>
        <v>15.999999999767169</v>
      </c>
      <c r="AM117" s="9" t="str">
        <f t="shared" si="3"/>
        <v>OTP Achieved</v>
      </c>
      <c r="AN117" s="9" t="str">
        <f t="shared" si="4"/>
        <v>OTP Achieved</v>
      </c>
      <c r="AO117" s="9"/>
    </row>
    <row r="118" spans="1:41" ht="16">
      <c r="A118" s="3" t="s">
        <v>125</v>
      </c>
      <c r="B118" s="6">
        <v>46313.879861111112</v>
      </c>
      <c r="C118" s="5">
        <v>1025</v>
      </c>
      <c r="D118" s="1" t="s">
        <v>41</v>
      </c>
      <c r="E118" s="5">
        <v>4</v>
      </c>
      <c r="F118" s="1" t="s">
        <v>41</v>
      </c>
      <c r="G118" s="1" t="s">
        <v>41</v>
      </c>
      <c r="H118" s="1" t="s">
        <v>440</v>
      </c>
      <c r="I118" s="6">
        <v>46313.879861111112</v>
      </c>
      <c r="J118" s="1" t="s">
        <v>41</v>
      </c>
      <c r="K118" s="6">
        <v>46313.875</v>
      </c>
      <c r="L118" s="5">
        <v>19</v>
      </c>
      <c r="M118" s="4"/>
      <c r="N118" s="1"/>
      <c r="O118" s="6">
        <v>46313.874305555553</v>
      </c>
      <c r="P118" s="1" t="s">
        <v>43</v>
      </c>
      <c r="Q118" s="1" t="s">
        <v>127</v>
      </c>
      <c r="R118" s="1" t="s">
        <v>441</v>
      </c>
      <c r="S118" s="5">
        <v>4247</v>
      </c>
      <c r="T118" s="1" t="s">
        <v>41</v>
      </c>
      <c r="U118" s="6">
        <v>46313.883333333331</v>
      </c>
      <c r="V118" s="6">
        <v>46313.882638888892</v>
      </c>
      <c r="W118" s="7" t="s">
        <v>442</v>
      </c>
      <c r="X118" s="5">
        <v>22411</v>
      </c>
      <c r="Y118" s="4"/>
      <c r="Z118" s="5">
        <v>0</v>
      </c>
      <c r="AA118" s="8">
        <v>0.87986111111111109</v>
      </c>
      <c r="AB118" s="5">
        <v>4</v>
      </c>
      <c r="AC118" s="1" t="s">
        <v>41</v>
      </c>
      <c r="AD118" s="9" t="str">
        <f t="shared" si="0"/>
        <v>Actual</v>
      </c>
      <c r="AE118" s="9" t="str">
        <f t="shared" si="1"/>
        <v>TMK7</v>
      </c>
      <c r="AF118" s="9">
        <f>HOUR(O118)</f>
        <v>20</v>
      </c>
      <c r="AG118" s="9">
        <f>DAY(O118)</f>
        <v>18</v>
      </c>
      <c r="AH118" s="9">
        <f>IFERROR((I118-K118)*24*60,0)</f>
        <v>7.0000000018626451</v>
      </c>
      <c r="AI118" s="9">
        <f t="shared" si="2"/>
        <v>7.0000000018626451</v>
      </c>
      <c r="AJ118" s="9">
        <f>C118</f>
        <v>1025</v>
      </c>
      <c r="AK118" s="9">
        <f>IF(P118="completed",((V118-K118)*24*60),0)</f>
        <v>11.000000004423782</v>
      </c>
      <c r="AL118" s="9">
        <f>IF(P118="completed",((U118-K118)*24*60),0)</f>
        <v>11.999999997206032</v>
      </c>
      <c r="AM118" s="9" t="str">
        <f t="shared" si="3"/>
        <v>OTP Achieved</v>
      </c>
      <c r="AN118" s="9" t="str">
        <f t="shared" si="4"/>
        <v>OTP Achieved</v>
      </c>
      <c r="AO118" s="9"/>
    </row>
    <row r="119" spans="1:41" ht="16">
      <c r="A119" s="3" t="s">
        <v>47</v>
      </c>
      <c r="B119" s="6">
        <v>46313.879861111112</v>
      </c>
      <c r="C119" s="5">
        <v>1852</v>
      </c>
      <c r="D119" s="1" t="s">
        <v>41</v>
      </c>
      <c r="E119" s="5">
        <v>5</v>
      </c>
      <c r="F119" s="1" t="s">
        <v>41</v>
      </c>
      <c r="G119" s="1" t="s">
        <v>41</v>
      </c>
      <c r="H119" s="1" t="s">
        <v>443</v>
      </c>
      <c r="I119" s="6">
        <v>46313.879861111112</v>
      </c>
      <c r="J119" s="1" t="s">
        <v>41</v>
      </c>
      <c r="K119" s="6">
        <v>46313.874305555553</v>
      </c>
      <c r="L119" s="5">
        <v>25</v>
      </c>
      <c r="M119" s="4"/>
      <c r="N119" s="1"/>
      <c r="O119" s="6">
        <v>46313.87222222222</v>
      </c>
      <c r="P119" s="1" t="s">
        <v>43</v>
      </c>
      <c r="Q119" s="1" t="s">
        <v>49</v>
      </c>
      <c r="R119" s="1" t="s">
        <v>444</v>
      </c>
      <c r="S119" s="5">
        <v>4247</v>
      </c>
      <c r="T119" s="1" t="s">
        <v>41</v>
      </c>
      <c r="U119" s="6">
        <v>46313.884722222225</v>
      </c>
      <c r="V119" s="6">
        <v>46313.883333333331</v>
      </c>
      <c r="W119" s="7" t="s">
        <v>445</v>
      </c>
      <c r="X119" s="5">
        <v>22411</v>
      </c>
      <c r="Y119" s="10"/>
      <c r="Z119" s="5">
        <v>0</v>
      </c>
      <c r="AA119" s="8">
        <v>0.87986111111111109</v>
      </c>
      <c r="AB119" s="5">
        <v>4</v>
      </c>
      <c r="AC119" s="1" t="s">
        <v>41</v>
      </c>
      <c r="AD119" s="9" t="str">
        <f t="shared" si="0"/>
        <v>Actual</v>
      </c>
      <c r="AE119" s="9" t="str">
        <f t="shared" si="1"/>
        <v>TMK7</v>
      </c>
      <c r="AF119" s="9">
        <f>HOUR(O119)</f>
        <v>20</v>
      </c>
      <c r="AG119" s="9">
        <f>DAY(O119)</f>
        <v>18</v>
      </c>
      <c r="AH119" s="9">
        <f>IFERROR((I119-K119)*24*60,0)</f>
        <v>8.0000000051222742</v>
      </c>
      <c r="AI119" s="9">
        <f t="shared" si="2"/>
        <v>8.0000000051222742</v>
      </c>
      <c r="AJ119" s="9">
        <f>C119</f>
        <v>1852</v>
      </c>
      <c r="AK119" s="9">
        <f>IF(P119="completed",((V119-K119)*24*60),0)</f>
        <v>13.000000000465661</v>
      </c>
      <c r="AL119" s="9">
        <f>IF(P119="completed",((U119-K119)*24*60),0)</f>
        <v>15.000000006984919</v>
      </c>
      <c r="AM119" s="9" t="str">
        <f t="shared" si="3"/>
        <v>OTP Achieved</v>
      </c>
      <c r="AN119" s="9" t="str">
        <f t="shared" si="4"/>
        <v>OTP Achieved</v>
      </c>
      <c r="AO119" s="9"/>
    </row>
    <row r="120" spans="1:41" ht="16">
      <c r="A120" s="3" t="s">
        <v>67</v>
      </c>
      <c r="B120" s="6">
        <v>46313.879861111112</v>
      </c>
      <c r="C120" s="5">
        <v>1189</v>
      </c>
      <c r="D120" s="1" t="s">
        <v>41</v>
      </c>
      <c r="E120" s="5">
        <v>4</v>
      </c>
      <c r="F120" s="1" t="s">
        <v>41</v>
      </c>
      <c r="G120" s="1" t="s">
        <v>41</v>
      </c>
      <c r="H120" s="1" t="s">
        <v>446</v>
      </c>
      <c r="I120" s="6">
        <v>46313.879861111112</v>
      </c>
      <c r="J120" s="1" t="s">
        <v>41</v>
      </c>
      <c r="K120" s="6">
        <v>46313.872916666667</v>
      </c>
      <c r="L120" s="5">
        <v>25</v>
      </c>
      <c r="M120" s="4"/>
      <c r="N120" s="1"/>
      <c r="O120" s="6">
        <v>46313.87222222222</v>
      </c>
      <c r="P120" s="1" t="s">
        <v>43</v>
      </c>
      <c r="Q120" s="1" t="s">
        <v>69</v>
      </c>
      <c r="R120" s="1" t="s">
        <v>447</v>
      </c>
      <c r="S120" s="5">
        <v>4247</v>
      </c>
      <c r="T120" s="1" t="s">
        <v>41</v>
      </c>
      <c r="U120" s="6">
        <v>46313.884722222225</v>
      </c>
      <c r="V120" s="6">
        <v>46313.882638888892</v>
      </c>
      <c r="W120" s="7" t="s">
        <v>448</v>
      </c>
      <c r="X120" s="5">
        <v>22411</v>
      </c>
      <c r="Y120" s="4"/>
      <c r="Z120" s="5">
        <v>0</v>
      </c>
      <c r="AA120" s="8">
        <v>0.87986111111111109</v>
      </c>
      <c r="AB120" s="5">
        <v>4</v>
      </c>
      <c r="AC120" s="1" t="s">
        <v>41</v>
      </c>
      <c r="AD120" s="9" t="str">
        <f t="shared" si="0"/>
        <v>Actual</v>
      </c>
      <c r="AE120" s="9" t="str">
        <f t="shared" si="1"/>
        <v>TMK7</v>
      </c>
      <c r="AF120" s="9">
        <f>HOUR(O120)</f>
        <v>20</v>
      </c>
      <c r="AG120" s="9">
        <f>DAY(O120)</f>
        <v>18</v>
      </c>
      <c r="AH120" s="9">
        <f>IFERROR((I120-K120)*24*60,0)</f>
        <v>10.000000001164153</v>
      </c>
      <c r="AI120" s="9">
        <f t="shared" si="2"/>
        <v>10.000000001164153</v>
      </c>
      <c r="AJ120" s="9">
        <f>C120</f>
        <v>1189</v>
      </c>
      <c r="AK120" s="9">
        <f>IF(P120="completed",((V120-K120)*24*60),0)</f>
        <v>14.00000000372529</v>
      </c>
      <c r="AL120" s="9">
        <f>IF(P120="completed",((U120-K120)*24*60),0)</f>
        <v>17.000000003026798</v>
      </c>
      <c r="AM120" s="9" t="str">
        <f t="shared" si="3"/>
        <v>OTP Achieved</v>
      </c>
      <c r="AN120" s="9" t="str">
        <f t="shared" si="4"/>
        <v>OTP Achieved</v>
      </c>
      <c r="AO120" s="9"/>
    </row>
    <row r="121" spans="1:41" ht="16">
      <c r="A121" s="3" t="s">
        <v>379</v>
      </c>
      <c r="B121" s="6">
        <v>46313.879166666666</v>
      </c>
      <c r="C121" s="5">
        <v>1979</v>
      </c>
      <c r="D121" s="1" t="s">
        <v>41</v>
      </c>
      <c r="E121" s="5">
        <v>9</v>
      </c>
      <c r="F121" s="1" t="s">
        <v>41</v>
      </c>
      <c r="G121" s="1" t="s">
        <v>41</v>
      </c>
      <c r="H121" s="1" t="s">
        <v>449</v>
      </c>
      <c r="I121" s="6">
        <v>46313.879861111112</v>
      </c>
      <c r="J121" s="1" t="s">
        <v>41</v>
      </c>
      <c r="K121" s="6">
        <v>46313.875694444447</v>
      </c>
      <c r="L121" s="5">
        <v>34</v>
      </c>
      <c r="M121" s="4"/>
      <c r="N121" s="1"/>
      <c r="O121" s="6">
        <v>46313.871527777781</v>
      </c>
      <c r="P121" s="1" t="s">
        <v>43</v>
      </c>
      <c r="Q121" s="1" t="s">
        <v>381</v>
      </c>
      <c r="R121" s="1" t="s">
        <v>450</v>
      </c>
      <c r="S121" s="5">
        <v>4247</v>
      </c>
      <c r="T121" s="1" t="s">
        <v>41</v>
      </c>
      <c r="U121" s="6">
        <v>46313.885416666664</v>
      </c>
      <c r="V121" s="6">
        <v>46313.885416666664</v>
      </c>
      <c r="W121" s="7" t="s">
        <v>451</v>
      </c>
      <c r="X121" s="5">
        <v>22411</v>
      </c>
      <c r="Y121" s="4"/>
      <c r="Z121" s="5">
        <v>0</v>
      </c>
      <c r="AA121" s="8">
        <v>0.87916666666666665</v>
      </c>
      <c r="AB121" s="5">
        <v>8</v>
      </c>
      <c r="AC121" s="1" t="s">
        <v>41</v>
      </c>
      <c r="AD121" s="9" t="str">
        <f t="shared" si="0"/>
        <v>Actual</v>
      </c>
      <c r="AE121" s="9" t="str">
        <f t="shared" si="1"/>
        <v>TMK7</v>
      </c>
      <c r="AF121" s="9">
        <f>HOUR(O121)</f>
        <v>20</v>
      </c>
      <c r="AG121" s="9">
        <f>DAY(O121)</f>
        <v>18</v>
      </c>
      <c r="AH121" s="9">
        <f>IFERROR((I121-K121)*24*60,0)</f>
        <v>5.9999999986030161</v>
      </c>
      <c r="AI121" s="9">
        <f t="shared" si="2"/>
        <v>5.9999999986030161</v>
      </c>
      <c r="AJ121" s="9">
        <f>C121</f>
        <v>1979</v>
      </c>
      <c r="AK121" s="9">
        <f>IF(P121="completed",((V121-K121)*24*60),0)</f>
        <v>13.999999993247911</v>
      </c>
      <c r="AL121" s="9">
        <f>IF(P121="completed",((U121-K121)*24*60),0)</f>
        <v>13.999999993247911</v>
      </c>
      <c r="AM121" s="9" t="str">
        <f t="shared" si="3"/>
        <v>OTP Breached</v>
      </c>
      <c r="AN121" s="9" t="str">
        <f t="shared" si="4"/>
        <v>OTP Achieved</v>
      </c>
      <c r="AO121" s="9"/>
    </row>
    <row r="122" spans="1:41" ht="16">
      <c r="A122" s="3" t="s">
        <v>339</v>
      </c>
      <c r="B122" s="6">
        <v>46313.879166666666</v>
      </c>
      <c r="C122" s="5">
        <v>1787</v>
      </c>
      <c r="D122" s="1" t="s">
        <v>41</v>
      </c>
      <c r="E122" s="5">
        <v>6</v>
      </c>
      <c r="F122" s="1" t="s">
        <v>41</v>
      </c>
      <c r="G122" s="1" t="s">
        <v>41</v>
      </c>
      <c r="H122" s="1" t="s">
        <v>452</v>
      </c>
      <c r="I122" s="6">
        <v>46313.879166666666</v>
      </c>
      <c r="J122" s="1" t="s">
        <v>41</v>
      </c>
      <c r="K122" s="6">
        <v>46313.872916666667</v>
      </c>
      <c r="L122" s="5">
        <v>23</v>
      </c>
      <c r="M122" s="4"/>
      <c r="N122" s="1"/>
      <c r="O122" s="6">
        <v>46313.871527777781</v>
      </c>
      <c r="P122" s="1" t="s">
        <v>43</v>
      </c>
      <c r="Q122" s="1" t="s">
        <v>341</v>
      </c>
      <c r="R122" s="1" t="s">
        <v>453</v>
      </c>
      <c r="S122" s="5">
        <v>4247</v>
      </c>
      <c r="T122" s="1" t="s">
        <v>41</v>
      </c>
      <c r="U122" s="6">
        <v>46313.883333333331</v>
      </c>
      <c r="V122" s="6">
        <v>46313.883333333331</v>
      </c>
      <c r="W122" s="7" t="s">
        <v>454</v>
      </c>
      <c r="X122" s="5">
        <v>22411</v>
      </c>
      <c r="Y122" s="4"/>
      <c r="Z122" s="5">
        <v>0</v>
      </c>
      <c r="AA122" s="8">
        <v>0.87916666666666665</v>
      </c>
      <c r="AB122" s="5">
        <v>6</v>
      </c>
      <c r="AC122" s="1" t="s">
        <v>41</v>
      </c>
      <c r="AD122" s="9" t="str">
        <f t="shared" si="0"/>
        <v>Actual</v>
      </c>
      <c r="AE122" s="9" t="str">
        <f t="shared" si="1"/>
        <v>TMK7</v>
      </c>
      <c r="AF122" s="9">
        <f>HOUR(O122)</f>
        <v>20</v>
      </c>
      <c r="AG122" s="9">
        <f>DAY(O122)</f>
        <v>18</v>
      </c>
      <c r="AH122" s="9">
        <f>IFERROR((I122-K122)*24*60,0)</f>
        <v>8.9999999979045242</v>
      </c>
      <c r="AI122" s="9">
        <f t="shared" si="2"/>
        <v>8.9999999979045242</v>
      </c>
      <c r="AJ122" s="9">
        <f>C122</f>
        <v>1787</v>
      </c>
      <c r="AK122" s="9">
        <f>IF(P122="completed",((V122-K122)*24*60),0)</f>
        <v>14.99999999650754</v>
      </c>
      <c r="AL122" s="9">
        <f>IF(P122="completed",((U122-K122)*24*60),0)</f>
        <v>14.99999999650754</v>
      </c>
      <c r="AM122" s="9" t="str">
        <f t="shared" si="3"/>
        <v>OTP Breached</v>
      </c>
      <c r="AN122" s="9" t="str">
        <f t="shared" si="4"/>
        <v>OTP Achieved</v>
      </c>
      <c r="AO122" s="9"/>
    </row>
    <row r="123" spans="1:41" ht="16">
      <c r="A123" s="3" t="s">
        <v>185</v>
      </c>
      <c r="B123" s="6">
        <v>46313.879166666666</v>
      </c>
      <c r="C123" s="5">
        <v>2053</v>
      </c>
      <c r="D123" s="1" t="s">
        <v>41</v>
      </c>
      <c r="E123" s="5">
        <v>6</v>
      </c>
      <c r="F123" s="1" t="s">
        <v>41</v>
      </c>
      <c r="G123" s="1" t="s">
        <v>41</v>
      </c>
      <c r="H123" s="1" t="s">
        <v>455</v>
      </c>
      <c r="I123" s="6">
        <v>46313.879166666666</v>
      </c>
      <c r="J123" s="1" t="s">
        <v>41</v>
      </c>
      <c r="K123" s="6">
        <v>46313.873611111114</v>
      </c>
      <c r="L123" s="5">
        <v>25</v>
      </c>
      <c r="M123" s="4"/>
      <c r="N123" s="1"/>
      <c r="O123" s="6">
        <v>46313.871527777781</v>
      </c>
      <c r="P123" s="1" t="s">
        <v>43</v>
      </c>
      <c r="Q123" s="1" t="s">
        <v>187</v>
      </c>
      <c r="R123" s="1" t="s">
        <v>456</v>
      </c>
      <c r="S123" s="5">
        <v>4247</v>
      </c>
      <c r="T123" s="1" t="s">
        <v>41</v>
      </c>
      <c r="U123" s="6">
        <v>46313.884722222225</v>
      </c>
      <c r="V123" s="6">
        <v>46313.883333333331</v>
      </c>
      <c r="W123" s="7" t="s">
        <v>457</v>
      </c>
      <c r="X123" s="5">
        <v>22411</v>
      </c>
      <c r="Y123" s="4"/>
      <c r="Z123" s="5">
        <v>0</v>
      </c>
      <c r="AA123" s="8">
        <v>0.87916666666666665</v>
      </c>
      <c r="AB123" s="5">
        <v>6</v>
      </c>
      <c r="AC123" s="1" t="s">
        <v>41</v>
      </c>
      <c r="AD123" s="9" t="str">
        <f t="shared" si="0"/>
        <v>Actual</v>
      </c>
      <c r="AE123" s="9" t="str">
        <f t="shared" si="1"/>
        <v>TMK7</v>
      </c>
      <c r="AF123" s="9">
        <f>HOUR(O123)</f>
        <v>20</v>
      </c>
      <c r="AG123" s="9">
        <f>DAY(O123)</f>
        <v>18</v>
      </c>
      <c r="AH123" s="9">
        <f>IFERROR((I123-K123)*24*60,0)</f>
        <v>7.9999999946448952</v>
      </c>
      <c r="AI123" s="9">
        <f t="shared" si="2"/>
        <v>7.9999999946448952</v>
      </c>
      <c r="AJ123" s="9">
        <f>C123</f>
        <v>2053</v>
      </c>
      <c r="AK123" s="9">
        <f>IF(P123="completed",((V123-K123)*24*60),0)</f>
        <v>13.999999993247911</v>
      </c>
      <c r="AL123" s="9">
        <f>IF(P123="completed",((U123-K123)*24*60),0)</f>
        <v>15.999999999767169</v>
      </c>
      <c r="AM123" s="9" t="str">
        <f t="shared" si="3"/>
        <v>OTP Achieved</v>
      </c>
      <c r="AN123" s="9" t="str">
        <f t="shared" si="4"/>
        <v>OTP Achieved</v>
      </c>
      <c r="AO123" s="9"/>
    </row>
    <row r="124" spans="1:41" ht="16">
      <c r="A124" s="3" t="s">
        <v>106</v>
      </c>
      <c r="B124" s="6">
        <v>46313.878472222219</v>
      </c>
      <c r="C124" s="5">
        <v>554</v>
      </c>
      <c r="D124" s="1" t="s">
        <v>41</v>
      </c>
      <c r="E124" s="5">
        <v>5</v>
      </c>
      <c r="F124" s="1" t="s">
        <v>41</v>
      </c>
      <c r="G124" s="1" t="s">
        <v>41</v>
      </c>
      <c r="H124" s="1" t="s">
        <v>458</v>
      </c>
      <c r="I124" s="6">
        <v>46313.879166666666</v>
      </c>
      <c r="J124" s="1" t="s">
        <v>41</v>
      </c>
      <c r="K124" s="6">
        <v>46313.87222222222</v>
      </c>
      <c r="L124" s="5">
        <v>29</v>
      </c>
      <c r="M124" s="4"/>
      <c r="N124" s="1"/>
      <c r="O124" s="6">
        <v>46313.870833333334</v>
      </c>
      <c r="P124" s="1" t="s">
        <v>43</v>
      </c>
      <c r="Q124" s="1" t="s">
        <v>108</v>
      </c>
      <c r="R124" s="1" t="s">
        <v>459</v>
      </c>
      <c r="S124" s="5">
        <v>4247</v>
      </c>
      <c r="T124" s="1" t="s">
        <v>41</v>
      </c>
      <c r="U124" s="6">
        <v>46313.881249999999</v>
      </c>
      <c r="V124" s="6">
        <v>46313.881944444445</v>
      </c>
      <c r="W124" s="7" t="s">
        <v>460</v>
      </c>
      <c r="X124" s="5">
        <v>22411</v>
      </c>
      <c r="Y124" s="4"/>
      <c r="Z124" s="5">
        <v>0</v>
      </c>
      <c r="AA124" s="8">
        <v>0.87847222222222221</v>
      </c>
      <c r="AB124" s="5">
        <v>4</v>
      </c>
      <c r="AC124" s="1" t="s">
        <v>41</v>
      </c>
      <c r="AD124" s="9" t="str">
        <f t="shared" si="0"/>
        <v>Actual</v>
      </c>
      <c r="AE124" s="9" t="str">
        <f t="shared" si="1"/>
        <v>TMK7</v>
      </c>
      <c r="AF124" s="9">
        <f>HOUR(O124)</f>
        <v>20</v>
      </c>
      <c r="AG124" s="9">
        <f>DAY(O124)</f>
        <v>18</v>
      </c>
      <c r="AH124" s="9">
        <f>IFERROR((I124-K124)*24*60,0)</f>
        <v>10.000000001164153</v>
      </c>
      <c r="AI124" s="9">
        <f t="shared" si="2"/>
        <v>10.000000001164153</v>
      </c>
      <c r="AJ124" s="9">
        <f>C124</f>
        <v>554</v>
      </c>
      <c r="AK124" s="9">
        <f>IF(P124="completed",((V124-K124)*24*60),0)</f>
        <v>14.00000000372529</v>
      </c>
      <c r="AL124" s="9">
        <f>IF(P124="completed",((U124-K124)*24*60),0)</f>
        <v>13.000000000465661</v>
      </c>
      <c r="AM124" s="9" t="str">
        <f t="shared" si="3"/>
        <v>OTP Breached</v>
      </c>
      <c r="AN124" s="9" t="str">
        <f t="shared" si="4"/>
        <v>OTP Achieved</v>
      </c>
      <c r="AO124" s="9"/>
    </row>
    <row r="125" spans="1:41" ht="16">
      <c r="A125" s="3" t="s">
        <v>98</v>
      </c>
      <c r="B125" s="6">
        <v>46313.878472222219</v>
      </c>
      <c r="C125" s="5">
        <v>2200</v>
      </c>
      <c r="D125" s="1" t="s">
        <v>41</v>
      </c>
      <c r="E125" s="5">
        <v>6</v>
      </c>
      <c r="F125" s="1" t="s">
        <v>41</v>
      </c>
      <c r="G125" s="1" t="s">
        <v>41</v>
      </c>
      <c r="H125" s="1" t="s">
        <v>461</v>
      </c>
      <c r="I125" s="6">
        <v>46313.879166666666</v>
      </c>
      <c r="J125" s="1" t="s">
        <v>41</v>
      </c>
      <c r="K125" s="6">
        <v>46313.871527777781</v>
      </c>
      <c r="L125" s="5">
        <v>30</v>
      </c>
      <c r="M125" s="4"/>
      <c r="N125" s="1"/>
      <c r="O125" s="6">
        <v>46313.870138888888</v>
      </c>
      <c r="P125" s="1" t="s">
        <v>43</v>
      </c>
      <c r="Q125" s="1" t="s">
        <v>100</v>
      </c>
      <c r="R125" s="1" t="s">
        <v>462</v>
      </c>
      <c r="S125" s="5">
        <v>4247</v>
      </c>
      <c r="T125" s="1" t="s">
        <v>41</v>
      </c>
      <c r="U125" s="6">
        <v>46313.884027777778</v>
      </c>
      <c r="V125" s="6">
        <v>46313.882638888892</v>
      </c>
      <c r="W125" s="7" t="s">
        <v>463</v>
      </c>
      <c r="X125" s="5">
        <v>22411</v>
      </c>
      <c r="Y125" s="4"/>
      <c r="Z125" s="5">
        <v>0</v>
      </c>
      <c r="AA125" s="8">
        <v>0.87847222222222221</v>
      </c>
      <c r="AB125" s="5">
        <v>6</v>
      </c>
      <c r="AC125" s="1" t="s">
        <v>41</v>
      </c>
      <c r="AD125" s="9" t="str">
        <f t="shared" si="0"/>
        <v>Actual</v>
      </c>
      <c r="AE125" s="9" t="str">
        <f t="shared" si="1"/>
        <v>TMK7</v>
      </c>
      <c r="AF125" s="9">
        <f>HOUR(O125)</f>
        <v>20</v>
      </c>
      <c r="AG125" s="9">
        <f>DAY(O125)</f>
        <v>18</v>
      </c>
      <c r="AH125" s="9">
        <f>IFERROR((I125-K125)*24*60,0)</f>
        <v>10.999999993946403</v>
      </c>
      <c r="AI125" s="9">
        <f t="shared" si="2"/>
        <v>10.999999993946403</v>
      </c>
      <c r="AJ125" s="9">
        <f>C125</f>
        <v>2200</v>
      </c>
      <c r="AK125" s="9">
        <f>IF(P125="completed",((V125-K125)*24*60),0)</f>
        <v>15.999999999767169</v>
      </c>
      <c r="AL125" s="9">
        <f>IF(P125="completed",((U125-K125)*24*60),0)</f>
        <v>17.999999995809048</v>
      </c>
      <c r="AM125" s="9" t="str">
        <f t="shared" si="3"/>
        <v>OTP Achieved</v>
      </c>
      <c r="AN125" s="9" t="str">
        <f t="shared" si="4"/>
        <v>OTP Achieved</v>
      </c>
      <c r="AO125" s="9"/>
    </row>
    <row r="126" spans="1:41" ht="16">
      <c r="A126" s="3" t="s">
        <v>72</v>
      </c>
      <c r="B126" s="6">
        <v>46313.87777777778</v>
      </c>
      <c r="C126" s="5">
        <v>2133</v>
      </c>
      <c r="D126" s="1" t="s">
        <v>41</v>
      </c>
      <c r="E126" s="5">
        <v>7</v>
      </c>
      <c r="F126" s="1" t="s">
        <v>41</v>
      </c>
      <c r="G126" s="1" t="s">
        <v>41</v>
      </c>
      <c r="H126" s="1" t="s">
        <v>464</v>
      </c>
      <c r="I126" s="6">
        <v>46313.87777777778</v>
      </c>
      <c r="J126" s="1" t="s">
        <v>41</v>
      </c>
      <c r="K126" s="6">
        <v>46313.870833333334</v>
      </c>
      <c r="L126" s="5">
        <v>22</v>
      </c>
      <c r="M126" s="4"/>
      <c r="N126" s="1"/>
      <c r="O126" s="6">
        <v>46313.870138888888</v>
      </c>
      <c r="P126" s="1" t="s">
        <v>315</v>
      </c>
      <c r="Q126" s="1" t="s">
        <v>74</v>
      </c>
      <c r="R126" s="1" t="s">
        <v>465</v>
      </c>
      <c r="S126" s="5">
        <v>4247</v>
      </c>
      <c r="T126" s="1" t="s">
        <v>41</v>
      </c>
      <c r="U126" s="6">
        <v>46313.883333333331</v>
      </c>
      <c r="V126" s="6">
        <v>46313.882638888892</v>
      </c>
      <c r="W126" s="7" t="s">
        <v>466</v>
      </c>
      <c r="X126" s="5">
        <v>22411</v>
      </c>
      <c r="Y126" s="4">
        <v>46313.887499999997</v>
      </c>
      <c r="Z126" s="5">
        <v>0</v>
      </c>
      <c r="AA126" s="8">
        <v>0.87777777777777777</v>
      </c>
      <c r="AB126" s="5">
        <v>7</v>
      </c>
      <c r="AC126" s="1" t="s">
        <v>41</v>
      </c>
      <c r="AD126" s="9" t="str">
        <f t="shared" si="0"/>
        <v>Actual</v>
      </c>
      <c r="AE126" s="9" t="str">
        <f t="shared" si="1"/>
        <v>TMK7</v>
      </c>
      <c r="AF126" s="9">
        <f>HOUR(O126)</f>
        <v>20</v>
      </c>
      <c r="AG126" s="9">
        <f>DAY(O126)</f>
        <v>18</v>
      </c>
      <c r="AH126" s="9">
        <f>IFERROR((I126-K126)*24*60,0)</f>
        <v>10.000000001164153</v>
      </c>
      <c r="AI126" s="9">
        <f t="shared" si="2"/>
        <v>10.000000001164153</v>
      </c>
      <c r="AJ126" s="9">
        <f>C126</f>
        <v>2133</v>
      </c>
      <c r="AK126" s="9">
        <f>IF(P126="completed",((V126-K126)*24*60),0)</f>
        <v>0</v>
      </c>
      <c r="AL126" s="9">
        <f>IF(P126="completed",((U126-K126)*24*60),0)</f>
        <v>0</v>
      </c>
      <c r="AM126" s="9" t="str">
        <f t="shared" si="3"/>
        <v>OTP Breached</v>
      </c>
      <c r="AN126" s="9" t="str">
        <f t="shared" si="4"/>
        <v>OTP Achieved</v>
      </c>
      <c r="AO126" s="9"/>
    </row>
    <row r="127" spans="1:41" ht="16">
      <c r="A127" s="3" t="s">
        <v>57</v>
      </c>
      <c r="B127" s="6">
        <v>46313.876388888886</v>
      </c>
      <c r="C127" s="5">
        <v>1664</v>
      </c>
      <c r="D127" s="1" t="s">
        <v>41</v>
      </c>
      <c r="E127" s="5">
        <v>5</v>
      </c>
      <c r="F127" s="1" t="s">
        <v>41</v>
      </c>
      <c r="G127" s="1" t="s">
        <v>41</v>
      </c>
      <c r="H127" s="1" t="s">
        <v>467</v>
      </c>
      <c r="I127" s="6">
        <v>46313.877083333333</v>
      </c>
      <c r="J127" s="1" t="s">
        <v>41</v>
      </c>
      <c r="K127" s="6">
        <v>46313.87222222222</v>
      </c>
      <c r="L127" s="5">
        <v>16</v>
      </c>
      <c r="M127" s="4"/>
      <c r="N127" s="1"/>
      <c r="O127" s="6">
        <v>46313.868750000001</v>
      </c>
      <c r="P127" s="1" t="s">
        <v>43</v>
      </c>
      <c r="Q127" s="1" t="s">
        <v>59</v>
      </c>
      <c r="R127" s="1" t="s">
        <v>468</v>
      </c>
      <c r="S127" s="5">
        <v>4247</v>
      </c>
      <c r="T127" s="1" t="s">
        <v>41</v>
      </c>
      <c r="U127" s="6">
        <v>46313.881249999999</v>
      </c>
      <c r="V127" s="6">
        <v>46313.879861111112</v>
      </c>
      <c r="W127" s="7" t="s">
        <v>469</v>
      </c>
      <c r="X127" s="5">
        <v>22411</v>
      </c>
      <c r="Y127" s="4"/>
      <c r="Z127" s="5">
        <v>0</v>
      </c>
      <c r="AA127" s="8">
        <v>0.87638888888888888</v>
      </c>
      <c r="AB127" s="5">
        <v>5</v>
      </c>
      <c r="AC127" s="1" t="s">
        <v>41</v>
      </c>
      <c r="AD127" s="9" t="str">
        <f t="shared" si="0"/>
        <v>Actual</v>
      </c>
      <c r="AE127" s="9" t="str">
        <f t="shared" si="1"/>
        <v>TMK7</v>
      </c>
      <c r="AF127" s="9">
        <f>HOUR(O127)</f>
        <v>20</v>
      </c>
      <c r="AG127" s="9">
        <f>DAY(O127)</f>
        <v>18</v>
      </c>
      <c r="AH127" s="9">
        <f>IFERROR((I127-K127)*24*60,0)</f>
        <v>7.0000000018626451</v>
      </c>
      <c r="AI127" s="9">
        <f t="shared" si="2"/>
        <v>7.0000000018626451</v>
      </c>
      <c r="AJ127" s="9">
        <f>C127</f>
        <v>1664</v>
      </c>
      <c r="AK127" s="9">
        <f>IF(P127="completed",((V127-K127)*24*60),0)</f>
        <v>11.000000004423782</v>
      </c>
      <c r="AL127" s="9">
        <f>IF(P127="completed",((U127-K127)*24*60),0)</f>
        <v>13.000000000465661</v>
      </c>
      <c r="AM127" s="9" t="str">
        <f t="shared" si="3"/>
        <v>OTP Achieved</v>
      </c>
      <c r="AN127" s="9" t="str">
        <f t="shared" si="4"/>
        <v>OTP Achieved</v>
      </c>
      <c r="AO127" s="9"/>
    </row>
    <row r="128" spans="1:41" ht="16">
      <c r="A128" s="3" t="s">
        <v>177</v>
      </c>
      <c r="B128" s="6">
        <v>46313.876388888886</v>
      </c>
      <c r="C128" s="5">
        <v>1921</v>
      </c>
      <c r="D128" s="1" t="s">
        <v>41</v>
      </c>
      <c r="E128" s="5">
        <v>5</v>
      </c>
      <c r="F128" s="1" t="s">
        <v>41</v>
      </c>
      <c r="G128" s="1" t="s">
        <v>41</v>
      </c>
      <c r="H128" s="1" t="s">
        <v>470</v>
      </c>
      <c r="I128" s="6">
        <v>46313.876388888886</v>
      </c>
      <c r="J128" s="1" t="s">
        <v>41</v>
      </c>
      <c r="K128" s="6">
        <v>46313.866666666669</v>
      </c>
      <c r="L128" s="5">
        <v>37</v>
      </c>
      <c r="M128" s="4"/>
      <c r="N128" s="1"/>
      <c r="O128" s="6">
        <v>46313.865972222222</v>
      </c>
      <c r="P128" s="1" t="s">
        <v>43</v>
      </c>
      <c r="Q128" s="1" t="s">
        <v>179</v>
      </c>
      <c r="R128" s="1" t="s">
        <v>471</v>
      </c>
      <c r="S128" s="5">
        <v>4247</v>
      </c>
      <c r="T128" s="1" t="s">
        <v>41</v>
      </c>
      <c r="U128" s="6">
        <v>46313.881944444445</v>
      </c>
      <c r="V128" s="6">
        <v>46313.879861111112</v>
      </c>
      <c r="W128" s="7" t="s">
        <v>472</v>
      </c>
      <c r="X128" s="5">
        <v>22411</v>
      </c>
      <c r="Y128" s="4"/>
      <c r="Z128" s="5">
        <v>0</v>
      </c>
      <c r="AA128" s="8">
        <v>0.87638888888888888</v>
      </c>
      <c r="AB128" s="5">
        <v>5</v>
      </c>
      <c r="AC128" s="1" t="s">
        <v>41</v>
      </c>
      <c r="AD128" s="9" t="str">
        <f t="shared" si="0"/>
        <v>Actual</v>
      </c>
      <c r="AE128" s="9" t="str">
        <f t="shared" si="1"/>
        <v>TMK7</v>
      </c>
      <c r="AF128" s="9">
        <f>HOUR(O128)</f>
        <v>20</v>
      </c>
      <c r="AG128" s="9">
        <f>DAY(O128)</f>
        <v>18</v>
      </c>
      <c r="AH128" s="9">
        <f>IFERROR((I128-K128)*24*60,0)</f>
        <v>13.999999993247911</v>
      </c>
      <c r="AI128" s="9">
        <f t="shared" si="2"/>
        <v>13.999999993247911</v>
      </c>
      <c r="AJ128" s="9">
        <f>C128</f>
        <v>1921</v>
      </c>
      <c r="AK128" s="9">
        <f>IF(P128="completed",((V128-K128)*24*60),0)</f>
        <v>18.999999999068677</v>
      </c>
      <c r="AL128" s="9">
        <f>IF(P128="completed",((U128-K128)*24*60),0)</f>
        <v>21.999999998370185</v>
      </c>
      <c r="AM128" s="9" t="str">
        <f t="shared" si="3"/>
        <v>OTP Achieved</v>
      </c>
      <c r="AN128" s="9" t="str">
        <f t="shared" si="4"/>
        <v>OTP Achieved</v>
      </c>
      <c r="AO128" s="9"/>
    </row>
    <row r="129" spans="1:41" ht="16">
      <c r="A129" s="3" t="s">
        <v>82</v>
      </c>
      <c r="B129" s="6">
        <v>46313.875</v>
      </c>
      <c r="C129" s="5">
        <v>1894</v>
      </c>
      <c r="D129" s="1" t="s">
        <v>41</v>
      </c>
      <c r="E129" s="5">
        <v>6</v>
      </c>
      <c r="F129" s="1" t="s">
        <v>41</v>
      </c>
      <c r="G129" s="1" t="s">
        <v>41</v>
      </c>
      <c r="H129" s="1" t="s">
        <v>470</v>
      </c>
      <c r="I129" s="6">
        <v>46313.875694444447</v>
      </c>
      <c r="J129" s="1" t="s">
        <v>41</v>
      </c>
      <c r="K129" s="6">
        <v>46313.866666666669</v>
      </c>
      <c r="L129" s="5">
        <v>21</v>
      </c>
      <c r="M129" s="4"/>
      <c r="N129" s="1"/>
      <c r="O129" s="6">
        <v>46313.865972222222</v>
      </c>
      <c r="P129" s="1" t="s">
        <v>43</v>
      </c>
      <c r="Q129" s="1" t="s">
        <v>84</v>
      </c>
      <c r="R129" s="1" t="s">
        <v>473</v>
      </c>
      <c r="S129" s="5">
        <v>4247</v>
      </c>
      <c r="T129" s="1" t="s">
        <v>41</v>
      </c>
      <c r="U129" s="6">
        <v>46313.880555555559</v>
      </c>
      <c r="V129" s="6">
        <v>46313.879861111112</v>
      </c>
      <c r="W129" s="7" t="s">
        <v>474</v>
      </c>
      <c r="X129" s="5">
        <v>22411</v>
      </c>
      <c r="Y129" s="4"/>
      <c r="Z129" s="5">
        <v>0</v>
      </c>
      <c r="AA129" s="8">
        <v>0.875</v>
      </c>
      <c r="AB129" s="5">
        <v>6</v>
      </c>
      <c r="AC129" s="1" t="s">
        <v>41</v>
      </c>
      <c r="AD129" s="9" t="str">
        <f t="shared" si="0"/>
        <v>Actual</v>
      </c>
      <c r="AE129" s="9" t="str">
        <f t="shared" si="1"/>
        <v>TMK7</v>
      </c>
      <c r="AF129" s="9">
        <f>HOUR(O129)</f>
        <v>20</v>
      </c>
      <c r="AG129" s="9">
        <f>DAY(O129)</f>
        <v>18</v>
      </c>
      <c r="AH129" s="9">
        <f>IFERROR((I129-K129)*24*60,0)</f>
        <v>13.000000000465661</v>
      </c>
      <c r="AI129" s="9">
        <f t="shared" si="2"/>
        <v>13.000000000465661</v>
      </c>
      <c r="AJ129" s="9">
        <f>C129</f>
        <v>1894</v>
      </c>
      <c r="AK129" s="9">
        <f>IF(P129="completed",((V129-K129)*24*60),0)</f>
        <v>18.999999999068677</v>
      </c>
      <c r="AL129" s="9">
        <f>IF(P129="completed",((U129-K129)*24*60),0)</f>
        <v>20.000000002328306</v>
      </c>
      <c r="AM129" s="9" t="str">
        <f t="shared" si="3"/>
        <v>OTP Achieved</v>
      </c>
      <c r="AN129" s="9" t="str">
        <f t="shared" si="4"/>
        <v>OTP Achieved</v>
      </c>
      <c r="AO129" s="9"/>
    </row>
    <row r="130" spans="1:41" ht="16">
      <c r="A130" s="3" t="s">
        <v>190</v>
      </c>
      <c r="B130" s="6">
        <v>46313.875</v>
      </c>
      <c r="C130" s="5">
        <v>2093</v>
      </c>
      <c r="D130" s="1" t="s">
        <v>41</v>
      </c>
      <c r="E130" s="5">
        <v>7</v>
      </c>
      <c r="F130" s="1" t="s">
        <v>41</v>
      </c>
      <c r="G130" s="1" t="s">
        <v>41</v>
      </c>
      <c r="H130" s="1" t="s">
        <v>475</v>
      </c>
      <c r="I130" s="6">
        <v>46313.875</v>
      </c>
      <c r="J130" s="1" t="s">
        <v>41</v>
      </c>
      <c r="K130" s="6">
        <v>46313.868750000001</v>
      </c>
      <c r="L130" s="5">
        <v>39</v>
      </c>
      <c r="M130" s="4"/>
      <c r="N130" s="1"/>
      <c r="O130" s="6">
        <v>46313.865972222222</v>
      </c>
      <c r="P130" s="1" t="s">
        <v>43</v>
      </c>
      <c r="Q130" s="1" t="s">
        <v>192</v>
      </c>
      <c r="R130" s="1" t="s">
        <v>476</v>
      </c>
      <c r="S130" s="5">
        <v>4247</v>
      </c>
      <c r="T130" s="1" t="s">
        <v>41</v>
      </c>
      <c r="U130" s="6">
        <v>46313.881249999999</v>
      </c>
      <c r="V130" s="6">
        <v>46313.879861111112</v>
      </c>
      <c r="W130" s="7" t="s">
        <v>477</v>
      </c>
      <c r="X130" s="5">
        <v>22411</v>
      </c>
      <c r="Y130" s="4"/>
      <c r="Z130" s="5">
        <v>0</v>
      </c>
      <c r="AA130" s="8">
        <v>0.875</v>
      </c>
      <c r="AB130" s="5">
        <v>6</v>
      </c>
      <c r="AC130" s="1" t="s">
        <v>41</v>
      </c>
      <c r="AD130" s="9" t="str">
        <f t="shared" si="0"/>
        <v>Actual</v>
      </c>
      <c r="AE130" s="9" t="str">
        <f t="shared" si="1"/>
        <v>TMK7</v>
      </c>
      <c r="AF130" s="9">
        <f>HOUR(O130)</f>
        <v>20</v>
      </c>
      <c r="AG130" s="9">
        <f>DAY(O130)</f>
        <v>18</v>
      </c>
      <c r="AH130" s="9">
        <f>IFERROR((I130-K130)*24*60,0)</f>
        <v>8.9999999979045242</v>
      </c>
      <c r="AI130" s="9">
        <f t="shared" si="2"/>
        <v>8.9999999979045242</v>
      </c>
      <c r="AJ130" s="9">
        <f>C130</f>
        <v>2093</v>
      </c>
      <c r="AK130" s="9">
        <f>IF(P130="completed",((V130-K130)*24*60),0)</f>
        <v>15.999999999767169</v>
      </c>
      <c r="AL130" s="9">
        <f>IF(P130="completed",((U130-K130)*24*60),0)</f>
        <v>17.999999995809048</v>
      </c>
      <c r="AM130" s="9" t="str">
        <f t="shared" si="3"/>
        <v>OTP Achieved</v>
      </c>
      <c r="AN130" s="9" t="str">
        <f t="shared" si="4"/>
        <v>OTP Achieved</v>
      </c>
      <c r="AO130" s="9"/>
    </row>
    <row r="131" spans="1:41" ht="16">
      <c r="A131" s="3" t="s">
        <v>67</v>
      </c>
      <c r="B131" s="6">
        <v>46313.87222222222</v>
      </c>
      <c r="C131" s="5">
        <v>316</v>
      </c>
      <c r="D131" s="1" t="s">
        <v>41</v>
      </c>
      <c r="E131" s="5">
        <v>2</v>
      </c>
      <c r="F131" s="1" t="s">
        <v>41</v>
      </c>
      <c r="G131" s="1" t="s">
        <v>41</v>
      </c>
      <c r="H131" s="1" t="s">
        <v>478</v>
      </c>
      <c r="I131" s="6">
        <v>46313.872916666667</v>
      </c>
      <c r="J131" s="1" t="s">
        <v>41</v>
      </c>
      <c r="K131" s="6">
        <v>46313.865972222222</v>
      </c>
      <c r="L131" s="5">
        <v>33</v>
      </c>
      <c r="M131" s="4"/>
      <c r="N131" s="1"/>
      <c r="O131" s="6">
        <v>46313.865277777775</v>
      </c>
      <c r="P131" s="1" t="s">
        <v>43</v>
      </c>
      <c r="Q131" s="1" t="s">
        <v>69</v>
      </c>
      <c r="R131" s="1" t="s">
        <v>479</v>
      </c>
      <c r="S131" s="5">
        <v>4247</v>
      </c>
      <c r="T131" s="1" t="s">
        <v>41</v>
      </c>
      <c r="U131" s="6">
        <v>46313.874305555553</v>
      </c>
      <c r="V131" s="6">
        <v>46313.873611111114</v>
      </c>
      <c r="W131" s="7" t="s">
        <v>480</v>
      </c>
      <c r="X131" s="5">
        <v>22411</v>
      </c>
      <c r="Y131" s="4"/>
      <c r="Z131" s="5">
        <v>0</v>
      </c>
      <c r="AA131" s="8">
        <v>0.87222222222222223</v>
      </c>
      <c r="AB131" s="5">
        <v>1</v>
      </c>
      <c r="AC131" s="1" t="s">
        <v>41</v>
      </c>
      <c r="AD131" s="9" t="str">
        <f t="shared" si="0"/>
        <v>Actual</v>
      </c>
      <c r="AE131" s="9" t="str">
        <f t="shared" si="1"/>
        <v>TMK7</v>
      </c>
      <c r="AF131" s="9">
        <f>HOUR(O131)</f>
        <v>20</v>
      </c>
      <c r="AG131" s="9">
        <f>DAY(O131)</f>
        <v>18</v>
      </c>
      <c r="AH131" s="9">
        <f>IFERROR((I131-K131)*24*60,0)</f>
        <v>10.000000001164153</v>
      </c>
      <c r="AI131" s="9">
        <f t="shared" si="2"/>
        <v>10.000000001164153</v>
      </c>
      <c r="AJ131" s="9">
        <f>C131</f>
        <v>316</v>
      </c>
      <c r="AK131" s="9">
        <f>IF(P131="completed",((V131-K131)*24*60),0)</f>
        <v>11.000000004423782</v>
      </c>
      <c r="AL131" s="9">
        <f>IF(P131="completed",((U131-K131)*24*60),0)</f>
        <v>11.999999997206032</v>
      </c>
      <c r="AM131" s="9" t="str">
        <f t="shared" si="3"/>
        <v>OTP Achieved</v>
      </c>
      <c r="AN131" s="9" t="str">
        <f t="shared" si="4"/>
        <v>OTP Achieved</v>
      </c>
      <c r="AO131" s="9"/>
    </row>
    <row r="132" spans="1:41" ht="16">
      <c r="A132" s="3" t="s">
        <v>40</v>
      </c>
      <c r="B132" s="6">
        <v>46313.871527777781</v>
      </c>
      <c r="C132" s="5">
        <v>290</v>
      </c>
      <c r="D132" s="1" t="s">
        <v>41</v>
      </c>
      <c r="E132" s="5">
        <v>0</v>
      </c>
      <c r="F132" s="1" t="s">
        <v>41</v>
      </c>
      <c r="G132" s="1" t="s">
        <v>41</v>
      </c>
      <c r="H132" s="1" t="s">
        <v>481</v>
      </c>
      <c r="I132" s="6">
        <v>46313.871527777781</v>
      </c>
      <c r="J132" s="1" t="s">
        <v>41</v>
      </c>
      <c r="K132" s="6">
        <v>46313.865972222222</v>
      </c>
      <c r="L132" s="5">
        <v>17</v>
      </c>
      <c r="M132" s="4"/>
      <c r="N132" s="1"/>
      <c r="O132" s="6">
        <v>46313.864583333336</v>
      </c>
      <c r="P132" s="1" t="s">
        <v>43</v>
      </c>
      <c r="Q132" s="1" t="s">
        <v>44</v>
      </c>
      <c r="R132" s="1" t="s">
        <v>482</v>
      </c>
      <c r="S132" s="5">
        <v>4247</v>
      </c>
      <c r="T132" s="1" t="s">
        <v>41</v>
      </c>
      <c r="U132" s="6">
        <v>46313.872916666667</v>
      </c>
      <c r="V132" s="6">
        <v>46313.87222222222</v>
      </c>
      <c r="W132" s="7" t="s">
        <v>483</v>
      </c>
      <c r="X132" s="5">
        <v>22411</v>
      </c>
      <c r="Y132" s="4"/>
      <c r="Z132" s="5">
        <v>0</v>
      </c>
      <c r="AA132" s="8">
        <v>0.87152777777777779</v>
      </c>
      <c r="AB132" s="5">
        <v>0</v>
      </c>
      <c r="AC132" s="1" t="s">
        <v>41</v>
      </c>
      <c r="AD132" s="9" t="str">
        <f t="shared" si="0"/>
        <v>Actual</v>
      </c>
      <c r="AE132" s="9" t="str">
        <f t="shared" si="1"/>
        <v>TMK7</v>
      </c>
      <c r="AF132" s="9">
        <f>HOUR(O132)</f>
        <v>20</v>
      </c>
      <c r="AG132" s="9">
        <f>DAY(O132)</f>
        <v>18</v>
      </c>
      <c r="AH132" s="9">
        <f>IFERROR((I132-K132)*24*60,0)</f>
        <v>8.0000000051222742</v>
      </c>
      <c r="AI132" s="9">
        <f t="shared" si="2"/>
        <v>8.0000000051222742</v>
      </c>
      <c r="AJ132" s="9">
        <f>C132</f>
        <v>290</v>
      </c>
      <c r="AK132" s="9">
        <f>IF(P132="completed",((V132-K132)*24*60),0)</f>
        <v>8.9999999979045242</v>
      </c>
      <c r="AL132" s="9">
        <f>IF(P132="completed",((U132-K132)*24*60),0)</f>
        <v>10.000000001164153</v>
      </c>
      <c r="AM132" s="9" t="str">
        <f t="shared" si="3"/>
        <v>OTP Achieved</v>
      </c>
      <c r="AN132" s="9" t="str">
        <f t="shared" si="4"/>
        <v>OTP Achieved</v>
      </c>
      <c r="AO132" s="9"/>
    </row>
    <row r="133" spans="1:41" ht="16">
      <c r="A133" s="3" t="s">
        <v>347</v>
      </c>
      <c r="B133" s="6">
        <v>46313.871527777781</v>
      </c>
      <c r="C133" s="5">
        <v>4039</v>
      </c>
      <c r="D133" s="1" t="s">
        <v>41</v>
      </c>
      <c r="E133" s="5">
        <v>11</v>
      </c>
      <c r="F133" s="1" t="s">
        <v>41</v>
      </c>
      <c r="G133" s="1" t="s">
        <v>41</v>
      </c>
      <c r="H133" s="1" t="s">
        <v>484</v>
      </c>
      <c r="I133" s="6">
        <v>46313.871527777781</v>
      </c>
      <c r="J133" s="1" t="s">
        <v>41</v>
      </c>
      <c r="K133" s="6">
        <v>46313.864583333336</v>
      </c>
      <c r="L133" s="5">
        <v>18</v>
      </c>
      <c r="M133" s="4"/>
      <c r="N133" s="1"/>
      <c r="O133" s="6">
        <v>46313.863888888889</v>
      </c>
      <c r="P133" s="1" t="s">
        <v>43</v>
      </c>
      <c r="Q133" s="1" t="s">
        <v>349</v>
      </c>
      <c r="R133" s="1" t="s">
        <v>485</v>
      </c>
      <c r="S133" s="5">
        <v>4247</v>
      </c>
      <c r="T133" s="1" t="s">
        <v>41</v>
      </c>
      <c r="U133" s="6">
        <v>46313.881249999999</v>
      </c>
      <c r="V133" s="6">
        <v>46313.879166666666</v>
      </c>
      <c r="W133" s="7" t="s">
        <v>486</v>
      </c>
      <c r="X133" s="5">
        <v>22411</v>
      </c>
      <c r="Y133" s="4"/>
      <c r="Z133" s="5">
        <v>0</v>
      </c>
      <c r="AA133" s="8">
        <v>0.87152777777777779</v>
      </c>
      <c r="AB133" s="5">
        <v>11</v>
      </c>
      <c r="AC133" s="1" t="s">
        <v>41</v>
      </c>
      <c r="AD133" s="9" t="str">
        <f t="shared" si="0"/>
        <v>Actual</v>
      </c>
      <c r="AE133" s="9" t="str">
        <f t="shared" si="1"/>
        <v>TMK7</v>
      </c>
      <c r="AF133" s="9">
        <f>HOUR(O133)</f>
        <v>20</v>
      </c>
      <c r="AG133" s="9">
        <f>DAY(O133)</f>
        <v>18</v>
      </c>
      <c r="AH133" s="9">
        <f>IFERROR((I133-K133)*24*60,0)</f>
        <v>10.000000001164153</v>
      </c>
      <c r="AI133" s="9">
        <f t="shared" si="2"/>
        <v>10.000000001164153</v>
      </c>
      <c r="AJ133" s="9">
        <f>C133</f>
        <v>4039</v>
      </c>
      <c r="AK133" s="9">
        <f>IF(P133="completed",((V133-K133)*24*60),0)</f>
        <v>20.999999995110556</v>
      </c>
      <c r="AL133" s="9">
        <f>IF(P133="completed",((U133-K133)*24*60),0)</f>
        <v>23.999999994412065</v>
      </c>
      <c r="AM133" s="9" t="str">
        <f t="shared" si="3"/>
        <v>OTP Achieved</v>
      </c>
      <c r="AN133" s="9" t="str">
        <f t="shared" si="4"/>
        <v>OTP Achieved</v>
      </c>
      <c r="AO133" s="9"/>
    </row>
    <row r="134" spans="1:41" ht="16">
      <c r="A134" s="3" t="s">
        <v>106</v>
      </c>
      <c r="B134" s="6">
        <v>46313.869444444441</v>
      </c>
      <c r="C134" s="5">
        <v>1252</v>
      </c>
      <c r="D134" s="1" t="s">
        <v>41</v>
      </c>
      <c r="E134" s="5">
        <v>6</v>
      </c>
      <c r="F134" s="1" t="s">
        <v>41</v>
      </c>
      <c r="G134" s="1" t="s">
        <v>41</v>
      </c>
      <c r="H134" s="1" t="s">
        <v>487</v>
      </c>
      <c r="I134" s="6">
        <v>46313.870138888888</v>
      </c>
      <c r="J134" s="1" t="s">
        <v>41</v>
      </c>
      <c r="K134" s="6">
        <v>46313.865277777775</v>
      </c>
      <c r="L134" s="5">
        <v>29</v>
      </c>
      <c r="M134" s="4"/>
      <c r="N134" s="1"/>
      <c r="O134" s="6">
        <v>46313.863888888889</v>
      </c>
      <c r="P134" s="1" t="s">
        <v>43</v>
      </c>
      <c r="Q134" s="1" t="s">
        <v>108</v>
      </c>
      <c r="R134" s="1" t="s">
        <v>488</v>
      </c>
      <c r="S134" s="5">
        <v>4247</v>
      </c>
      <c r="T134" s="1" t="s">
        <v>41</v>
      </c>
      <c r="U134" s="6">
        <v>46313.874305555553</v>
      </c>
      <c r="V134" s="6">
        <v>46313.873611111114</v>
      </c>
      <c r="W134" s="7" t="s">
        <v>489</v>
      </c>
      <c r="X134" s="5">
        <v>22411</v>
      </c>
      <c r="Y134" s="4"/>
      <c r="Z134" s="5">
        <v>0</v>
      </c>
      <c r="AA134" s="8">
        <v>0.86944444444444446</v>
      </c>
      <c r="AB134" s="5">
        <v>5</v>
      </c>
      <c r="AC134" s="1" t="s">
        <v>41</v>
      </c>
      <c r="AD134" s="9" t="str">
        <f t="shared" si="0"/>
        <v>Actual</v>
      </c>
      <c r="AE134" s="9" t="str">
        <f t="shared" si="1"/>
        <v>TMK7</v>
      </c>
      <c r="AF134" s="9">
        <f>HOUR(O134)</f>
        <v>20</v>
      </c>
      <c r="AG134" s="9">
        <f>DAY(O134)</f>
        <v>18</v>
      </c>
      <c r="AH134" s="9">
        <f>IFERROR((I134-K134)*24*60,0)</f>
        <v>7.0000000018626451</v>
      </c>
      <c r="AI134" s="9">
        <f t="shared" si="2"/>
        <v>7.0000000018626451</v>
      </c>
      <c r="AJ134" s="9">
        <f>C134</f>
        <v>1252</v>
      </c>
      <c r="AK134" s="9">
        <f>IF(P134="completed",((V134-K134)*24*60),0)</f>
        <v>12.000000007683411</v>
      </c>
      <c r="AL134" s="9">
        <f>IF(P134="completed",((U134-K134)*24*60),0)</f>
        <v>13.000000000465661</v>
      </c>
      <c r="AM134" s="9" t="str">
        <f t="shared" si="3"/>
        <v>OTP Achieved</v>
      </c>
      <c r="AN134" s="9" t="str">
        <f t="shared" si="4"/>
        <v>OTP Achieved</v>
      </c>
      <c r="AO134" s="9"/>
    </row>
    <row r="135" spans="1:41" ht="16">
      <c r="A135" s="3" t="s">
        <v>77</v>
      </c>
      <c r="B135" s="6">
        <v>46313.869444444441</v>
      </c>
      <c r="C135" s="5">
        <v>1314</v>
      </c>
      <c r="D135" s="1" t="s">
        <v>41</v>
      </c>
      <c r="E135" s="5">
        <v>4</v>
      </c>
      <c r="F135" s="1" t="s">
        <v>41</v>
      </c>
      <c r="G135" s="1" t="s">
        <v>41</v>
      </c>
      <c r="H135" s="1" t="s">
        <v>490</v>
      </c>
      <c r="I135" s="6">
        <v>46313.869444444441</v>
      </c>
      <c r="J135" s="1" t="s">
        <v>41</v>
      </c>
      <c r="K135" s="6">
        <v>46313.863888888889</v>
      </c>
      <c r="L135" s="5">
        <v>33</v>
      </c>
      <c r="M135" s="4"/>
      <c r="N135" s="1"/>
      <c r="O135" s="6">
        <v>46313.863194444442</v>
      </c>
      <c r="P135" s="1" t="s">
        <v>43</v>
      </c>
      <c r="Q135" s="1" t="s">
        <v>79</v>
      </c>
      <c r="R135" s="1" t="s">
        <v>491</v>
      </c>
      <c r="S135" s="5">
        <v>4247</v>
      </c>
      <c r="T135" s="1" t="s">
        <v>41</v>
      </c>
      <c r="U135" s="6">
        <v>46313.873611111114</v>
      </c>
      <c r="V135" s="6">
        <v>46313.87222222222</v>
      </c>
      <c r="W135" s="7" t="s">
        <v>492</v>
      </c>
      <c r="X135" s="5">
        <v>22411</v>
      </c>
      <c r="Y135" s="4"/>
      <c r="Z135" s="5">
        <v>0</v>
      </c>
      <c r="AA135" s="8">
        <v>0.86944444444444446</v>
      </c>
      <c r="AB135" s="5">
        <v>4</v>
      </c>
      <c r="AC135" s="1" t="s">
        <v>41</v>
      </c>
      <c r="AD135" s="9" t="str">
        <f t="shared" si="0"/>
        <v>Actual</v>
      </c>
      <c r="AE135" s="9" t="str">
        <f t="shared" si="1"/>
        <v>TMK7</v>
      </c>
      <c r="AF135" s="9">
        <f>HOUR(O135)</f>
        <v>20</v>
      </c>
      <c r="AG135" s="9">
        <f>DAY(O135)</f>
        <v>18</v>
      </c>
      <c r="AH135" s="9">
        <f>IFERROR((I135-K135)*24*60,0)</f>
        <v>7.9999999946448952</v>
      </c>
      <c r="AI135" s="9">
        <f t="shared" si="2"/>
        <v>7.9999999946448952</v>
      </c>
      <c r="AJ135" s="9">
        <f>C135</f>
        <v>1314</v>
      </c>
      <c r="AK135" s="9">
        <f>IF(P135="completed",((V135-K135)*24*60),0)</f>
        <v>11.999999997206032</v>
      </c>
      <c r="AL135" s="9">
        <f>IF(P135="completed",((U135-K135)*24*60),0)</f>
        <v>14.00000000372529</v>
      </c>
      <c r="AM135" s="9" t="str">
        <f t="shared" si="3"/>
        <v>OTP Achieved</v>
      </c>
      <c r="AN135" s="9" t="str">
        <f t="shared" si="4"/>
        <v>OTP Achieved</v>
      </c>
      <c r="AO135" s="9"/>
    </row>
    <row r="136" spans="1:41" ht="16">
      <c r="A136" s="3" t="s">
        <v>125</v>
      </c>
      <c r="B136" s="6">
        <v>46313.869444444441</v>
      </c>
      <c r="C136" s="5">
        <v>1665</v>
      </c>
      <c r="D136" s="1" t="s">
        <v>41</v>
      </c>
      <c r="E136" s="5">
        <v>6</v>
      </c>
      <c r="F136" s="1" t="s">
        <v>41</v>
      </c>
      <c r="G136" s="1" t="s">
        <v>41</v>
      </c>
      <c r="H136" s="1" t="s">
        <v>493</v>
      </c>
      <c r="I136" s="6">
        <v>46313.869444444441</v>
      </c>
      <c r="J136" s="1" t="s">
        <v>41</v>
      </c>
      <c r="K136" s="6">
        <v>46313.864583333336</v>
      </c>
      <c r="L136" s="5">
        <v>25</v>
      </c>
      <c r="M136" s="4"/>
      <c r="N136" s="1"/>
      <c r="O136" s="6">
        <v>46313.862500000003</v>
      </c>
      <c r="P136" s="1" t="s">
        <v>43</v>
      </c>
      <c r="Q136" s="1" t="s">
        <v>127</v>
      </c>
      <c r="R136" s="1" t="s">
        <v>494</v>
      </c>
      <c r="S136" s="5">
        <v>4247</v>
      </c>
      <c r="T136" s="1" t="s">
        <v>41</v>
      </c>
      <c r="U136" s="6">
        <v>46313.873611111114</v>
      </c>
      <c r="V136" s="6">
        <v>46313.873611111114</v>
      </c>
      <c r="W136" s="7" t="s">
        <v>495</v>
      </c>
      <c r="X136" s="5">
        <v>22411</v>
      </c>
      <c r="Y136" s="4"/>
      <c r="Z136" s="5">
        <v>0</v>
      </c>
      <c r="AA136" s="8">
        <v>0.86944444444444446</v>
      </c>
      <c r="AB136" s="5">
        <v>6</v>
      </c>
      <c r="AC136" s="1" t="s">
        <v>41</v>
      </c>
      <c r="AD136" s="9" t="str">
        <f t="shared" si="0"/>
        <v>Actual</v>
      </c>
      <c r="AE136" s="9" t="str">
        <f t="shared" si="1"/>
        <v>TMK7</v>
      </c>
      <c r="AF136" s="9">
        <f>HOUR(O136)</f>
        <v>20</v>
      </c>
      <c r="AG136" s="9">
        <f>DAY(O136)</f>
        <v>18</v>
      </c>
      <c r="AH136" s="9">
        <f>IFERROR((I136-K136)*24*60,0)</f>
        <v>6.9999999913852662</v>
      </c>
      <c r="AI136" s="9">
        <f t="shared" si="2"/>
        <v>6.9999999913852662</v>
      </c>
      <c r="AJ136" s="9">
        <f>C136</f>
        <v>1665</v>
      </c>
      <c r="AK136" s="9">
        <f>IF(P136="completed",((V136-K136)*24*60),0)</f>
        <v>13.000000000465661</v>
      </c>
      <c r="AL136" s="9">
        <f>IF(P136="completed",((U136-K136)*24*60),0)</f>
        <v>13.000000000465661</v>
      </c>
      <c r="AM136" s="9" t="str">
        <f t="shared" si="3"/>
        <v>OTP Breached</v>
      </c>
      <c r="AN136" s="9" t="str">
        <f t="shared" si="4"/>
        <v>OTP Achieved</v>
      </c>
      <c r="AO136" s="9"/>
    </row>
    <row r="137" spans="1:41" ht="16">
      <c r="A137" s="3" t="s">
        <v>52</v>
      </c>
      <c r="B137" s="6">
        <v>46313.868055555555</v>
      </c>
      <c r="C137" s="5">
        <v>2457</v>
      </c>
      <c r="D137" s="1" t="s">
        <v>41</v>
      </c>
      <c r="E137" s="5">
        <v>6</v>
      </c>
      <c r="F137" s="1" t="s">
        <v>41</v>
      </c>
      <c r="G137" s="1" t="s">
        <v>41</v>
      </c>
      <c r="H137" s="1" t="s">
        <v>496</v>
      </c>
      <c r="I137" s="6">
        <v>46313.868055555555</v>
      </c>
      <c r="J137" s="1" t="s">
        <v>41</v>
      </c>
      <c r="K137" s="6">
        <v>46313.863194444442</v>
      </c>
      <c r="L137" s="5">
        <v>32</v>
      </c>
      <c r="M137" s="4"/>
      <c r="N137" s="1"/>
      <c r="O137" s="6">
        <v>46313.862500000003</v>
      </c>
      <c r="P137" s="1" t="s">
        <v>43</v>
      </c>
      <c r="Q137" s="1" t="s">
        <v>54</v>
      </c>
      <c r="R137" s="1" t="s">
        <v>497</v>
      </c>
      <c r="S137" s="5">
        <v>4247</v>
      </c>
      <c r="T137" s="1" t="s">
        <v>41</v>
      </c>
      <c r="U137" s="6">
        <v>46313.873611111114</v>
      </c>
      <c r="V137" s="6">
        <v>46313.87222222222</v>
      </c>
      <c r="W137" s="7" t="s">
        <v>498</v>
      </c>
      <c r="X137" s="5">
        <v>22411</v>
      </c>
      <c r="Y137" s="4"/>
      <c r="Z137" s="5">
        <v>0</v>
      </c>
      <c r="AA137" s="8">
        <v>0.86805555555555558</v>
      </c>
      <c r="AB137" s="5">
        <v>6</v>
      </c>
      <c r="AC137" s="1" t="s">
        <v>41</v>
      </c>
      <c r="AD137" s="9" t="str">
        <f t="shared" si="0"/>
        <v>Actual</v>
      </c>
      <c r="AE137" s="9" t="str">
        <f t="shared" si="1"/>
        <v>TMK7</v>
      </c>
      <c r="AF137" s="9">
        <f>HOUR(O137)</f>
        <v>20</v>
      </c>
      <c r="AG137" s="9">
        <f>DAY(O137)</f>
        <v>18</v>
      </c>
      <c r="AH137" s="9">
        <f>IFERROR((I137-K137)*24*60,0)</f>
        <v>7.0000000018626451</v>
      </c>
      <c r="AI137" s="9">
        <f t="shared" si="2"/>
        <v>7.0000000018626451</v>
      </c>
      <c r="AJ137" s="9">
        <f>C137</f>
        <v>2457</v>
      </c>
      <c r="AK137" s="9">
        <f>IF(P137="completed",((V137-K137)*24*60),0)</f>
        <v>13.000000000465661</v>
      </c>
      <c r="AL137" s="9">
        <f>IF(P137="completed",((U137-K137)*24*60),0)</f>
        <v>15.000000006984919</v>
      </c>
      <c r="AM137" s="9" t="str">
        <f t="shared" si="3"/>
        <v>OTP Achieved</v>
      </c>
      <c r="AN137" s="9" t="str">
        <f t="shared" si="4"/>
        <v>OTP Achieved</v>
      </c>
      <c r="AO137" s="9"/>
    </row>
    <row r="138" spans="1:41" ht="16">
      <c r="A138" s="3" t="s">
        <v>98</v>
      </c>
      <c r="B138" s="6">
        <v>46313.867361111108</v>
      </c>
      <c r="C138" s="5">
        <v>1604</v>
      </c>
      <c r="D138" s="1" t="s">
        <v>41</v>
      </c>
      <c r="E138" s="5">
        <v>4</v>
      </c>
      <c r="F138" s="1" t="s">
        <v>41</v>
      </c>
      <c r="G138" s="1" t="s">
        <v>41</v>
      </c>
      <c r="H138" s="1" t="s">
        <v>499</v>
      </c>
      <c r="I138" s="6">
        <v>46313.868055555555</v>
      </c>
      <c r="J138" s="1" t="s">
        <v>41</v>
      </c>
      <c r="K138" s="6">
        <v>46313.863888888889</v>
      </c>
      <c r="L138" s="5">
        <v>26</v>
      </c>
      <c r="M138" s="4"/>
      <c r="N138" s="1"/>
      <c r="O138" s="6">
        <v>46313.861111111109</v>
      </c>
      <c r="P138" s="1" t="s">
        <v>43</v>
      </c>
      <c r="Q138" s="1" t="s">
        <v>100</v>
      </c>
      <c r="R138" s="1" t="s">
        <v>500</v>
      </c>
      <c r="S138" s="5">
        <v>4247</v>
      </c>
      <c r="T138" s="1" t="s">
        <v>41</v>
      </c>
      <c r="U138" s="6">
        <v>46313.872916666667</v>
      </c>
      <c r="V138" s="6">
        <v>46313.870138888888</v>
      </c>
      <c r="W138" s="7" t="s">
        <v>501</v>
      </c>
      <c r="X138" s="5">
        <v>22411</v>
      </c>
      <c r="Y138" s="4"/>
      <c r="Z138" s="5">
        <v>0</v>
      </c>
      <c r="AA138" s="8">
        <v>0.86736111111111114</v>
      </c>
      <c r="AB138" s="5">
        <v>4</v>
      </c>
      <c r="AC138" s="1" t="s">
        <v>41</v>
      </c>
      <c r="AD138" s="9" t="str">
        <f t="shared" si="0"/>
        <v>Actual</v>
      </c>
      <c r="AE138" s="9" t="str">
        <f t="shared" si="1"/>
        <v>TMK7</v>
      </c>
      <c r="AF138" s="9">
        <f>HOUR(O138)</f>
        <v>20</v>
      </c>
      <c r="AG138" s="9">
        <f>DAY(O138)</f>
        <v>18</v>
      </c>
      <c r="AH138" s="9">
        <f>IFERROR((I138-K138)*24*60,0)</f>
        <v>5.9999999986030161</v>
      </c>
      <c r="AI138" s="9">
        <f t="shared" si="2"/>
        <v>5.9999999986030161</v>
      </c>
      <c r="AJ138" s="9">
        <f>C138</f>
        <v>1604</v>
      </c>
      <c r="AK138" s="9">
        <f>IF(P138="completed",((V138-K138)*24*60),0)</f>
        <v>8.9999999979045242</v>
      </c>
      <c r="AL138" s="9">
        <f>IF(P138="completed",((U138-K138)*24*60),0)</f>
        <v>13.000000000465661</v>
      </c>
      <c r="AM138" s="9" t="str">
        <f t="shared" si="3"/>
        <v>OTP Achieved</v>
      </c>
      <c r="AN138" s="9" t="str">
        <f t="shared" si="4"/>
        <v>OTP Achieved</v>
      </c>
      <c r="AO138" s="9"/>
    </row>
    <row r="139" spans="1:41" ht="16">
      <c r="A139" s="3" t="s">
        <v>198</v>
      </c>
      <c r="B139" s="6">
        <v>46313.865972222222</v>
      </c>
      <c r="C139" s="5">
        <v>2354</v>
      </c>
      <c r="D139" s="1" t="s">
        <v>41</v>
      </c>
      <c r="E139" s="5">
        <v>8</v>
      </c>
      <c r="F139" s="1" t="s">
        <v>41</v>
      </c>
      <c r="G139" s="1" t="s">
        <v>41</v>
      </c>
      <c r="H139" s="1" t="s">
        <v>502</v>
      </c>
      <c r="I139" s="6">
        <v>46313.865972222222</v>
      </c>
      <c r="J139" s="1" t="s">
        <v>41</v>
      </c>
      <c r="K139" s="6">
        <v>46313.864583333336</v>
      </c>
      <c r="L139" s="5">
        <v>30</v>
      </c>
      <c r="M139" s="4"/>
      <c r="N139" s="1"/>
      <c r="O139" s="6">
        <v>46313.861111111109</v>
      </c>
      <c r="P139" s="1" t="s">
        <v>43</v>
      </c>
      <c r="Q139" s="1" t="s">
        <v>200</v>
      </c>
      <c r="R139" s="1" t="s">
        <v>503</v>
      </c>
      <c r="S139" s="5">
        <v>4247</v>
      </c>
      <c r="T139" s="1" t="s">
        <v>41</v>
      </c>
      <c r="U139" s="6">
        <v>46313.87222222222</v>
      </c>
      <c r="V139" s="6">
        <v>46313.871527777781</v>
      </c>
      <c r="W139" s="7" t="s">
        <v>504</v>
      </c>
      <c r="X139" s="5">
        <v>22411</v>
      </c>
      <c r="Y139" s="4"/>
      <c r="Z139" s="5">
        <v>0</v>
      </c>
      <c r="AA139" s="8">
        <v>0.86597222222222225</v>
      </c>
      <c r="AB139" s="5">
        <v>7</v>
      </c>
      <c r="AC139" s="1" t="s">
        <v>41</v>
      </c>
      <c r="AD139" s="9" t="str">
        <f t="shared" si="0"/>
        <v>Actual</v>
      </c>
      <c r="AE139" s="9" t="str">
        <f t="shared" si="1"/>
        <v>TMK7</v>
      </c>
      <c r="AF139" s="9">
        <f>HOUR(O139)</f>
        <v>20</v>
      </c>
      <c r="AG139" s="9">
        <f>DAY(O139)</f>
        <v>18</v>
      </c>
      <c r="AH139" s="9">
        <f>IFERROR((I139-K139)*24*60,0)</f>
        <v>1.9999999960418791</v>
      </c>
      <c r="AI139" s="9">
        <f t="shared" si="2"/>
        <v>1.9999999960418791</v>
      </c>
      <c r="AJ139" s="9">
        <f>C139</f>
        <v>2354</v>
      </c>
      <c r="AK139" s="9">
        <f>IF(P139="completed",((V139-K139)*24*60),0)</f>
        <v>10.000000001164153</v>
      </c>
      <c r="AL139" s="9">
        <f>IF(P139="completed",((U139-K139)*24*60),0)</f>
        <v>10.999999993946403</v>
      </c>
      <c r="AM139" s="9" t="str">
        <f t="shared" si="3"/>
        <v>OTP Achieved</v>
      </c>
      <c r="AN139" s="9" t="str">
        <f t="shared" si="4"/>
        <v>OTP Achieved</v>
      </c>
      <c r="AO139" s="9"/>
    </row>
    <row r="140" spans="1:41" ht="16">
      <c r="A140" s="3" t="s">
        <v>82</v>
      </c>
      <c r="B140" s="6">
        <v>46313.865972222222</v>
      </c>
      <c r="C140" s="5">
        <v>1022</v>
      </c>
      <c r="D140" s="1" t="s">
        <v>41</v>
      </c>
      <c r="E140" s="5">
        <v>3</v>
      </c>
      <c r="F140" s="1" t="s">
        <v>41</v>
      </c>
      <c r="G140" s="1" t="s">
        <v>41</v>
      </c>
      <c r="H140" s="1" t="s">
        <v>505</v>
      </c>
      <c r="I140" s="6">
        <v>46313.865972222222</v>
      </c>
      <c r="J140" s="1" t="s">
        <v>41</v>
      </c>
      <c r="K140" s="6">
        <v>46313.861805555556</v>
      </c>
      <c r="L140" s="5">
        <v>22</v>
      </c>
      <c r="M140" s="4"/>
      <c r="N140" s="1"/>
      <c r="O140" s="6">
        <v>46313.861111111109</v>
      </c>
      <c r="P140" s="1" t="s">
        <v>43</v>
      </c>
      <c r="Q140" s="1" t="s">
        <v>84</v>
      </c>
      <c r="R140" s="1" t="s">
        <v>506</v>
      </c>
      <c r="S140" s="5">
        <v>4247</v>
      </c>
      <c r="T140" s="1" t="s">
        <v>41</v>
      </c>
      <c r="U140" s="6">
        <v>46313.868750000001</v>
      </c>
      <c r="V140" s="6">
        <v>46313.868055555555</v>
      </c>
      <c r="W140" s="7" t="s">
        <v>507</v>
      </c>
      <c r="X140" s="5">
        <v>22411</v>
      </c>
      <c r="Y140" s="10"/>
      <c r="Z140" s="5">
        <v>0</v>
      </c>
      <c r="AA140" s="8">
        <v>0.86597222222222225</v>
      </c>
      <c r="AB140" s="5">
        <v>3</v>
      </c>
      <c r="AC140" s="1" t="s">
        <v>41</v>
      </c>
      <c r="AD140" s="9" t="str">
        <f t="shared" si="0"/>
        <v>Actual</v>
      </c>
      <c r="AE140" s="9" t="str">
        <f t="shared" si="1"/>
        <v>TMK7</v>
      </c>
      <c r="AF140" s="9">
        <f>HOUR(O140)</f>
        <v>20</v>
      </c>
      <c r="AG140" s="9">
        <f>DAY(O140)</f>
        <v>18</v>
      </c>
      <c r="AH140" s="9">
        <f>IFERROR((I140-K140)*24*60,0)</f>
        <v>5.9999999986030161</v>
      </c>
      <c r="AI140" s="9">
        <f t="shared" si="2"/>
        <v>5.9999999986030161</v>
      </c>
      <c r="AJ140" s="9">
        <f>C140</f>
        <v>1022</v>
      </c>
      <c r="AK140" s="9">
        <f>IF(P140="completed",((V140-K140)*24*60),0)</f>
        <v>8.9999999979045242</v>
      </c>
      <c r="AL140" s="9">
        <f>IF(P140="completed",((U140-K140)*24*60),0)</f>
        <v>10.000000001164153</v>
      </c>
      <c r="AM140" s="9" t="str">
        <f t="shared" si="3"/>
        <v>OTP Achieved</v>
      </c>
      <c r="AN140" s="9" t="str">
        <f t="shared" si="4"/>
        <v>OTP Achieved</v>
      </c>
      <c r="AO140" s="9"/>
    </row>
    <row r="141" spans="1:41" ht="16">
      <c r="A141" s="3" t="s">
        <v>67</v>
      </c>
      <c r="B141" s="6">
        <v>46313.865277777775</v>
      </c>
      <c r="C141" s="5">
        <v>365</v>
      </c>
      <c r="D141" s="1" t="s">
        <v>41</v>
      </c>
      <c r="E141" s="5">
        <v>3</v>
      </c>
      <c r="F141" s="1" t="s">
        <v>41</v>
      </c>
      <c r="G141" s="1" t="s">
        <v>41</v>
      </c>
      <c r="H141" s="1" t="s">
        <v>508</v>
      </c>
      <c r="I141" s="6">
        <v>46313.865972222222</v>
      </c>
      <c r="J141" s="1" t="s">
        <v>41</v>
      </c>
      <c r="K141" s="6">
        <v>46313.863194444442</v>
      </c>
      <c r="L141" s="5">
        <v>34</v>
      </c>
      <c r="M141" s="4"/>
      <c r="N141" s="1"/>
      <c r="O141" s="6">
        <v>46313.859722222223</v>
      </c>
      <c r="P141" s="1" t="s">
        <v>43</v>
      </c>
      <c r="Q141" s="1" t="s">
        <v>69</v>
      </c>
      <c r="R141" s="1" t="s">
        <v>509</v>
      </c>
      <c r="S141" s="5">
        <v>4247</v>
      </c>
      <c r="T141" s="1" t="s">
        <v>41</v>
      </c>
      <c r="U141" s="6">
        <v>46313.867361111108</v>
      </c>
      <c r="V141" s="6">
        <v>46313.867361111108</v>
      </c>
      <c r="W141" s="7" t="s">
        <v>510</v>
      </c>
      <c r="X141" s="5">
        <v>22411</v>
      </c>
      <c r="Y141" s="4"/>
      <c r="Z141" s="5">
        <v>0</v>
      </c>
      <c r="AA141" s="8">
        <v>0.86527777777777781</v>
      </c>
      <c r="AB141" s="5">
        <v>2</v>
      </c>
      <c r="AC141" s="1" t="s">
        <v>41</v>
      </c>
      <c r="AD141" s="9" t="str">
        <f t="shared" si="0"/>
        <v>Actual</v>
      </c>
      <c r="AE141" s="9" t="str">
        <f t="shared" si="1"/>
        <v>TMK7</v>
      </c>
      <c r="AF141" s="9">
        <f>HOUR(O141)</f>
        <v>20</v>
      </c>
      <c r="AG141" s="9">
        <f>DAY(O141)</f>
        <v>18</v>
      </c>
      <c r="AH141" s="9">
        <f>IFERROR((I141-K141)*24*60,0)</f>
        <v>4.0000000025611371</v>
      </c>
      <c r="AI141" s="9">
        <f t="shared" si="2"/>
        <v>4.0000000025611371</v>
      </c>
      <c r="AJ141" s="9">
        <f>C141</f>
        <v>365</v>
      </c>
      <c r="AK141" s="9">
        <f>IF(P141="completed",((V141-K141)*24*60),0)</f>
        <v>5.9999999986030161</v>
      </c>
      <c r="AL141" s="9">
        <f>IF(P141="completed",((U141-K141)*24*60),0)</f>
        <v>5.9999999986030161</v>
      </c>
      <c r="AM141" s="9" t="str">
        <f t="shared" si="3"/>
        <v>OTP Breached</v>
      </c>
      <c r="AN141" s="9" t="str">
        <f t="shared" si="4"/>
        <v>OTP Achieved</v>
      </c>
      <c r="AO141" s="9"/>
    </row>
    <row r="142" spans="1:41" ht="16">
      <c r="A142" s="3" t="s">
        <v>117</v>
      </c>
      <c r="B142" s="6">
        <v>46313.865277777775</v>
      </c>
      <c r="C142" s="5">
        <v>3269</v>
      </c>
      <c r="D142" s="1" t="s">
        <v>41</v>
      </c>
      <c r="E142" s="5">
        <v>10</v>
      </c>
      <c r="F142" s="1" t="s">
        <v>41</v>
      </c>
      <c r="G142" s="1" t="s">
        <v>41</v>
      </c>
      <c r="H142" s="1" t="s">
        <v>511</v>
      </c>
      <c r="I142" s="6">
        <v>46313.865277777775</v>
      </c>
      <c r="J142" s="1" t="s">
        <v>41</v>
      </c>
      <c r="K142" s="6">
        <v>46313.861111111109</v>
      </c>
      <c r="L142" s="5">
        <v>30</v>
      </c>
      <c r="M142" s="4"/>
      <c r="N142" s="1"/>
      <c r="O142" s="6">
        <v>46313.859722222223</v>
      </c>
      <c r="P142" s="1" t="s">
        <v>43</v>
      </c>
      <c r="Q142" s="1" t="s">
        <v>119</v>
      </c>
      <c r="R142" s="1" t="s">
        <v>512</v>
      </c>
      <c r="S142" s="5">
        <v>4247</v>
      </c>
      <c r="T142" s="1" t="s">
        <v>41</v>
      </c>
      <c r="U142" s="6">
        <v>46313.873611111114</v>
      </c>
      <c r="V142" s="6">
        <v>46313.87222222222</v>
      </c>
      <c r="W142" s="7" t="s">
        <v>513</v>
      </c>
      <c r="X142" s="5">
        <v>22411</v>
      </c>
      <c r="Y142" s="4"/>
      <c r="Z142" s="5">
        <v>0</v>
      </c>
      <c r="AA142" s="8">
        <v>0.86527777777777781</v>
      </c>
      <c r="AB142" s="5">
        <v>9</v>
      </c>
      <c r="AC142" s="1" t="s">
        <v>41</v>
      </c>
      <c r="AD142" s="9" t="str">
        <f t="shared" si="0"/>
        <v>Actual</v>
      </c>
      <c r="AE142" s="9" t="str">
        <f t="shared" si="1"/>
        <v>TMK7</v>
      </c>
      <c r="AF142" s="9">
        <f>HOUR(O142)</f>
        <v>20</v>
      </c>
      <c r="AG142" s="9">
        <f>DAY(O142)</f>
        <v>18</v>
      </c>
      <c r="AH142" s="9">
        <f>IFERROR((I142-K142)*24*60,0)</f>
        <v>5.9999999986030161</v>
      </c>
      <c r="AI142" s="9">
        <f t="shared" si="2"/>
        <v>5.9999999986030161</v>
      </c>
      <c r="AJ142" s="9">
        <f>C142</f>
        <v>3269</v>
      </c>
      <c r="AK142" s="9">
        <f>IF(P142="completed",((V142-K142)*24*60),0)</f>
        <v>15.999999999767169</v>
      </c>
      <c r="AL142" s="9">
        <f>IF(P142="completed",((U142-K142)*24*60),0)</f>
        <v>18.000000006286427</v>
      </c>
      <c r="AM142" s="9" t="str">
        <f t="shared" si="3"/>
        <v>OTP Achieved</v>
      </c>
      <c r="AN142" s="9" t="str">
        <f t="shared" si="4"/>
        <v>OTP Achieved</v>
      </c>
      <c r="AO142" s="9"/>
    </row>
    <row r="143" spans="1:41" ht="16">
      <c r="A143" s="3" t="s">
        <v>157</v>
      </c>
      <c r="B143" s="6">
        <v>46313.864583333336</v>
      </c>
      <c r="C143" s="5">
        <v>1911</v>
      </c>
      <c r="D143" s="1" t="s">
        <v>41</v>
      </c>
      <c r="E143" s="5">
        <v>6</v>
      </c>
      <c r="F143" s="1" t="s">
        <v>41</v>
      </c>
      <c r="G143" s="1" t="s">
        <v>41</v>
      </c>
      <c r="H143" s="1" t="s">
        <v>514</v>
      </c>
      <c r="I143" s="6">
        <v>46313.865277777775</v>
      </c>
      <c r="J143" s="1" t="s">
        <v>41</v>
      </c>
      <c r="K143" s="6">
        <v>46313.861111111109</v>
      </c>
      <c r="L143" s="5">
        <v>40</v>
      </c>
      <c r="M143" s="4"/>
      <c r="N143" s="1"/>
      <c r="O143" s="6">
        <v>46313.859722222223</v>
      </c>
      <c r="P143" s="1" t="s">
        <v>43</v>
      </c>
      <c r="Q143" s="1" t="s">
        <v>159</v>
      </c>
      <c r="R143" s="1" t="s">
        <v>515</v>
      </c>
      <c r="S143" s="5">
        <v>4247</v>
      </c>
      <c r="T143" s="1" t="s">
        <v>41</v>
      </c>
      <c r="U143" s="6">
        <v>46313.870138888888</v>
      </c>
      <c r="V143" s="6">
        <v>46313.868750000001</v>
      </c>
      <c r="W143" s="7" t="s">
        <v>516</v>
      </c>
      <c r="X143" s="5">
        <v>22411</v>
      </c>
      <c r="Y143" s="4"/>
      <c r="Z143" s="5">
        <v>0</v>
      </c>
      <c r="AA143" s="8">
        <v>0.86458333333333337</v>
      </c>
      <c r="AB143" s="5">
        <v>6</v>
      </c>
      <c r="AC143" s="1" t="s">
        <v>41</v>
      </c>
      <c r="AD143" s="9" t="str">
        <f t="shared" si="0"/>
        <v>Actual</v>
      </c>
      <c r="AE143" s="9" t="str">
        <f t="shared" si="1"/>
        <v>TMK7</v>
      </c>
      <c r="AF143" s="9">
        <f>HOUR(O143)</f>
        <v>20</v>
      </c>
      <c r="AG143" s="9">
        <f>DAY(O143)</f>
        <v>18</v>
      </c>
      <c r="AH143" s="9">
        <f>IFERROR((I143-K143)*24*60,0)</f>
        <v>5.9999999986030161</v>
      </c>
      <c r="AI143" s="9">
        <f t="shared" si="2"/>
        <v>5.9999999986030161</v>
      </c>
      <c r="AJ143" s="9">
        <f>C143</f>
        <v>1911</v>
      </c>
      <c r="AK143" s="9">
        <f>IF(P143="completed",((V143-K143)*24*60),0)</f>
        <v>11.000000004423782</v>
      </c>
      <c r="AL143" s="9">
        <f>IF(P143="completed",((U143-K143)*24*60),0)</f>
        <v>13.000000000465661</v>
      </c>
      <c r="AM143" s="9" t="str">
        <f t="shared" si="3"/>
        <v>OTP Achieved</v>
      </c>
      <c r="AN143" s="9" t="str">
        <f t="shared" si="4"/>
        <v>OTP Achieved</v>
      </c>
      <c r="AO143" s="9"/>
    </row>
    <row r="144" spans="1:41" ht="16">
      <c r="A144" s="3" t="s">
        <v>190</v>
      </c>
      <c r="B144" s="6">
        <v>46313.863888888889</v>
      </c>
      <c r="C144" s="5">
        <v>2218</v>
      </c>
      <c r="D144" s="1" t="s">
        <v>41</v>
      </c>
      <c r="E144" s="5">
        <v>7</v>
      </c>
      <c r="F144" s="1" t="s">
        <v>41</v>
      </c>
      <c r="G144" s="1" t="s">
        <v>41</v>
      </c>
      <c r="H144" s="1" t="s">
        <v>517</v>
      </c>
      <c r="I144" s="6">
        <v>46313.864583333336</v>
      </c>
      <c r="J144" s="1" t="s">
        <v>41</v>
      </c>
      <c r="K144" s="6">
        <v>46313.86041666667</v>
      </c>
      <c r="L144" s="5">
        <v>39</v>
      </c>
      <c r="M144" s="4"/>
      <c r="N144" s="1"/>
      <c r="O144" s="6">
        <v>46313.859027777777</v>
      </c>
      <c r="P144" s="1" t="s">
        <v>43</v>
      </c>
      <c r="Q144" s="1" t="s">
        <v>192</v>
      </c>
      <c r="R144" s="1" t="s">
        <v>518</v>
      </c>
      <c r="S144" s="5">
        <v>4247</v>
      </c>
      <c r="T144" s="1" t="s">
        <v>41</v>
      </c>
      <c r="U144" s="6">
        <v>46313.870138888888</v>
      </c>
      <c r="V144" s="6">
        <v>46313.868750000001</v>
      </c>
      <c r="W144" s="7" t="s">
        <v>519</v>
      </c>
      <c r="X144" s="5">
        <v>22411</v>
      </c>
      <c r="Y144" s="4"/>
      <c r="Z144" s="5">
        <v>0</v>
      </c>
      <c r="AA144" s="8">
        <v>0.86388888888888893</v>
      </c>
      <c r="AB144" s="5">
        <v>6</v>
      </c>
      <c r="AC144" s="1" t="s">
        <v>41</v>
      </c>
      <c r="AD144" s="9" t="str">
        <f t="shared" si="0"/>
        <v>Actual</v>
      </c>
      <c r="AE144" s="9" t="str">
        <f t="shared" si="1"/>
        <v>TMK7</v>
      </c>
      <c r="AF144" s="9">
        <f>HOUR(O144)</f>
        <v>20</v>
      </c>
      <c r="AG144" s="9">
        <f>DAY(O144)</f>
        <v>18</v>
      </c>
      <c r="AH144" s="9">
        <f>IFERROR((I144-K144)*24*60,0)</f>
        <v>5.9999999986030161</v>
      </c>
      <c r="AI144" s="9">
        <f t="shared" si="2"/>
        <v>5.9999999986030161</v>
      </c>
      <c r="AJ144" s="9">
        <f>C144</f>
        <v>2218</v>
      </c>
      <c r="AK144" s="9">
        <f>IF(P144="completed",((V144-K144)*24*60),0)</f>
        <v>11.999999997206032</v>
      </c>
      <c r="AL144" s="9">
        <f>IF(P144="completed",((U144-K144)*24*60),0)</f>
        <v>13.999999993247911</v>
      </c>
      <c r="AM144" s="9" t="str">
        <f t="shared" si="3"/>
        <v>OTP Achieved</v>
      </c>
      <c r="AN144" s="9" t="str">
        <f t="shared" si="4"/>
        <v>OTP Achieved</v>
      </c>
      <c r="AO144" s="9"/>
    </row>
    <row r="145" spans="1:41" ht="16">
      <c r="A145" s="3" t="s">
        <v>303</v>
      </c>
      <c r="B145" s="6">
        <v>46313.863888888889</v>
      </c>
      <c r="C145" s="5">
        <v>2311</v>
      </c>
      <c r="D145" s="1" t="s">
        <v>41</v>
      </c>
      <c r="E145" s="5">
        <v>15</v>
      </c>
      <c r="F145" s="1" t="s">
        <v>41</v>
      </c>
      <c r="G145" s="1" t="s">
        <v>41</v>
      </c>
      <c r="H145" s="1" t="s">
        <v>520</v>
      </c>
      <c r="I145" s="6">
        <v>46313.863888888889</v>
      </c>
      <c r="J145" s="1" t="s">
        <v>41</v>
      </c>
      <c r="K145" s="6">
        <v>46313.861805555556</v>
      </c>
      <c r="L145" s="5">
        <v>27</v>
      </c>
      <c r="M145" s="4"/>
      <c r="N145" s="1"/>
      <c r="O145" s="6">
        <v>46313.859027777777</v>
      </c>
      <c r="P145" s="1" t="s">
        <v>43</v>
      </c>
      <c r="Q145" s="1" t="s">
        <v>305</v>
      </c>
      <c r="R145" s="1" t="s">
        <v>521</v>
      </c>
      <c r="S145" s="5">
        <v>4247</v>
      </c>
      <c r="T145" s="1" t="s">
        <v>41</v>
      </c>
      <c r="U145" s="6">
        <v>46313.871527777781</v>
      </c>
      <c r="V145" s="6">
        <v>46313.874305555553</v>
      </c>
      <c r="W145" s="7" t="s">
        <v>522</v>
      </c>
      <c r="X145" s="5">
        <v>22411</v>
      </c>
      <c r="Y145" s="1"/>
      <c r="Z145" s="5">
        <v>0</v>
      </c>
      <c r="AA145" s="8">
        <v>0.86388888888888893</v>
      </c>
      <c r="AB145" s="5">
        <v>15</v>
      </c>
      <c r="AC145" s="1" t="s">
        <v>41</v>
      </c>
      <c r="AD145" s="9" t="str">
        <f t="shared" si="0"/>
        <v>Actual</v>
      </c>
      <c r="AE145" s="9" t="str">
        <f t="shared" si="1"/>
        <v>TMK7</v>
      </c>
      <c r="AF145" s="9">
        <f>HOUR(O145)</f>
        <v>20</v>
      </c>
      <c r="AG145" s="9">
        <f>DAY(O145)</f>
        <v>18</v>
      </c>
      <c r="AH145" s="9">
        <f>IFERROR((I145-K145)*24*60,0)</f>
        <v>2.9999999993015081</v>
      </c>
      <c r="AI145" s="9">
        <f t="shared" si="2"/>
        <v>2.9999999993015081</v>
      </c>
      <c r="AJ145" s="9">
        <f>C145</f>
        <v>2311</v>
      </c>
      <c r="AK145" s="9">
        <f>IF(P145="completed",((V145-K145)*24*60),0)</f>
        <v>17.999999995809048</v>
      </c>
      <c r="AL145" s="9">
        <f>IF(P145="completed",((U145-K145)*24*60),0)</f>
        <v>14.00000000372529</v>
      </c>
      <c r="AM145" s="9" t="str">
        <f t="shared" si="3"/>
        <v>OTP Breached</v>
      </c>
      <c r="AN145" s="9" t="str">
        <f t="shared" si="4"/>
        <v>OTP Breached</v>
      </c>
      <c r="AO145" s="9"/>
    </row>
    <row r="146" spans="1:41" ht="16">
      <c r="A146" s="3" t="s">
        <v>339</v>
      </c>
      <c r="B146" s="6">
        <v>46313.863194444442</v>
      </c>
      <c r="C146" s="5">
        <v>3647</v>
      </c>
      <c r="D146" s="1" t="s">
        <v>41</v>
      </c>
      <c r="E146" s="5">
        <v>10</v>
      </c>
      <c r="F146" s="1" t="s">
        <v>41</v>
      </c>
      <c r="G146" s="1" t="s">
        <v>41</v>
      </c>
      <c r="H146" s="1" t="s">
        <v>523</v>
      </c>
      <c r="I146" s="6">
        <v>46313.863194444442</v>
      </c>
      <c r="J146" s="1" t="s">
        <v>41</v>
      </c>
      <c r="K146" s="6">
        <v>46313.859722222223</v>
      </c>
      <c r="L146" s="5">
        <v>36</v>
      </c>
      <c r="M146" s="4"/>
      <c r="N146" s="1"/>
      <c r="O146" s="6">
        <v>46313.859027777777</v>
      </c>
      <c r="P146" s="1" t="s">
        <v>43</v>
      </c>
      <c r="Q146" s="1" t="s">
        <v>341</v>
      </c>
      <c r="R146" s="1" t="s">
        <v>524</v>
      </c>
      <c r="S146" s="5">
        <v>4247</v>
      </c>
      <c r="T146" s="1" t="s">
        <v>41</v>
      </c>
      <c r="U146" s="6">
        <v>46313.87222222222</v>
      </c>
      <c r="V146" s="6">
        <v>46313.870138888888</v>
      </c>
      <c r="W146" s="7" t="s">
        <v>525</v>
      </c>
      <c r="X146" s="5">
        <v>22411</v>
      </c>
      <c r="Y146" s="4"/>
      <c r="Z146" s="5">
        <v>0</v>
      </c>
      <c r="AA146" s="8">
        <v>0.86319444444444449</v>
      </c>
      <c r="AB146" s="5">
        <v>10</v>
      </c>
      <c r="AC146" s="1" t="s">
        <v>41</v>
      </c>
      <c r="AD146" s="9" t="str">
        <f t="shared" si="0"/>
        <v>Actual</v>
      </c>
      <c r="AE146" s="9" t="str">
        <f t="shared" si="1"/>
        <v>TMK7</v>
      </c>
      <c r="AF146" s="9">
        <f>HOUR(O146)</f>
        <v>20</v>
      </c>
      <c r="AG146" s="9">
        <f>DAY(O146)</f>
        <v>18</v>
      </c>
      <c r="AH146" s="9">
        <f>IFERROR((I146-K146)*24*60,0)</f>
        <v>4.9999999953433871</v>
      </c>
      <c r="AI146" s="9">
        <f t="shared" si="2"/>
        <v>4.9999999953433871</v>
      </c>
      <c r="AJ146" s="9">
        <f>C146</f>
        <v>3647</v>
      </c>
      <c r="AK146" s="9">
        <f>IF(P146="completed",((V146-K146)*24*60),0)</f>
        <v>14.99999999650754</v>
      </c>
      <c r="AL146" s="9">
        <f>IF(P146="completed",((U146-K146)*24*60),0)</f>
        <v>17.999999995809048</v>
      </c>
      <c r="AM146" s="9" t="str">
        <f t="shared" si="3"/>
        <v>OTP Achieved</v>
      </c>
      <c r="AN146" s="9" t="str">
        <f t="shared" si="4"/>
        <v>OTP Achieved</v>
      </c>
      <c r="AO146" s="9"/>
    </row>
    <row r="147" spans="1:41" ht="16">
      <c r="A147" s="3" t="s">
        <v>72</v>
      </c>
      <c r="B147" s="6">
        <v>46313.862500000003</v>
      </c>
      <c r="C147" s="5">
        <v>422</v>
      </c>
      <c r="D147" s="1" t="s">
        <v>41</v>
      </c>
      <c r="E147" s="5">
        <v>2</v>
      </c>
      <c r="F147" s="1" t="s">
        <v>41</v>
      </c>
      <c r="G147" s="1" t="s">
        <v>41</v>
      </c>
      <c r="H147" s="1" t="s">
        <v>526</v>
      </c>
      <c r="I147" s="6">
        <v>46313.862500000003</v>
      </c>
      <c r="J147" s="1" t="s">
        <v>41</v>
      </c>
      <c r="K147" s="6">
        <v>46313.859722222223</v>
      </c>
      <c r="L147" s="5">
        <v>23</v>
      </c>
      <c r="M147" s="4"/>
      <c r="N147" s="1"/>
      <c r="O147" s="6">
        <v>46313.85833333333</v>
      </c>
      <c r="P147" s="1" t="s">
        <v>43</v>
      </c>
      <c r="Q147" s="1" t="s">
        <v>74</v>
      </c>
      <c r="R147" s="1" t="s">
        <v>527</v>
      </c>
      <c r="S147" s="5">
        <v>4247</v>
      </c>
      <c r="T147" s="1" t="s">
        <v>41</v>
      </c>
      <c r="U147" s="6">
        <v>46313.863888888889</v>
      </c>
      <c r="V147" s="6">
        <v>46313.863194444442</v>
      </c>
      <c r="W147" s="7" t="s">
        <v>528</v>
      </c>
      <c r="X147" s="5">
        <v>22411</v>
      </c>
      <c r="Y147" s="4"/>
      <c r="Z147" s="5">
        <v>0</v>
      </c>
      <c r="AA147" s="8">
        <v>0.86250000000000004</v>
      </c>
      <c r="AB147" s="5">
        <v>1</v>
      </c>
      <c r="AC147" s="1" t="s">
        <v>41</v>
      </c>
      <c r="AD147" s="9" t="str">
        <f t="shared" si="0"/>
        <v>Actual</v>
      </c>
      <c r="AE147" s="9" t="str">
        <f t="shared" si="1"/>
        <v>TMK7</v>
      </c>
      <c r="AF147" s="9">
        <f>HOUR(O147)</f>
        <v>20</v>
      </c>
      <c r="AG147" s="9">
        <f>DAY(O147)</f>
        <v>18</v>
      </c>
      <c r="AH147" s="9">
        <f>IFERROR((I147-K147)*24*60,0)</f>
        <v>4.0000000025611371</v>
      </c>
      <c r="AI147" s="9">
        <f t="shared" si="2"/>
        <v>4.0000000025611371</v>
      </c>
      <c r="AJ147" s="9">
        <f>C147</f>
        <v>422</v>
      </c>
      <c r="AK147" s="9">
        <f>IF(P147="completed",((V147-K147)*24*60),0)</f>
        <v>4.9999999953433871</v>
      </c>
      <c r="AL147" s="9">
        <f>IF(P147="completed",((U147-K147)*24*60),0)</f>
        <v>5.9999999986030161</v>
      </c>
      <c r="AM147" s="9" t="str">
        <f t="shared" si="3"/>
        <v>OTP Achieved</v>
      </c>
      <c r="AN147" s="9" t="str">
        <f t="shared" si="4"/>
        <v>OTP Achieved</v>
      </c>
      <c r="AO147" s="9"/>
    </row>
    <row r="148" spans="1:41" ht="16">
      <c r="A148" s="3" t="s">
        <v>47</v>
      </c>
      <c r="B148" s="6">
        <v>46313.86041666667</v>
      </c>
      <c r="C148" s="5">
        <v>1062</v>
      </c>
      <c r="D148" s="1" t="s">
        <v>41</v>
      </c>
      <c r="E148" s="5">
        <v>3</v>
      </c>
      <c r="F148" s="1" t="s">
        <v>41</v>
      </c>
      <c r="G148" s="1" t="s">
        <v>41</v>
      </c>
      <c r="H148" s="1" t="s">
        <v>529</v>
      </c>
      <c r="I148" s="6">
        <v>46313.861111111109</v>
      </c>
      <c r="J148" s="1" t="s">
        <v>41</v>
      </c>
      <c r="K148" s="6">
        <v>46313.857638888891</v>
      </c>
      <c r="L148" s="5">
        <v>24</v>
      </c>
      <c r="M148" s="4"/>
      <c r="N148" s="1"/>
      <c r="O148" s="6">
        <v>46313.856944444444</v>
      </c>
      <c r="P148" s="1" t="s">
        <v>43</v>
      </c>
      <c r="Q148" s="1" t="s">
        <v>49</v>
      </c>
      <c r="R148" s="1" t="s">
        <v>530</v>
      </c>
      <c r="S148" s="5">
        <v>4247</v>
      </c>
      <c r="T148" s="1" t="s">
        <v>41</v>
      </c>
      <c r="U148" s="6">
        <v>46313.864583333336</v>
      </c>
      <c r="V148" s="6">
        <v>46313.863194444442</v>
      </c>
      <c r="W148" s="7" t="s">
        <v>531</v>
      </c>
      <c r="X148" s="5">
        <v>22411</v>
      </c>
      <c r="Y148" s="4"/>
      <c r="Z148" s="5">
        <v>0</v>
      </c>
      <c r="AA148" s="8">
        <v>0.86041666666666672</v>
      </c>
      <c r="AB148" s="5">
        <v>3</v>
      </c>
      <c r="AC148" s="1" t="s">
        <v>41</v>
      </c>
      <c r="AD148" s="9" t="str">
        <f t="shared" si="0"/>
        <v>Actual</v>
      </c>
      <c r="AE148" s="9" t="str">
        <f t="shared" si="1"/>
        <v>TMK7</v>
      </c>
      <c r="AF148" s="9">
        <f>HOUR(O148)</f>
        <v>20</v>
      </c>
      <c r="AG148" s="9">
        <f>DAY(O148)</f>
        <v>18</v>
      </c>
      <c r="AH148" s="9">
        <f>IFERROR((I148-K148)*24*60,0)</f>
        <v>4.9999999953433871</v>
      </c>
      <c r="AI148" s="9">
        <f t="shared" si="2"/>
        <v>4.9999999953433871</v>
      </c>
      <c r="AJ148" s="9">
        <f>C148</f>
        <v>1062</v>
      </c>
      <c r="AK148" s="9">
        <f>IF(P148="completed",((V148-K148)*24*60),0)</f>
        <v>7.9999999946448952</v>
      </c>
      <c r="AL148" s="9">
        <f>IF(P148="completed",((U148-K148)*24*60),0)</f>
        <v>10.000000001164153</v>
      </c>
      <c r="AM148" s="9" t="str">
        <f t="shared" si="3"/>
        <v>OTP Achieved</v>
      </c>
      <c r="AN148" s="9" t="str">
        <f t="shared" si="4"/>
        <v>OTP Achieved</v>
      </c>
    </row>
    <row r="149" spans="1:41" ht="16">
      <c r="A149" s="3" t="s">
        <v>52</v>
      </c>
      <c r="B149" s="6">
        <v>46313.86041666667</v>
      </c>
      <c r="C149" s="5">
        <v>765</v>
      </c>
      <c r="D149" s="1" t="s">
        <v>41</v>
      </c>
      <c r="E149" s="5">
        <v>3</v>
      </c>
      <c r="F149" s="1" t="s">
        <v>41</v>
      </c>
      <c r="G149" s="1" t="s">
        <v>41</v>
      </c>
      <c r="H149" s="1" t="s">
        <v>532</v>
      </c>
      <c r="I149" s="6">
        <v>46313.861111111109</v>
      </c>
      <c r="J149" s="1" t="s">
        <v>41</v>
      </c>
      <c r="K149" s="6">
        <v>46313.85833333333</v>
      </c>
      <c r="L149" s="5">
        <v>46</v>
      </c>
      <c r="M149" s="4"/>
      <c r="N149" s="1"/>
      <c r="O149" s="6">
        <v>46313.856944444444</v>
      </c>
      <c r="P149" s="1" t="s">
        <v>43</v>
      </c>
      <c r="Q149" s="1" t="s">
        <v>54</v>
      </c>
      <c r="R149" s="1" t="s">
        <v>533</v>
      </c>
      <c r="S149" s="5">
        <v>4247</v>
      </c>
      <c r="T149" s="1" t="s">
        <v>41</v>
      </c>
      <c r="U149" s="6">
        <v>46313.863888888889</v>
      </c>
      <c r="V149" s="6">
        <v>46313.862500000003</v>
      </c>
      <c r="W149" s="7" t="s">
        <v>534</v>
      </c>
      <c r="X149" s="5">
        <v>22411</v>
      </c>
      <c r="Y149" s="4"/>
      <c r="Z149" s="5">
        <v>0</v>
      </c>
      <c r="AA149" s="8">
        <v>0.86041666666666672</v>
      </c>
      <c r="AB149" s="5">
        <v>2</v>
      </c>
      <c r="AC149" s="1" t="s">
        <v>41</v>
      </c>
      <c r="AD149" s="9" t="str">
        <f t="shared" si="0"/>
        <v>Actual</v>
      </c>
      <c r="AE149" s="9" t="str">
        <f t="shared" si="1"/>
        <v>TMK7</v>
      </c>
      <c r="AF149" s="9">
        <f>HOUR(O149)</f>
        <v>20</v>
      </c>
      <c r="AG149" s="9">
        <f>DAY(O149)</f>
        <v>18</v>
      </c>
      <c r="AH149" s="9">
        <f>IFERROR((I149-K149)*24*60,0)</f>
        <v>4.0000000025611371</v>
      </c>
      <c r="AI149" s="9">
        <f t="shared" si="2"/>
        <v>4.0000000025611371</v>
      </c>
      <c r="AJ149" s="9">
        <f>C149</f>
        <v>765</v>
      </c>
      <c r="AK149" s="9">
        <f>IF(P149="completed",((V149-K149)*24*60),0)</f>
        <v>6.0000000090803951</v>
      </c>
      <c r="AL149" s="9">
        <f>IF(P149="completed",((U149-K149)*24*60),0)</f>
        <v>8.0000000051222742</v>
      </c>
      <c r="AM149" s="9" t="str">
        <f t="shared" si="3"/>
        <v>OTP Achieved</v>
      </c>
      <c r="AN149" s="9" t="str">
        <f t="shared" si="4"/>
        <v>OTP Achieved</v>
      </c>
    </row>
    <row r="150" spans="1:41" ht="16">
      <c r="A150" s="3" t="s">
        <v>198</v>
      </c>
      <c r="B150" s="6">
        <v>46313.86041666667</v>
      </c>
      <c r="C150" s="5">
        <v>207</v>
      </c>
      <c r="D150" s="1" t="s">
        <v>41</v>
      </c>
      <c r="E150" s="5">
        <v>1</v>
      </c>
      <c r="F150" s="1" t="s">
        <v>41</v>
      </c>
      <c r="G150" s="1" t="s">
        <v>41</v>
      </c>
      <c r="H150" s="1" t="s">
        <v>535</v>
      </c>
      <c r="I150" s="6">
        <v>46313.86041666667</v>
      </c>
      <c r="J150" s="1" t="s">
        <v>41</v>
      </c>
      <c r="K150" s="6">
        <v>46313.857638888891</v>
      </c>
      <c r="L150" s="5">
        <v>24</v>
      </c>
      <c r="M150" s="4"/>
      <c r="N150" s="1"/>
      <c r="O150" s="6">
        <v>46313.856944444444</v>
      </c>
      <c r="P150" s="1" t="s">
        <v>43</v>
      </c>
      <c r="Q150" s="1" t="s">
        <v>200</v>
      </c>
      <c r="R150" s="1" t="s">
        <v>536</v>
      </c>
      <c r="S150" s="5">
        <v>4247</v>
      </c>
      <c r="T150" s="1" t="s">
        <v>41</v>
      </c>
      <c r="U150" s="6">
        <v>46313.861805555556</v>
      </c>
      <c r="V150" s="6">
        <v>46313.861111111109</v>
      </c>
      <c r="W150" s="7" t="s">
        <v>537</v>
      </c>
      <c r="X150" s="5">
        <v>22411</v>
      </c>
      <c r="Y150" s="4"/>
      <c r="Z150" s="5">
        <v>0</v>
      </c>
      <c r="AA150" s="8">
        <v>0.86041666666666672</v>
      </c>
      <c r="AB150" s="5">
        <v>0</v>
      </c>
      <c r="AC150" s="1" t="s">
        <v>41</v>
      </c>
      <c r="AD150" s="9" t="str">
        <f t="shared" si="0"/>
        <v>Actual</v>
      </c>
      <c r="AE150" s="9" t="str">
        <f t="shared" si="1"/>
        <v>TMK7</v>
      </c>
      <c r="AF150" s="9">
        <f>HOUR(O150)</f>
        <v>20</v>
      </c>
      <c r="AG150" s="9">
        <f>DAY(O150)</f>
        <v>18</v>
      </c>
      <c r="AH150" s="9">
        <f>IFERROR((I150-K150)*24*60,0)</f>
        <v>4.0000000025611371</v>
      </c>
      <c r="AI150" s="9">
        <f t="shared" si="2"/>
        <v>4.0000000025611371</v>
      </c>
      <c r="AJ150" s="9">
        <f>C150</f>
        <v>207</v>
      </c>
      <c r="AK150" s="9">
        <f>IF(P150="completed",((V150-K150)*24*60),0)</f>
        <v>4.9999999953433871</v>
      </c>
      <c r="AL150" s="9">
        <f>IF(P150="completed",((U150-K150)*24*60),0)</f>
        <v>5.9999999986030161</v>
      </c>
      <c r="AM150" s="9" t="str">
        <f t="shared" si="3"/>
        <v>OTP Achieved</v>
      </c>
      <c r="AN150" s="9" t="str">
        <f t="shared" si="4"/>
        <v>OTP Achieved</v>
      </c>
    </row>
    <row r="151" spans="1:41" ht="16">
      <c r="A151" s="3" t="s">
        <v>177</v>
      </c>
      <c r="B151" s="6">
        <v>46313.859722222223</v>
      </c>
      <c r="C151" s="5">
        <v>813</v>
      </c>
      <c r="D151" s="1" t="s">
        <v>41</v>
      </c>
      <c r="E151" s="5">
        <v>3</v>
      </c>
      <c r="F151" s="1" t="s">
        <v>41</v>
      </c>
      <c r="G151" s="1" t="s">
        <v>41</v>
      </c>
      <c r="H151" s="1" t="s">
        <v>532</v>
      </c>
      <c r="I151" s="6">
        <v>46313.859722222223</v>
      </c>
      <c r="J151" s="1" t="s">
        <v>41</v>
      </c>
      <c r="K151" s="6">
        <v>46313.857638888891</v>
      </c>
      <c r="L151" s="5">
        <v>33</v>
      </c>
      <c r="M151" s="4"/>
      <c r="N151" s="1"/>
      <c r="O151" s="6">
        <v>46313.856944444444</v>
      </c>
      <c r="P151" s="1" t="s">
        <v>43</v>
      </c>
      <c r="Q151" s="1" t="s">
        <v>179</v>
      </c>
      <c r="R151" s="1" t="s">
        <v>538</v>
      </c>
      <c r="S151" s="5">
        <v>4247</v>
      </c>
      <c r="T151" s="1" t="s">
        <v>41</v>
      </c>
      <c r="U151" s="6">
        <v>46313.862500000003</v>
      </c>
      <c r="V151" s="6">
        <v>46313.861805555556</v>
      </c>
      <c r="W151" s="7" t="s">
        <v>539</v>
      </c>
      <c r="X151" s="5">
        <v>22411</v>
      </c>
      <c r="Y151" s="1"/>
      <c r="Z151" s="5">
        <v>0</v>
      </c>
      <c r="AA151" s="8">
        <v>0.85972222222222228</v>
      </c>
      <c r="AB151" s="5">
        <v>2</v>
      </c>
      <c r="AC151" s="1" t="s">
        <v>41</v>
      </c>
      <c r="AD151" s="9" t="str">
        <f t="shared" si="0"/>
        <v>Actual</v>
      </c>
      <c r="AE151" s="9" t="str">
        <f t="shared" si="1"/>
        <v>TMK7</v>
      </c>
      <c r="AF151" s="9">
        <f>HOUR(O151)</f>
        <v>20</v>
      </c>
      <c r="AG151" s="9">
        <f>DAY(O151)</f>
        <v>18</v>
      </c>
      <c r="AH151" s="9">
        <f>IFERROR((I151-K151)*24*60,0)</f>
        <v>2.9999999993015081</v>
      </c>
      <c r="AI151" s="9">
        <f t="shared" si="2"/>
        <v>2.9999999993015081</v>
      </c>
      <c r="AJ151" s="9">
        <f>C151</f>
        <v>813</v>
      </c>
      <c r="AK151" s="9">
        <f>IF(P151="completed",((V151-K151)*24*60),0)</f>
        <v>5.9999999986030161</v>
      </c>
      <c r="AL151" s="9">
        <f>IF(P151="completed",((U151-K151)*24*60),0)</f>
        <v>7.0000000018626451</v>
      </c>
      <c r="AM151" s="9" t="str">
        <f t="shared" si="3"/>
        <v>OTP Achieved</v>
      </c>
      <c r="AN151" s="9" t="str">
        <f t="shared" si="4"/>
        <v>OTP Achieved</v>
      </c>
    </row>
    <row r="152" spans="1:41" ht="16">
      <c r="A152" s="3" t="s">
        <v>235</v>
      </c>
      <c r="B152" s="6">
        <v>46313.859722222223</v>
      </c>
      <c r="C152" s="5">
        <v>2456</v>
      </c>
      <c r="D152" s="1" t="s">
        <v>41</v>
      </c>
      <c r="E152" s="5">
        <v>18</v>
      </c>
      <c r="F152" s="1" t="s">
        <v>41</v>
      </c>
      <c r="G152" s="1" t="s">
        <v>41</v>
      </c>
      <c r="H152" s="1" t="s">
        <v>540</v>
      </c>
      <c r="I152" s="6">
        <v>46313.859722222223</v>
      </c>
      <c r="J152" s="1" t="s">
        <v>41</v>
      </c>
      <c r="K152" s="6">
        <v>46313.856944444444</v>
      </c>
      <c r="L152" s="5">
        <v>47</v>
      </c>
      <c r="M152" s="4"/>
      <c r="N152" s="1"/>
      <c r="O152" s="6">
        <v>46313.855555555558</v>
      </c>
      <c r="P152" s="1" t="s">
        <v>43</v>
      </c>
      <c r="Q152" s="1" t="s">
        <v>237</v>
      </c>
      <c r="R152" s="1" t="s">
        <v>541</v>
      </c>
      <c r="S152" s="5">
        <v>4247</v>
      </c>
      <c r="T152" s="1" t="s">
        <v>41</v>
      </c>
      <c r="U152" s="6">
        <v>46313.865972222222</v>
      </c>
      <c r="V152" s="6">
        <v>46313.871527777781</v>
      </c>
      <c r="W152" s="7" t="s">
        <v>542</v>
      </c>
      <c r="X152" s="5">
        <v>22411</v>
      </c>
      <c r="Y152" s="4"/>
      <c r="Z152" s="5">
        <v>0</v>
      </c>
      <c r="AA152" s="8">
        <v>0.85972222222222228</v>
      </c>
      <c r="AB152" s="5">
        <v>17</v>
      </c>
      <c r="AC152" s="1" t="s">
        <v>41</v>
      </c>
      <c r="AD152" s="9" t="str">
        <f t="shared" si="0"/>
        <v>Actual</v>
      </c>
      <c r="AE152" s="9" t="str">
        <f t="shared" si="1"/>
        <v>TMK7</v>
      </c>
      <c r="AF152" s="9">
        <f>HOUR(O152)</f>
        <v>20</v>
      </c>
      <c r="AG152" s="9">
        <f>DAY(O152)</f>
        <v>18</v>
      </c>
      <c r="AH152" s="9">
        <f>IFERROR((I152-K152)*24*60,0)</f>
        <v>4.0000000025611371</v>
      </c>
      <c r="AI152" s="9">
        <f t="shared" si="2"/>
        <v>4.0000000025611371</v>
      </c>
      <c r="AJ152" s="9">
        <f>C152</f>
        <v>2456</v>
      </c>
      <c r="AK152" s="9">
        <f>IF(P152="completed",((V152-K152)*24*60),0)</f>
        <v>21.000000005587935</v>
      </c>
      <c r="AL152" s="9">
        <f>IF(P152="completed",((U152-K152)*24*60),0)</f>
        <v>13.000000000465661</v>
      </c>
      <c r="AM152" s="9" t="str">
        <f t="shared" si="3"/>
        <v>OTP Breached</v>
      </c>
      <c r="AN152" s="9" t="str">
        <f t="shared" si="4"/>
        <v>OTP Breached</v>
      </c>
    </row>
    <row r="153" spans="1:41" ht="16">
      <c r="A153" s="3" t="s">
        <v>209</v>
      </c>
      <c r="B153" s="6">
        <v>46313.85833333333</v>
      </c>
      <c r="C153" s="5">
        <v>2232</v>
      </c>
      <c r="D153" s="1" t="s">
        <v>41</v>
      </c>
      <c r="E153" s="5">
        <v>8</v>
      </c>
      <c r="F153" s="1" t="s">
        <v>41</v>
      </c>
      <c r="G153" s="1" t="s">
        <v>41</v>
      </c>
      <c r="H153" s="1" t="s">
        <v>543</v>
      </c>
      <c r="I153" s="6">
        <v>46313.859027777777</v>
      </c>
      <c r="J153" s="1" t="s">
        <v>41</v>
      </c>
      <c r="K153" s="6">
        <v>46313.856249999997</v>
      </c>
      <c r="L153" s="5">
        <v>50</v>
      </c>
      <c r="M153" s="4"/>
      <c r="N153" s="1"/>
      <c r="O153" s="6">
        <v>46313.854861111111</v>
      </c>
      <c r="P153" s="1" t="s">
        <v>43</v>
      </c>
      <c r="Q153" s="1" t="s">
        <v>211</v>
      </c>
      <c r="R153" s="1" t="s">
        <v>544</v>
      </c>
      <c r="S153" s="5">
        <v>4247</v>
      </c>
      <c r="T153" s="1" t="s">
        <v>41</v>
      </c>
      <c r="U153" s="6">
        <v>46313.864583333336</v>
      </c>
      <c r="V153" s="6">
        <v>46313.863888888889</v>
      </c>
      <c r="W153" s="7" t="s">
        <v>545</v>
      </c>
      <c r="X153" s="5">
        <v>22411</v>
      </c>
      <c r="Y153" s="4"/>
      <c r="Z153" s="5">
        <v>0</v>
      </c>
      <c r="AA153" s="8">
        <v>0.85833333333333328</v>
      </c>
      <c r="AB153" s="5">
        <v>7</v>
      </c>
      <c r="AC153" s="1" t="s">
        <v>41</v>
      </c>
      <c r="AD153" s="9" t="str">
        <f t="shared" si="0"/>
        <v>Actual</v>
      </c>
      <c r="AE153" s="9" t="str">
        <f t="shared" si="1"/>
        <v>TMK7</v>
      </c>
      <c r="AF153" s="9">
        <f>HOUR(O153)</f>
        <v>20</v>
      </c>
      <c r="AG153" s="9">
        <f>DAY(O153)</f>
        <v>18</v>
      </c>
      <c r="AH153" s="9">
        <f>IFERROR((I153-K153)*24*60,0)</f>
        <v>4.0000000025611371</v>
      </c>
      <c r="AI153" s="9">
        <f t="shared" si="2"/>
        <v>4.0000000025611371</v>
      </c>
      <c r="AJ153" s="9">
        <f>C153</f>
        <v>2232</v>
      </c>
      <c r="AK153" s="9">
        <f>IF(P153="completed",((V153-K153)*24*60),0)</f>
        <v>11.000000004423782</v>
      </c>
      <c r="AL153" s="9">
        <f>IF(P153="completed",((U153-K153)*24*60),0)</f>
        <v>12.000000007683411</v>
      </c>
      <c r="AM153" s="9" t="str">
        <f t="shared" si="3"/>
        <v>OTP Achieved</v>
      </c>
      <c r="AN153" s="9" t="str">
        <f t="shared" si="4"/>
        <v>OTP Achieved</v>
      </c>
    </row>
    <row r="154" spans="1:41" ht="16">
      <c r="A154" s="3" t="s">
        <v>125</v>
      </c>
      <c r="B154" s="6">
        <v>46313.85833333333</v>
      </c>
      <c r="C154" s="5">
        <v>1331</v>
      </c>
      <c r="D154" s="1" t="s">
        <v>41</v>
      </c>
      <c r="E154" s="5">
        <v>6</v>
      </c>
      <c r="F154" s="1" t="s">
        <v>41</v>
      </c>
      <c r="G154" s="1" t="s">
        <v>41</v>
      </c>
      <c r="H154" s="1" t="s">
        <v>546</v>
      </c>
      <c r="I154" s="6">
        <v>46313.859027777777</v>
      </c>
      <c r="J154" s="1" t="s">
        <v>41</v>
      </c>
      <c r="K154" s="6">
        <v>46313.856249999997</v>
      </c>
      <c r="L154" s="5">
        <v>26</v>
      </c>
      <c r="M154" s="4"/>
      <c r="N154" s="1"/>
      <c r="O154" s="6">
        <v>46313.854861111111</v>
      </c>
      <c r="P154" s="1" t="s">
        <v>43</v>
      </c>
      <c r="Q154" s="1" t="s">
        <v>127</v>
      </c>
      <c r="R154" s="1" t="s">
        <v>547</v>
      </c>
      <c r="S154" s="5">
        <v>4247</v>
      </c>
      <c r="T154" s="1" t="s">
        <v>41</v>
      </c>
      <c r="U154" s="6">
        <v>46313.862500000003</v>
      </c>
      <c r="V154" s="6">
        <v>46313.862500000003</v>
      </c>
      <c r="W154" s="7" t="s">
        <v>548</v>
      </c>
      <c r="X154" s="5">
        <v>22411</v>
      </c>
      <c r="Y154" s="4"/>
      <c r="Z154" s="5">
        <v>0</v>
      </c>
      <c r="AA154" s="8">
        <v>0.85833333333333328</v>
      </c>
      <c r="AB154" s="5">
        <v>5</v>
      </c>
      <c r="AC154" s="1" t="s">
        <v>41</v>
      </c>
      <c r="AD154" s="9" t="str">
        <f t="shared" si="0"/>
        <v>Actual</v>
      </c>
      <c r="AE154" s="9" t="str">
        <f t="shared" si="1"/>
        <v>TMK7</v>
      </c>
      <c r="AF154" s="9">
        <f>HOUR(O154)</f>
        <v>20</v>
      </c>
      <c r="AG154" s="9">
        <f>DAY(O154)</f>
        <v>18</v>
      </c>
      <c r="AH154" s="9">
        <f>IFERROR((I154-K154)*24*60,0)</f>
        <v>4.0000000025611371</v>
      </c>
      <c r="AI154" s="9">
        <f t="shared" si="2"/>
        <v>4.0000000025611371</v>
      </c>
      <c r="AJ154" s="9">
        <f>C154</f>
        <v>1331</v>
      </c>
      <c r="AK154" s="9">
        <f>IF(P154="completed",((V154-K154)*24*60),0)</f>
        <v>9.0000000083819032</v>
      </c>
      <c r="AL154" s="9">
        <f>IF(P154="completed",((U154-K154)*24*60),0)</f>
        <v>9.0000000083819032</v>
      </c>
      <c r="AM154" s="9" t="str">
        <f t="shared" si="3"/>
        <v>OTP Breached</v>
      </c>
      <c r="AN154" s="9" t="str">
        <f t="shared" si="4"/>
        <v>OTP Achieved</v>
      </c>
    </row>
    <row r="155" spans="1:41" ht="16">
      <c r="A155" s="3" t="s">
        <v>82</v>
      </c>
      <c r="B155" s="6">
        <v>46313.856944444444</v>
      </c>
      <c r="C155" s="5">
        <v>1093</v>
      </c>
      <c r="D155" s="1" t="s">
        <v>41</v>
      </c>
      <c r="E155" s="5">
        <v>4</v>
      </c>
      <c r="F155" s="1" t="s">
        <v>41</v>
      </c>
      <c r="G155" s="1" t="s">
        <v>41</v>
      </c>
      <c r="H155" s="1" t="s">
        <v>549</v>
      </c>
      <c r="I155" s="6">
        <v>46313.857638888891</v>
      </c>
      <c r="J155" s="1" t="s">
        <v>41</v>
      </c>
      <c r="K155" s="6">
        <v>46313.854861111111</v>
      </c>
      <c r="L155" s="5">
        <v>24</v>
      </c>
      <c r="M155" s="4"/>
      <c r="N155" s="1"/>
      <c r="O155" s="6">
        <v>46313.853472222225</v>
      </c>
      <c r="P155" s="1" t="s">
        <v>43</v>
      </c>
      <c r="Q155" s="1" t="s">
        <v>84</v>
      </c>
      <c r="R155" s="1" t="s">
        <v>550</v>
      </c>
      <c r="S155" s="5">
        <v>4247</v>
      </c>
      <c r="T155" s="1" t="s">
        <v>41</v>
      </c>
      <c r="U155" s="6">
        <v>46313.86041666667</v>
      </c>
      <c r="V155" s="6">
        <v>46313.859722222223</v>
      </c>
      <c r="W155" s="7" t="s">
        <v>551</v>
      </c>
      <c r="X155" s="5">
        <v>22411</v>
      </c>
      <c r="Y155" s="4"/>
      <c r="Z155" s="5">
        <v>0</v>
      </c>
      <c r="AA155" s="8">
        <v>0.8569444444444444</v>
      </c>
      <c r="AB155" s="5">
        <v>4</v>
      </c>
      <c r="AC155" s="1" t="s">
        <v>41</v>
      </c>
      <c r="AD155" s="9" t="str">
        <f t="shared" si="0"/>
        <v>Actual</v>
      </c>
      <c r="AE155" s="9" t="str">
        <f t="shared" si="1"/>
        <v>TMK7</v>
      </c>
      <c r="AF155" s="9">
        <f>HOUR(O155)</f>
        <v>20</v>
      </c>
      <c r="AG155" s="9">
        <f>DAY(O155)</f>
        <v>18</v>
      </c>
      <c r="AH155" s="9">
        <f>IFERROR((I155-K155)*24*60,0)</f>
        <v>4.0000000025611371</v>
      </c>
      <c r="AI155" s="9">
        <f t="shared" si="2"/>
        <v>4.0000000025611371</v>
      </c>
      <c r="AJ155" s="9">
        <f>C155</f>
        <v>1093</v>
      </c>
      <c r="AK155" s="9">
        <f>IF(P155="completed",((V155-K155)*24*60),0)</f>
        <v>7.0000000018626451</v>
      </c>
      <c r="AL155" s="9">
        <f>IF(P155="completed",((U155-K155)*24*60),0)</f>
        <v>8.0000000051222742</v>
      </c>
      <c r="AM155" s="9" t="str">
        <f t="shared" si="3"/>
        <v>OTP Achieved</v>
      </c>
      <c r="AN155" s="9" t="str">
        <f t="shared" si="4"/>
        <v>OTP Achieved</v>
      </c>
    </row>
    <row r="156" spans="1:41" ht="16">
      <c r="A156" s="3" t="s">
        <v>98</v>
      </c>
      <c r="B156" s="6">
        <v>46313.856944444444</v>
      </c>
      <c r="C156" s="5">
        <v>1130</v>
      </c>
      <c r="D156" s="1" t="s">
        <v>41</v>
      </c>
      <c r="E156" s="5">
        <v>5</v>
      </c>
      <c r="F156" s="1" t="s">
        <v>41</v>
      </c>
      <c r="G156" s="1" t="s">
        <v>41</v>
      </c>
      <c r="H156" s="1" t="s">
        <v>549</v>
      </c>
      <c r="I156" s="6">
        <v>46313.856944444444</v>
      </c>
      <c r="J156" s="1" t="s">
        <v>41</v>
      </c>
      <c r="K156" s="6">
        <v>46313.854166666664</v>
      </c>
      <c r="L156" s="5">
        <v>24</v>
      </c>
      <c r="M156" s="4"/>
      <c r="N156" s="1"/>
      <c r="O156" s="6">
        <v>46313.853472222225</v>
      </c>
      <c r="P156" s="1" t="s">
        <v>43</v>
      </c>
      <c r="Q156" s="1" t="s">
        <v>100</v>
      </c>
      <c r="R156" s="1" t="s">
        <v>552</v>
      </c>
      <c r="S156" s="5">
        <v>4247</v>
      </c>
      <c r="T156" s="1" t="s">
        <v>41</v>
      </c>
      <c r="U156" s="6">
        <v>46313.861111111109</v>
      </c>
      <c r="V156" s="6">
        <v>46313.859722222223</v>
      </c>
      <c r="W156" s="7" t="s">
        <v>553</v>
      </c>
      <c r="X156" s="5">
        <v>22411</v>
      </c>
      <c r="Y156" s="4"/>
      <c r="Z156" s="5">
        <v>0</v>
      </c>
      <c r="AA156" s="8">
        <v>0.8569444444444444</v>
      </c>
      <c r="AB156" s="5">
        <v>4</v>
      </c>
      <c r="AC156" s="1" t="s">
        <v>41</v>
      </c>
      <c r="AD156" s="9" t="str">
        <f t="shared" si="0"/>
        <v>Actual</v>
      </c>
      <c r="AE156" s="9" t="str">
        <f t="shared" si="1"/>
        <v>TMK7</v>
      </c>
      <c r="AF156" s="9">
        <f>HOUR(O156)</f>
        <v>20</v>
      </c>
      <c r="AG156" s="9">
        <f>DAY(O156)</f>
        <v>18</v>
      </c>
      <c r="AH156" s="9">
        <f>IFERROR((I156-K156)*24*60,0)</f>
        <v>4.0000000025611371</v>
      </c>
      <c r="AI156" s="9">
        <f t="shared" si="2"/>
        <v>4.0000000025611371</v>
      </c>
      <c r="AJ156" s="9">
        <f>C156</f>
        <v>1130</v>
      </c>
      <c r="AK156" s="9">
        <f>IF(P156="completed",((V156-K156)*24*60),0)</f>
        <v>8.0000000051222742</v>
      </c>
      <c r="AL156" s="9">
        <f>IF(P156="completed",((U156-K156)*24*60),0)</f>
        <v>10.000000001164153</v>
      </c>
      <c r="AM156" s="9" t="str">
        <f t="shared" si="3"/>
        <v>OTP Achieved</v>
      </c>
      <c r="AN156" s="9" t="str">
        <f t="shared" si="4"/>
        <v>OTP Achieved</v>
      </c>
    </row>
    <row r="157" spans="1:41" ht="16">
      <c r="A157" s="3" t="s">
        <v>379</v>
      </c>
      <c r="B157" s="6">
        <v>46313.856249999997</v>
      </c>
      <c r="C157" s="5">
        <v>2080</v>
      </c>
      <c r="D157" s="1" t="s">
        <v>41</v>
      </c>
      <c r="E157" s="5">
        <v>8</v>
      </c>
      <c r="F157" s="1" t="s">
        <v>41</v>
      </c>
      <c r="G157" s="1" t="s">
        <v>41</v>
      </c>
      <c r="H157" s="1" t="s">
        <v>554</v>
      </c>
      <c r="I157" s="6">
        <v>46313.856249999997</v>
      </c>
      <c r="J157" s="1" t="s">
        <v>41</v>
      </c>
      <c r="K157" s="6">
        <v>46313.853472222225</v>
      </c>
      <c r="L157" s="5">
        <v>23</v>
      </c>
      <c r="M157" s="4"/>
      <c r="N157" s="1"/>
      <c r="O157" s="6">
        <v>46313.853472222225</v>
      </c>
      <c r="P157" s="1" t="s">
        <v>315</v>
      </c>
      <c r="Q157" s="1" t="s">
        <v>381</v>
      </c>
      <c r="R157" s="1" t="s">
        <v>555</v>
      </c>
      <c r="S157" s="5">
        <v>4247</v>
      </c>
      <c r="T157" s="1" t="s">
        <v>41</v>
      </c>
      <c r="U157" s="6">
        <v>46313.862500000003</v>
      </c>
      <c r="V157" s="6">
        <v>46313.861805555556</v>
      </c>
      <c r="W157" s="7" t="s">
        <v>556</v>
      </c>
      <c r="X157" s="5">
        <v>22411</v>
      </c>
      <c r="Y157" s="4">
        <v>46313.873611111114</v>
      </c>
      <c r="Z157" s="5">
        <v>0</v>
      </c>
      <c r="AA157" s="8">
        <v>0.85624999999999996</v>
      </c>
      <c r="AB157" s="5">
        <v>8</v>
      </c>
      <c r="AC157" s="1" t="s">
        <v>41</v>
      </c>
      <c r="AD157" s="9" t="str">
        <f t="shared" si="0"/>
        <v>Actual</v>
      </c>
      <c r="AE157" s="9" t="str">
        <f t="shared" si="1"/>
        <v>TMK7</v>
      </c>
      <c r="AF157" s="9">
        <f>HOUR(O157)</f>
        <v>20</v>
      </c>
      <c r="AG157" s="9">
        <f>DAY(O157)</f>
        <v>18</v>
      </c>
      <c r="AH157" s="9">
        <f>IFERROR((I157-K157)*24*60,0)</f>
        <v>3.9999999920837581</v>
      </c>
      <c r="AI157" s="9">
        <f t="shared" si="2"/>
        <v>3.9999999920837581</v>
      </c>
      <c r="AJ157" s="9">
        <f>C157</f>
        <v>2080</v>
      </c>
      <c r="AK157" s="9">
        <f>IF(P157="completed",((V157-K157)*24*60),0)</f>
        <v>0</v>
      </c>
      <c r="AL157" s="9">
        <f>IF(P157="completed",((U157-K157)*24*60),0)</f>
        <v>0</v>
      </c>
      <c r="AM157" s="9" t="str">
        <f t="shared" si="3"/>
        <v>OTP Breached</v>
      </c>
      <c r="AN157" s="9" t="str">
        <f t="shared" si="4"/>
        <v>OTP Achieved</v>
      </c>
    </row>
    <row r="158" spans="1:41" ht="16">
      <c r="A158" s="3" t="s">
        <v>157</v>
      </c>
      <c r="B158" s="6">
        <v>46313.854861111111</v>
      </c>
      <c r="C158" s="5">
        <v>1156</v>
      </c>
      <c r="D158" s="1" t="s">
        <v>41</v>
      </c>
      <c r="E158" s="5">
        <v>5</v>
      </c>
      <c r="F158" s="1" t="s">
        <v>41</v>
      </c>
      <c r="G158" s="1" t="s">
        <v>41</v>
      </c>
      <c r="H158" s="1" t="s">
        <v>557</v>
      </c>
      <c r="I158" s="6">
        <v>46313.855555555558</v>
      </c>
      <c r="J158" s="1" t="s">
        <v>41</v>
      </c>
      <c r="K158" s="6">
        <v>46313.850694444445</v>
      </c>
      <c r="L158" s="5">
        <v>46</v>
      </c>
      <c r="M158" s="4"/>
      <c r="N158" s="1"/>
      <c r="O158" s="6">
        <v>46313.85</v>
      </c>
      <c r="P158" s="1" t="s">
        <v>43</v>
      </c>
      <c r="Q158" s="1" t="s">
        <v>159</v>
      </c>
      <c r="R158" s="1" t="s">
        <v>558</v>
      </c>
      <c r="S158" s="5">
        <v>4247</v>
      </c>
      <c r="T158" s="1" t="s">
        <v>41</v>
      </c>
      <c r="U158" s="6">
        <v>46313.859027777777</v>
      </c>
      <c r="V158" s="6">
        <v>46313.85833333333</v>
      </c>
      <c r="W158" s="7" t="s">
        <v>559</v>
      </c>
      <c r="X158" s="5">
        <v>22411</v>
      </c>
      <c r="Y158" s="4"/>
      <c r="Z158" s="5">
        <v>0</v>
      </c>
      <c r="AA158" s="8">
        <v>0.85486111111111107</v>
      </c>
      <c r="AB158" s="5">
        <v>5</v>
      </c>
      <c r="AC158" s="1" t="s">
        <v>41</v>
      </c>
      <c r="AD158" s="9" t="str">
        <f t="shared" si="0"/>
        <v>Actual</v>
      </c>
      <c r="AE158" s="9" t="str">
        <f t="shared" si="1"/>
        <v>TMK7</v>
      </c>
      <c r="AF158" s="9">
        <f>HOUR(O158)</f>
        <v>20</v>
      </c>
      <c r="AG158" s="9">
        <f>DAY(O158)</f>
        <v>18</v>
      </c>
      <c r="AH158" s="9">
        <f>IFERROR((I158-K158)*24*60,0)</f>
        <v>7.0000000018626451</v>
      </c>
      <c r="AI158" s="9">
        <f t="shared" si="2"/>
        <v>7.0000000018626451</v>
      </c>
      <c r="AJ158" s="9">
        <f>C158</f>
        <v>1156</v>
      </c>
      <c r="AK158" s="9">
        <f>IF(P158="completed",((V158-K158)*24*60),0)</f>
        <v>10.999999993946403</v>
      </c>
      <c r="AL158" s="9">
        <f>IF(P158="completed",((U158-K158)*24*60),0)</f>
        <v>11.999999997206032</v>
      </c>
      <c r="AM158" s="9" t="str">
        <f t="shared" si="3"/>
        <v>OTP Achieved</v>
      </c>
      <c r="AN158" s="9" t="str">
        <f t="shared" si="4"/>
        <v>OTP Achieved</v>
      </c>
    </row>
    <row r="159" spans="1:41" ht="16">
      <c r="A159" s="3" t="s">
        <v>347</v>
      </c>
      <c r="B159" s="6">
        <v>46313.854166666664</v>
      </c>
      <c r="C159" s="5">
        <v>2141</v>
      </c>
      <c r="D159" s="1" t="s">
        <v>41</v>
      </c>
      <c r="E159" s="5">
        <v>7</v>
      </c>
      <c r="F159" s="1" t="s">
        <v>41</v>
      </c>
      <c r="G159" s="1" t="s">
        <v>41</v>
      </c>
      <c r="H159" s="1" t="s">
        <v>560</v>
      </c>
      <c r="I159" s="6">
        <v>46313.854861111111</v>
      </c>
      <c r="J159" s="1" t="s">
        <v>41</v>
      </c>
      <c r="K159" s="6">
        <v>46313.85</v>
      </c>
      <c r="L159" s="5">
        <v>17</v>
      </c>
      <c r="M159" s="4"/>
      <c r="N159" s="1"/>
      <c r="O159" s="6">
        <v>46313.849305555559</v>
      </c>
      <c r="P159" s="1" t="s">
        <v>43</v>
      </c>
      <c r="Q159" s="1" t="s">
        <v>349</v>
      </c>
      <c r="R159" s="1" t="s">
        <v>561</v>
      </c>
      <c r="S159" s="5">
        <v>4247</v>
      </c>
      <c r="T159" s="1" t="s">
        <v>41</v>
      </c>
      <c r="U159" s="6">
        <v>46313.86041666667</v>
      </c>
      <c r="V159" s="6">
        <v>46313.859027777777</v>
      </c>
      <c r="W159" s="7" t="s">
        <v>562</v>
      </c>
      <c r="X159" s="5">
        <v>22411</v>
      </c>
      <c r="Y159" s="4"/>
      <c r="Z159" s="5">
        <v>0</v>
      </c>
      <c r="AA159" s="8">
        <v>0.85416666666666663</v>
      </c>
      <c r="AB159" s="5">
        <v>7</v>
      </c>
      <c r="AC159" s="1" t="s">
        <v>41</v>
      </c>
      <c r="AD159" s="9" t="str">
        <f t="shared" si="0"/>
        <v>Actual</v>
      </c>
      <c r="AE159" s="9" t="str">
        <f t="shared" si="1"/>
        <v>TMK7</v>
      </c>
      <c r="AF159" s="9">
        <f>HOUR(O159)</f>
        <v>20</v>
      </c>
      <c r="AG159" s="9">
        <f>DAY(O159)</f>
        <v>18</v>
      </c>
      <c r="AH159" s="9">
        <f>IFERROR((I159-K159)*24*60,0)</f>
        <v>7.0000000018626451</v>
      </c>
      <c r="AI159" s="9">
        <f t="shared" si="2"/>
        <v>7.0000000018626451</v>
      </c>
      <c r="AJ159" s="9">
        <f>C159</f>
        <v>2141</v>
      </c>
      <c r="AK159" s="9">
        <f>IF(P159="completed",((V159-K159)*24*60),0)</f>
        <v>13.000000000465661</v>
      </c>
      <c r="AL159" s="9">
        <f>IF(P159="completed",((U159-K159)*24*60),0)</f>
        <v>15.000000006984919</v>
      </c>
      <c r="AM159" s="9" t="str">
        <f t="shared" si="3"/>
        <v>OTP Achieved</v>
      </c>
      <c r="AN159" s="9" t="str">
        <f t="shared" si="4"/>
        <v>OTP Achieved</v>
      </c>
    </row>
    <row r="160" spans="1:41" ht="16">
      <c r="A160" s="3" t="s">
        <v>40</v>
      </c>
      <c r="B160" s="6">
        <v>46313.854166666664</v>
      </c>
      <c r="C160" s="5">
        <v>3896</v>
      </c>
      <c r="D160" s="1" t="s">
        <v>41</v>
      </c>
      <c r="E160" s="5">
        <v>12</v>
      </c>
      <c r="F160" s="1" t="s">
        <v>41</v>
      </c>
      <c r="G160" s="1" t="s">
        <v>41</v>
      </c>
      <c r="H160" s="1" t="s">
        <v>563</v>
      </c>
      <c r="I160" s="6">
        <v>46313.854166666664</v>
      </c>
      <c r="J160" s="1" t="s">
        <v>41</v>
      </c>
      <c r="K160" s="6">
        <v>46313.849305555559</v>
      </c>
      <c r="L160" s="5">
        <v>27</v>
      </c>
      <c r="M160" s="4"/>
      <c r="N160" s="1"/>
      <c r="O160" s="6">
        <v>46313.847916666666</v>
      </c>
      <c r="P160" s="1" t="s">
        <v>43</v>
      </c>
      <c r="Q160" s="1" t="s">
        <v>44</v>
      </c>
      <c r="R160" s="1" t="s">
        <v>564</v>
      </c>
      <c r="S160" s="5">
        <v>4247</v>
      </c>
      <c r="T160" s="1" t="s">
        <v>41</v>
      </c>
      <c r="U160" s="6">
        <v>46313.863888888889</v>
      </c>
      <c r="V160" s="6">
        <v>46313.861805555556</v>
      </c>
      <c r="W160" s="7" t="s">
        <v>565</v>
      </c>
      <c r="X160" s="5">
        <v>22411</v>
      </c>
      <c r="Y160" s="4"/>
      <c r="Z160" s="5">
        <v>0</v>
      </c>
      <c r="AA160" s="8">
        <v>0.85416666666666663</v>
      </c>
      <c r="AB160" s="5">
        <v>11</v>
      </c>
      <c r="AC160" s="1" t="s">
        <v>41</v>
      </c>
      <c r="AD160" s="9" t="str">
        <f t="shared" si="0"/>
        <v>Actual</v>
      </c>
      <c r="AE160" s="9" t="str">
        <f t="shared" si="1"/>
        <v>TMK7</v>
      </c>
      <c r="AF160" s="9">
        <f>HOUR(O160)</f>
        <v>20</v>
      </c>
      <c r="AG160" s="9">
        <f>DAY(O160)</f>
        <v>18</v>
      </c>
      <c r="AH160" s="9">
        <f>IFERROR((I160-K160)*24*60,0)</f>
        <v>6.9999999913852662</v>
      </c>
      <c r="AI160" s="9">
        <f t="shared" si="2"/>
        <v>6.9999999913852662</v>
      </c>
      <c r="AJ160" s="9">
        <f>C160</f>
        <v>3896</v>
      </c>
      <c r="AK160" s="9">
        <f>IF(P160="completed",((V160-K160)*24*60),0)</f>
        <v>17.999999995809048</v>
      </c>
      <c r="AL160" s="9">
        <f>IF(P160="completed",((U160-K160)*24*60),0)</f>
        <v>20.999999995110556</v>
      </c>
      <c r="AM160" s="9" t="str">
        <f t="shared" si="3"/>
        <v>OTP Achieved</v>
      </c>
      <c r="AN160" s="9" t="str">
        <f t="shared" si="4"/>
        <v>OTP Achieved</v>
      </c>
    </row>
    <row r="161" spans="1:40" ht="16">
      <c r="A161" s="3" t="s">
        <v>72</v>
      </c>
      <c r="B161" s="6">
        <v>46313.852083333331</v>
      </c>
      <c r="C161" s="5">
        <v>1221</v>
      </c>
      <c r="D161" s="1" t="s">
        <v>41</v>
      </c>
      <c r="E161" s="5">
        <v>4</v>
      </c>
      <c r="F161" s="1" t="s">
        <v>41</v>
      </c>
      <c r="G161" s="1" t="s">
        <v>41</v>
      </c>
      <c r="H161" s="1" t="s">
        <v>566</v>
      </c>
      <c r="I161" s="6">
        <v>46313.852083333331</v>
      </c>
      <c r="J161" s="1" t="s">
        <v>41</v>
      </c>
      <c r="K161" s="6">
        <v>46313.849305555559</v>
      </c>
      <c r="L161" s="5">
        <v>35</v>
      </c>
      <c r="M161" s="4"/>
      <c r="N161" s="1"/>
      <c r="O161" s="6">
        <v>46313.847916666666</v>
      </c>
      <c r="P161" s="1" t="s">
        <v>43</v>
      </c>
      <c r="Q161" s="1" t="s">
        <v>74</v>
      </c>
      <c r="R161" s="1" t="s">
        <v>567</v>
      </c>
      <c r="S161" s="5">
        <v>4247</v>
      </c>
      <c r="T161" s="1" t="s">
        <v>41</v>
      </c>
      <c r="U161" s="6">
        <v>46313.855555555558</v>
      </c>
      <c r="V161" s="6">
        <v>46313.854166666664</v>
      </c>
      <c r="W161" s="7" t="s">
        <v>568</v>
      </c>
      <c r="X161" s="5">
        <v>22411</v>
      </c>
      <c r="Y161" s="4"/>
      <c r="Z161" s="5">
        <v>0</v>
      </c>
      <c r="AA161" s="8">
        <v>0.8520833333333333</v>
      </c>
      <c r="AB161" s="5">
        <v>3</v>
      </c>
      <c r="AC161" s="1" t="s">
        <v>41</v>
      </c>
      <c r="AD161" s="9" t="str">
        <f t="shared" si="0"/>
        <v>Actual</v>
      </c>
      <c r="AE161" s="9" t="str">
        <f t="shared" si="1"/>
        <v>TMK7</v>
      </c>
      <c r="AF161" s="9">
        <f>HOUR(O161)</f>
        <v>20</v>
      </c>
      <c r="AG161" s="9">
        <f>DAY(O161)</f>
        <v>18</v>
      </c>
      <c r="AH161" s="9">
        <f>IFERROR((I161-K161)*24*60,0)</f>
        <v>3.9999999920837581</v>
      </c>
      <c r="AI161" s="9">
        <f t="shared" si="2"/>
        <v>3.9999999920837581</v>
      </c>
      <c r="AJ161" s="9">
        <f>C161</f>
        <v>1221</v>
      </c>
      <c r="AK161" s="9">
        <f>IF(P161="completed",((V161-K161)*24*60),0)</f>
        <v>6.9999999913852662</v>
      </c>
      <c r="AL161" s="9">
        <f>IF(P161="completed",((U161-K161)*24*60),0)</f>
        <v>8.9999999979045242</v>
      </c>
      <c r="AM161" s="9" t="str">
        <f t="shared" si="3"/>
        <v>OTP Achieved</v>
      </c>
      <c r="AN161" s="9" t="str">
        <f t="shared" si="4"/>
        <v>OTP Achieved</v>
      </c>
    </row>
    <row r="162" spans="1:40" ht="16">
      <c r="A162" s="3" t="s">
        <v>77</v>
      </c>
      <c r="B162" s="6">
        <v>46313.852083333331</v>
      </c>
      <c r="C162" s="5">
        <v>2978</v>
      </c>
      <c r="D162" s="1" t="s">
        <v>41</v>
      </c>
      <c r="E162" s="5">
        <v>8</v>
      </c>
      <c r="F162" s="1" t="s">
        <v>41</v>
      </c>
      <c r="G162" s="1" t="s">
        <v>41</v>
      </c>
      <c r="H162" s="1" t="s">
        <v>569</v>
      </c>
      <c r="I162" s="6">
        <v>46313.852083333331</v>
      </c>
      <c r="J162" s="1" t="s">
        <v>41</v>
      </c>
      <c r="K162" s="6">
        <v>46313.847916666666</v>
      </c>
      <c r="L162" s="5">
        <v>18</v>
      </c>
      <c r="M162" s="4"/>
      <c r="N162" s="1"/>
      <c r="O162" s="6">
        <v>46313.84652777778</v>
      </c>
      <c r="P162" s="1" t="s">
        <v>43</v>
      </c>
      <c r="Q162" s="1" t="s">
        <v>79</v>
      </c>
      <c r="R162" s="1" t="s">
        <v>570</v>
      </c>
      <c r="S162" s="5">
        <v>4247</v>
      </c>
      <c r="T162" s="1" t="s">
        <v>41</v>
      </c>
      <c r="U162" s="6">
        <v>46313.859027777777</v>
      </c>
      <c r="V162" s="6">
        <v>46313.856944444444</v>
      </c>
      <c r="W162" s="7" t="s">
        <v>571</v>
      </c>
      <c r="X162" s="5">
        <v>22411</v>
      </c>
      <c r="Y162" s="4"/>
      <c r="Z162" s="5">
        <v>0</v>
      </c>
      <c r="AA162" s="8">
        <v>0.8520833333333333</v>
      </c>
      <c r="AB162" s="5">
        <v>7</v>
      </c>
      <c r="AC162" s="1" t="s">
        <v>41</v>
      </c>
      <c r="AD162" s="9" t="str">
        <f t="shared" si="0"/>
        <v>Actual</v>
      </c>
      <c r="AE162" s="9" t="str">
        <f t="shared" si="1"/>
        <v>TMK7</v>
      </c>
      <c r="AF162" s="9">
        <f>HOUR(O162)</f>
        <v>20</v>
      </c>
      <c r="AG162" s="9">
        <f>DAY(O162)</f>
        <v>18</v>
      </c>
      <c r="AH162" s="9">
        <f>IFERROR((I162-K162)*24*60,0)</f>
        <v>5.9999999986030161</v>
      </c>
      <c r="AI162" s="9">
        <f t="shared" si="2"/>
        <v>5.9999999986030161</v>
      </c>
      <c r="AJ162" s="9">
        <f>C162</f>
        <v>2978</v>
      </c>
      <c r="AK162" s="9">
        <f>IF(P162="completed",((V162-K162)*24*60),0)</f>
        <v>13.000000000465661</v>
      </c>
      <c r="AL162" s="9">
        <f>IF(P162="completed",((U162-K162)*24*60),0)</f>
        <v>15.999999999767169</v>
      </c>
      <c r="AM162" s="9" t="str">
        <f t="shared" si="3"/>
        <v>OTP Achieved</v>
      </c>
      <c r="AN162" s="9" t="str">
        <f t="shared" si="4"/>
        <v>OTP Achieved</v>
      </c>
    </row>
    <row r="163" spans="1:40" ht="16">
      <c r="A163" s="3" t="s">
        <v>47</v>
      </c>
      <c r="B163" s="6">
        <v>46313.851388888892</v>
      </c>
      <c r="C163" s="5">
        <v>290</v>
      </c>
      <c r="D163" s="1" t="s">
        <v>41</v>
      </c>
      <c r="E163" s="5">
        <v>0</v>
      </c>
      <c r="F163" s="1" t="s">
        <v>41</v>
      </c>
      <c r="G163" s="1" t="s">
        <v>41</v>
      </c>
      <c r="H163" s="1" t="s">
        <v>572</v>
      </c>
      <c r="I163" s="6">
        <v>46313.852083333331</v>
      </c>
      <c r="J163" s="1" t="s">
        <v>41</v>
      </c>
      <c r="K163" s="6">
        <v>46313.84652777778</v>
      </c>
      <c r="L163" s="5">
        <v>17</v>
      </c>
      <c r="M163" s="4"/>
      <c r="N163" s="1"/>
      <c r="O163" s="6">
        <v>46313.84375</v>
      </c>
      <c r="P163" s="1" t="s">
        <v>43</v>
      </c>
      <c r="Q163" s="1" t="s">
        <v>49</v>
      </c>
      <c r="R163" s="1" t="s">
        <v>573</v>
      </c>
      <c r="S163" s="5">
        <v>4247</v>
      </c>
      <c r="T163" s="1" t="s">
        <v>41</v>
      </c>
      <c r="U163" s="6">
        <v>46313.852777777778</v>
      </c>
      <c r="V163" s="6">
        <v>46313.852083333331</v>
      </c>
      <c r="W163" s="7" t="s">
        <v>574</v>
      </c>
      <c r="X163" s="5">
        <v>22411</v>
      </c>
      <c r="Y163" s="4"/>
      <c r="Z163" s="5">
        <v>0</v>
      </c>
      <c r="AA163" s="8">
        <v>0.85138888888888886</v>
      </c>
      <c r="AB163" s="5">
        <v>0</v>
      </c>
      <c r="AC163" s="1" t="s">
        <v>41</v>
      </c>
      <c r="AD163" s="9" t="str">
        <f t="shared" si="0"/>
        <v>Actual</v>
      </c>
      <c r="AE163" s="9" t="str">
        <f t="shared" si="1"/>
        <v>TMK7</v>
      </c>
      <c r="AF163" s="9">
        <f>HOUR(O163)</f>
        <v>20</v>
      </c>
      <c r="AG163" s="9">
        <f>DAY(O163)</f>
        <v>18</v>
      </c>
      <c r="AH163" s="9">
        <f>IFERROR((I163-K163)*24*60,0)</f>
        <v>7.9999999946448952</v>
      </c>
      <c r="AI163" s="9">
        <f t="shared" si="2"/>
        <v>7.9999999946448952</v>
      </c>
      <c r="AJ163" s="9">
        <f>C163</f>
        <v>290</v>
      </c>
      <c r="AK163" s="9">
        <f>IF(P163="completed",((V163-K163)*24*60),0)</f>
        <v>7.9999999946448952</v>
      </c>
      <c r="AL163" s="9">
        <f>IF(P163="completed",((U163-K163)*24*60),0)</f>
        <v>8.9999999979045242</v>
      </c>
      <c r="AM163" s="9" t="str">
        <f t="shared" si="3"/>
        <v>OTP Achieved</v>
      </c>
      <c r="AN163" s="9" t="str">
        <f t="shared" si="4"/>
        <v>OTP Achieved</v>
      </c>
    </row>
    <row r="164" spans="1:40" ht="16">
      <c r="A164" s="3" t="s">
        <v>117</v>
      </c>
      <c r="B164" s="6">
        <v>46313.851388888892</v>
      </c>
      <c r="C164" s="5">
        <v>2044</v>
      </c>
      <c r="D164" s="1" t="s">
        <v>41</v>
      </c>
      <c r="E164" s="5">
        <v>7</v>
      </c>
      <c r="F164" s="1" t="s">
        <v>41</v>
      </c>
      <c r="G164" s="1" t="s">
        <v>41</v>
      </c>
      <c r="H164" s="1" t="s">
        <v>575</v>
      </c>
      <c r="I164" s="6">
        <v>46313.852083333331</v>
      </c>
      <c r="J164" s="1" t="s">
        <v>41</v>
      </c>
      <c r="K164" s="6">
        <v>46313.845138888886</v>
      </c>
      <c r="L164" s="5">
        <v>39</v>
      </c>
      <c r="M164" s="4"/>
      <c r="N164" s="1"/>
      <c r="O164" s="6">
        <v>46313.84375</v>
      </c>
      <c r="P164" s="1" t="s">
        <v>43</v>
      </c>
      <c r="Q164" s="1" t="s">
        <v>119</v>
      </c>
      <c r="R164" s="1" t="s">
        <v>576</v>
      </c>
      <c r="S164" s="5">
        <v>4247</v>
      </c>
      <c r="T164" s="1" t="s">
        <v>41</v>
      </c>
      <c r="U164" s="6">
        <v>46313.857638888891</v>
      </c>
      <c r="V164" s="6">
        <v>46313.856249999997</v>
      </c>
      <c r="W164" s="7" t="s">
        <v>577</v>
      </c>
      <c r="X164" s="5">
        <v>22411</v>
      </c>
      <c r="Y164" s="4"/>
      <c r="Z164" s="5">
        <v>0</v>
      </c>
      <c r="AA164" s="8">
        <v>0.85138888888888886</v>
      </c>
      <c r="AB164" s="5">
        <v>6</v>
      </c>
      <c r="AC164" s="1" t="s">
        <v>41</v>
      </c>
      <c r="AD164" s="9" t="str">
        <f t="shared" si="0"/>
        <v>Actual</v>
      </c>
      <c r="AE164" s="9" t="str">
        <f t="shared" si="1"/>
        <v>TMK7</v>
      </c>
      <c r="AF164" s="9">
        <f>HOUR(O164)</f>
        <v>20</v>
      </c>
      <c r="AG164" s="9">
        <f>DAY(O164)</f>
        <v>18</v>
      </c>
      <c r="AH164" s="9">
        <f>IFERROR((I164-K164)*24*60,0)</f>
        <v>10.000000001164153</v>
      </c>
      <c r="AI164" s="9">
        <f t="shared" si="2"/>
        <v>10.000000001164153</v>
      </c>
      <c r="AJ164" s="9">
        <f>C164</f>
        <v>2044</v>
      </c>
      <c r="AK164" s="9">
        <f>IF(P164="completed",((V164-K164)*24*60),0)</f>
        <v>15.999999999767169</v>
      </c>
      <c r="AL164" s="9">
        <f>IF(P164="completed",((U164-K164)*24*60),0)</f>
        <v>18.000000006286427</v>
      </c>
      <c r="AM164" s="9" t="str">
        <f t="shared" si="3"/>
        <v>OTP Achieved</v>
      </c>
      <c r="AN164" s="9" t="str">
        <f t="shared" si="4"/>
        <v>OTP Achieved</v>
      </c>
    </row>
    <row r="165" spans="1:40" ht="16">
      <c r="A165" s="3" t="s">
        <v>52</v>
      </c>
      <c r="B165" s="6">
        <v>46313.849305555559</v>
      </c>
      <c r="C165" s="5">
        <v>1560</v>
      </c>
      <c r="D165" s="1" t="s">
        <v>41</v>
      </c>
      <c r="E165" s="5">
        <v>6</v>
      </c>
      <c r="F165" s="1" t="s">
        <v>41</v>
      </c>
      <c r="G165" s="1" t="s">
        <v>41</v>
      </c>
      <c r="H165" s="1" t="s">
        <v>578</v>
      </c>
      <c r="I165" s="6">
        <v>46313.85</v>
      </c>
      <c r="J165" s="1" t="s">
        <v>41</v>
      </c>
      <c r="K165" s="6">
        <v>46313.845833333333</v>
      </c>
      <c r="L165" s="5">
        <v>37</v>
      </c>
      <c r="M165" s="4"/>
      <c r="N165" s="1"/>
      <c r="O165" s="6">
        <v>46313.84375</v>
      </c>
      <c r="P165" s="1" t="s">
        <v>43</v>
      </c>
      <c r="Q165" s="1" t="s">
        <v>54</v>
      </c>
      <c r="R165" s="1" t="s">
        <v>579</v>
      </c>
      <c r="S165" s="5">
        <v>4247</v>
      </c>
      <c r="T165" s="1" t="s">
        <v>41</v>
      </c>
      <c r="U165" s="6">
        <v>46313.854861111111</v>
      </c>
      <c r="V165" s="6">
        <v>46313.853472222225</v>
      </c>
      <c r="W165" s="7" t="s">
        <v>580</v>
      </c>
      <c r="X165" s="5">
        <v>22411</v>
      </c>
      <c r="Y165" s="4"/>
      <c r="Z165" s="5">
        <v>0</v>
      </c>
      <c r="AA165" s="8">
        <v>0.84930555555555554</v>
      </c>
      <c r="AB165" s="5">
        <v>5</v>
      </c>
      <c r="AC165" s="1" t="s">
        <v>41</v>
      </c>
      <c r="AD165" s="9" t="str">
        <f t="shared" si="0"/>
        <v>Actual</v>
      </c>
      <c r="AE165" s="9" t="str">
        <f t="shared" si="1"/>
        <v>TMK7</v>
      </c>
      <c r="AF165" s="9">
        <f>HOUR(O165)</f>
        <v>20</v>
      </c>
      <c r="AG165" s="9">
        <f>DAY(O165)</f>
        <v>18</v>
      </c>
      <c r="AH165" s="9">
        <f>IFERROR((I165-K165)*24*60,0)</f>
        <v>5.9999999986030161</v>
      </c>
      <c r="AI165" s="9">
        <f t="shared" si="2"/>
        <v>5.9999999986030161</v>
      </c>
      <c r="AJ165" s="9">
        <f>C165</f>
        <v>1560</v>
      </c>
      <c r="AK165" s="9">
        <f>IF(P165="completed",((V165-K165)*24*60),0)</f>
        <v>11.000000004423782</v>
      </c>
      <c r="AL165" s="9">
        <f>IF(P165="completed",((U165-K165)*24*60),0)</f>
        <v>13.000000000465661</v>
      </c>
      <c r="AM165" s="9" t="str">
        <f t="shared" si="3"/>
        <v>OTP Achieved</v>
      </c>
      <c r="AN165" s="9" t="str">
        <f t="shared" si="4"/>
        <v>OTP Achieved</v>
      </c>
    </row>
    <row r="166" spans="1:40" ht="16">
      <c r="A166" s="3" t="s">
        <v>67</v>
      </c>
      <c r="B166" s="6">
        <v>46313.849305555559</v>
      </c>
      <c r="C166" s="5">
        <v>3760</v>
      </c>
      <c r="D166" s="1" t="s">
        <v>41</v>
      </c>
      <c r="E166" s="5">
        <v>10</v>
      </c>
      <c r="F166" s="1" t="s">
        <v>41</v>
      </c>
      <c r="G166" s="1" t="s">
        <v>41</v>
      </c>
      <c r="H166" s="1" t="s">
        <v>581</v>
      </c>
      <c r="I166" s="6">
        <v>46313.849305555559</v>
      </c>
      <c r="J166" s="1" t="s">
        <v>41</v>
      </c>
      <c r="K166" s="6">
        <v>46313.84375</v>
      </c>
      <c r="L166" s="5">
        <v>35</v>
      </c>
      <c r="M166" s="4"/>
      <c r="N166" s="1"/>
      <c r="O166" s="6">
        <v>46313.843055555553</v>
      </c>
      <c r="P166" s="1" t="s">
        <v>43</v>
      </c>
      <c r="Q166" s="1" t="s">
        <v>69</v>
      </c>
      <c r="R166" s="1" t="s">
        <v>582</v>
      </c>
      <c r="S166" s="5">
        <v>4247</v>
      </c>
      <c r="T166" s="1" t="s">
        <v>41</v>
      </c>
      <c r="U166" s="6">
        <v>46313.85833333333</v>
      </c>
      <c r="V166" s="6">
        <v>46313.856249999997</v>
      </c>
      <c r="W166" s="7" t="s">
        <v>583</v>
      </c>
      <c r="X166" s="5">
        <v>22411</v>
      </c>
      <c r="Y166" s="4"/>
      <c r="Z166" s="5">
        <v>0</v>
      </c>
      <c r="AA166" s="8">
        <v>0.84930555555555554</v>
      </c>
      <c r="AB166" s="5">
        <v>10</v>
      </c>
      <c r="AC166" s="1" t="s">
        <v>41</v>
      </c>
      <c r="AD166" s="9" t="str">
        <f t="shared" si="0"/>
        <v>Actual</v>
      </c>
      <c r="AE166" s="9" t="str">
        <f t="shared" si="1"/>
        <v>TMK7</v>
      </c>
      <c r="AF166" s="9">
        <f>HOUR(O166)</f>
        <v>20</v>
      </c>
      <c r="AG166" s="9">
        <f>DAY(O166)</f>
        <v>18</v>
      </c>
      <c r="AH166" s="9">
        <f>IFERROR((I166-K166)*24*60,0)</f>
        <v>8.0000000051222742</v>
      </c>
      <c r="AI166" s="9">
        <f t="shared" si="2"/>
        <v>8.0000000051222742</v>
      </c>
      <c r="AJ166" s="9">
        <f>C166</f>
        <v>3760</v>
      </c>
      <c r="AK166" s="9">
        <f>IF(P166="completed",((V166-K166)*24*60),0)</f>
        <v>17.999999995809048</v>
      </c>
      <c r="AL166" s="9">
        <f>IF(P166="completed",((U166-K166)*24*60),0)</f>
        <v>20.999999995110556</v>
      </c>
      <c r="AM166" s="9" t="str">
        <f t="shared" si="3"/>
        <v>OTP Achieved</v>
      </c>
      <c r="AN166" s="9" t="str">
        <f t="shared" si="4"/>
        <v>OTP Achieved</v>
      </c>
    </row>
    <row r="167" spans="1:40" ht="16">
      <c r="A167" s="3" t="s">
        <v>177</v>
      </c>
      <c r="B167" s="6">
        <v>46313.848611111112</v>
      </c>
      <c r="C167" s="5">
        <v>1838</v>
      </c>
      <c r="D167" s="1" t="s">
        <v>41</v>
      </c>
      <c r="E167" s="5">
        <v>9</v>
      </c>
      <c r="F167" s="1" t="s">
        <v>41</v>
      </c>
      <c r="G167" s="1" t="s">
        <v>41</v>
      </c>
      <c r="H167" s="1" t="s">
        <v>584</v>
      </c>
      <c r="I167" s="6">
        <v>46313.848611111112</v>
      </c>
      <c r="J167" s="1" t="s">
        <v>41</v>
      </c>
      <c r="K167" s="6">
        <v>46313.843055555553</v>
      </c>
      <c r="L167" s="5">
        <v>34</v>
      </c>
      <c r="M167" s="4"/>
      <c r="N167" s="1"/>
      <c r="O167" s="6">
        <v>46313.842361111114</v>
      </c>
      <c r="P167" s="1" t="s">
        <v>43</v>
      </c>
      <c r="Q167" s="1" t="s">
        <v>179</v>
      </c>
      <c r="R167" s="1" t="s">
        <v>585</v>
      </c>
      <c r="S167" s="5">
        <v>4247</v>
      </c>
      <c r="T167" s="1" t="s">
        <v>41</v>
      </c>
      <c r="U167" s="6">
        <v>46313.853472222225</v>
      </c>
      <c r="V167" s="6">
        <v>46313.854166666664</v>
      </c>
      <c r="W167" s="7" t="s">
        <v>586</v>
      </c>
      <c r="X167" s="5">
        <v>22411</v>
      </c>
      <c r="Y167" s="4"/>
      <c r="Z167" s="5">
        <v>0</v>
      </c>
      <c r="AA167" s="8">
        <v>0.84861111111111109</v>
      </c>
      <c r="AB167" s="5">
        <v>8</v>
      </c>
      <c r="AC167" s="1" t="s">
        <v>41</v>
      </c>
      <c r="AD167" s="9" t="str">
        <f t="shared" si="0"/>
        <v>Actual</v>
      </c>
      <c r="AE167" s="9" t="str">
        <f t="shared" si="1"/>
        <v>TMK7</v>
      </c>
      <c r="AF167" s="9">
        <f>HOUR(O167)</f>
        <v>20</v>
      </c>
      <c r="AG167" s="9">
        <f>DAY(O167)</f>
        <v>18</v>
      </c>
      <c r="AH167" s="9">
        <f>IFERROR((I167-K167)*24*60,0)</f>
        <v>8.0000000051222742</v>
      </c>
      <c r="AI167" s="9">
        <f t="shared" si="2"/>
        <v>8.0000000051222742</v>
      </c>
      <c r="AJ167" s="9">
        <f>C167</f>
        <v>1838</v>
      </c>
      <c r="AK167" s="9">
        <f>IF(P167="completed",((V167-K167)*24*60),0)</f>
        <v>15.999999999767169</v>
      </c>
      <c r="AL167" s="9">
        <f>IF(P167="completed",((U167-K167)*24*60),0)</f>
        <v>15.000000006984919</v>
      </c>
      <c r="AM167" s="9" t="str">
        <f t="shared" si="3"/>
        <v>OTP Breached</v>
      </c>
      <c r="AN167" s="9" t="str">
        <f t="shared" si="4"/>
        <v>OTP Achieved</v>
      </c>
    </row>
    <row r="168" spans="1:40" ht="16">
      <c r="A168" s="3" t="s">
        <v>157</v>
      </c>
      <c r="B168" s="6">
        <v>46313.847222222219</v>
      </c>
      <c r="C168" s="5">
        <v>1283</v>
      </c>
      <c r="D168" s="1" t="s">
        <v>41</v>
      </c>
      <c r="E168" s="5">
        <v>6</v>
      </c>
      <c r="F168" s="1" t="s">
        <v>41</v>
      </c>
      <c r="G168" s="1" t="s">
        <v>41</v>
      </c>
      <c r="H168" s="1" t="s">
        <v>587</v>
      </c>
      <c r="I168" s="6">
        <v>46313.847916666666</v>
      </c>
      <c r="J168" s="1" t="s">
        <v>41</v>
      </c>
      <c r="K168" s="6">
        <v>46313.843055555553</v>
      </c>
      <c r="L168" s="5">
        <v>39</v>
      </c>
      <c r="M168" s="4"/>
      <c r="N168" s="1"/>
      <c r="O168" s="6">
        <v>46313.842361111114</v>
      </c>
      <c r="P168" s="1" t="s">
        <v>43</v>
      </c>
      <c r="Q168" s="1" t="s">
        <v>159</v>
      </c>
      <c r="R168" s="1" t="s">
        <v>588</v>
      </c>
      <c r="S168" s="5">
        <v>4247</v>
      </c>
      <c r="T168" s="1" t="s">
        <v>41</v>
      </c>
      <c r="U168" s="6">
        <v>46313.852777777778</v>
      </c>
      <c r="V168" s="6">
        <v>46313.851388888892</v>
      </c>
      <c r="W168" s="7" t="s">
        <v>589</v>
      </c>
      <c r="X168" s="5">
        <v>22411</v>
      </c>
      <c r="Y168" s="4"/>
      <c r="Z168" s="5">
        <v>0</v>
      </c>
      <c r="AA168" s="8">
        <v>0.84722222222222221</v>
      </c>
      <c r="AB168" s="5">
        <v>5</v>
      </c>
      <c r="AC168" s="1" t="s">
        <v>41</v>
      </c>
      <c r="AD168" s="9" t="str">
        <f t="shared" si="0"/>
        <v>Actual</v>
      </c>
      <c r="AE168" s="9" t="str">
        <f t="shared" si="1"/>
        <v>TMK7</v>
      </c>
      <c r="AF168" s="9">
        <f>HOUR(O168)</f>
        <v>20</v>
      </c>
      <c r="AG168" s="9">
        <f>DAY(O168)</f>
        <v>18</v>
      </c>
      <c r="AH168" s="9">
        <f>IFERROR((I168-K168)*24*60,0)</f>
        <v>7.0000000018626451</v>
      </c>
      <c r="AI168" s="9">
        <f t="shared" si="2"/>
        <v>7.0000000018626451</v>
      </c>
      <c r="AJ168" s="9">
        <f>C168</f>
        <v>1283</v>
      </c>
      <c r="AK168" s="9">
        <f>IF(P168="completed",((V168-K168)*24*60),0)</f>
        <v>12.000000007683411</v>
      </c>
      <c r="AL168" s="9">
        <f>IF(P168="completed",((U168-K168)*24*60),0)</f>
        <v>14.00000000372529</v>
      </c>
      <c r="AM168" s="9" t="str">
        <f t="shared" si="3"/>
        <v>OTP Achieved</v>
      </c>
      <c r="AN168" s="9" t="str">
        <f t="shared" si="4"/>
        <v>OTP Achieved</v>
      </c>
    </row>
    <row r="169" spans="1:40" ht="16">
      <c r="A169" s="3" t="s">
        <v>347</v>
      </c>
      <c r="B169" s="6">
        <v>46313.84652777778</v>
      </c>
      <c r="C169" s="5">
        <v>486</v>
      </c>
      <c r="D169" s="1" t="s">
        <v>41</v>
      </c>
      <c r="E169" s="5">
        <v>2</v>
      </c>
      <c r="F169" s="1" t="s">
        <v>41</v>
      </c>
      <c r="G169" s="1" t="s">
        <v>41</v>
      </c>
      <c r="H169" s="1" t="s">
        <v>590</v>
      </c>
      <c r="I169" s="6">
        <v>46313.847222222219</v>
      </c>
      <c r="J169" s="1" t="s">
        <v>41</v>
      </c>
      <c r="K169" s="6">
        <v>46313.842361111114</v>
      </c>
      <c r="L169" s="5">
        <v>25</v>
      </c>
      <c r="M169" s="4"/>
      <c r="N169" s="1"/>
      <c r="O169" s="6">
        <v>46313.840277777781</v>
      </c>
      <c r="P169" s="1" t="s">
        <v>43</v>
      </c>
      <c r="Q169" s="1" t="s">
        <v>349</v>
      </c>
      <c r="R169" s="1" t="s">
        <v>591</v>
      </c>
      <c r="S169" s="5">
        <v>4247</v>
      </c>
      <c r="T169" s="1" t="s">
        <v>41</v>
      </c>
      <c r="U169" s="6">
        <v>46313.849305555559</v>
      </c>
      <c r="V169" s="6">
        <v>46313.848611111112</v>
      </c>
      <c r="W169" s="7" t="s">
        <v>592</v>
      </c>
      <c r="X169" s="5">
        <v>22411</v>
      </c>
      <c r="Y169" s="4"/>
      <c r="Z169" s="5">
        <v>0</v>
      </c>
      <c r="AA169" s="8">
        <v>0.84652777777777777</v>
      </c>
      <c r="AB169" s="5">
        <v>2</v>
      </c>
      <c r="AC169" s="1" t="s">
        <v>41</v>
      </c>
      <c r="AD169" s="9" t="str">
        <f t="shared" si="0"/>
        <v>Actual</v>
      </c>
      <c r="AE169" s="9" t="str">
        <f t="shared" si="1"/>
        <v>TMK7</v>
      </c>
      <c r="AF169" s="9">
        <f>HOUR(O169)</f>
        <v>20</v>
      </c>
      <c r="AG169" s="9">
        <f>DAY(O169)</f>
        <v>18</v>
      </c>
      <c r="AH169" s="9">
        <f>IFERROR((I169-K169)*24*60,0)</f>
        <v>6.9999999913852662</v>
      </c>
      <c r="AI169" s="9">
        <f t="shared" si="2"/>
        <v>6.9999999913852662</v>
      </c>
      <c r="AJ169" s="9">
        <f>C169</f>
        <v>486</v>
      </c>
      <c r="AK169" s="9">
        <f>IF(P169="completed",((V169-K169)*24*60),0)</f>
        <v>8.9999999979045242</v>
      </c>
      <c r="AL169" s="9">
        <f>IF(P169="completed",((U169-K169)*24*60),0)</f>
        <v>10.000000001164153</v>
      </c>
      <c r="AM169" s="9" t="str">
        <f t="shared" si="3"/>
        <v>OTP Achieved</v>
      </c>
      <c r="AN169" s="9" t="str">
        <f t="shared" si="4"/>
        <v>OTP Achieved</v>
      </c>
    </row>
    <row r="170" spans="1:40" ht="16">
      <c r="A170" s="3" t="s">
        <v>339</v>
      </c>
      <c r="B170" s="6">
        <v>46313.84652777778</v>
      </c>
      <c r="C170" s="5">
        <v>2752</v>
      </c>
      <c r="D170" s="1" t="s">
        <v>41</v>
      </c>
      <c r="E170" s="5">
        <v>11</v>
      </c>
      <c r="F170" s="1" t="s">
        <v>41</v>
      </c>
      <c r="G170" s="1" t="s">
        <v>41</v>
      </c>
      <c r="H170" s="1" t="s">
        <v>593</v>
      </c>
      <c r="I170" s="6">
        <v>46313.847222222219</v>
      </c>
      <c r="J170" s="1" t="s">
        <v>41</v>
      </c>
      <c r="K170" s="6">
        <v>46313.840277777781</v>
      </c>
      <c r="L170" s="5">
        <v>27</v>
      </c>
      <c r="M170" s="4"/>
      <c r="N170" s="1"/>
      <c r="O170" s="6">
        <v>46313.838194444441</v>
      </c>
      <c r="P170" s="1" t="s">
        <v>43</v>
      </c>
      <c r="Q170" s="1" t="s">
        <v>341</v>
      </c>
      <c r="R170" s="1" t="s">
        <v>594</v>
      </c>
      <c r="S170" s="5">
        <v>4247</v>
      </c>
      <c r="T170" s="1" t="s">
        <v>41</v>
      </c>
      <c r="U170" s="6">
        <v>46313.854166666664</v>
      </c>
      <c r="V170" s="6">
        <v>46313.854861111111</v>
      </c>
      <c r="W170" s="7" t="s">
        <v>595</v>
      </c>
      <c r="X170" s="5">
        <v>22411</v>
      </c>
      <c r="Y170" s="4"/>
      <c r="Z170" s="5">
        <v>0</v>
      </c>
      <c r="AA170" s="8">
        <v>0.84652777777777777</v>
      </c>
      <c r="AB170" s="5">
        <v>11</v>
      </c>
      <c r="AC170" s="1" t="s">
        <v>41</v>
      </c>
      <c r="AD170" s="9" t="str">
        <f t="shared" si="0"/>
        <v>Actual</v>
      </c>
      <c r="AE170" s="9" t="str">
        <f t="shared" si="1"/>
        <v>TMK7</v>
      </c>
      <c r="AF170" s="9">
        <f>HOUR(O170)</f>
        <v>20</v>
      </c>
      <c r="AG170" s="9">
        <f>DAY(O170)</f>
        <v>18</v>
      </c>
      <c r="AH170" s="9">
        <f>IFERROR((I170-K170)*24*60,0)</f>
        <v>9.9999999906867743</v>
      </c>
      <c r="AI170" s="9">
        <f t="shared" si="2"/>
        <v>9.9999999906867743</v>
      </c>
      <c r="AJ170" s="9">
        <f>C170</f>
        <v>2752</v>
      </c>
      <c r="AK170" s="9">
        <f>IF(P170="completed",((V170-K170)*24*60),0)</f>
        <v>20.999999995110556</v>
      </c>
      <c r="AL170" s="9">
        <f>IF(P170="completed",((U170-K170)*24*60),0)</f>
        <v>19.999999991850927</v>
      </c>
      <c r="AM170" s="9" t="str">
        <f t="shared" si="3"/>
        <v>OTP Breached</v>
      </c>
      <c r="AN170" s="9" t="str">
        <f t="shared" si="4"/>
        <v>OTP Achieved</v>
      </c>
    </row>
    <row r="171" spans="1:40" ht="16">
      <c r="A171" s="3" t="s">
        <v>106</v>
      </c>
      <c r="B171" s="6">
        <v>46313.84652777778</v>
      </c>
      <c r="C171" s="5">
        <v>3128</v>
      </c>
      <c r="D171" s="1" t="s">
        <v>41</v>
      </c>
      <c r="E171" s="5">
        <v>11</v>
      </c>
      <c r="F171" s="1" t="s">
        <v>41</v>
      </c>
      <c r="G171" s="1" t="s">
        <v>41</v>
      </c>
      <c r="H171" s="1" t="s">
        <v>596</v>
      </c>
      <c r="I171" s="6">
        <v>46313.847222222219</v>
      </c>
      <c r="J171" s="1" t="s">
        <v>41</v>
      </c>
      <c r="K171" s="6">
        <v>46313.840277777781</v>
      </c>
      <c r="L171" s="5">
        <v>16</v>
      </c>
      <c r="M171" s="4"/>
      <c r="N171" s="1"/>
      <c r="O171" s="6">
        <v>46313.838194444441</v>
      </c>
      <c r="P171" s="1" t="s">
        <v>43</v>
      </c>
      <c r="Q171" s="1" t="s">
        <v>108</v>
      </c>
      <c r="R171" s="1" t="s">
        <v>597</v>
      </c>
      <c r="S171" s="5">
        <v>4247</v>
      </c>
      <c r="T171" s="1" t="s">
        <v>41</v>
      </c>
      <c r="U171" s="6">
        <v>46313.854861111111</v>
      </c>
      <c r="V171" s="6">
        <v>46313.854166666664</v>
      </c>
      <c r="W171" s="7" t="s">
        <v>598</v>
      </c>
      <c r="X171" s="5">
        <v>22411</v>
      </c>
      <c r="Y171" s="4"/>
      <c r="Z171" s="5">
        <v>0</v>
      </c>
      <c r="AA171" s="8">
        <v>0.84652777777777777</v>
      </c>
      <c r="AB171" s="5">
        <v>11</v>
      </c>
      <c r="AC171" s="1" t="s">
        <v>41</v>
      </c>
      <c r="AD171" s="9" t="str">
        <f t="shared" si="0"/>
        <v>Actual</v>
      </c>
      <c r="AE171" s="9" t="str">
        <f t="shared" si="1"/>
        <v>TMK7</v>
      </c>
      <c r="AF171" s="9">
        <f>HOUR(O171)</f>
        <v>20</v>
      </c>
      <c r="AG171" s="9">
        <f>DAY(O171)</f>
        <v>18</v>
      </c>
      <c r="AH171" s="9">
        <f>IFERROR((I171-K171)*24*60,0)</f>
        <v>9.9999999906867743</v>
      </c>
      <c r="AI171" s="9">
        <f t="shared" si="2"/>
        <v>9.9999999906867743</v>
      </c>
      <c r="AJ171" s="9">
        <f>C171</f>
        <v>3128</v>
      </c>
      <c r="AK171" s="9">
        <f>IF(P171="completed",((V171-K171)*24*60),0)</f>
        <v>19.999999991850927</v>
      </c>
      <c r="AL171" s="9">
        <f>IF(P171="completed",((U171-K171)*24*60),0)</f>
        <v>20.999999995110556</v>
      </c>
      <c r="AM171" s="9" t="str">
        <f t="shared" si="3"/>
        <v>OTP Achieved</v>
      </c>
      <c r="AN171" s="9" t="str">
        <f t="shared" si="4"/>
        <v>OTP Achieved</v>
      </c>
    </row>
    <row r="172" spans="1:40" ht="16">
      <c r="A172" s="3" t="s">
        <v>185</v>
      </c>
      <c r="B172" s="6">
        <v>46313.84652777778</v>
      </c>
      <c r="C172" s="5">
        <v>1946</v>
      </c>
      <c r="D172" s="1" t="s">
        <v>41</v>
      </c>
      <c r="E172" s="5">
        <v>9</v>
      </c>
      <c r="F172" s="1" t="s">
        <v>41</v>
      </c>
      <c r="G172" s="1" t="s">
        <v>41</v>
      </c>
      <c r="H172" s="1" t="s">
        <v>599</v>
      </c>
      <c r="I172" s="6">
        <v>46313.84652777778</v>
      </c>
      <c r="J172" s="1" t="s">
        <v>41</v>
      </c>
      <c r="K172" s="6">
        <v>46313.841666666667</v>
      </c>
      <c r="L172" s="5">
        <v>38</v>
      </c>
      <c r="M172" s="4"/>
      <c r="N172" s="1"/>
      <c r="O172" s="6">
        <v>46313.838194444441</v>
      </c>
      <c r="P172" s="1" t="s">
        <v>43</v>
      </c>
      <c r="Q172" s="1" t="s">
        <v>187</v>
      </c>
      <c r="R172" s="1" t="s">
        <v>600</v>
      </c>
      <c r="S172" s="5">
        <v>4247</v>
      </c>
      <c r="T172" s="1" t="s">
        <v>41</v>
      </c>
      <c r="U172" s="6">
        <v>46313.851388888892</v>
      </c>
      <c r="V172" s="6">
        <v>46313.852083333331</v>
      </c>
      <c r="W172" s="7" t="s">
        <v>601</v>
      </c>
      <c r="X172" s="5">
        <v>22411</v>
      </c>
      <c r="Y172" s="4"/>
      <c r="Z172" s="5">
        <v>0</v>
      </c>
      <c r="AA172" s="8">
        <v>0.84652777777777777</v>
      </c>
      <c r="AB172" s="5">
        <v>8</v>
      </c>
      <c r="AC172" s="1" t="s">
        <v>41</v>
      </c>
      <c r="AD172" s="9" t="str">
        <f t="shared" si="0"/>
        <v>Actual</v>
      </c>
      <c r="AE172" s="9" t="str">
        <f t="shared" si="1"/>
        <v>TMK7</v>
      </c>
      <c r="AF172" s="9">
        <f>HOUR(O172)</f>
        <v>20</v>
      </c>
      <c r="AG172" s="9">
        <f>DAY(O172)</f>
        <v>18</v>
      </c>
      <c r="AH172" s="9">
        <f>IFERROR((I172-K172)*24*60,0)</f>
        <v>7.0000000018626451</v>
      </c>
      <c r="AI172" s="9">
        <f t="shared" si="2"/>
        <v>7.0000000018626451</v>
      </c>
      <c r="AJ172" s="9">
        <f>C172</f>
        <v>1946</v>
      </c>
      <c r="AK172" s="9">
        <f>IF(P172="completed",((V172-K172)*24*60),0)</f>
        <v>14.99999999650754</v>
      </c>
      <c r="AL172" s="9">
        <f>IF(P172="completed",((U172-K172)*24*60),0)</f>
        <v>14.00000000372529</v>
      </c>
      <c r="AM172" s="9" t="str">
        <f t="shared" si="3"/>
        <v>OTP Breached</v>
      </c>
      <c r="AN172" s="9" t="str">
        <f t="shared" si="4"/>
        <v>OTP Achieved</v>
      </c>
    </row>
    <row r="173" spans="1:40" ht="16">
      <c r="A173" s="3" t="s">
        <v>98</v>
      </c>
      <c r="B173" s="6">
        <v>46313.845833333333</v>
      </c>
      <c r="C173" s="5">
        <v>1095</v>
      </c>
      <c r="D173" s="1" t="s">
        <v>41</v>
      </c>
      <c r="E173" s="5">
        <v>4</v>
      </c>
      <c r="F173" s="1" t="s">
        <v>41</v>
      </c>
      <c r="G173" s="1" t="s">
        <v>41</v>
      </c>
      <c r="H173" s="1" t="s">
        <v>602</v>
      </c>
      <c r="I173" s="6">
        <v>46313.84652777778</v>
      </c>
      <c r="J173" s="1" t="s">
        <v>41</v>
      </c>
      <c r="K173" s="6">
        <v>46313.838888888888</v>
      </c>
      <c r="L173" s="5">
        <v>18</v>
      </c>
      <c r="M173" s="4"/>
      <c r="N173" s="1"/>
      <c r="O173" s="6">
        <v>46313.838194444441</v>
      </c>
      <c r="P173" s="1" t="s">
        <v>43</v>
      </c>
      <c r="Q173" s="1" t="s">
        <v>100</v>
      </c>
      <c r="R173" s="1" t="s">
        <v>603</v>
      </c>
      <c r="S173" s="5">
        <v>4247</v>
      </c>
      <c r="T173" s="1" t="s">
        <v>41</v>
      </c>
      <c r="U173" s="6">
        <v>46313.85</v>
      </c>
      <c r="V173" s="6">
        <v>46313.848611111112</v>
      </c>
      <c r="W173" s="7" t="s">
        <v>604</v>
      </c>
      <c r="X173" s="5">
        <v>22411</v>
      </c>
      <c r="Y173" s="4"/>
      <c r="Z173" s="5">
        <v>0</v>
      </c>
      <c r="AA173" s="8">
        <v>0.84583333333333333</v>
      </c>
      <c r="AB173" s="5">
        <v>4</v>
      </c>
      <c r="AC173" s="1" t="s">
        <v>41</v>
      </c>
      <c r="AD173" s="9" t="str">
        <f t="shared" si="0"/>
        <v>Actual</v>
      </c>
      <c r="AE173" s="9" t="str">
        <f t="shared" si="1"/>
        <v>TMK7</v>
      </c>
      <c r="AF173" s="9">
        <f>HOUR(O173)</f>
        <v>20</v>
      </c>
      <c r="AG173" s="9">
        <f>DAY(O173)</f>
        <v>18</v>
      </c>
      <c r="AH173" s="9">
        <f>IFERROR((I173-K173)*24*60,0)</f>
        <v>11.000000004423782</v>
      </c>
      <c r="AI173" s="9">
        <f t="shared" si="2"/>
        <v>11.000000004423782</v>
      </c>
      <c r="AJ173" s="9">
        <f>C173</f>
        <v>1095</v>
      </c>
      <c r="AK173" s="9">
        <f>IF(P173="completed",((V173-K173)*24*60),0)</f>
        <v>14.00000000372529</v>
      </c>
      <c r="AL173" s="9">
        <f>IF(P173="completed",((U173-K173)*24*60),0)</f>
        <v>15.999999999767169</v>
      </c>
      <c r="AM173" s="9" t="str">
        <f t="shared" si="3"/>
        <v>OTP Achieved</v>
      </c>
      <c r="AN173" s="9" t="str">
        <f t="shared" si="4"/>
        <v>OTP Achieved</v>
      </c>
    </row>
    <row r="174" spans="1:40" ht="16">
      <c r="A174" s="3" t="s">
        <v>40</v>
      </c>
      <c r="B174" s="12">
        <v>46313.845138888886</v>
      </c>
      <c r="C174" s="5">
        <v>1124</v>
      </c>
      <c r="D174" s="1" t="s">
        <v>41</v>
      </c>
      <c r="E174" s="5">
        <v>5</v>
      </c>
      <c r="F174" s="1" t="s">
        <v>41</v>
      </c>
      <c r="G174" s="1" t="s">
        <v>41</v>
      </c>
      <c r="H174" s="1" t="s">
        <v>602</v>
      </c>
      <c r="I174" s="6">
        <v>46313.845833333333</v>
      </c>
      <c r="J174" s="1" t="s">
        <v>41</v>
      </c>
      <c r="K174" s="12">
        <v>46313.838888888888</v>
      </c>
      <c r="L174" s="5">
        <v>14</v>
      </c>
      <c r="M174" s="4"/>
      <c r="N174" s="1"/>
      <c r="O174" s="12">
        <v>46313.838194444441</v>
      </c>
      <c r="P174" s="1" t="s">
        <v>43</v>
      </c>
      <c r="Q174" s="1" t="s">
        <v>44</v>
      </c>
      <c r="R174" s="1" t="s">
        <v>605</v>
      </c>
      <c r="S174" s="5">
        <v>4247</v>
      </c>
      <c r="T174" s="1" t="s">
        <v>41</v>
      </c>
      <c r="U174" s="6">
        <v>46313.849305555559</v>
      </c>
      <c r="V174" s="6">
        <v>46313.848611111112</v>
      </c>
      <c r="W174" s="7" t="s">
        <v>606</v>
      </c>
      <c r="X174" s="5">
        <v>22411</v>
      </c>
      <c r="Y174" s="4"/>
      <c r="Z174" s="5">
        <v>0</v>
      </c>
      <c r="AA174" s="8">
        <v>0.84513888888888888</v>
      </c>
      <c r="AB174" s="5">
        <v>5</v>
      </c>
      <c r="AC174" s="1" t="s">
        <v>41</v>
      </c>
      <c r="AD174" s="9" t="str">
        <f t="shared" si="0"/>
        <v>Actual</v>
      </c>
      <c r="AE174" s="9" t="str">
        <f t="shared" si="1"/>
        <v>TMK7</v>
      </c>
      <c r="AF174" s="9">
        <f>HOUR(O174)</f>
        <v>20</v>
      </c>
      <c r="AG174" s="9">
        <f>DAY(O174)</f>
        <v>18</v>
      </c>
      <c r="AH174" s="9">
        <f>IFERROR((I174-K174)*24*60,0)</f>
        <v>10.000000001164153</v>
      </c>
      <c r="AI174" s="9">
        <f t="shared" si="2"/>
        <v>10.000000001164153</v>
      </c>
      <c r="AJ174" s="9">
        <f>C174</f>
        <v>1124</v>
      </c>
      <c r="AK174" s="9">
        <f>IF(P174="completed",((V174-K174)*24*60),0)</f>
        <v>14.00000000372529</v>
      </c>
      <c r="AL174" s="9">
        <f>IF(P174="completed",((U174-K174)*24*60),0)</f>
        <v>15.000000006984919</v>
      </c>
      <c r="AM174" s="9" t="str">
        <f t="shared" si="3"/>
        <v>OTP Achieved</v>
      </c>
      <c r="AN174" s="9" t="str">
        <f t="shared" si="4"/>
        <v>OTP Achieved</v>
      </c>
    </row>
    <row r="175" spans="1:40" ht="16">
      <c r="A175" s="3" t="s">
        <v>209</v>
      </c>
      <c r="B175" s="12">
        <v>46313.84375</v>
      </c>
      <c r="C175" s="5">
        <v>2093</v>
      </c>
      <c r="D175" s="1" t="s">
        <v>41</v>
      </c>
      <c r="E175" s="5">
        <v>8</v>
      </c>
      <c r="F175" s="1" t="s">
        <v>41</v>
      </c>
      <c r="G175" s="1" t="s">
        <v>41</v>
      </c>
      <c r="H175" s="1" t="s">
        <v>607</v>
      </c>
      <c r="I175" s="6">
        <v>46313.84375</v>
      </c>
      <c r="J175" s="1" t="s">
        <v>41</v>
      </c>
      <c r="K175" s="6">
        <v>46313.839583333334</v>
      </c>
      <c r="L175" s="5">
        <v>21</v>
      </c>
      <c r="M175" s="4"/>
      <c r="N175" s="1"/>
      <c r="O175" s="12">
        <v>46313.837500000001</v>
      </c>
      <c r="P175" s="1" t="s">
        <v>43</v>
      </c>
      <c r="Q175" s="1" t="s">
        <v>211</v>
      </c>
      <c r="R175" s="1" t="s">
        <v>608</v>
      </c>
      <c r="S175" s="5">
        <v>4247</v>
      </c>
      <c r="T175" s="1" t="s">
        <v>41</v>
      </c>
      <c r="U175" s="6">
        <v>46313.849305555559</v>
      </c>
      <c r="V175" s="6">
        <v>46313.849305555559</v>
      </c>
      <c r="W175" s="7" t="s">
        <v>609</v>
      </c>
      <c r="X175" s="5">
        <v>22411</v>
      </c>
      <c r="Y175" s="4"/>
      <c r="Z175" s="5">
        <v>0</v>
      </c>
      <c r="AA175" s="8">
        <v>0.84375</v>
      </c>
      <c r="AB175" s="5">
        <v>8</v>
      </c>
      <c r="AC175" s="1" t="s">
        <v>41</v>
      </c>
      <c r="AD175" s="9" t="str">
        <f t="shared" si="0"/>
        <v>Actual</v>
      </c>
      <c r="AE175" s="9" t="str">
        <f t="shared" si="1"/>
        <v>TMK7</v>
      </c>
      <c r="AF175" s="9">
        <f>HOUR(O175)</f>
        <v>20</v>
      </c>
      <c r="AG175" s="9">
        <f>DAY(O175)</f>
        <v>18</v>
      </c>
      <c r="AH175" s="9">
        <f>IFERROR((I175-K175)*24*60,0)</f>
        <v>5.9999999986030161</v>
      </c>
      <c r="AI175" s="9">
        <f t="shared" si="2"/>
        <v>5.9999999986030161</v>
      </c>
      <c r="AJ175" s="9">
        <f>C175</f>
        <v>2093</v>
      </c>
      <c r="AK175" s="9">
        <f>IF(P175="completed",((V175-K175)*24*60),0)</f>
        <v>14.00000000372529</v>
      </c>
      <c r="AL175" s="9">
        <f>IF(P175="completed",((U175-K175)*24*60),0)</f>
        <v>14.00000000372529</v>
      </c>
      <c r="AM175" s="9" t="str">
        <f t="shared" si="3"/>
        <v>OTP Breached</v>
      </c>
      <c r="AN175" s="9" t="str">
        <f t="shared" si="4"/>
        <v>OTP Achieved</v>
      </c>
    </row>
    <row r="176" spans="1:40" ht="16">
      <c r="A176" s="3" t="s">
        <v>198</v>
      </c>
      <c r="B176" s="12">
        <v>46313.843055555553</v>
      </c>
      <c r="C176" s="5">
        <v>2387</v>
      </c>
      <c r="D176" s="1" t="s">
        <v>41</v>
      </c>
      <c r="E176" s="5">
        <v>9</v>
      </c>
      <c r="F176" s="1" t="s">
        <v>41</v>
      </c>
      <c r="G176" s="1" t="s">
        <v>41</v>
      </c>
      <c r="H176" s="1" t="s">
        <v>610</v>
      </c>
      <c r="I176" s="6">
        <v>46313.84375</v>
      </c>
      <c r="J176" s="1" t="s">
        <v>41</v>
      </c>
      <c r="K176" s="12">
        <v>46313.838194444441</v>
      </c>
      <c r="L176" s="5">
        <v>37</v>
      </c>
      <c r="M176" s="4"/>
      <c r="N176" s="1"/>
      <c r="O176" s="12">
        <v>46313.836111111108</v>
      </c>
      <c r="P176" s="1" t="s">
        <v>43</v>
      </c>
      <c r="Q176" s="1" t="s">
        <v>200</v>
      </c>
      <c r="R176" s="1" t="s">
        <v>611</v>
      </c>
      <c r="S176" s="5">
        <v>4247</v>
      </c>
      <c r="T176" s="1" t="s">
        <v>41</v>
      </c>
      <c r="U176" s="6">
        <v>46313.85</v>
      </c>
      <c r="V176" s="6">
        <v>46313.85</v>
      </c>
      <c r="W176" s="7" t="s">
        <v>612</v>
      </c>
      <c r="X176" s="5">
        <v>22411</v>
      </c>
      <c r="Y176" s="4"/>
      <c r="Z176" s="5">
        <v>0</v>
      </c>
      <c r="AA176" s="8">
        <v>0.84305555555555556</v>
      </c>
      <c r="AB176" s="5">
        <v>9</v>
      </c>
      <c r="AC176" s="1" t="s">
        <v>41</v>
      </c>
      <c r="AD176" s="9" t="str">
        <f t="shared" si="0"/>
        <v>Actual</v>
      </c>
      <c r="AE176" s="9" t="str">
        <f t="shared" si="1"/>
        <v>TMK7</v>
      </c>
      <c r="AF176" s="9">
        <f>HOUR(O176)</f>
        <v>20</v>
      </c>
      <c r="AG176" s="9">
        <f>DAY(O176)</f>
        <v>18</v>
      </c>
      <c r="AH176" s="9">
        <f>IFERROR((I176-K176)*24*60,0)</f>
        <v>8.0000000051222742</v>
      </c>
      <c r="AI176" s="9">
        <f t="shared" si="2"/>
        <v>8.0000000051222742</v>
      </c>
      <c r="AJ176" s="9">
        <f>C176</f>
        <v>2387</v>
      </c>
      <c r="AK176" s="9">
        <f>IF(P176="completed",((V176-K176)*24*60),0)</f>
        <v>17.000000003026798</v>
      </c>
      <c r="AL176" s="9">
        <f>IF(P176="completed",((U176-K176)*24*60),0)</f>
        <v>17.000000003026798</v>
      </c>
      <c r="AM176" s="9" t="str">
        <f t="shared" si="3"/>
        <v>OTP Breached</v>
      </c>
      <c r="AN176" s="9" t="str">
        <f t="shared" si="4"/>
        <v>OTP Achieved</v>
      </c>
    </row>
    <row r="177" spans="1:40" ht="16">
      <c r="A177" s="3" t="s">
        <v>82</v>
      </c>
      <c r="B177" s="12">
        <v>46313.842361111114</v>
      </c>
      <c r="C177" s="5">
        <v>2149</v>
      </c>
      <c r="D177" s="1" t="s">
        <v>41</v>
      </c>
      <c r="E177" s="5">
        <v>10</v>
      </c>
      <c r="F177" s="1" t="s">
        <v>41</v>
      </c>
      <c r="G177" s="1" t="s">
        <v>41</v>
      </c>
      <c r="H177" s="1" t="s">
        <v>613</v>
      </c>
      <c r="I177" s="6">
        <v>46313.843055555553</v>
      </c>
      <c r="J177" s="1" t="s">
        <v>41</v>
      </c>
      <c r="K177" s="6">
        <v>46313.838194444441</v>
      </c>
      <c r="L177" s="5">
        <v>37</v>
      </c>
      <c r="M177" s="4"/>
      <c r="N177" s="1"/>
      <c r="O177" s="12">
        <v>46313.836111111108</v>
      </c>
      <c r="P177" s="1" t="s">
        <v>43</v>
      </c>
      <c r="Q177" s="1" t="s">
        <v>84</v>
      </c>
      <c r="R177" s="1" t="s">
        <v>614</v>
      </c>
      <c r="S177" s="5">
        <v>4247</v>
      </c>
      <c r="T177" s="1" t="s">
        <v>41</v>
      </c>
      <c r="U177" s="6">
        <v>46313.849305555559</v>
      </c>
      <c r="V177" s="6">
        <v>46313.849305555559</v>
      </c>
      <c r="W177" s="7" t="s">
        <v>615</v>
      </c>
      <c r="X177" s="5">
        <v>22411</v>
      </c>
      <c r="Y177" s="4"/>
      <c r="Z177" s="5">
        <v>0</v>
      </c>
      <c r="AA177" s="8">
        <v>0.84236111111111112</v>
      </c>
      <c r="AB177" s="5">
        <v>9</v>
      </c>
      <c r="AC177" s="1" t="s">
        <v>41</v>
      </c>
      <c r="AD177" s="9" t="str">
        <f t="shared" si="0"/>
        <v>Actual</v>
      </c>
      <c r="AE177" s="9" t="str">
        <f t="shared" si="1"/>
        <v>TMK7</v>
      </c>
      <c r="AF177" s="9">
        <f>HOUR(O177)</f>
        <v>20</v>
      </c>
      <c r="AG177" s="9">
        <f>DAY(O177)</f>
        <v>18</v>
      </c>
      <c r="AH177" s="9">
        <f>IFERROR((I177-K177)*24*60,0)</f>
        <v>7.0000000018626451</v>
      </c>
      <c r="AI177" s="9">
        <f t="shared" si="2"/>
        <v>7.0000000018626451</v>
      </c>
      <c r="AJ177" s="9">
        <f>C177</f>
        <v>2149</v>
      </c>
      <c r="AK177" s="9">
        <f>IF(P177="completed",((V177-K177)*24*60),0)</f>
        <v>16.000000010244548</v>
      </c>
      <c r="AL177" s="9">
        <f>IF(P177="completed",((U177-K177)*24*60),0)</f>
        <v>16.000000010244548</v>
      </c>
      <c r="AM177" s="9" t="str">
        <f t="shared" si="3"/>
        <v>OTP Breached</v>
      </c>
      <c r="AN177" s="9" t="str">
        <f t="shared" si="4"/>
        <v>OTP Achieved</v>
      </c>
    </row>
    <row r="178" spans="1:40" ht="16">
      <c r="A178" s="3" t="s">
        <v>235</v>
      </c>
      <c r="B178" s="12">
        <v>46313.842361111114</v>
      </c>
      <c r="C178" s="5">
        <v>2246</v>
      </c>
      <c r="D178" s="1" t="s">
        <v>41</v>
      </c>
      <c r="E178" s="5">
        <v>9</v>
      </c>
      <c r="F178" s="1" t="s">
        <v>41</v>
      </c>
      <c r="G178" s="1" t="s">
        <v>41</v>
      </c>
      <c r="H178" s="1" t="s">
        <v>616</v>
      </c>
      <c r="I178" s="12">
        <v>46313.842361111114</v>
      </c>
      <c r="J178" s="1" t="s">
        <v>41</v>
      </c>
      <c r="K178" s="12">
        <v>46313.837500000001</v>
      </c>
      <c r="L178" s="5">
        <v>31</v>
      </c>
      <c r="M178" s="4"/>
      <c r="N178" s="1"/>
      <c r="O178" s="12">
        <v>46313.835416666669</v>
      </c>
      <c r="P178" s="1" t="s">
        <v>43</v>
      </c>
      <c r="Q178" s="1" t="s">
        <v>237</v>
      </c>
      <c r="R178" s="1" t="s">
        <v>617</v>
      </c>
      <c r="S178" s="5">
        <v>4247</v>
      </c>
      <c r="T178" s="1" t="s">
        <v>41</v>
      </c>
      <c r="U178" s="6">
        <v>46313.849305555559</v>
      </c>
      <c r="V178" s="6">
        <v>46313.848611111112</v>
      </c>
      <c r="W178" s="7" t="s">
        <v>618</v>
      </c>
      <c r="X178" s="5">
        <v>22411</v>
      </c>
      <c r="Y178" s="4"/>
      <c r="Z178" s="5">
        <v>0</v>
      </c>
      <c r="AA178" s="8">
        <v>0.84236111111111112</v>
      </c>
      <c r="AB178" s="5">
        <v>9</v>
      </c>
      <c r="AC178" s="1" t="s">
        <v>41</v>
      </c>
      <c r="AD178" s="9" t="str">
        <f t="shared" si="0"/>
        <v>Actual</v>
      </c>
      <c r="AE178" s="9" t="str">
        <f t="shared" si="1"/>
        <v>TMK7</v>
      </c>
      <c r="AF178" s="9">
        <f>HOUR(O178)</f>
        <v>20</v>
      </c>
      <c r="AG178" s="9">
        <f>DAY(O178)</f>
        <v>18</v>
      </c>
      <c r="AH178" s="9">
        <f>IFERROR((I178-K178)*24*60,0)</f>
        <v>7.0000000018626451</v>
      </c>
      <c r="AI178" s="9">
        <f t="shared" si="2"/>
        <v>7.0000000018626451</v>
      </c>
      <c r="AJ178" s="9">
        <f>C178</f>
        <v>2246</v>
      </c>
      <c r="AK178" s="9">
        <f>IF(P178="completed",((V178-K178)*24*60),0)</f>
        <v>15.999999999767169</v>
      </c>
      <c r="AL178" s="9">
        <f>IF(P178="completed",((U178-K178)*24*60),0)</f>
        <v>17.000000003026798</v>
      </c>
      <c r="AM178" s="9" t="str">
        <f t="shared" si="3"/>
        <v>OTP Achieved</v>
      </c>
      <c r="AN178" s="9" t="str">
        <f t="shared" si="4"/>
        <v>OTP Achieved</v>
      </c>
    </row>
    <row r="179" spans="1:40" ht="16">
      <c r="A179" s="3" t="s">
        <v>190</v>
      </c>
      <c r="B179" s="12">
        <v>46313.84097222222</v>
      </c>
      <c r="C179" s="5">
        <v>2256</v>
      </c>
      <c r="D179" s="1" t="s">
        <v>41</v>
      </c>
      <c r="E179" s="5">
        <v>10</v>
      </c>
      <c r="F179" s="1" t="s">
        <v>41</v>
      </c>
      <c r="G179" s="1" t="s">
        <v>41</v>
      </c>
      <c r="H179" s="1" t="s">
        <v>619</v>
      </c>
      <c r="I179" s="12">
        <v>46313.841666666667</v>
      </c>
      <c r="J179" s="1" t="s">
        <v>41</v>
      </c>
      <c r="K179" s="12">
        <v>46313.836805555555</v>
      </c>
      <c r="L179" s="5">
        <v>43</v>
      </c>
      <c r="M179" s="4"/>
      <c r="N179" s="1"/>
      <c r="O179" s="12">
        <v>46313.835416666669</v>
      </c>
      <c r="P179" s="1" t="s">
        <v>43</v>
      </c>
      <c r="Q179" s="1" t="s">
        <v>192</v>
      </c>
      <c r="R179" s="1" t="s">
        <v>620</v>
      </c>
      <c r="S179" s="5">
        <v>4247</v>
      </c>
      <c r="T179" s="1" t="s">
        <v>41</v>
      </c>
      <c r="U179" s="6">
        <v>46313.848611111112</v>
      </c>
      <c r="V179" s="6">
        <v>46313.847916666666</v>
      </c>
      <c r="W179" s="7" t="s">
        <v>621</v>
      </c>
      <c r="X179" s="5">
        <v>22411</v>
      </c>
      <c r="Y179" s="4"/>
      <c r="Z179" s="5">
        <v>0</v>
      </c>
      <c r="AA179" s="8">
        <v>0.84097222222222223</v>
      </c>
      <c r="AB179" s="5">
        <v>9</v>
      </c>
      <c r="AC179" s="1" t="s">
        <v>41</v>
      </c>
      <c r="AD179" s="9" t="str">
        <f t="shared" si="0"/>
        <v>Actual</v>
      </c>
      <c r="AE179" s="9" t="str">
        <f t="shared" si="1"/>
        <v>TMK7</v>
      </c>
      <c r="AF179" s="9">
        <f>HOUR(O179)</f>
        <v>20</v>
      </c>
      <c r="AG179" s="9">
        <f>DAY(O179)</f>
        <v>18</v>
      </c>
      <c r="AH179" s="9">
        <f>IFERROR((I179-K179)*24*60,0)</f>
        <v>7.0000000018626451</v>
      </c>
      <c r="AI179" s="9">
        <f t="shared" si="2"/>
        <v>7.0000000018626451</v>
      </c>
      <c r="AJ179" s="9">
        <f>C179</f>
        <v>2256</v>
      </c>
      <c r="AK179" s="9">
        <f>IF(P179="completed",((V179-K179)*24*60),0)</f>
        <v>15.999999999767169</v>
      </c>
      <c r="AL179" s="9">
        <f>IF(P179="completed",((U179-K179)*24*60),0)</f>
        <v>17.000000003026798</v>
      </c>
      <c r="AM179" s="9" t="str">
        <f t="shared" si="3"/>
        <v>OTP Achieved</v>
      </c>
      <c r="AN179" s="9" t="str">
        <f t="shared" si="4"/>
        <v>OTP Achieved</v>
      </c>
    </row>
    <row r="180" spans="1:40" ht="16">
      <c r="A180" s="3" t="s">
        <v>77</v>
      </c>
      <c r="B180" s="12">
        <v>46313.84097222222</v>
      </c>
      <c r="C180" s="5">
        <v>1380</v>
      </c>
      <c r="D180" s="1" t="s">
        <v>41</v>
      </c>
      <c r="E180" s="5">
        <v>5</v>
      </c>
      <c r="F180" s="1" t="s">
        <v>41</v>
      </c>
      <c r="G180" s="1" t="s">
        <v>41</v>
      </c>
      <c r="H180" s="1" t="s">
        <v>622</v>
      </c>
      <c r="I180" s="12">
        <v>46313.84097222222</v>
      </c>
      <c r="J180" s="1" t="s">
        <v>41</v>
      </c>
      <c r="K180" s="12">
        <v>46313.835416666669</v>
      </c>
      <c r="L180" s="5">
        <v>21</v>
      </c>
      <c r="M180" s="4"/>
      <c r="N180" s="1"/>
      <c r="O180" s="12">
        <v>46313.834722222222</v>
      </c>
      <c r="P180" s="1" t="s">
        <v>43</v>
      </c>
      <c r="Q180" s="1" t="s">
        <v>79</v>
      </c>
      <c r="R180" s="1" t="s">
        <v>623</v>
      </c>
      <c r="S180" s="5">
        <v>4247</v>
      </c>
      <c r="T180" s="1" t="s">
        <v>41</v>
      </c>
      <c r="U180" s="6">
        <v>46313.845138888886</v>
      </c>
      <c r="V180" s="6">
        <v>46313.84375</v>
      </c>
      <c r="W180" s="7" t="s">
        <v>624</v>
      </c>
      <c r="X180" s="5">
        <v>22411</v>
      </c>
      <c r="Y180" s="4"/>
      <c r="Z180" s="5">
        <v>0</v>
      </c>
      <c r="AA180" s="8">
        <v>0.84097222222222223</v>
      </c>
      <c r="AB180" s="5">
        <v>4</v>
      </c>
      <c r="AC180" s="1" t="s">
        <v>41</v>
      </c>
      <c r="AD180" s="9" t="str">
        <f t="shared" si="0"/>
        <v>Actual</v>
      </c>
      <c r="AE180" s="9" t="str">
        <f t="shared" si="1"/>
        <v>TMK7</v>
      </c>
      <c r="AF180" s="9">
        <f>HOUR(O180)</f>
        <v>20</v>
      </c>
      <c r="AG180" s="9">
        <f>DAY(O180)</f>
        <v>18</v>
      </c>
      <c r="AH180" s="9">
        <f>IFERROR((I180-K180)*24*60,0)</f>
        <v>7.9999999946448952</v>
      </c>
      <c r="AI180" s="9">
        <f t="shared" si="2"/>
        <v>7.9999999946448952</v>
      </c>
      <c r="AJ180" s="9">
        <f>C180</f>
        <v>1380</v>
      </c>
      <c r="AK180" s="9">
        <f>IF(P180="completed",((V180-K180)*24*60),0)</f>
        <v>11.999999997206032</v>
      </c>
      <c r="AL180" s="9">
        <f>IF(P180="completed",((U180-K180)*24*60),0)</f>
        <v>13.999999993247911</v>
      </c>
      <c r="AM180" s="9" t="str">
        <f t="shared" si="3"/>
        <v>OTP Achieved</v>
      </c>
      <c r="AN180" s="9" t="str">
        <f t="shared" si="4"/>
        <v>OTP Achieved</v>
      </c>
    </row>
    <row r="181" spans="1:40" ht="16">
      <c r="A181" s="3" t="s">
        <v>57</v>
      </c>
      <c r="B181" s="12">
        <v>46313.840277777781</v>
      </c>
      <c r="C181" s="5">
        <v>2785</v>
      </c>
      <c r="D181" s="1" t="s">
        <v>41</v>
      </c>
      <c r="E181" s="5">
        <v>9</v>
      </c>
      <c r="F181" s="1" t="s">
        <v>41</v>
      </c>
      <c r="G181" s="1" t="s">
        <v>41</v>
      </c>
      <c r="H181" s="1" t="s">
        <v>625</v>
      </c>
      <c r="I181" s="12">
        <v>46313.840277777781</v>
      </c>
      <c r="J181" s="1" t="s">
        <v>41</v>
      </c>
      <c r="K181" s="12">
        <v>46313.836111111108</v>
      </c>
      <c r="L181" s="5">
        <v>16</v>
      </c>
      <c r="M181" s="4"/>
      <c r="N181" s="1"/>
      <c r="O181" s="12">
        <v>46313.834722222222</v>
      </c>
      <c r="P181" s="1" t="s">
        <v>43</v>
      </c>
      <c r="Q181" s="1" t="s">
        <v>59</v>
      </c>
      <c r="R181" s="1" t="s">
        <v>626</v>
      </c>
      <c r="S181" s="5">
        <v>4247</v>
      </c>
      <c r="T181" s="1" t="s">
        <v>41</v>
      </c>
      <c r="U181" s="6">
        <v>46313.848611111112</v>
      </c>
      <c r="V181" s="6">
        <v>46313.84652777778</v>
      </c>
      <c r="W181" s="7" t="s">
        <v>627</v>
      </c>
      <c r="X181" s="5">
        <v>22411</v>
      </c>
      <c r="Y181" s="4"/>
      <c r="Z181" s="5">
        <v>0</v>
      </c>
      <c r="AA181" s="8">
        <v>0.84027777777777779</v>
      </c>
      <c r="AB181" s="5">
        <v>9</v>
      </c>
      <c r="AC181" s="1" t="s">
        <v>41</v>
      </c>
      <c r="AD181" s="9" t="str">
        <f t="shared" si="0"/>
        <v>Actual</v>
      </c>
      <c r="AE181" s="9" t="str">
        <f t="shared" si="1"/>
        <v>TMK7</v>
      </c>
      <c r="AF181" s="9">
        <f>HOUR(O181)</f>
        <v>20</v>
      </c>
      <c r="AG181" s="9">
        <f>DAY(O181)</f>
        <v>18</v>
      </c>
      <c r="AH181" s="9">
        <f>IFERROR((I181-K181)*24*60,0)</f>
        <v>6.0000000090803951</v>
      </c>
      <c r="AI181" s="9">
        <f t="shared" si="2"/>
        <v>6.0000000090803951</v>
      </c>
      <c r="AJ181" s="9">
        <f>C181</f>
        <v>2785</v>
      </c>
      <c r="AK181" s="9">
        <f>IF(P181="completed",((V181-K181)*24*60),0)</f>
        <v>15.000000006984919</v>
      </c>
      <c r="AL181" s="9">
        <f>IF(P181="completed",((U181-K181)*24*60),0)</f>
        <v>18.000000006286427</v>
      </c>
      <c r="AM181" s="9" t="str">
        <f t="shared" si="3"/>
        <v>OTP Achieved</v>
      </c>
      <c r="AN181" s="9" t="str">
        <f t="shared" si="4"/>
        <v>OTP Achieved</v>
      </c>
    </row>
    <row r="182" spans="1:40" ht="16">
      <c r="A182" s="3" t="s">
        <v>157</v>
      </c>
      <c r="B182" s="12">
        <v>46313.839583333334</v>
      </c>
      <c r="C182" s="5">
        <v>1216</v>
      </c>
      <c r="D182" s="1" t="s">
        <v>41</v>
      </c>
      <c r="E182" s="5">
        <v>5</v>
      </c>
      <c r="F182" s="1" t="s">
        <v>41</v>
      </c>
      <c r="G182" s="1" t="s">
        <v>41</v>
      </c>
      <c r="H182" s="1" t="s">
        <v>628</v>
      </c>
      <c r="I182" s="12">
        <v>46313.839583333334</v>
      </c>
      <c r="J182" s="1" t="s">
        <v>41</v>
      </c>
      <c r="K182" s="12">
        <v>46313.834722222222</v>
      </c>
      <c r="L182" s="5">
        <v>30</v>
      </c>
      <c r="M182" s="4"/>
      <c r="N182" s="1"/>
      <c r="O182" s="12">
        <v>46313.834027777775</v>
      </c>
      <c r="P182" s="1" t="s">
        <v>43</v>
      </c>
      <c r="Q182" s="1" t="s">
        <v>159</v>
      </c>
      <c r="R182" s="1" t="s">
        <v>629</v>
      </c>
      <c r="S182" s="5">
        <v>4247</v>
      </c>
      <c r="T182" s="1" t="s">
        <v>41</v>
      </c>
      <c r="U182" s="6">
        <v>46313.84375</v>
      </c>
      <c r="V182" s="6">
        <v>46313.842361111114</v>
      </c>
      <c r="W182" s="7" t="s">
        <v>630</v>
      </c>
      <c r="X182" s="5">
        <v>22411</v>
      </c>
      <c r="Y182" s="4"/>
      <c r="Z182" s="5">
        <v>0</v>
      </c>
      <c r="AA182" s="8">
        <v>0.83958333333333335</v>
      </c>
      <c r="AB182" s="5">
        <v>4</v>
      </c>
      <c r="AC182" s="1" t="s">
        <v>41</v>
      </c>
      <c r="AD182" s="9" t="str">
        <f t="shared" si="0"/>
        <v>Actual</v>
      </c>
      <c r="AE182" s="9" t="str">
        <f t="shared" si="1"/>
        <v>TMK7</v>
      </c>
      <c r="AF182" s="9">
        <f>HOUR(O182)</f>
        <v>20</v>
      </c>
      <c r="AG182" s="9">
        <f>DAY(O182)</f>
        <v>18</v>
      </c>
      <c r="AH182" s="9">
        <f>IFERROR((I182-K182)*24*60,0)</f>
        <v>7.0000000018626451</v>
      </c>
      <c r="AI182" s="9">
        <f t="shared" si="2"/>
        <v>7.0000000018626451</v>
      </c>
      <c r="AJ182" s="9">
        <f>C182</f>
        <v>1216</v>
      </c>
      <c r="AK182" s="9">
        <f>IF(P182="completed",((V182-K182)*24*60),0)</f>
        <v>11.000000004423782</v>
      </c>
      <c r="AL182" s="9">
        <f>IF(P182="completed",((U182-K182)*24*60),0)</f>
        <v>13.000000000465661</v>
      </c>
      <c r="AM182" s="9" t="str">
        <f t="shared" si="3"/>
        <v>OTP Achieved</v>
      </c>
      <c r="AN182" s="9" t="str">
        <f t="shared" si="4"/>
        <v>OTP Achieved</v>
      </c>
    </row>
    <row r="183" spans="1:40" ht="16">
      <c r="A183" s="3" t="s">
        <v>117</v>
      </c>
      <c r="B183" s="12">
        <v>46313.838194444441</v>
      </c>
      <c r="C183" s="5">
        <v>1910</v>
      </c>
      <c r="D183" s="1" t="s">
        <v>41</v>
      </c>
      <c r="E183" s="5">
        <v>8</v>
      </c>
      <c r="F183" s="1" t="s">
        <v>41</v>
      </c>
      <c r="G183" s="1" t="s">
        <v>41</v>
      </c>
      <c r="H183" s="1" t="s">
        <v>631</v>
      </c>
      <c r="I183" s="6">
        <v>46313.838888888888</v>
      </c>
      <c r="J183" s="1" t="s">
        <v>41</v>
      </c>
      <c r="K183" s="6">
        <v>46313.835416666669</v>
      </c>
      <c r="L183" s="5">
        <v>12</v>
      </c>
      <c r="M183" s="4"/>
      <c r="N183" s="1"/>
      <c r="O183" s="12">
        <v>46313.833333333336</v>
      </c>
      <c r="P183" s="1" t="s">
        <v>43</v>
      </c>
      <c r="Q183" s="1" t="s">
        <v>119</v>
      </c>
      <c r="R183" s="1" t="s">
        <v>632</v>
      </c>
      <c r="S183" s="5">
        <v>4247</v>
      </c>
      <c r="T183" s="1" t="s">
        <v>41</v>
      </c>
      <c r="U183" s="6">
        <v>46313.84375</v>
      </c>
      <c r="V183" s="6">
        <v>46313.84375</v>
      </c>
      <c r="W183" s="7" t="s">
        <v>633</v>
      </c>
      <c r="X183" s="5">
        <v>22411</v>
      </c>
      <c r="Y183" s="4"/>
      <c r="Z183" s="5">
        <v>0</v>
      </c>
      <c r="AA183" s="8">
        <v>0.83819444444444446</v>
      </c>
      <c r="AB183" s="5">
        <v>8</v>
      </c>
      <c r="AC183" s="1" t="s">
        <v>41</v>
      </c>
      <c r="AD183" s="9" t="str">
        <f t="shared" si="0"/>
        <v>Actual</v>
      </c>
      <c r="AE183" s="9" t="str">
        <f t="shared" si="1"/>
        <v>TMK7</v>
      </c>
      <c r="AF183" s="9">
        <f>HOUR(O183)</f>
        <v>20</v>
      </c>
      <c r="AG183" s="9">
        <f>DAY(O183)</f>
        <v>18</v>
      </c>
      <c r="AH183" s="9">
        <f>IFERROR((I183-K183)*24*60,0)</f>
        <v>4.9999999953433871</v>
      </c>
      <c r="AI183" s="9">
        <f t="shared" si="2"/>
        <v>4.9999999953433871</v>
      </c>
      <c r="AJ183" s="9">
        <f>C183</f>
        <v>1910</v>
      </c>
      <c r="AK183" s="9">
        <f>IF(P183="completed",((V183-K183)*24*60),0)</f>
        <v>11.999999997206032</v>
      </c>
      <c r="AL183" s="9">
        <f>IF(P183="completed",((U183-K183)*24*60),0)</f>
        <v>11.999999997206032</v>
      </c>
      <c r="AM183" s="9" t="str">
        <f t="shared" si="3"/>
        <v>OTP Breached</v>
      </c>
      <c r="AN183" s="9" t="str">
        <f t="shared" si="4"/>
        <v>OTP Achieved</v>
      </c>
    </row>
    <row r="184" spans="1:40" ht="16">
      <c r="A184" s="3" t="s">
        <v>303</v>
      </c>
      <c r="B184" s="12">
        <v>46313.838194444441</v>
      </c>
      <c r="C184" s="5">
        <v>3663</v>
      </c>
      <c r="D184" s="1" t="s">
        <v>41</v>
      </c>
      <c r="E184" s="5">
        <v>11</v>
      </c>
      <c r="F184" s="1" t="s">
        <v>41</v>
      </c>
      <c r="G184" s="1" t="s">
        <v>41</v>
      </c>
      <c r="H184" s="1" t="s">
        <v>634</v>
      </c>
      <c r="I184" s="12">
        <v>46313.838194444441</v>
      </c>
      <c r="J184" s="1" t="s">
        <v>41</v>
      </c>
      <c r="K184" s="12">
        <v>46313.834027777775</v>
      </c>
      <c r="L184" s="5">
        <v>17</v>
      </c>
      <c r="M184" s="4"/>
      <c r="N184" s="1"/>
      <c r="O184" s="12">
        <v>46313.833333333336</v>
      </c>
      <c r="P184" s="1" t="s">
        <v>43</v>
      </c>
      <c r="Q184" s="1" t="s">
        <v>305</v>
      </c>
      <c r="R184" s="1" t="s">
        <v>635</v>
      </c>
      <c r="S184" s="5">
        <v>4247</v>
      </c>
      <c r="T184" s="1" t="s">
        <v>41</v>
      </c>
      <c r="U184" s="6">
        <v>46313.847222222219</v>
      </c>
      <c r="V184" s="12">
        <v>46313.845833333333</v>
      </c>
      <c r="W184" s="7" t="s">
        <v>636</v>
      </c>
      <c r="X184" s="5">
        <v>22411</v>
      </c>
      <c r="Y184" s="4"/>
      <c r="Z184" s="5">
        <v>0</v>
      </c>
      <c r="AA184" s="8">
        <v>0.83819444444444446</v>
      </c>
      <c r="AB184" s="5">
        <v>11</v>
      </c>
      <c r="AC184" s="1" t="s">
        <v>41</v>
      </c>
      <c r="AD184" s="9" t="str">
        <f t="shared" si="0"/>
        <v>Actual</v>
      </c>
      <c r="AE184" s="9" t="str">
        <f t="shared" si="1"/>
        <v>TMK7</v>
      </c>
      <c r="AF184" s="9">
        <f>HOUR(O184)</f>
        <v>20</v>
      </c>
      <c r="AG184" s="9">
        <f>DAY(O184)</f>
        <v>18</v>
      </c>
      <c r="AH184" s="9">
        <f>IFERROR((I184-K184)*24*60,0)</f>
        <v>5.9999999986030161</v>
      </c>
      <c r="AI184" s="9">
        <f t="shared" si="2"/>
        <v>5.9999999986030161</v>
      </c>
      <c r="AJ184" s="9">
        <f>C184</f>
        <v>3663</v>
      </c>
      <c r="AK184" s="9">
        <f>IF(P184="completed",((V184-K184)*24*60),0)</f>
        <v>17.000000003026798</v>
      </c>
      <c r="AL184" s="9">
        <f>IF(P184="completed",((U184-K184)*24*60),0)</f>
        <v>18.999999999068677</v>
      </c>
      <c r="AM184" s="9" t="str">
        <f t="shared" si="3"/>
        <v>OTP Achieved</v>
      </c>
      <c r="AN184" s="9" t="str">
        <f t="shared" si="4"/>
        <v>OTP Achieved</v>
      </c>
    </row>
    <row r="185" spans="1:40" ht="16">
      <c r="A185" s="3" t="s">
        <v>72</v>
      </c>
      <c r="B185" s="12">
        <v>46313.836111111108</v>
      </c>
      <c r="C185" s="5">
        <v>2493</v>
      </c>
      <c r="D185" s="1" t="s">
        <v>41</v>
      </c>
      <c r="E185" s="5">
        <v>10</v>
      </c>
      <c r="F185" s="1" t="s">
        <v>41</v>
      </c>
      <c r="G185" s="1" t="s">
        <v>41</v>
      </c>
      <c r="H185" s="1" t="s">
        <v>637</v>
      </c>
      <c r="I185" s="12">
        <v>46313.836805555555</v>
      </c>
      <c r="J185" s="1" t="s">
        <v>41</v>
      </c>
      <c r="K185" s="12">
        <v>46313.835416666669</v>
      </c>
      <c r="L185" s="5">
        <v>41</v>
      </c>
      <c r="M185" s="4"/>
      <c r="N185" s="1"/>
      <c r="O185" s="12">
        <v>46313.832638888889</v>
      </c>
      <c r="P185" s="1" t="s">
        <v>43</v>
      </c>
      <c r="Q185" s="1" t="s">
        <v>74</v>
      </c>
      <c r="R185" s="1" t="s">
        <v>638</v>
      </c>
      <c r="S185" s="5">
        <v>4247</v>
      </c>
      <c r="T185" s="1" t="s">
        <v>41</v>
      </c>
      <c r="U185" s="6">
        <v>46313.844444444447</v>
      </c>
      <c r="V185" s="6">
        <v>46313.84375</v>
      </c>
      <c r="W185" s="7" t="s">
        <v>639</v>
      </c>
      <c r="X185" s="5">
        <v>22411</v>
      </c>
      <c r="Y185" s="4"/>
      <c r="Z185" s="5">
        <v>0</v>
      </c>
      <c r="AA185" s="8">
        <v>0.83611111111111114</v>
      </c>
      <c r="AB185" s="5">
        <v>10</v>
      </c>
      <c r="AC185" s="1" t="s">
        <v>41</v>
      </c>
      <c r="AD185" s="9" t="str">
        <f t="shared" si="0"/>
        <v>Actual</v>
      </c>
      <c r="AE185" s="9" t="str">
        <f t="shared" si="1"/>
        <v>TMK7</v>
      </c>
      <c r="AF185" s="9">
        <f>HOUR(O185)</f>
        <v>19</v>
      </c>
      <c r="AG185" s="9">
        <f>DAY(O185)</f>
        <v>18</v>
      </c>
      <c r="AH185" s="9">
        <f>IFERROR((I185-K185)*24*60,0)</f>
        <v>1.9999999960418791</v>
      </c>
      <c r="AI185" s="9">
        <f t="shared" si="2"/>
        <v>1.9999999960418791</v>
      </c>
      <c r="AJ185" s="9">
        <f>C185</f>
        <v>2493</v>
      </c>
      <c r="AK185" s="9">
        <f>IF(P185="completed",((V185-K185)*24*60),0)</f>
        <v>11.999999997206032</v>
      </c>
      <c r="AL185" s="9">
        <f>IF(P185="completed",((U185-K185)*24*60),0)</f>
        <v>13.000000000465661</v>
      </c>
      <c r="AM185" s="9" t="str">
        <f t="shared" si="3"/>
        <v>OTP Achieved</v>
      </c>
      <c r="AN185" s="9" t="str">
        <f t="shared" si="4"/>
        <v>OTP Achieved</v>
      </c>
    </row>
    <row r="186" spans="1:40" ht="16">
      <c r="A186" s="3" t="s">
        <v>347</v>
      </c>
      <c r="B186" s="12">
        <v>46313.836111111108</v>
      </c>
      <c r="C186" s="5">
        <v>1911</v>
      </c>
      <c r="D186" s="1" t="s">
        <v>41</v>
      </c>
      <c r="E186" s="5">
        <v>6</v>
      </c>
      <c r="F186" s="1" t="s">
        <v>41</v>
      </c>
      <c r="G186" s="1" t="s">
        <v>41</v>
      </c>
      <c r="H186" s="1" t="s">
        <v>640</v>
      </c>
      <c r="I186" s="12">
        <v>46313.836111111108</v>
      </c>
      <c r="J186" s="1" t="s">
        <v>41</v>
      </c>
      <c r="K186" s="12">
        <v>46313.833333333336</v>
      </c>
      <c r="L186" s="5">
        <v>15</v>
      </c>
      <c r="M186" s="4"/>
      <c r="N186" s="1"/>
      <c r="O186" s="12">
        <v>46313.832638888889</v>
      </c>
      <c r="P186" s="1" t="s">
        <v>43</v>
      </c>
      <c r="Q186" s="1" t="s">
        <v>349</v>
      </c>
      <c r="R186" s="1" t="s">
        <v>641</v>
      </c>
      <c r="S186" s="5">
        <v>4247</v>
      </c>
      <c r="T186" s="1" t="s">
        <v>41</v>
      </c>
      <c r="U186" s="12">
        <v>46313.841666666667</v>
      </c>
      <c r="V186" s="12">
        <v>46313.840277777781</v>
      </c>
      <c r="W186" s="7" t="s">
        <v>642</v>
      </c>
      <c r="X186" s="5">
        <v>22411</v>
      </c>
      <c r="Y186" s="4"/>
      <c r="Z186" s="5">
        <v>0</v>
      </c>
      <c r="AA186" s="8">
        <v>0.83611111111111114</v>
      </c>
      <c r="AB186" s="5">
        <v>6</v>
      </c>
      <c r="AC186" s="1" t="s">
        <v>41</v>
      </c>
      <c r="AD186" s="9" t="str">
        <f t="shared" si="0"/>
        <v>Actual</v>
      </c>
      <c r="AE186" s="9" t="str">
        <f t="shared" si="1"/>
        <v>TMK7</v>
      </c>
      <c r="AF186" s="9">
        <f>HOUR(O186)</f>
        <v>19</v>
      </c>
      <c r="AG186" s="9">
        <f>DAY(O186)</f>
        <v>18</v>
      </c>
      <c r="AH186" s="9">
        <f>IFERROR((I186-K186)*24*60,0)</f>
        <v>3.9999999920837581</v>
      </c>
      <c r="AI186" s="9">
        <f t="shared" si="2"/>
        <v>3.9999999920837581</v>
      </c>
      <c r="AJ186" s="9">
        <f>C186</f>
        <v>1911</v>
      </c>
      <c r="AK186" s="9">
        <f>IF(P186="completed",((V186-K186)*24*60),0)</f>
        <v>10.000000001164153</v>
      </c>
      <c r="AL186" s="9">
        <f>IF(P186="completed",((U186-K186)*24*60),0)</f>
        <v>11.999999997206032</v>
      </c>
      <c r="AM186" s="9" t="str">
        <f t="shared" si="3"/>
        <v>OTP Achieved</v>
      </c>
      <c r="AN186" s="9" t="str">
        <f t="shared" si="4"/>
        <v>OTP Achieved</v>
      </c>
    </row>
    <row r="187" spans="1:40" ht="16">
      <c r="A187" s="3" t="s">
        <v>177</v>
      </c>
      <c r="B187" s="12">
        <v>46313.834722222222</v>
      </c>
      <c r="C187" s="5">
        <v>2089</v>
      </c>
      <c r="D187" s="1" t="s">
        <v>41</v>
      </c>
      <c r="E187" s="5">
        <v>10</v>
      </c>
      <c r="F187" s="1" t="s">
        <v>41</v>
      </c>
      <c r="G187" s="1" t="s">
        <v>41</v>
      </c>
      <c r="H187" s="1" t="s">
        <v>643</v>
      </c>
      <c r="I187" s="12">
        <v>46313.835416666669</v>
      </c>
      <c r="J187" s="1" t="s">
        <v>41</v>
      </c>
      <c r="K187" s="12">
        <v>46313.834027777775</v>
      </c>
      <c r="L187" s="5">
        <v>49</v>
      </c>
      <c r="M187" s="4"/>
      <c r="N187" s="1"/>
      <c r="O187" s="12">
        <v>46313.831944444442</v>
      </c>
      <c r="P187" s="1" t="s">
        <v>43</v>
      </c>
      <c r="Q187" s="1" t="s">
        <v>179</v>
      </c>
      <c r="R187" s="1" t="s">
        <v>644</v>
      </c>
      <c r="S187" s="5">
        <v>4247</v>
      </c>
      <c r="T187" s="1" t="s">
        <v>41</v>
      </c>
      <c r="U187" s="6">
        <v>46313.841666666667</v>
      </c>
      <c r="V187" s="6">
        <v>46313.842361111114</v>
      </c>
      <c r="W187" s="7" t="s">
        <v>645</v>
      </c>
      <c r="X187" s="5">
        <v>22411</v>
      </c>
      <c r="Y187" s="4"/>
      <c r="Z187" s="5">
        <v>0</v>
      </c>
      <c r="AA187" s="8">
        <v>0.83472222222222225</v>
      </c>
      <c r="AB187" s="5">
        <v>9</v>
      </c>
      <c r="AC187" s="1" t="s">
        <v>41</v>
      </c>
      <c r="AD187" s="9" t="str">
        <f t="shared" si="0"/>
        <v>Actual</v>
      </c>
      <c r="AE187" s="9" t="str">
        <f t="shared" si="1"/>
        <v>TMK7</v>
      </c>
      <c r="AF187" s="9">
        <f>HOUR(O187)</f>
        <v>19</v>
      </c>
      <c r="AG187" s="9">
        <f>DAY(O187)</f>
        <v>18</v>
      </c>
      <c r="AH187" s="9">
        <f>IFERROR((I187-K187)*24*60,0)</f>
        <v>2.000000006519258</v>
      </c>
      <c r="AI187" s="9">
        <f t="shared" si="2"/>
        <v>2.000000006519258</v>
      </c>
      <c r="AJ187" s="9">
        <f>C187</f>
        <v>2089</v>
      </c>
      <c r="AK187" s="9">
        <f>IF(P187="completed",((V187-K187)*24*60),0)</f>
        <v>12.000000007683411</v>
      </c>
      <c r="AL187" s="9">
        <f>IF(P187="completed",((U187-K187)*24*60),0)</f>
        <v>11.000000004423782</v>
      </c>
      <c r="AM187" s="9" t="str">
        <f t="shared" si="3"/>
        <v>OTP Breached</v>
      </c>
      <c r="AN187" s="9" t="str">
        <f t="shared" si="4"/>
        <v>OTP Achieved</v>
      </c>
    </row>
    <row r="188" spans="1:40" ht="16">
      <c r="A188" s="3" t="s">
        <v>117</v>
      </c>
      <c r="B188" s="12">
        <v>46313.833333333336</v>
      </c>
      <c r="C188" s="5">
        <v>576</v>
      </c>
      <c r="D188" s="1" t="s">
        <v>41</v>
      </c>
      <c r="E188" s="5">
        <v>3</v>
      </c>
      <c r="F188" s="1" t="s">
        <v>41</v>
      </c>
      <c r="G188" s="1" t="s">
        <v>41</v>
      </c>
      <c r="H188" s="1" t="s">
        <v>646</v>
      </c>
      <c r="I188" s="12">
        <v>46313.833333333336</v>
      </c>
      <c r="J188" s="1" t="s">
        <v>41</v>
      </c>
      <c r="K188" s="12">
        <v>46313.833333333336</v>
      </c>
      <c r="L188" s="5">
        <v>20</v>
      </c>
      <c r="M188" s="4"/>
      <c r="N188" s="1"/>
      <c r="O188" s="12">
        <v>46313.831250000003</v>
      </c>
      <c r="P188" s="1" t="s">
        <v>43</v>
      </c>
      <c r="Q188" s="1" t="s">
        <v>119</v>
      </c>
      <c r="R188" s="1" t="s">
        <v>647</v>
      </c>
      <c r="S188" s="5">
        <v>4247</v>
      </c>
      <c r="T188" s="1" t="s">
        <v>41</v>
      </c>
      <c r="U188" s="6">
        <v>46313.836111111108</v>
      </c>
      <c r="V188" s="6">
        <v>46313.834722222222</v>
      </c>
      <c r="W188" s="7" t="s">
        <v>648</v>
      </c>
      <c r="X188" s="5">
        <v>22411</v>
      </c>
      <c r="Y188" s="1"/>
      <c r="Z188" s="5">
        <v>0</v>
      </c>
      <c r="AA188" s="8">
        <v>0.83333333333333337</v>
      </c>
      <c r="AB188" s="5">
        <v>2</v>
      </c>
      <c r="AC188" s="1" t="s">
        <v>41</v>
      </c>
      <c r="AD188" s="9" t="str">
        <f t="shared" si="0"/>
        <v>Actual</v>
      </c>
      <c r="AE188" s="9" t="str">
        <f t="shared" si="1"/>
        <v>TMK7</v>
      </c>
      <c r="AF188" s="9">
        <f>HOUR(O188)</f>
        <v>19</v>
      </c>
      <c r="AG188" s="9">
        <f>DAY(O188)</f>
        <v>18</v>
      </c>
      <c r="AH188" s="9">
        <f>IFERROR((I188-K188)*24*60,0)</f>
        <v>0</v>
      </c>
      <c r="AI188" s="9">
        <f t="shared" si="2"/>
        <v>0</v>
      </c>
      <c r="AJ188" s="9">
        <f>C188</f>
        <v>576</v>
      </c>
      <c r="AK188" s="9">
        <f>IF(P188="completed",((V188-K188)*24*60),0)</f>
        <v>1.9999999960418791</v>
      </c>
      <c r="AL188" s="9">
        <f>IF(P188="completed",((U188-K188)*24*60),0)</f>
        <v>3.9999999920837581</v>
      </c>
      <c r="AM188" s="9" t="str">
        <f t="shared" si="3"/>
        <v>OTP Achieved</v>
      </c>
      <c r="AN188" s="9" t="str">
        <f t="shared" si="4"/>
        <v>OTP Achieved</v>
      </c>
    </row>
    <row r="189" spans="1:40" ht="16">
      <c r="A189" s="3" t="s">
        <v>40</v>
      </c>
      <c r="B189" s="12">
        <v>46313.833333333336</v>
      </c>
      <c r="C189" s="5">
        <v>1269</v>
      </c>
      <c r="D189" s="1" t="s">
        <v>41</v>
      </c>
      <c r="E189" s="5">
        <v>5</v>
      </c>
      <c r="F189" s="1" t="s">
        <v>41</v>
      </c>
      <c r="G189" s="1" t="s">
        <v>41</v>
      </c>
      <c r="H189" s="1" t="s">
        <v>649</v>
      </c>
      <c r="I189" s="12">
        <v>46313.835416666669</v>
      </c>
      <c r="J189" s="1" t="s">
        <v>41</v>
      </c>
      <c r="K189" s="12">
        <v>46313.835416666669</v>
      </c>
      <c r="L189" s="5">
        <v>20</v>
      </c>
      <c r="M189" s="4"/>
      <c r="N189" s="1"/>
      <c r="O189" s="12">
        <v>46313.831250000003</v>
      </c>
      <c r="P189" s="1" t="s">
        <v>43</v>
      </c>
      <c r="Q189" s="1" t="s">
        <v>44</v>
      </c>
      <c r="R189" s="1" t="s">
        <v>650</v>
      </c>
      <c r="S189" s="5">
        <v>4247</v>
      </c>
      <c r="T189" s="1" t="s">
        <v>41</v>
      </c>
      <c r="U189" s="6">
        <v>46313.839583333334</v>
      </c>
      <c r="V189" s="12">
        <v>46313.838888888888</v>
      </c>
      <c r="W189" s="7" t="s">
        <v>651</v>
      </c>
      <c r="X189" s="5">
        <v>22411</v>
      </c>
      <c r="Y189" s="4"/>
      <c r="Z189" s="5">
        <v>0</v>
      </c>
      <c r="AA189" s="8">
        <v>0.83333333333333337</v>
      </c>
      <c r="AB189" s="5">
        <v>5</v>
      </c>
      <c r="AC189" s="1" t="s">
        <v>41</v>
      </c>
      <c r="AD189" s="9" t="str">
        <f t="shared" si="0"/>
        <v>Actual</v>
      </c>
      <c r="AE189" s="9" t="str">
        <f t="shared" si="1"/>
        <v>TMK7</v>
      </c>
      <c r="AF189" s="9">
        <f>HOUR(O189)</f>
        <v>19</v>
      </c>
      <c r="AG189" s="9">
        <f>DAY(O189)</f>
        <v>18</v>
      </c>
      <c r="AH189" s="9">
        <f>IFERROR((I189-K189)*24*60,0)</f>
        <v>0</v>
      </c>
      <c r="AI189" s="9">
        <f t="shared" si="2"/>
        <v>0</v>
      </c>
      <c r="AJ189" s="9">
        <f>C189</f>
        <v>1269</v>
      </c>
      <c r="AK189" s="9">
        <f>IF(P189="completed",((V189-K189)*24*60),0)</f>
        <v>4.9999999953433871</v>
      </c>
      <c r="AL189" s="9">
        <f>IF(P189="completed",((U189-K189)*24*60),0)</f>
        <v>5.9999999986030161</v>
      </c>
      <c r="AM189" s="9" t="str">
        <f t="shared" si="3"/>
        <v>OTP Achieved</v>
      </c>
      <c r="AN189" s="9" t="str">
        <f t="shared" si="4"/>
        <v>OTP Achieved</v>
      </c>
    </row>
    <row r="190" spans="1:40" ht="16">
      <c r="A190" s="3" t="s">
        <v>379</v>
      </c>
      <c r="B190" s="12">
        <v>46313.832638888889</v>
      </c>
      <c r="C190" s="5">
        <v>2244</v>
      </c>
      <c r="D190" s="1" t="s">
        <v>41</v>
      </c>
      <c r="E190" s="5">
        <v>9</v>
      </c>
      <c r="F190" s="1" t="s">
        <v>41</v>
      </c>
      <c r="G190" s="1" t="s">
        <v>41</v>
      </c>
      <c r="H190" s="1" t="s">
        <v>652</v>
      </c>
      <c r="I190" s="12">
        <v>46313.833333333336</v>
      </c>
      <c r="J190" s="1" t="s">
        <v>41</v>
      </c>
      <c r="K190" s="12">
        <v>46313.832638888889</v>
      </c>
      <c r="L190" s="5">
        <v>23</v>
      </c>
      <c r="M190" s="4"/>
      <c r="N190" s="1"/>
      <c r="O190" s="12">
        <v>46313.830555555556</v>
      </c>
      <c r="P190" s="1" t="s">
        <v>43</v>
      </c>
      <c r="Q190" s="1" t="s">
        <v>381</v>
      </c>
      <c r="R190" s="1" t="s">
        <v>653</v>
      </c>
      <c r="S190" s="5">
        <v>4247</v>
      </c>
      <c r="T190" s="1" t="s">
        <v>41</v>
      </c>
      <c r="U190" s="12">
        <v>46313.840277777781</v>
      </c>
      <c r="V190" s="12">
        <v>46313.838888888888</v>
      </c>
      <c r="W190" s="7" t="s">
        <v>654</v>
      </c>
      <c r="X190" s="5">
        <v>22411</v>
      </c>
      <c r="Y190" s="4"/>
      <c r="Z190" s="5">
        <v>0</v>
      </c>
      <c r="AA190" s="8">
        <v>0.83263888888888893</v>
      </c>
      <c r="AB190" s="5">
        <v>8</v>
      </c>
      <c r="AC190" s="1" t="s">
        <v>41</v>
      </c>
      <c r="AD190" s="9" t="str">
        <f t="shared" si="0"/>
        <v>Actual</v>
      </c>
      <c r="AE190" s="9" t="str">
        <f t="shared" si="1"/>
        <v>TMK7</v>
      </c>
      <c r="AF190" s="9">
        <f>HOUR(O190)</f>
        <v>19</v>
      </c>
      <c r="AG190" s="9">
        <f>DAY(O190)</f>
        <v>18</v>
      </c>
      <c r="AH190" s="9">
        <f>IFERROR((I190-K190)*24*60,0)</f>
        <v>1.000000003259629</v>
      </c>
      <c r="AI190" s="9">
        <f t="shared" si="2"/>
        <v>1.000000003259629</v>
      </c>
      <c r="AJ190" s="9">
        <f>C190</f>
        <v>2244</v>
      </c>
      <c r="AK190" s="9">
        <f>IF(P190="completed",((V190-K190)*24*60),0)</f>
        <v>8.9999999979045242</v>
      </c>
      <c r="AL190" s="9">
        <f>IF(P190="completed",((U190-K190)*24*60),0)</f>
        <v>11.000000004423782</v>
      </c>
      <c r="AM190" s="9" t="str">
        <f t="shared" si="3"/>
        <v>OTP Achieved</v>
      </c>
      <c r="AN190" s="9" t="str">
        <f t="shared" si="4"/>
        <v>OTP Achieved</v>
      </c>
    </row>
    <row r="191" spans="1:40" ht="16">
      <c r="A191" s="3" t="s">
        <v>655</v>
      </c>
      <c r="B191" s="12">
        <v>46313.831944444442</v>
      </c>
      <c r="C191" s="5">
        <v>1342</v>
      </c>
      <c r="D191" s="1" t="s">
        <v>41</v>
      </c>
      <c r="E191" s="5">
        <v>5</v>
      </c>
      <c r="F191" s="1" t="s">
        <v>41</v>
      </c>
      <c r="G191" s="1" t="s">
        <v>41</v>
      </c>
      <c r="H191" s="1" t="s">
        <v>656</v>
      </c>
      <c r="I191" s="12">
        <v>46313.832638888889</v>
      </c>
      <c r="J191" s="1" t="s">
        <v>41</v>
      </c>
      <c r="K191" s="12">
        <v>46313.831250000003</v>
      </c>
      <c r="L191" s="5">
        <v>31</v>
      </c>
      <c r="M191" s="4"/>
      <c r="N191" s="1"/>
      <c r="O191" s="12">
        <v>46313.82916666667</v>
      </c>
      <c r="P191" s="1" t="s">
        <v>43</v>
      </c>
      <c r="Q191" s="1" t="s">
        <v>657</v>
      </c>
      <c r="R191" s="1" t="s">
        <v>658</v>
      </c>
      <c r="S191" s="5">
        <v>4247</v>
      </c>
      <c r="T191" s="1" t="s">
        <v>41</v>
      </c>
      <c r="U191" s="6">
        <v>46313.837500000001</v>
      </c>
      <c r="V191" s="12">
        <v>46313.835416666669</v>
      </c>
      <c r="W191" s="7" t="s">
        <v>659</v>
      </c>
      <c r="X191" s="5">
        <v>22411</v>
      </c>
      <c r="Y191" s="4"/>
      <c r="Z191" s="5">
        <v>0</v>
      </c>
      <c r="AA191" s="8">
        <v>0.83194444444444449</v>
      </c>
      <c r="AB191" s="5">
        <v>4</v>
      </c>
      <c r="AC191" s="1" t="s">
        <v>41</v>
      </c>
      <c r="AD191" s="9" t="str">
        <f t="shared" si="0"/>
        <v>Actual</v>
      </c>
      <c r="AE191" s="9" t="str">
        <f t="shared" si="1"/>
        <v>TMK7</v>
      </c>
      <c r="AF191" s="9">
        <f>HOUR(O191)</f>
        <v>19</v>
      </c>
      <c r="AG191" s="9">
        <f>DAY(O191)</f>
        <v>18</v>
      </c>
      <c r="AH191" s="9">
        <f>IFERROR((I191-K191)*24*60,0)</f>
        <v>1.9999999960418791</v>
      </c>
      <c r="AI191" s="9">
        <f t="shared" si="2"/>
        <v>1.9999999960418791</v>
      </c>
      <c r="AJ191" s="9">
        <f>C191</f>
        <v>1342</v>
      </c>
      <c r="AK191" s="9">
        <f>IF(P191="completed",((V191-K191)*24*60),0)</f>
        <v>5.9999999986030161</v>
      </c>
      <c r="AL191" s="9">
        <f>IF(P191="completed",((U191-K191)*24*60),0)</f>
        <v>8.9999999979045242</v>
      </c>
      <c r="AM191" s="9" t="str">
        <f t="shared" si="3"/>
        <v>OTP Achieved</v>
      </c>
      <c r="AN191" s="9" t="str">
        <f t="shared" si="4"/>
        <v>OTP Achieved</v>
      </c>
    </row>
    <row r="192" spans="1:40" ht="16">
      <c r="A192" s="3" t="s">
        <v>57</v>
      </c>
      <c r="B192" s="12">
        <v>46313.831944444442</v>
      </c>
      <c r="C192" s="5">
        <v>1363</v>
      </c>
      <c r="D192" s="1" t="s">
        <v>41</v>
      </c>
      <c r="E192" s="5">
        <v>4</v>
      </c>
      <c r="F192" s="1" t="s">
        <v>41</v>
      </c>
      <c r="G192" s="1" t="s">
        <v>41</v>
      </c>
      <c r="H192" s="1" t="s">
        <v>660</v>
      </c>
      <c r="I192" s="12">
        <v>46313.832638888889</v>
      </c>
      <c r="J192" s="1" t="s">
        <v>41</v>
      </c>
      <c r="K192" s="12">
        <v>46313.831250000003</v>
      </c>
      <c r="L192" s="5">
        <v>14</v>
      </c>
      <c r="M192" s="4"/>
      <c r="N192" s="1"/>
      <c r="O192" s="12">
        <v>46313.82916666667</v>
      </c>
      <c r="P192" s="1" t="s">
        <v>43</v>
      </c>
      <c r="Q192" s="1" t="s">
        <v>59</v>
      </c>
      <c r="R192" s="1" t="s">
        <v>661</v>
      </c>
      <c r="S192" s="5">
        <v>4247</v>
      </c>
      <c r="T192" s="1" t="s">
        <v>41</v>
      </c>
      <c r="U192" s="12">
        <v>46313.836111111108</v>
      </c>
      <c r="V192" s="12">
        <v>46313.834722222222</v>
      </c>
      <c r="W192" s="7" t="s">
        <v>662</v>
      </c>
      <c r="X192" s="5">
        <v>22411</v>
      </c>
      <c r="Y192" s="4"/>
      <c r="Z192" s="5">
        <v>0</v>
      </c>
      <c r="AA192" s="8">
        <v>0.83194444444444449</v>
      </c>
      <c r="AB192" s="5">
        <v>4</v>
      </c>
      <c r="AC192" s="1" t="s">
        <v>41</v>
      </c>
      <c r="AD192" s="9" t="str">
        <f t="shared" si="0"/>
        <v>Actual</v>
      </c>
      <c r="AE192" s="9" t="str">
        <f t="shared" si="1"/>
        <v>TMK7</v>
      </c>
      <c r="AF192" s="9">
        <f>HOUR(O192)</f>
        <v>19</v>
      </c>
      <c r="AG192" s="9">
        <f>DAY(O192)</f>
        <v>18</v>
      </c>
      <c r="AH192" s="9">
        <f>IFERROR((I192-K192)*24*60,0)</f>
        <v>1.9999999960418791</v>
      </c>
      <c r="AI192" s="9">
        <f t="shared" si="2"/>
        <v>1.9999999960418791</v>
      </c>
      <c r="AJ192" s="9">
        <f>C192</f>
        <v>1363</v>
      </c>
      <c r="AK192" s="9">
        <f>IF(P192="completed",((V192-K192)*24*60),0)</f>
        <v>4.9999999953433871</v>
      </c>
      <c r="AL192" s="9">
        <f>IF(P192="completed",((U192-K192)*24*60),0)</f>
        <v>6.9999999913852662</v>
      </c>
      <c r="AM192" s="9" t="str">
        <f t="shared" si="3"/>
        <v>OTP Achieved</v>
      </c>
      <c r="AN192" s="9" t="str">
        <f t="shared" si="4"/>
        <v>OTP Achieved</v>
      </c>
    </row>
    <row r="193" spans="1:40" ht="16">
      <c r="A193" s="3" t="s">
        <v>125</v>
      </c>
      <c r="B193" s="12">
        <v>46313.831250000003</v>
      </c>
      <c r="C193" s="5">
        <v>2300</v>
      </c>
      <c r="D193" s="1" t="s">
        <v>41</v>
      </c>
      <c r="E193" s="5">
        <v>10</v>
      </c>
      <c r="F193" s="1" t="s">
        <v>41</v>
      </c>
      <c r="G193" s="1" t="s">
        <v>41</v>
      </c>
      <c r="H193" s="1" t="s">
        <v>663</v>
      </c>
      <c r="I193" s="12">
        <v>46313.831944444442</v>
      </c>
      <c r="J193" s="1" t="s">
        <v>41</v>
      </c>
      <c r="K193" s="12">
        <v>46313.831250000003</v>
      </c>
      <c r="L193" s="5">
        <v>21</v>
      </c>
      <c r="M193" s="4"/>
      <c r="N193" s="1"/>
      <c r="O193" s="12">
        <v>46313.827777777777</v>
      </c>
      <c r="P193" s="1" t="s">
        <v>43</v>
      </c>
      <c r="Q193" s="1" t="s">
        <v>127</v>
      </c>
      <c r="R193" s="1" t="s">
        <v>664</v>
      </c>
      <c r="S193" s="5">
        <v>4247</v>
      </c>
      <c r="T193" s="1" t="s">
        <v>41</v>
      </c>
      <c r="U193" s="6">
        <v>46313.839583333334</v>
      </c>
      <c r="V193" s="12">
        <v>46313.838888888888</v>
      </c>
      <c r="W193" s="7" t="s">
        <v>665</v>
      </c>
      <c r="X193" s="5">
        <v>22411</v>
      </c>
      <c r="Y193" s="4"/>
      <c r="Z193" s="5">
        <v>0</v>
      </c>
      <c r="AA193" s="8">
        <v>0.83125000000000004</v>
      </c>
      <c r="AB193" s="5">
        <v>10</v>
      </c>
      <c r="AC193" s="1" t="s">
        <v>41</v>
      </c>
      <c r="AD193" s="9" t="str">
        <f t="shared" si="0"/>
        <v>Actual</v>
      </c>
      <c r="AE193" s="9" t="str">
        <f t="shared" si="1"/>
        <v>TMK7</v>
      </c>
      <c r="AF193" s="9">
        <f>HOUR(O193)</f>
        <v>19</v>
      </c>
      <c r="AG193" s="9">
        <f>DAY(O193)</f>
        <v>18</v>
      </c>
      <c r="AH193" s="9">
        <f>IFERROR((I193-K193)*24*60,0)</f>
        <v>0.99999999278225005</v>
      </c>
      <c r="AI193" s="9">
        <f t="shared" si="2"/>
        <v>0.99999999278225005</v>
      </c>
      <c r="AJ193" s="9">
        <f>C193</f>
        <v>2300</v>
      </c>
      <c r="AK193" s="9">
        <f>IF(P193="completed",((V193-K193)*24*60),0)</f>
        <v>10.999999993946403</v>
      </c>
      <c r="AL193" s="9">
        <f>IF(P193="completed",((U193-K193)*24*60),0)</f>
        <v>11.999999997206032</v>
      </c>
      <c r="AM193" s="9" t="str">
        <f t="shared" si="3"/>
        <v>OTP Achieved</v>
      </c>
      <c r="AN193" s="9" t="str">
        <f t="shared" si="4"/>
        <v>OTP Achieved</v>
      </c>
    </row>
    <row r="194" spans="1:40" ht="16">
      <c r="A194" s="3" t="s">
        <v>98</v>
      </c>
      <c r="B194" s="12">
        <v>46313.831250000003</v>
      </c>
      <c r="C194" s="5">
        <v>2575</v>
      </c>
      <c r="D194" s="1" t="s">
        <v>41</v>
      </c>
      <c r="E194" s="5">
        <v>9</v>
      </c>
      <c r="F194" s="1" t="s">
        <v>41</v>
      </c>
      <c r="G194" s="1" t="s">
        <v>41</v>
      </c>
      <c r="H194" s="1" t="s">
        <v>666</v>
      </c>
      <c r="I194" s="12">
        <v>46313.831250000003</v>
      </c>
      <c r="J194" s="1" t="s">
        <v>41</v>
      </c>
      <c r="K194" s="12">
        <v>46313.831250000003</v>
      </c>
      <c r="L194" s="5">
        <v>17</v>
      </c>
      <c r="M194" s="4"/>
      <c r="N194" s="1"/>
      <c r="O194" s="12">
        <v>46313.827777777777</v>
      </c>
      <c r="P194" s="1" t="s">
        <v>43</v>
      </c>
      <c r="Q194" s="1" t="s">
        <v>100</v>
      </c>
      <c r="R194" s="1" t="s">
        <v>667</v>
      </c>
      <c r="S194" s="5">
        <v>4247</v>
      </c>
      <c r="T194" s="1" t="s">
        <v>41</v>
      </c>
      <c r="U194" s="12">
        <v>46313.838888888888</v>
      </c>
      <c r="V194" s="12">
        <v>46313.837500000001</v>
      </c>
      <c r="W194" s="7" t="s">
        <v>668</v>
      </c>
      <c r="X194" s="5">
        <v>22411</v>
      </c>
      <c r="Y194" s="10"/>
      <c r="Z194" s="5">
        <v>0</v>
      </c>
      <c r="AA194" s="8">
        <v>0.83125000000000004</v>
      </c>
      <c r="AB194" s="5">
        <v>9</v>
      </c>
      <c r="AC194" s="1" t="s">
        <v>41</v>
      </c>
      <c r="AD194" s="9" t="str">
        <f t="shared" si="0"/>
        <v>Actual</v>
      </c>
      <c r="AE194" s="9" t="str">
        <f t="shared" si="1"/>
        <v>TMK7</v>
      </c>
      <c r="AF194" s="9">
        <f>HOUR(O194)</f>
        <v>19</v>
      </c>
      <c r="AG194" s="9">
        <f>DAY(O194)</f>
        <v>18</v>
      </c>
      <c r="AH194" s="9">
        <f>IFERROR((I194-K194)*24*60,0)</f>
        <v>0</v>
      </c>
      <c r="AI194" s="9">
        <f t="shared" si="2"/>
        <v>0</v>
      </c>
      <c r="AJ194" s="9">
        <f>C194</f>
        <v>2575</v>
      </c>
      <c r="AK194" s="9">
        <f>IF(P194="completed",((V194-K194)*24*60),0)</f>
        <v>8.9999999979045242</v>
      </c>
      <c r="AL194" s="9">
        <f>IF(P194="completed",((U194-K194)*24*60),0)</f>
        <v>10.999999993946403</v>
      </c>
      <c r="AM194" s="9" t="str">
        <f t="shared" si="3"/>
        <v>OTP Achieved</v>
      </c>
      <c r="AN194" s="9" t="str">
        <f t="shared" si="4"/>
        <v>OTP Achieved</v>
      </c>
    </row>
    <row r="195" spans="1:40" ht="16">
      <c r="A195" s="3" t="s">
        <v>339</v>
      </c>
      <c r="B195" s="12">
        <v>46313.831250000003</v>
      </c>
      <c r="C195" s="5">
        <v>2268</v>
      </c>
      <c r="D195" s="1" t="s">
        <v>41</v>
      </c>
      <c r="E195" s="5">
        <v>12</v>
      </c>
      <c r="F195" s="1" t="s">
        <v>41</v>
      </c>
      <c r="G195" s="1" t="s">
        <v>41</v>
      </c>
      <c r="H195" s="1" t="s">
        <v>669</v>
      </c>
      <c r="I195" s="12">
        <v>46313.831250000003</v>
      </c>
      <c r="J195" s="1" t="s">
        <v>41</v>
      </c>
      <c r="K195" s="12">
        <v>46313.830555555556</v>
      </c>
      <c r="L195" s="5">
        <v>15</v>
      </c>
      <c r="M195" s="4"/>
      <c r="N195" s="1"/>
      <c r="O195" s="12">
        <v>46313.82708333333</v>
      </c>
      <c r="P195" s="1" t="s">
        <v>43</v>
      </c>
      <c r="Q195" s="1" t="s">
        <v>341</v>
      </c>
      <c r="R195" s="1" t="s">
        <v>670</v>
      </c>
      <c r="S195" s="5">
        <v>4247</v>
      </c>
      <c r="T195" s="1" t="s">
        <v>41</v>
      </c>
      <c r="U195" s="12">
        <v>46313.838194444441</v>
      </c>
      <c r="V195" s="12">
        <v>46313.838888888888</v>
      </c>
      <c r="W195" s="7" t="s">
        <v>671</v>
      </c>
      <c r="X195" s="5">
        <v>22411</v>
      </c>
      <c r="Y195" s="4"/>
      <c r="Z195" s="5">
        <v>0</v>
      </c>
      <c r="AA195" s="8">
        <v>0.83125000000000004</v>
      </c>
      <c r="AB195" s="5">
        <v>11</v>
      </c>
      <c r="AC195" s="1" t="s">
        <v>41</v>
      </c>
      <c r="AD195" s="9" t="str">
        <f t="shared" si="0"/>
        <v>Actual</v>
      </c>
      <c r="AE195" s="9" t="str">
        <f t="shared" si="1"/>
        <v>TMK7</v>
      </c>
      <c r="AF195" s="9">
        <f>HOUR(O195)</f>
        <v>19</v>
      </c>
      <c r="AG195" s="9">
        <f>DAY(O195)</f>
        <v>18</v>
      </c>
      <c r="AH195" s="9">
        <f>IFERROR((I195-K195)*24*60,0)</f>
        <v>1.000000003259629</v>
      </c>
      <c r="AI195" s="9">
        <f t="shared" si="2"/>
        <v>1.000000003259629</v>
      </c>
      <c r="AJ195" s="9">
        <f>C195</f>
        <v>2268</v>
      </c>
      <c r="AK195" s="9">
        <f>IF(P195="completed",((V195-K195)*24*60),0)</f>
        <v>11.999999997206032</v>
      </c>
      <c r="AL195" s="9">
        <f>IF(P195="completed",((U195-K195)*24*60),0)</f>
        <v>10.999999993946403</v>
      </c>
      <c r="AM195" s="9" t="str">
        <f t="shared" si="3"/>
        <v>OTP Breached</v>
      </c>
      <c r="AN195" s="9" t="str">
        <f t="shared" si="4"/>
        <v>OTP Achieved</v>
      </c>
    </row>
    <row r="196" spans="1:40" ht="16">
      <c r="A196" s="3" t="s">
        <v>157</v>
      </c>
      <c r="B196" s="12">
        <v>46313.830555555556</v>
      </c>
      <c r="C196" s="5">
        <v>591</v>
      </c>
      <c r="D196" s="1" t="s">
        <v>41</v>
      </c>
      <c r="E196" s="5">
        <v>3</v>
      </c>
      <c r="F196" s="1" t="s">
        <v>41</v>
      </c>
      <c r="G196" s="1" t="s">
        <v>41</v>
      </c>
      <c r="H196" s="1" t="s">
        <v>672</v>
      </c>
      <c r="I196" s="12">
        <v>46313.831250000003</v>
      </c>
      <c r="J196" s="1" t="s">
        <v>41</v>
      </c>
      <c r="K196" s="12">
        <v>46313.829861111109</v>
      </c>
      <c r="L196" s="5">
        <v>32</v>
      </c>
      <c r="M196" s="4"/>
      <c r="N196" s="1"/>
      <c r="O196" s="12">
        <v>46313.82708333333</v>
      </c>
      <c r="P196" s="1" t="s">
        <v>43</v>
      </c>
      <c r="Q196" s="1" t="s">
        <v>159</v>
      </c>
      <c r="R196" s="1" t="s">
        <v>673</v>
      </c>
      <c r="S196" s="5">
        <v>4247</v>
      </c>
      <c r="T196" s="1" t="s">
        <v>41</v>
      </c>
      <c r="U196" s="12">
        <v>46313.833333333336</v>
      </c>
      <c r="V196" s="12">
        <v>46313.832638888889</v>
      </c>
      <c r="W196" s="7" t="s">
        <v>674</v>
      </c>
      <c r="X196" s="5">
        <v>22411</v>
      </c>
      <c r="Y196" s="4"/>
      <c r="Z196" s="5">
        <v>0</v>
      </c>
      <c r="AA196" s="8">
        <v>0.8305555555555556</v>
      </c>
      <c r="AB196" s="5">
        <v>2</v>
      </c>
      <c r="AC196" s="1" t="s">
        <v>41</v>
      </c>
      <c r="AD196" s="9" t="str">
        <f t="shared" si="0"/>
        <v>Actual</v>
      </c>
      <c r="AE196" s="9" t="str">
        <f t="shared" si="1"/>
        <v>TMK7</v>
      </c>
      <c r="AF196" s="9">
        <f>HOUR(O196)</f>
        <v>19</v>
      </c>
      <c r="AG196" s="9">
        <f>DAY(O196)</f>
        <v>18</v>
      </c>
      <c r="AH196" s="9">
        <f>IFERROR((I196-K196)*24*60,0)</f>
        <v>2.000000006519258</v>
      </c>
      <c r="AI196" s="9">
        <f t="shared" si="2"/>
        <v>2.000000006519258</v>
      </c>
      <c r="AJ196" s="9">
        <f>C196</f>
        <v>591</v>
      </c>
      <c r="AK196" s="9">
        <f>IF(P196="completed",((V196-K196)*24*60),0)</f>
        <v>4.0000000025611371</v>
      </c>
      <c r="AL196" s="9">
        <f>IF(P196="completed",((U196-K196)*24*60),0)</f>
        <v>5.0000000058207661</v>
      </c>
      <c r="AM196" s="9" t="str">
        <f t="shared" si="3"/>
        <v>OTP Achieved</v>
      </c>
      <c r="AN196" s="9" t="str">
        <f t="shared" si="4"/>
        <v>OTP Achieved</v>
      </c>
    </row>
    <row r="197" spans="1:40" ht="16">
      <c r="A197" s="3" t="s">
        <v>52</v>
      </c>
      <c r="B197" s="12">
        <v>46313.829861111109</v>
      </c>
      <c r="C197" s="5">
        <v>2358</v>
      </c>
      <c r="D197" s="1" t="s">
        <v>41</v>
      </c>
      <c r="E197" s="5">
        <v>8</v>
      </c>
      <c r="F197" s="1" t="s">
        <v>41</v>
      </c>
      <c r="G197" s="1" t="s">
        <v>41</v>
      </c>
      <c r="H197" s="1" t="s">
        <v>675</v>
      </c>
      <c r="I197" s="12">
        <v>46313.830555555556</v>
      </c>
      <c r="J197" s="1" t="s">
        <v>41</v>
      </c>
      <c r="K197" s="12">
        <v>46313.829861111109</v>
      </c>
      <c r="L197" s="5">
        <v>28</v>
      </c>
      <c r="M197" s="4"/>
      <c r="N197" s="1"/>
      <c r="O197" s="12">
        <v>46313.82708333333</v>
      </c>
      <c r="P197" s="1" t="s">
        <v>43</v>
      </c>
      <c r="Q197" s="1" t="s">
        <v>54</v>
      </c>
      <c r="R197" s="1" t="s">
        <v>676</v>
      </c>
      <c r="S197" s="5">
        <v>4247</v>
      </c>
      <c r="T197" s="1" t="s">
        <v>41</v>
      </c>
      <c r="U197" s="12">
        <v>46313.837500000001</v>
      </c>
      <c r="V197" s="12">
        <v>46313.835416666669</v>
      </c>
      <c r="W197" s="7" t="s">
        <v>677</v>
      </c>
      <c r="X197" s="5">
        <v>22411</v>
      </c>
      <c r="Y197" s="4"/>
      <c r="Z197" s="5">
        <v>0</v>
      </c>
      <c r="AA197" s="8">
        <v>0.82986111111111116</v>
      </c>
      <c r="AB197" s="5">
        <v>7</v>
      </c>
      <c r="AC197" s="1" t="s">
        <v>41</v>
      </c>
      <c r="AD197" s="9" t="str">
        <f t="shared" si="0"/>
        <v>Actual</v>
      </c>
      <c r="AE197" s="9" t="str">
        <f t="shared" si="1"/>
        <v>TMK7</v>
      </c>
      <c r="AF197" s="9">
        <f>HOUR(O197)</f>
        <v>19</v>
      </c>
      <c r="AG197" s="9">
        <f>DAY(O197)</f>
        <v>18</v>
      </c>
      <c r="AH197" s="9">
        <f>IFERROR((I197-K197)*24*60,0)</f>
        <v>1.000000003259629</v>
      </c>
      <c r="AI197" s="9">
        <f t="shared" si="2"/>
        <v>1.000000003259629</v>
      </c>
      <c r="AJ197" s="9">
        <f>C197</f>
        <v>2358</v>
      </c>
      <c r="AK197" s="9">
        <f>IF(P197="completed",((V197-K197)*24*60),0)</f>
        <v>8.0000000051222742</v>
      </c>
      <c r="AL197" s="9">
        <f>IF(P197="completed",((U197-K197)*24*60),0)</f>
        <v>11.000000004423782</v>
      </c>
      <c r="AM197" s="9" t="str">
        <f t="shared" si="3"/>
        <v>OTP Achieved</v>
      </c>
      <c r="AN197" s="9" t="str">
        <f t="shared" si="4"/>
        <v>OTP Achieved</v>
      </c>
    </row>
    <row r="198" spans="1:40" ht="16">
      <c r="A198" s="3" t="s">
        <v>77</v>
      </c>
      <c r="B198" s="12">
        <v>46313.82916666667</v>
      </c>
      <c r="C198" s="5">
        <v>1724</v>
      </c>
      <c r="D198" s="1" t="s">
        <v>41</v>
      </c>
      <c r="E198" s="5">
        <v>5</v>
      </c>
      <c r="F198" s="1" t="s">
        <v>41</v>
      </c>
      <c r="G198" s="1" t="s">
        <v>41</v>
      </c>
      <c r="H198" s="1" t="s">
        <v>678</v>
      </c>
      <c r="I198" s="12">
        <v>46313.830555555556</v>
      </c>
      <c r="J198" s="1" t="s">
        <v>41</v>
      </c>
      <c r="K198" s="12">
        <v>46313.830555555556</v>
      </c>
      <c r="L198" s="5">
        <v>21</v>
      </c>
      <c r="M198" s="4"/>
      <c r="N198" s="1"/>
      <c r="O198" s="12">
        <v>46313.825694444444</v>
      </c>
      <c r="P198" s="1" t="s">
        <v>43</v>
      </c>
      <c r="Q198" s="1" t="s">
        <v>79</v>
      </c>
      <c r="R198" s="1" t="s">
        <v>679</v>
      </c>
      <c r="S198" s="5">
        <v>4247</v>
      </c>
      <c r="T198" s="1" t="s">
        <v>41</v>
      </c>
      <c r="U198" s="6">
        <v>46313.836111111108</v>
      </c>
      <c r="V198" s="6">
        <v>46313.834027777775</v>
      </c>
      <c r="W198" s="7" t="s">
        <v>680</v>
      </c>
      <c r="X198" s="5">
        <v>22411</v>
      </c>
      <c r="Y198" s="4"/>
      <c r="Z198" s="5">
        <v>0</v>
      </c>
      <c r="AA198" s="8">
        <v>0.82916666666666672</v>
      </c>
      <c r="AB198" s="5">
        <v>5</v>
      </c>
      <c r="AC198" s="1" t="s">
        <v>41</v>
      </c>
      <c r="AD198" s="9" t="str">
        <f t="shared" si="0"/>
        <v>Actual</v>
      </c>
      <c r="AE198" s="9" t="str">
        <f t="shared" si="1"/>
        <v>TMK7</v>
      </c>
      <c r="AF198" s="9">
        <f>HOUR(O198)</f>
        <v>19</v>
      </c>
      <c r="AG198" s="9">
        <f>DAY(O198)</f>
        <v>18</v>
      </c>
      <c r="AH198" s="9">
        <f>IFERROR((I198-K198)*24*60,0)</f>
        <v>0</v>
      </c>
      <c r="AI198" s="9">
        <f t="shared" si="2"/>
        <v>0</v>
      </c>
      <c r="AJ198" s="9">
        <f>C198</f>
        <v>1724</v>
      </c>
      <c r="AK198" s="9">
        <f>IF(P198="completed",((V198-K198)*24*60),0)</f>
        <v>4.9999999953433871</v>
      </c>
      <c r="AL198" s="9">
        <f>IF(P198="completed",((U198-K198)*24*60),0)</f>
        <v>7.9999999946448952</v>
      </c>
      <c r="AM198" s="9" t="str">
        <f t="shared" si="3"/>
        <v>OTP Achieved</v>
      </c>
      <c r="AN198" s="9" t="str">
        <f t="shared" si="4"/>
        <v>OTP Achieved</v>
      </c>
    </row>
    <row r="199" spans="1:40" ht="16">
      <c r="A199" s="3" t="s">
        <v>185</v>
      </c>
      <c r="B199" s="12">
        <v>46313.82916666667</v>
      </c>
      <c r="C199" s="5">
        <v>2218</v>
      </c>
      <c r="D199" s="1" t="s">
        <v>41</v>
      </c>
      <c r="E199" s="5">
        <v>12</v>
      </c>
      <c r="F199" s="1" t="s">
        <v>41</v>
      </c>
      <c r="G199" s="1" t="s">
        <v>41</v>
      </c>
      <c r="H199" s="1" t="s">
        <v>681</v>
      </c>
      <c r="I199" s="12">
        <v>46313.829861111109</v>
      </c>
      <c r="J199" s="1" t="s">
        <v>41</v>
      </c>
      <c r="K199" s="12">
        <v>46313.828472222223</v>
      </c>
      <c r="L199" s="5">
        <v>38</v>
      </c>
      <c r="M199" s="4"/>
      <c r="N199" s="1"/>
      <c r="O199" s="12">
        <v>46313.824999999997</v>
      </c>
      <c r="P199" s="1" t="s">
        <v>43</v>
      </c>
      <c r="Q199" s="1" t="s">
        <v>187</v>
      </c>
      <c r="R199" s="1" t="s">
        <v>682</v>
      </c>
      <c r="S199" s="5">
        <v>4247</v>
      </c>
      <c r="T199" s="1" t="s">
        <v>41</v>
      </c>
      <c r="U199" s="12">
        <v>46313.836111111108</v>
      </c>
      <c r="V199" s="12">
        <v>46313.837500000001</v>
      </c>
      <c r="W199" s="7" t="s">
        <v>683</v>
      </c>
      <c r="X199" s="5">
        <v>22411</v>
      </c>
      <c r="Y199" s="4"/>
      <c r="Z199" s="5">
        <v>0</v>
      </c>
      <c r="AA199" s="8">
        <v>0.82916666666666672</v>
      </c>
      <c r="AB199" s="5">
        <v>12</v>
      </c>
      <c r="AC199" s="1" t="s">
        <v>41</v>
      </c>
      <c r="AD199" s="9" t="str">
        <f t="shared" si="0"/>
        <v>Actual</v>
      </c>
      <c r="AE199" s="9" t="str">
        <f t="shared" si="1"/>
        <v>TMK7</v>
      </c>
      <c r="AF199" s="9">
        <f>HOUR(O199)</f>
        <v>19</v>
      </c>
      <c r="AG199" s="9">
        <f>DAY(O199)</f>
        <v>18</v>
      </c>
      <c r="AH199" s="9">
        <f>IFERROR((I199-K199)*24*60,0)</f>
        <v>1.9999999960418791</v>
      </c>
      <c r="AI199" s="9">
        <f t="shared" si="2"/>
        <v>1.9999999960418791</v>
      </c>
      <c r="AJ199" s="9">
        <f>C199</f>
        <v>2218</v>
      </c>
      <c r="AK199" s="9">
        <f>IF(P199="completed",((V199-K199)*24*60),0)</f>
        <v>13.000000000465661</v>
      </c>
      <c r="AL199" s="9">
        <f>IF(P199="completed",((U199-K199)*24*60),0)</f>
        <v>10.999999993946403</v>
      </c>
      <c r="AM199" s="9" t="str">
        <f t="shared" si="3"/>
        <v>OTP Breached</v>
      </c>
      <c r="AN199" s="9" t="str">
        <f t="shared" si="4"/>
        <v>OTP Achieved</v>
      </c>
    </row>
    <row r="200" spans="1:40" ht="16">
      <c r="A200" s="3" t="s">
        <v>47</v>
      </c>
      <c r="B200" s="12">
        <v>46313.827777777777</v>
      </c>
      <c r="C200" s="5">
        <v>3935</v>
      </c>
      <c r="D200" s="1" t="s">
        <v>41</v>
      </c>
      <c r="E200" s="5">
        <v>11</v>
      </c>
      <c r="F200" s="1" t="s">
        <v>41</v>
      </c>
      <c r="G200" s="1" t="s">
        <v>41</v>
      </c>
      <c r="H200" s="1" t="s">
        <v>684</v>
      </c>
      <c r="I200" s="12">
        <v>46313.828472222223</v>
      </c>
      <c r="J200" s="1" t="s">
        <v>41</v>
      </c>
      <c r="K200" s="12">
        <v>46313.82708333333</v>
      </c>
      <c r="L200" s="5">
        <v>34</v>
      </c>
      <c r="M200" s="4"/>
      <c r="N200" s="1"/>
      <c r="O200" s="12">
        <v>46313.824999999997</v>
      </c>
      <c r="P200" s="1" t="s">
        <v>43</v>
      </c>
      <c r="Q200" s="1" t="s">
        <v>49</v>
      </c>
      <c r="R200" s="1" t="s">
        <v>685</v>
      </c>
      <c r="S200" s="5">
        <v>4247</v>
      </c>
      <c r="T200" s="1" t="s">
        <v>41</v>
      </c>
      <c r="U200" s="12">
        <v>46313.838194444441</v>
      </c>
      <c r="V200" s="12">
        <v>46313.835416666669</v>
      </c>
      <c r="W200" s="7" t="s">
        <v>686</v>
      </c>
      <c r="X200" s="5">
        <v>22411</v>
      </c>
      <c r="Y200" s="4"/>
      <c r="Z200" s="5">
        <v>0</v>
      </c>
      <c r="AA200" s="8">
        <v>0.82777777777777772</v>
      </c>
      <c r="AB200" s="5">
        <v>10</v>
      </c>
      <c r="AC200" s="1" t="s">
        <v>41</v>
      </c>
      <c r="AD200" s="9" t="str">
        <f t="shared" si="0"/>
        <v>Actual</v>
      </c>
      <c r="AE200" s="9" t="str">
        <f t="shared" si="1"/>
        <v>TMK7</v>
      </c>
      <c r="AF200" s="9">
        <f>HOUR(O200)</f>
        <v>19</v>
      </c>
      <c r="AG200" s="9">
        <f>DAY(O200)</f>
        <v>18</v>
      </c>
      <c r="AH200" s="9">
        <f>IFERROR((I200-K200)*24*60,0)</f>
        <v>2.000000006519258</v>
      </c>
      <c r="AI200" s="9">
        <f t="shared" si="2"/>
        <v>2.000000006519258</v>
      </c>
      <c r="AJ200" s="9">
        <f>C200</f>
        <v>3935</v>
      </c>
      <c r="AK200" s="9">
        <f>IF(P200="completed",((V200-K200)*24*60),0)</f>
        <v>12.000000007683411</v>
      </c>
      <c r="AL200" s="9">
        <f>IF(P200="completed",((U200-K200)*24*60),0)</f>
        <v>15.999999999767169</v>
      </c>
      <c r="AM200" s="9" t="str">
        <f t="shared" si="3"/>
        <v>OTP Achieved</v>
      </c>
      <c r="AN200" s="9" t="str">
        <f t="shared" si="4"/>
        <v>OTP Achieved</v>
      </c>
    </row>
    <row r="201" spans="1:40" ht="16">
      <c r="A201" s="3" t="s">
        <v>177</v>
      </c>
      <c r="B201" s="12">
        <v>46313.82708333333</v>
      </c>
      <c r="C201" s="5">
        <v>721</v>
      </c>
      <c r="D201" s="1" t="s">
        <v>41</v>
      </c>
      <c r="E201" s="5">
        <v>5</v>
      </c>
      <c r="F201" s="1" t="s">
        <v>41</v>
      </c>
      <c r="G201" s="1" t="s">
        <v>41</v>
      </c>
      <c r="H201" s="1" t="s">
        <v>687</v>
      </c>
      <c r="I201" s="12">
        <v>46313.82916666667</v>
      </c>
      <c r="J201" s="1" t="s">
        <v>41</v>
      </c>
      <c r="K201" s="12">
        <v>46313.827777777777</v>
      </c>
      <c r="L201" s="5">
        <v>107</v>
      </c>
      <c r="M201" s="4"/>
      <c r="N201" s="1"/>
      <c r="O201" s="12">
        <v>46313.824305555558</v>
      </c>
      <c r="P201" s="1" t="s">
        <v>43</v>
      </c>
      <c r="Q201" s="1" t="s">
        <v>179</v>
      </c>
      <c r="R201" s="1" t="s">
        <v>688</v>
      </c>
      <c r="S201" s="5">
        <v>4247</v>
      </c>
      <c r="T201" s="1" t="s">
        <v>41</v>
      </c>
      <c r="U201" s="12">
        <v>46313.831944444442</v>
      </c>
      <c r="V201" s="12">
        <v>46313.831250000003</v>
      </c>
      <c r="W201" s="7" t="s">
        <v>689</v>
      </c>
      <c r="X201" s="5">
        <v>22411</v>
      </c>
      <c r="Y201" s="4"/>
      <c r="Z201" s="5">
        <v>0</v>
      </c>
      <c r="AA201" s="8">
        <v>0.82708333333333328</v>
      </c>
      <c r="AB201" s="5">
        <v>3</v>
      </c>
      <c r="AC201" s="1" t="s">
        <v>41</v>
      </c>
      <c r="AD201" s="9" t="str">
        <f t="shared" si="0"/>
        <v>Actual</v>
      </c>
      <c r="AE201" s="9" t="str">
        <f t="shared" si="1"/>
        <v>TMK7</v>
      </c>
      <c r="AF201" s="9">
        <f>HOUR(O201)</f>
        <v>19</v>
      </c>
      <c r="AG201" s="9">
        <f>DAY(O201)</f>
        <v>18</v>
      </c>
      <c r="AH201" s="9">
        <f>IFERROR((I201-K201)*24*60,0)</f>
        <v>2.000000006519258</v>
      </c>
      <c r="AI201" s="9">
        <f t="shared" si="2"/>
        <v>2.000000006519258</v>
      </c>
      <c r="AJ201" s="9">
        <f>C201</f>
        <v>721</v>
      </c>
      <c r="AK201" s="9">
        <f>IF(P201="completed",((V201-K201)*24*60),0)</f>
        <v>5.0000000058207661</v>
      </c>
      <c r="AL201" s="9">
        <f>IF(P201="completed",((U201-K201)*24*60),0)</f>
        <v>5.9999999986030161</v>
      </c>
      <c r="AM201" s="9" t="str">
        <f t="shared" si="3"/>
        <v>OTP Achieved</v>
      </c>
      <c r="AN201" s="9" t="str">
        <f t="shared" si="4"/>
        <v>OTP Achieved</v>
      </c>
    </row>
    <row r="202" spans="1:40" ht="16">
      <c r="A202" s="3" t="s">
        <v>106</v>
      </c>
      <c r="B202" s="12">
        <v>46313.825694444444</v>
      </c>
      <c r="C202" s="5">
        <v>1334</v>
      </c>
      <c r="D202" s="1" t="s">
        <v>41</v>
      </c>
      <c r="E202" s="5">
        <v>6</v>
      </c>
      <c r="F202" s="1" t="s">
        <v>41</v>
      </c>
      <c r="G202" s="1" t="s">
        <v>41</v>
      </c>
      <c r="H202" s="1" t="s">
        <v>690</v>
      </c>
      <c r="I202" s="12">
        <v>46313.82708333333</v>
      </c>
      <c r="J202" s="1" t="s">
        <v>41</v>
      </c>
      <c r="K202" s="12">
        <v>46313.826388888891</v>
      </c>
      <c r="L202" s="5">
        <v>19</v>
      </c>
      <c r="M202" s="4"/>
      <c r="N202" s="1"/>
      <c r="O202" s="12">
        <v>46313.824305555558</v>
      </c>
      <c r="P202" s="1" t="s">
        <v>43</v>
      </c>
      <c r="Q202" s="1" t="s">
        <v>108</v>
      </c>
      <c r="R202" s="1" t="s">
        <v>691</v>
      </c>
      <c r="S202" s="5">
        <v>4247</v>
      </c>
      <c r="T202" s="1" t="s">
        <v>41</v>
      </c>
      <c r="U202" s="12">
        <v>46313.831250000003</v>
      </c>
      <c r="V202" s="12">
        <v>46313.831250000003</v>
      </c>
      <c r="W202" s="7" t="s">
        <v>692</v>
      </c>
      <c r="X202" s="5">
        <v>22411</v>
      </c>
      <c r="Y202" s="1"/>
      <c r="Z202" s="5">
        <v>0</v>
      </c>
      <c r="AA202" s="8">
        <v>0.8256944444444444</v>
      </c>
      <c r="AB202" s="5">
        <v>6</v>
      </c>
      <c r="AC202" s="1" t="s">
        <v>41</v>
      </c>
      <c r="AD202" s="9" t="str">
        <f t="shared" si="0"/>
        <v>Actual</v>
      </c>
      <c r="AE202" s="9" t="str">
        <f t="shared" si="1"/>
        <v>TMK7</v>
      </c>
      <c r="AF202" s="9">
        <f>HOUR(O202)</f>
        <v>19</v>
      </c>
      <c r="AG202" s="9">
        <f>DAY(O202)</f>
        <v>18</v>
      </c>
      <c r="AH202" s="9">
        <f>IFERROR((I202-K202)*24*60,0)</f>
        <v>0.99999999278225005</v>
      </c>
      <c r="AI202" s="9">
        <f t="shared" si="2"/>
        <v>0.99999999278225005</v>
      </c>
      <c r="AJ202" s="9">
        <f>C202</f>
        <v>1334</v>
      </c>
      <c r="AK202" s="9">
        <f>IF(P202="completed",((V202-K202)*24*60),0)</f>
        <v>7.0000000018626451</v>
      </c>
      <c r="AL202" s="9">
        <f>IF(P202="completed",((U202-K202)*24*60),0)</f>
        <v>7.0000000018626451</v>
      </c>
      <c r="AM202" s="9" t="str">
        <f t="shared" si="3"/>
        <v>OTP Breached</v>
      </c>
      <c r="AN202" s="9" t="str">
        <f t="shared" si="4"/>
        <v>OTP Achieved</v>
      </c>
    </row>
    <row r="203" spans="1:40" ht="16">
      <c r="A203" s="3" t="s">
        <v>72</v>
      </c>
      <c r="B203" s="12">
        <v>46313.824305555558</v>
      </c>
      <c r="C203" s="5">
        <v>791</v>
      </c>
      <c r="D203" s="1" t="s">
        <v>41</v>
      </c>
      <c r="E203" s="5">
        <v>7</v>
      </c>
      <c r="F203" s="1" t="s">
        <v>41</v>
      </c>
      <c r="G203" s="1" t="s">
        <v>41</v>
      </c>
      <c r="H203" s="1" t="s">
        <v>693</v>
      </c>
      <c r="I203" s="12">
        <v>46313.826388888891</v>
      </c>
      <c r="J203" s="1" t="s">
        <v>41</v>
      </c>
      <c r="K203" s="12">
        <v>46313.826388888891</v>
      </c>
      <c r="L203" s="5">
        <v>27</v>
      </c>
      <c r="M203" s="4"/>
      <c r="N203" s="1"/>
      <c r="O203" s="12">
        <v>46313.821527777778</v>
      </c>
      <c r="P203" s="1" t="s">
        <v>43</v>
      </c>
      <c r="Q203" s="1" t="s">
        <v>74</v>
      </c>
      <c r="R203" s="1" t="s">
        <v>694</v>
      </c>
      <c r="S203" s="5">
        <v>4247</v>
      </c>
      <c r="T203" s="1" t="s">
        <v>41</v>
      </c>
      <c r="U203" s="12">
        <v>46313.82916666667</v>
      </c>
      <c r="V203" s="12">
        <v>46313.831250000003</v>
      </c>
      <c r="W203" s="7" t="s">
        <v>695</v>
      </c>
      <c r="X203" s="5">
        <v>22411</v>
      </c>
      <c r="Y203" s="4"/>
      <c r="Z203" s="5">
        <v>0</v>
      </c>
      <c r="AA203" s="8">
        <v>0.82430555555555551</v>
      </c>
      <c r="AB203" s="5">
        <v>7</v>
      </c>
      <c r="AC203" s="1" t="s">
        <v>41</v>
      </c>
      <c r="AD203" s="9" t="str">
        <f t="shared" si="0"/>
        <v>Actual</v>
      </c>
      <c r="AE203" s="9" t="str">
        <f t="shared" si="1"/>
        <v>TMK7</v>
      </c>
      <c r="AF203" s="9">
        <f>HOUR(O203)</f>
        <v>19</v>
      </c>
      <c r="AG203" s="9">
        <f>DAY(O203)</f>
        <v>18</v>
      </c>
      <c r="AH203" s="9">
        <f>IFERROR((I203-K203)*24*60,0)</f>
        <v>0</v>
      </c>
      <c r="AI203" s="9">
        <f t="shared" si="2"/>
        <v>0</v>
      </c>
      <c r="AJ203" s="9">
        <f>C203</f>
        <v>791</v>
      </c>
      <c r="AK203" s="9">
        <f>IF(P203="completed",((V203-K203)*24*60),0)</f>
        <v>7.0000000018626451</v>
      </c>
      <c r="AL203" s="9">
        <f>IF(P203="completed",((U203-K203)*24*60),0)</f>
        <v>4.0000000025611371</v>
      </c>
      <c r="AM203" s="9" t="str">
        <f t="shared" si="3"/>
        <v>OTP Breached</v>
      </c>
      <c r="AN203" s="9" t="str">
        <f t="shared" si="4"/>
        <v>OTP Achieved</v>
      </c>
    </row>
    <row r="204" spans="1:40" ht="16">
      <c r="A204" s="3" t="s">
        <v>235</v>
      </c>
      <c r="B204" s="12">
        <v>46313.824305555558</v>
      </c>
      <c r="C204" s="5">
        <v>1337</v>
      </c>
      <c r="D204" s="1" t="s">
        <v>41</v>
      </c>
      <c r="E204" s="5">
        <v>12</v>
      </c>
      <c r="F204" s="1" t="s">
        <v>41</v>
      </c>
      <c r="G204" s="1" t="s">
        <v>41</v>
      </c>
      <c r="H204" s="1" t="s">
        <v>696</v>
      </c>
      <c r="I204" s="12">
        <v>46313.824999999997</v>
      </c>
      <c r="J204" s="1" t="s">
        <v>41</v>
      </c>
      <c r="K204" s="12">
        <v>46313.822916666664</v>
      </c>
      <c r="L204" s="5">
        <v>40</v>
      </c>
      <c r="M204" s="4"/>
      <c r="N204" s="1"/>
      <c r="O204" s="12">
        <v>46313.820833333331</v>
      </c>
      <c r="P204" s="1" t="s">
        <v>43</v>
      </c>
      <c r="Q204" s="1" t="s">
        <v>237</v>
      </c>
      <c r="R204" s="1" t="s">
        <v>697</v>
      </c>
      <c r="S204" s="5">
        <v>4247</v>
      </c>
      <c r="T204" s="1" t="s">
        <v>41</v>
      </c>
      <c r="U204" s="12">
        <v>46313.829861111109</v>
      </c>
      <c r="V204" s="12">
        <v>46313.832638888889</v>
      </c>
      <c r="W204" s="7" t="s">
        <v>698</v>
      </c>
      <c r="X204" s="5">
        <v>22411</v>
      </c>
      <c r="Y204" s="4"/>
      <c r="Z204" s="5">
        <v>0</v>
      </c>
      <c r="AA204" s="8">
        <v>0.82430555555555551</v>
      </c>
      <c r="AB204" s="5">
        <v>11</v>
      </c>
      <c r="AC204" s="1" t="s">
        <v>41</v>
      </c>
      <c r="AD204" s="9" t="str">
        <f t="shared" si="0"/>
        <v>Actual</v>
      </c>
      <c r="AE204" s="9" t="str">
        <f t="shared" si="1"/>
        <v>TMK7</v>
      </c>
      <c r="AF204" s="9">
        <f>HOUR(O204)</f>
        <v>19</v>
      </c>
      <c r="AG204" s="9">
        <f>DAY(O204)</f>
        <v>18</v>
      </c>
      <c r="AH204" s="9">
        <f>IFERROR((I204-K204)*24*60,0)</f>
        <v>2.9999999993015081</v>
      </c>
      <c r="AI204" s="9">
        <f t="shared" si="2"/>
        <v>2.9999999993015081</v>
      </c>
      <c r="AJ204" s="9">
        <f>C204</f>
        <v>1337</v>
      </c>
      <c r="AK204" s="9">
        <f>IF(P204="completed",((V204-K204)*24*60),0)</f>
        <v>14.00000000372529</v>
      </c>
      <c r="AL204" s="9">
        <f>IF(P204="completed",((U204-K204)*24*60),0)</f>
        <v>10.000000001164153</v>
      </c>
      <c r="AM204" s="9" t="str">
        <f t="shared" si="3"/>
        <v>OTP Breached</v>
      </c>
      <c r="AN204" s="9" t="str">
        <f t="shared" si="4"/>
        <v>OTP Breached</v>
      </c>
    </row>
    <row r="205" spans="1:40" ht="16">
      <c r="A205" s="3" t="s">
        <v>157</v>
      </c>
      <c r="B205" s="12">
        <v>46313.823611111111</v>
      </c>
      <c r="C205" s="5">
        <v>1148</v>
      </c>
      <c r="D205" s="1" t="s">
        <v>41</v>
      </c>
      <c r="E205" s="5">
        <v>4</v>
      </c>
      <c r="F205" s="1" t="s">
        <v>41</v>
      </c>
      <c r="G205" s="1" t="s">
        <v>41</v>
      </c>
      <c r="H205" s="1" t="s">
        <v>699</v>
      </c>
      <c r="I205" s="12">
        <v>46313.824305555558</v>
      </c>
      <c r="J205" s="1" t="s">
        <v>41</v>
      </c>
      <c r="K205" s="12">
        <v>46313.821527777778</v>
      </c>
      <c r="L205" s="5">
        <v>42</v>
      </c>
      <c r="M205" s="4"/>
      <c r="N205" s="1"/>
      <c r="O205" s="12">
        <v>46313.820138888892</v>
      </c>
      <c r="P205" s="1" t="s">
        <v>43</v>
      </c>
      <c r="Q205" s="1" t="s">
        <v>159</v>
      </c>
      <c r="R205" s="1" t="s">
        <v>700</v>
      </c>
      <c r="S205" s="5">
        <v>4247</v>
      </c>
      <c r="T205" s="1" t="s">
        <v>41</v>
      </c>
      <c r="U205" s="12">
        <v>46313.82708333333</v>
      </c>
      <c r="V205" s="12">
        <v>46313.826388888891</v>
      </c>
      <c r="W205" s="7" t="s">
        <v>701</v>
      </c>
      <c r="X205" s="5">
        <v>22411</v>
      </c>
      <c r="Y205" s="4"/>
      <c r="Z205" s="5">
        <v>0</v>
      </c>
      <c r="AA205" s="8">
        <v>0.82361111111111107</v>
      </c>
      <c r="AB205" s="5">
        <v>3</v>
      </c>
      <c r="AC205" s="1" t="s">
        <v>41</v>
      </c>
      <c r="AD205" s="9" t="str">
        <f t="shared" si="0"/>
        <v>Actual</v>
      </c>
      <c r="AE205" s="9" t="str">
        <f t="shared" si="1"/>
        <v>TMK7</v>
      </c>
      <c r="AF205" s="9">
        <f>HOUR(O205)</f>
        <v>19</v>
      </c>
      <c r="AG205" s="9">
        <f>DAY(O205)</f>
        <v>18</v>
      </c>
      <c r="AH205" s="9">
        <f>IFERROR((I205-K205)*24*60,0)</f>
        <v>4.0000000025611371</v>
      </c>
      <c r="AI205" s="9">
        <f t="shared" si="2"/>
        <v>4.0000000025611371</v>
      </c>
      <c r="AJ205" s="9">
        <f>C205</f>
        <v>1148</v>
      </c>
      <c r="AK205" s="9">
        <f>IF(P205="completed",((V205-K205)*24*60),0)</f>
        <v>7.0000000018626451</v>
      </c>
      <c r="AL205" s="9">
        <f>IF(P205="completed",((U205-K205)*24*60),0)</f>
        <v>7.9999999946448952</v>
      </c>
      <c r="AM205" s="9" t="str">
        <f t="shared" si="3"/>
        <v>OTP Achieved</v>
      </c>
      <c r="AN205" s="9" t="str">
        <f t="shared" si="4"/>
        <v>OTP Achieved</v>
      </c>
    </row>
    <row r="206" spans="1:40" ht="16">
      <c r="A206" s="3" t="s">
        <v>98</v>
      </c>
      <c r="B206" s="12">
        <v>46313.822916666664</v>
      </c>
      <c r="C206" s="5">
        <v>1346</v>
      </c>
      <c r="D206" s="1" t="s">
        <v>41</v>
      </c>
      <c r="E206" s="5">
        <v>3</v>
      </c>
      <c r="F206" s="1" t="s">
        <v>41</v>
      </c>
      <c r="G206" s="1" t="s">
        <v>41</v>
      </c>
      <c r="H206" s="1" t="s">
        <v>702</v>
      </c>
      <c r="I206" s="12">
        <v>46313.822916666664</v>
      </c>
      <c r="J206" s="1" t="s">
        <v>41</v>
      </c>
      <c r="K206" s="12">
        <v>46313.820138888892</v>
      </c>
      <c r="L206" s="5">
        <v>11</v>
      </c>
      <c r="M206" s="4"/>
      <c r="N206" s="1"/>
      <c r="O206" s="12">
        <v>46313.819444444445</v>
      </c>
      <c r="P206" s="1" t="s">
        <v>43</v>
      </c>
      <c r="Q206" s="1" t="s">
        <v>100</v>
      </c>
      <c r="R206" s="1" t="s">
        <v>703</v>
      </c>
      <c r="S206" s="5">
        <v>4247</v>
      </c>
      <c r="T206" s="1" t="s">
        <v>41</v>
      </c>
      <c r="U206" s="12">
        <v>46313.82708333333</v>
      </c>
      <c r="V206" s="12">
        <v>46313.825694444444</v>
      </c>
      <c r="W206" s="7" t="s">
        <v>704</v>
      </c>
      <c r="X206" s="5">
        <v>22411</v>
      </c>
      <c r="Y206" s="4"/>
      <c r="Z206" s="5">
        <v>0</v>
      </c>
      <c r="AA206" s="8">
        <v>0.82291666666666663</v>
      </c>
      <c r="AB206" s="5">
        <v>3</v>
      </c>
      <c r="AC206" s="1" t="s">
        <v>41</v>
      </c>
      <c r="AD206" s="9" t="str">
        <f t="shared" si="0"/>
        <v>Actual</v>
      </c>
      <c r="AE206" s="9" t="str">
        <f t="shared" si="1"/>
        <v>TMK7</v>
      </c>
      <c r="AF206" s="9">
        <f>HOUR(O206)</f>
        <v>19</v>
      </c>
      <c r="AG206" s="9">
        <f>DAY(O206)</f>
        <v>18</v>
      </c>
      <c r="AH206" s="9">
        <f>IFERROR((I206-K206)*24*60,0)</f>
        <v>3.9999999920837581</v>
      </c>
      <c r="AI206" s="9">
        <f t="shared" si="2"/>
        <v>3.9999999920837581</v>
      </c>
      <c r="AJ206" s="9">
        <f>C206</f>
        <v>1346</v>
      </c>
      <c r="AK206" s="9">
        <f>IF(P206="completed",((V206-K206)*24*60),0)</f>
        <v>7.9999999946448952</v>
      </c>
      <c r="AL206" s="9">
        <f>IF(P206="completed",((U206-K206)*24*60),0)</f>
        <v>9.9999999906867743</v>
      </c>
      <c r="AM206" s="9" t="str">
        <f t="shared" si="3"/>
        <v>OTP Achieved</v>
      </c>
      <c r="AN206" s="9" t="str">
        <f t="shared" si="4"/>
        <v>OTP Achieved</v>
      </c>
    </row>
    <row r="207" spans="1:40" ht="16">
      <c r="A207" s="3" t="s">
        <v>82</v>
      </c>
      <c r="B207" s="12">
        <v>46313.822916666664</v>
      </c>
      <c r="C207" s="5">
        <v>2817</v>
      </c>
      <c r="D207" s="1" t="s">
        <v>41</v>
      </c>
      <c r="E207" s="5">
        <v>14</v>
      </c>
      <c r="F207" s="1" t="s">
        <v>41</v>
      </c>
      <c r="G207" s="1" t="s">
        <v>41</v>
      </c>
      <c r="H207" s="1" t="s">
        <v>705</v>
      </c>
      <c r="I207" s="12">
        <v>46313.822916666664</v>
      </c>
      <c r="J207" s="1" t="s">
        <v>41</v>
      </c>
      <c r="K207" s="12">
        <v>46313.820833333331</v>
      </c>
      <c r="L207" s="5">
        <v>27</v>
      </c>
      <c r="M207" s="4"/>
      <c r="N207" s="1"/>
      <c r="O207" s="12">
        <v>46313.819444444445</v>
      </c>
      <c r="P207" s="1" t="s">
        <v>43</v>
      </c>
      <c r="Q207" s="1" t="s">
        <v>84</v>
      </c>
      <c r="R207" s="1" t="s">
        <v>706</v>
      </c>
      <c r="S207" s="5">
        <v>4247</v>
      </c>
      <c r="T207" s="1" t="s">
        <v>41</v>
      </c>
      <c r="U207" s="12">
        <v>46313.831250000003</v>
      </c>
      <c r="V207" s="12">
        <v>46313.831944444442</v>
      </c>
      <c r="W207" s="7" t="s">
        <v>707</v>
      </c>
      <c r="X207" s="5">
        <v>22411</v>
      </c>
      <c r="Y207" s="4"/>
      <c r="Z207" s="5">
        <v>0</v>
      </c>
      <c r="AA207" s="8">
        <v>0.82291666666666663</v>
      </c>
      <c r="AB207" s="5">
        <v>13</v>
      </c>
      <c r="AC207" s="1" t="s">
        <v>41</v>
      </c>
      <c r="AD207" s="9" t="str">
        <f t="shared" si="0"/>
        <v>Actual</v>
      </c>
      <c r="AE207" s="9" t="str">
        <f t="shared" si="1"/>
        <v>TMK7</v>
      </c>
      <c r="AF207" s="9">
        <f>HOUR(O207)</f>
        <v>19</v>
      </c>
      <c r="AG207" s="9">
        <f>DAY(O207)</f>
        <v>18</v>
      </c>
      <c r="AH207" s="9">
        <f>IFERROR((I207-K207)*24*60,0)</f>
        <v>2.9999999993015081</v>
      </c>
      <c r="AI207" s="9">
        <f t="shared" si="2"/>
        <v>2.9999999993015081</v>
      </c>
      <c r="AJ207" s="9">
        <f>C207</f>
        <v>2817</v>
      </c>
      <c r="AK207" s="9">
        <f>IF(P207="completed",((V207-K207)*24*60),0)</f>
        <v>15.999999999767169</v>
      </c>
      <c r="AL207" s="9">
        <f>IF(P207="completed",((U207-K207)*24*60),0)</f>
        <v>15.000000006984919</v>
      </c>
      <c r="AM207" s="9" t="str">
        <f t="shared" si="3"/>
        <v>OTP Breached</v>
      </c>
      <c r="AN207" s="9" t="str">
        <f t="shared" si="4"/>
        <v>OTP Achieved</v>
      </c>
    </row>
    <row r="208" spans="1:40" ht="16">
      <c r="A208" s="3" t="s">
        <v>347</v>
      </c>
      <c r="B208" s="12">
        <v>46313.821527777778</v>
      </c>
      <c r="C208" s="5">
        <v>1941</v>
      </c>
      <c r="D208" s="1" t="s">
        <v>41</v>
      </c>
      <c r="E208" s="5">
        <v>8</v>
      </c>
      <c r="F208" s="1" t="s">
        <v>41</v>
      </c>
      <c r="G208" s="1" t="s">
        <v>41</v>
      </c>
      <c r="H208" s="1" t="s">
        <v>708</v>
      </c>
      <c r="I208" s="12">
        <v>46313.822222222225</v>
      </c>
      <c r="J208" s="1" t="s">
        <v>41</v>
      </c>
      <c r="K208" s="12">
        <v>46313.819444444445</v>
      </c>
      <c r="L208" s="5">
        <v>36</v>
      </c>
      <c r="M208" s="4"/>
      <c r="N208" s="1"/>
      <c r="O208" s="12">
        <v>46313.818749999999</v>
      </c>
      <c r="P208" s="1" t="s">
        <v>43</v>
      </c>
      <c r="Q208" s="1" t="s">
        <v>349</v>
      </c>
      <c r="R208" s="1" t="s">
        <v>709</v>
      </c>
      <c r="S208" s="5">
        <v>4247</v>
      </c>
      <c r="T208" s="1" t="s">
        <v>41</v>
      </c>
      <c r="U208" s="12">
        <v>46313.827777777777</v>
      </c>
      <c r="V208" s="6">
        <v>46313.82708333333</v>
      </c>
      <c r="W208" s="7" t="s">
        <v>710</v>
      </c>
      <c r="X208" s="5">
        <v>22411</v>
      </c>
      <c r="Y208" s="4"/>
      <c r="Z208" s="5">
        <v>0</v>
      </c>
      <c r="AA208" s="8">
        <v>0.82152777777777775</v>
      </c>
      <c r="AB208" s="5">
        <v>8</v>
      </c>
      <c r="AC208" s="1" t="s">
        <v>41</v>
      </c>
      <c r="AD208" s="9" t="str">
        <f t="shared" si="0"/>
        <v>Actual</v>
      </c>
      <c r="AE208" s="9" t="str">
        <f t="shared" si="1"/>
        <v>TMK7</v>
      </c>
      <c r="AF208" s="9">
        <f>HOUR(O208)</f>
        <v>19</v>
      </c>
      <c r="AG208" s="9">
        <f>DAY(O208)</f>
        <v>18</v>
      </c>
      <c r="AH208" s="9">
        <f>IFERROR((I208-K208)*24*60,0)</f>
        <v>4.0000000025611371</v>
      </c>
      <c r="AI208" s="9">
        <f t="shared" si="2"/>
        <v>4.0000000025611371</v>
      </c>
      <c r="AJ208" s="9">
        <f>C208</f>
        <v>1941</v>
      </c>
      <c r="AK208" s="9">
        <f>IF(P208="completed",((V208-K208)*24*60),0)</f>
        <v>10.999999993946403</v>
      </c>
      <c r="AL208" s="9">
        <f>IF(P208="completed",((U208-K208)*24*60),0)</f>
        <v>11.999999997206032</v>
      </c>
      <c r="AM208" s="9" t="str">
        <f t="shared" si="3"/>
        <v>OTP Achieved</v>
      </c>
      <c r="AN208" s="9" t="str">
        <f t="shared" si="4"/>
        <v>OTP Achieved</v>
      </c>
    </row>
    <row r="209" spans="1:40" ht="16">
      <c r="A209" s="3" t="s">
        <v>711</v>
      </c>
      <c r="B209" s="12">
        <v>46313.820833333331</v>
      </c>
      <c r="C209" s="5">
        <v>2187</v>
      </c>
      <c r="D209" s="1" t="s">
        <v>41</v>
      </c>
      <c r="E209" s="5">
        <v>7</v>
      </c>
      <c r="F209" s="1" t="s">
        <v>41</v>
      </c>
      <c r="G209" s="1" t="s">
        <v>41</v>
      </c>
      <c r="H209" s="1" t="s">
        <v>712</v>
      </c>
      <c r="I209" s="12">
        <v>46313.821527777778</v>
      </c>
      <c r="J209" s="1" t="s">
        <v>41</v>
      </c>
      <c r="K209" s="12">
        <v>46313.818749999999</v>
      </c>
      <c r="L209" s="5">
        <v>26</v>
      </c>
      <c r="M209" s="4"/>
      <c r="N209" s="1"/>
      <c r="O209" s="12">
        <v>46313.818055555559</v>
      </c>
      <c r="P209" s="1" t="s">
        <v>43</v>
      </c>
      <c r="Q209" s="1" t="s">
        <v>713</v>
      </c>
      <c r="R209" s="1" t="s">
        <v>714</v>
      </c>
      <c r="S209" s="5">
        <v>4247</v>
      </c>
      <c r="T209" s="1" t="s">
        <v>41</v>
      </c>
      <c r="U209" s="12">
        <v>46313.827777777777</v>
      </c>
      <c r="V209" s="12">
        <v>46313.825694444444</v>
      </c>
      <c r="W209" s="7" t="s">
        <v>715</v>
      </c>
      <c r="X209" s="5">
        <v>22411</v>
      </c>
      <c r="Y209" s="4"/>
      <c r="Z209" s="5">
        <v>0</v>
      </c>
      <c r="AA209" s="8">
        <v>0.8208333333333333</v>
      </c>
      <c r="AB209" s="5">
        <v>7</v>
      </c>
      <c r="AC209" s="1" t="s">
        <v>41</v>
      </c>
      <c r="AD209" s="9" t="str">
        <f t="shared" si="0"/>
        <v>Actual</v>
      </c>
      <c r="AE209" s="9" t="str">
        <f t="shared" si="1"/>
        <v>TMK7</v>
      </c>
      <c r="AF209" s="9">
        <f>HOUR(O209)</f>
        <v>19</v>
      </c>
      <c r="AG209" s="9">
        <f>DAY(O209)</f>
        <v>18</v>
      </c>
      <c r="AH209" s="9">
        <f>IFERROR((I209-K209)*24*60,0)</f>
        <v>4.0000000025611371</v>
      </c>
      <c r="AI209" s="9">
        <f t="shared" si="2"/>
        <v>4.0000000025611371</v>
      </c>
      <c r="AJ209" s="9">
        <f>C209</f>
        <v>2187</v>
      </c>
      <c r="AK209" s="9">
        <f>IF(P209="completed",((V209-K209)*24*60),0)</f>
        <v>10.000000001164153</v>
      </c>
      <c r="AL209" s="9">
        <f>IF(P209="completed",((U209-K209)*24*60),0)</f>
        <v>13.000000000465661</v>
      </c>
      <c r="AM209" s="9" t="str">
        <f t="shared" si="3"/>
        <v>OTP Achieved</v>
      </c>
      <c r="AN209" s="9" t="str">
        <f t="shared" si="4"/>
        <v>OTP Achieved</v>
      </c>
    </row>
    <row r="210" spans="1:40" ht="16">
      <c r="A210" s="3" t="s">
        <v>379</v>
      </c>
      <c r="B210" s="12">
        <v>46313.820833333331</v>
      </c>
      <c r="C210" s="5">
        <v>1411</v>
      </c>
      <c r="D210" s="1" t="s">
        <v>41</v>
      </c>
      <c r="E210" s="5">
        <v>4</v>
      </c>
      <c r="F210" s="1" t="s">
        <v>41</v>
      </c>
      <c r="G210" s="1" t="s">
        <v>41</v>
      </c>
      <c r="H210" s="1" t="s">
        <v>716</v>
      </c>
      <c r="I210" s="12">
        <v>46313.820833333331</v>
      </c>
      <c r="J210" s="1" t="s">
        <v>41</v>
      </c>
      <c r="K210" s="12">
        <v>46313.818055555559</v>
      </c>
      <c r="L210" s="5">
        <v>26</v>
      </c>
      <c r="M210" s="4"/>
      <c r="N210" s="1"/>
      <c r="O210" s="12">
        <v>46313.817361111112</v>
      </c>
      <c r="P210" s="1" t="s">
        <v>43</v>
      </c>
      <c r="Q210" s="1" t="s">
        <v>381</v>
      </c>
      <c r="R210" s="1" t="s">
        <v>717</v>
      </c>
      <c r="S210" s="5">
        <v>4247</v>
      </c>
      <c r="T210" s="1" t="s">
        <v>41</v>
      </c>
      <c r="U210" s="12">
        <v>46313.825694444444</v>
      </c>
      <c r="V210" s="12">
        <v>46313.823611111111</v>
      </c>
      <c r="W210" s="7" t="s">
        <v>718</v>
      </c>
      <c r="X210" s="5">
        <v>22411</v>
      </c>
      <c r="Y210" s="4"/>
      <c r="Z210" s="5">
        <v>0</v>
      </c>
      <c r="AA210" s="8">
        <v>0.8208333333333333</v>
      </c>
      <c r="AB210" s="5">
        <v>4</v>
      </c>
      <c r="AC210" s="1" t="s">
        <v>41</v>
      </c>
      <c r="AD210" s="9" t="str">
        <f t="shared" si="0"/>
        <v>Actual</v>
      </c>
      <c r="AE210" s="9" t="str">
        <f t="shared" si="1"/>
        <v>TMK7</v>
      </c>
      <c r="AF210" s="9">
        <f>HOUR(O210)</f>
        <v>19</v>
      </c>
      <c r="AG210" s="9">
        <f>DAY(O210)</f>
        <v>18</v>
      </c>
      <c r="AH210" s="9">
        <f>IFERROR((I210-K210)*24*60,0)</f>
        <v>3.9999999920837581</v>
      </c>
      <c r="AI210" s="9">
        <f t="shared" si="2"/>
        <v>3.9999999920837581</v>
      </c>
      <c r="AJ210" s="9">
        <f>C210</f>
        <v>1411</v>
      </c>
      <c r="AK210" s="9">
        <f>IF(P210="completed",((V210-K210)*24*60),0)</f>
        <v>7.9999999946448952</v>
      </c>
      <c r="AL210" s="9">
        <f>IF(P210="completed",((U210-K210)*24*60),0)</f>
        <v>10.999999993946403</v>
      </c>
      <c r="AM210" s="9" t="str">
        <f t="shared" si="3"/>
        <v>OTP Achieved</v>
      </c>
      <c r="AN210" s="9" t="str">
        <f t="shared" si="4"/>
        <v>OTP Achieved</v>
      </c>
    </row>
    <row r="211" spans="1:40" ht="16">
      <c r="A211" s="3" t="s">
        <v>209</v>
      </c>
      <c r="B211" s="12">
        <v>46313.820138888892</v>
      </c>
      <c r="C211" s="5">
        <v>2210</v>
      </c>
      <c r="D211" s="1" t="s">
        <v>41</v>
      </c>
      <c r="E211" s="5">
        <v>16</v>
      </c>
      <c r="F211" s="1" t="s">
        <v>41</v>
      </c>
      <c r="G211" s="1" t="s">
        <v>41</v>
      </c>
      <c r="H211" s="1" t="s">
        <v>719</v>
      </c>
      <c r="I211" s="12">
        <v>46313.820833333331</v>
      </c>
      <c r="J211" s="1" t="s">
        <v>41</v>
      </c>
      <c r="K211" s="12">
        <v>46313.816666666666</v>
      </c>
      <c r="L211" s="5">
        <v>40</v>
      </c>
      <c r="M211" s="4"/>
      <c r="N211" s="1"/>
      <c r="O211" s="12">
        <v>46313.815972222219</v>
      </c>
      <c r="P211" s="1" t="s">
        <v>43</v>
      </c>
      <c r="Q211" s="1" t="s">
        <v>211</v>
      </c>
      <c r="R211" s="1" t="s">
        <v>720</v>
      </c>
      <c r="S211" s="5">
        <v>4247</v>
      </c>
      <c r="T211" s="1" t="s">
        <v>41</v>
      </c>
      <c r="U211" s="12">
        <v>46313.82708333333</v>
      </c>
      <c r="V211" s="12">
        <v>46313.831250000003</v>
      </c>
      <c r="W211" s="7" t="s">
        <v>721</v>
      </c>
      <c r="X211" s="5">
        <v>22411</v>
      </c>
      <c r="Y211" s="4"/>
      <c r="Z211" s="5">
        <v>0</v>
      </c>
      <c r="AA211" s="8">
        <v>0.82013888888888886</v>
      </c>
      <c r="AB211" s="5">
        <v>15</v>
      </c>
      <c r="AC211" s="1" t="s">
        <v>41</v>
      </c>
      <c r="AD211" s="9" t="str">
        <f t="shared" si="0"/>
        <v>Actual</v>
      </c>
      <c r="AE211" s="9" t="str">
        <f t="shared" si="1"/>
        <v>TMK7</v>
      </c>
      <c r="AF211" s="9">
        <f>HOUR(O211)</f>
        <v>19</v>
      </c>
      <c r="AG211" s="9">
        <f>DAY(O211)</f>
        <v>18</v>
      </c>
      <c r="AH211" s="9">
        <f>IFERROR((I211-K211)*24*60,0)</f>
        <v>5.9999999986030161</v>
      </c>
      <c r="AI211" s="9">
        <f t="shared" si="2"/>
        <v>5.9999999986030161</v>
      </c>
      <c r="AJ211" s="9">
        <f>C211</f>
        <v>2210</v>
      </c>
      <c r="AK211" s="9">
        <f>IF(P211="completed",((V211-K211)*24*60),0)</f>
        <v>21.000000005587935</v>
      </c>
      <c r="AL211" s="9">
        <f>IF(P211="completed",((U211-K211)*24*60),0)</f>
        <v>14.99999999650754</v>
      </c>
      <c r="AM211" s="9" t="str">
        <f t="shared" si="3"/>
        <v>OTP Breached</v>
      </c>
      <c r="AN211" s="9" t="str">
        <f t="shared" si="4"/>
        <v>OTP Breached</v>
      </c>
    </row>
    <row r="212" spans="1:40" ht="16">
      <c r="A212" s="3" t="s">
        <v>125</v>
      </c>
      <c r="B212" s="12">
        <v>46313.819444444445</v>
      </c>
      <c r="C212" s="5">
        <v>1496</v>
      </c>
      <c r="D212" s="1" t="s">
        <v>41</v>
      </c>
      <c r="E212" s="5">
        <v>9</v>
      </c>
      <c r="F212" s="1" t="s">
        <v>41</v>
      </c>
      <c r="G212" s="1" t="s">
        <v>41</v>
      </c>
      <c r="H212" s="1" t="s">
        <v>722</v>
      </c>
      <c r="I212" s="12">
        <v>46313.819444444445</v>
      </c>
      <c r="J212" s="1" t="s">
        <v>41</v>
      </c>
      <c r="K212" s="12">
        <v>46313.816666666666</v>
      </c>
      <c r="L212" s="5">
        <v>18</v>
      </c>
      <c r="M212" s="4"/>
      <c r="N212" s="1"/>
      <c r="O212" s="12">
        <v>46313.815972222219</v>
      </c>
      <c r="P212" s="1" t="s">
        <v>43</v>
      </c>
      <c r="Q212" s="1" t="s">
        <v>127</v>
      </c>
      <c r="R212" s="1" t="s">
        <v>723</v>
      </c>
      <c r="S212" s="5">
        <v>4247</v>
      </c>
      <c r="T212" s="1" t="s">
        <v>41</v>
      </c>
      <c r="U212" s="12">
        <v>46313.824305555558</v>
      </c>
      <c r="V212" s="12">
        <v>46313.825694444444</v>
      </c>
      <c r="W212" s="7" t="s">
        <v>724</v>
      </c>
      <c r="X212" s="5">
        <v>22411</v>
      </c>
      <c r="Y212" s="4"/>
      <c r="Z212" s="5">
        <v>0</v>
      </c>
      <c r="AA212" s="8">
        <v>0.81944444444444442</v>
      </c>
      <c r="AB212" s="5">
        <v>9</v>
      </c>
      <c r="AC212" s="1" t="s">
        <v>41</v>
      </c>
      <c r="AD212" s="9" t="str">
        <f t="shared" si="0"/>
        <v>Actual</v>
      </c>
      <c r="AE212" s="9" t="str">
        <f t="shared" si="1"/>
        <v>TMK7</v>
      </c>
      <c r="AF212" s="9">
        <f>HOUR(O212)</f>
        <v>19</v>
      </c>
      <c r="AG212" s="9">
        <f>DAY(O212)</f>
        <v>18</v>
      </c>
      <c r="AH212" s="9">
        <f>IFERROR((I212-K212)*24*60,0)</f>
        <v>4.0000000025611371</v>
      </c>
      <c r="AI212" s="9">
        <f t="shared" si="2"/>
        <v>4.0000000025611371</v>
      </c>
      <c r="AJ212" s="9">
        <f>C212</f>
        <v>1496</v>
      </c>
      <c r="AK212" s="9">
        <f>IF(P212="completed",((V212-K212)*24*60),0)</f>
        <v>13.000000000465661</v>
      </c>
      <c r="AL212" s="9">
        <f>IF(P212="completed",((U212-K212)*24*60),0)</f>
        <v>11.000000004423782</v>
      </c>
      <c r="AM212" s="9" t="str">
        <f t="shared" si="3"/>
        <v>OTP Breached</v>
      </c>
      <c r="AN212" s="9" t="str">
        <f t="shared" si="4"/>
        <v>OTP Achieved</v>
      </c>
    </row>
    <row r="213" spans="1:40" ht="16">
      <c r="A213" s="3" t="s">
        <v>198</v>
      </c>
      <c r="B213" s="12">
        <v>46313.818749999999</v>
      </c>
      <c r="C213" s="5">
        <v>3117</v>
      </c>
      <c r="D213" s="1" t="s">
        <v>41</v>
      </c>
      <c r="E213" s="5">
        <v>15</v>
      </c>
      <c r="F213" s="1" t="s">
        <v>41</v>
      </c>
      <c r="G213" s="1" t="s">
        <v>41</v>
      </c>
      <c r="H213" s="1" t="s">
        <v>725</v>
      </c>
      <c r="I213" s="12">
        <v>46313.819444444445</v>
      </c>
      <c r="J213" s="1" t="s">
        <v>41</v>
      </c>
      <c r="K213" s="12">
        <v>46313.815972222219</v>
      </c>
      <c r="L213" s="5">
        <v>30</v>
      </c>
      <c r="M213" s="4"/>
      <c r="N213" s="1"/>
      <c r="O213" s="12">
        <v>46313.81527777778</v>
      </c>
      <c r="P213" s="1" t="s">
        <v>43</v>
      </c>
      <c r="Q213" s="1" t="s">
        <v>200</v>
      </c>
      <c r="R213" s="1" t="s">
        <v>726</v>
      </c>
      <c r="S213" s="5">
        <v>4247</v>
      </c>
      <c r="T213" s="1" t="s">
        <v>41</v>
      </c>
      <c r="U213" s="12">
        <v>46313.82708333333</v>
      </c>
      <c r="V213" s="12">
        <v>46313.82916666667</v>
      </c>
      <c r="W213" s="7" t="s">
        <v>727</v>
      </c>
      <c r="X213" s="5">
        <v>22411</v>
      </c>
      <c r="Y213" s="4"/>
      <c r="Z213" s="5">
        <v>0</v>
      </c>
      <c r="AA213" s="8">
        <v>0.81874999999999998</v>
      </c>
      <c r="AB213" s="5">
        <v>15</v>
      </c>
      <c r="AC213" s="1" t="s">
        <v>41</v>
      </c>
      <c r="AD213" s="9" t="str">
        <f t="shared" si="0"/>
        <v>Actual</v>
      </c>
      <c r="AE213" s="9" t="str">
        <f t="shared" si="1"/>
        <v>TMK7</v>
      </c>
      <c r="AF213" s="9">
        <f>HOUR(O213)</f>
        <v>19</v>
      </c>
      <c r="AG213" s="9">
        <f>DAY(O213)</f>
        <v>18</v>
      </c>
      <c r="AH213" s="9">
        <f>IFERROR((I213-K213)*24*60,0)</f>
        <v>5.0000000058207661</v>
      </c>
      <c r="AI213" s="9">
        <f t="shared" si="2"/>
        <v>5.0000000058207661</v>
      </c>
      <c r="AJ213" s="9">
        <f>C213</f>
        <v>3117</v>
      </c>
      <c r="AK213" s="9">
        <f>IF(P213="completed",((V213-K213)*24*60),0)</f>
        <v>19.000000009546056</v>
      </c>
      <c r="AL213" s="9">
        <f>IF(P213="completed",((U213-K213)*24*60),0)</f>
        <v>15.999999999767169</v>
      </c>
      <c r="AM213" s="9" t="str">
        <f t="shared" si="3"/>
        <v>OTP Breached</v>
      </c>
      <c r="AN213" s="9" t="str">
        <f t="shared" si="4"/>
        <v>OTP Breached</v>
      </c>
    </row>
    <row r="214" spans="1:40" ht="16">
      <c r="A214" s="3" t="s">
        <v>190</v>
      </c>
      <c r="B214" s="12">
        <v>46313.818055555559</v>
      </c>
      <c r="C214" s="5">
        <v>2770</v>
      </c>
      <c r="D214" s="1" t="s">
        <v>41</v>
      </c>
      <c r="E214" s="5">
        <v>17</v>
      </c>
      <c r="F214" s="1" t="s">
        <v>41</v>
      </c>
      <c r="G214" s="1" t="s">
        <v>41</v>
      </c>
      <c r="H214" s="1" t="s">
        <v>728</v>
      </c>
      <c r="I214" s="12">
        <v>46313.818749999999</v>
      </c>
      <c r="J214" s="1" t="s">
        <v>41</v>
      </c>
      <c r="K214" s="12">
        <v>46313.818055555559</v>
      </c>
      <c r="L214" s="5">
        <v>42</v>
      </c>
      <c r="M214" s="4"/>
      <c r="N214" s="1"/>
      <c r="O214" s="12">
        <v>46313.81527777778</v>
      </c>
      <c r="P214" s="1" t="s">
        <v>43</v>
      </c>
      <c r="Q214" s="1" t="s">
        <v>192</v>
      </c>
      <c r="R214" s="1" t="s">
        <v>729</v>
      </c>
      <c r="S214" s="5">
        <v>4247</v>
      </c>
      <c r="T214" s="1" t="s">
        <v>41</v>
      </c>
      <c r="U214" s="12">
        <v>46313.82708333333</v>
      </c>
      <c r="V214" s="12">
        <v>46313.830555555556</v>
      </c>
      <c r="W214" s="7" t="s">
        <v>730</v>
      </c>
      <c r="X214" s="5">
        <v>22411</v>
      </c>
      <c r="Y214" s="4"/>
      <c r="Z214" s="5">
        <v>0</v>
      </c>
      <c r="AA214" s="8">
        <v>0.81805555555555554</v>
      </c>
      <c r="AB214" s="5">
        <v>17</v>
      </c>
      <c r="AC214" s="1" t="s">
        <v>41</v>
      </c>
      <c r="AD214" s="9" t="str">
        <f t="shared" si="0"/>
        <v>Actual</v>
      </c>
      <c r="AE214" s="9" t="str">
        <f t="shared" si="1"/>
        <v>TMK7</v>
      </c>
      <c r="AF214" s="9">
        <f>HOUR(O214)</f>
        <v>19</v>
      </c>
      <c r="AG214" s="9">
        <f>DAY(O214)</f>
        <v>18</v>
      </c>
      <c r="AH214" s="9">
        <f>IFERROR((I214-K214)*24*60,0)</f>
        <v>0.99999999278225005</v>
      </c>
      <c r="AI214" s="9">
        <f t="shared" si="2"/>
        <v>0.99999999278225005</v>
      </c>
      <c r="AJ214" s="9">
        <f>C214</f>
        <v>2770</v>
      </c>
      <c r="AK214" s="9">
        <f>IF(P214="completed",((V214-K214)*24*60),0)</f>
        <v>17.999999995809048</v>
      </c>
      <c r="AL214" s="9">
        <f>IF(P214="completed",((U214-K214)*24*60),0)</f>
        <v>12.999999989988282</v>
      </c>
      <c r="AM214" s="9" t="str">
        <f t="shared" si="3"/>
        <v>OTP Breached</v>
      </c>
      <c r="AN214" s="9" t="str">
        <f t="shared" si="4"/>
        <v>OTP Breached</v>
      </c>
    </row>
    <row r="215" spans="1:40" ht="16">
      <c r="A215" s="3" t="s">
        <v>98</v>
      </c>
      <c r="B215" s="12">
        <v>46313.818055555559</v>
      </c>
      <c r="C215" s="5">
        <v>260</v>
      </c>
      <c r="D215" s="1" t="s">
        <v>41</v>
      </c>
      <c r="E215" s="5">
        <v>1</v>
      </c>
      <c r="F215" s="1" t="s">
        <v>41</v>
      </c>
      <c r="G215" s="1" t="s">
        <v>41</v>
      </c>
      <c r="H215" s="1" t="s">
        <v>731</v>
      </c>
      <c r="I215" s="12">
        <v>46313.818055555559</v>
      </c>
      <c r="J215" s="1" t="s">
        <v>41</v>
      </c>
      <c r="K215" s="12">
        <v>46313.813194444447</v>
      </c>
      <c r="L215" s="5">
        <v>25</v>
      </c>
      <c r="M215" s="4"/>
      <c r="N215" s="1"/>
      <c r="O215" s="12">
        <v>46313.811805555553</v>
      </c>
      <c r="P215" s="1" t="s">
        <v>43</v>
      </c>
      <c r="Q215" s="1" t="s">
        <v>100</v>
      </c>
      <c r="R215" s="1" t="s">
        <v>732</v>
      </c>
      <c r="S215" s="5">
        <v>4247</v>
      </c>
      <c r="T215" s="1" t="s">
        <v>41</v>
      </c>
      <c r="U215" s="12">
        <v>46313.819444444445</v>
      </c>
      <c r="V215" s="12">
        <v>46313.818749999999</v>
      </c>
      <c r="W215" s="7" t="s">
        <v>733</v>
      </c>
      <c r="X215" s="5">
        <v>22411</v>
      </c>
      <c r="Y215" s="4"/>
      <c r="Z215" s="5">
        <v>0</v>
      </c>
      <c r="AA215" s="8">
        <v>0.81805555555555554</v>
      </c>
      <c r="AB215" s="5">
        <v>1</v>
      </c>
      <c r="AC215" s="1" t="s">
        <v>41</v>
      </c>
      <c r="AD215" s="9" t="str">
        <f t="shared" si="0"/>
        <v>Actual</v>
      </c>
      <c r="AE215" s="9" t="str">
        <f t="shared" si="1"/>
        <v>TMK7</v>
      </c>
      <c r="AF215" s="9">
        <f>HOUR(O215)</f>
        <v>19</v>
      </c>
      <c r="AG215" s="9">
        <f>DAY(O215)</f>
        <v>18</v>
      </c>
      <c r="AH215" s="9">
        <f>IFERROR((I215-K215)*24*60,0)</f>
        <v>7.0000000018626451</v>
      </c>
      <c r="AI215" s="9">
        <f t="shared" si="2"/>
        <v>7.0000000018626451</v>
      </c>
      <c r="AJ215" s="9">
        <f>C215</f>
        <v>260</v>
      </c>
      <c r="AK215" s="9">
        <f>IF(P215="completed",((V215-K215)*24*60),0)</f>
        <v>7.9999999946448952</v>
      </c>
      <c r="AL215" s="9">
        <f>IF(P215="completed",((U215-K215)*24*60),0)</f>
        <v>8.9999999979045242</v>
      </c>
      <c r="AM215" s="9" t="str">
        <f t="shared" si="3"/>
        <v>OTP Achieved</v>
      </c>
      <c r="AN215" s="9" t="str">
        <f t="shared" si="4"/>
        <v>OTP Achieved</v>
      </c>
    </row>
    <row r="216" spans="1:40" ht="16">
      <c r="A216" s="3" t="s">
        <v>734</v>
      </c>
      <c r="B216" s="12">
        <v>46313.818055555559</v>
      </c>
      <c r="C216" s="5">
        <v>1741</v>
      </c>
      <c r="D216" s="1" t="s">
        <v>41</v>
      </c>
      <c r="E216" s="5">
        <v>8</v>
      </c>
      <c r="F216" s="1" t="s">
        <v>41</v>
      </c>
      <c r="G216" s="1" t="s">
        <v>41</v>
      </c>
      <c r="H216" s="1" t="s">
        <v>735</v>
      </c>
      <c r="I216" s="12">
        <v>46313.818055555559</v>
      </c>
      <c r="J216" s="1" t="s">
        <v>41</v>
      </c>
      <c r="K216" s="12">
        <v>46313.8125</v>
      </c>
      <c r="L216" s="5">
        <v>29</v>
      </c>
      <c r="M216" s="4"/>
      <c r="N216" s="1"/>
      <c r="O216" s="12">
        <v>46313.811111111114</v>
      </c>
      <c r="P216" s="1" t="s">
        <v>43</v>
      </c>
      <c r="Q216" s="1" t="s">
        <v>736</v>
      </c>
      <c r="R216" s="1" t="s">
        <v>737</v>
      </c>
      <c r="S216" s="5">
        <v>4247</v>
      </c>
      <c r="T216" s="1" t="s">
        <v>41</v>
      </c>
      <c r="U216" s="12">
        <v>46313.823611111111</v>
      </c>
      <c r="V216" s="12">
        <v>46313.823611111111</v>
      </c>
      <c r="W216" s="7" t="s">
        <v>738</v>
      </c>
      <c r="X216" s="5">
        <v>22411</v>
      </c>
      <c r="Y216" s="4"/>
      <c r="Z216" s="5">
        <v>0</v>
      </c>
      <c r="AA216" s="8">
        <v>0.81805555555555554</v>
      </c>
      <c r="AB216" s="5">
        <v>8</v>
      </c>
      <c r="AC216" s="1" t="s">
        <v>41</v>
      </c>
      <c r="AD216" s="9" t="str">
        <f t="shared" si="0"/>
        <v>Actual</v>
      </c>
      <c r="AE216" s="9" t="str">
        <f t="shared" si="1"/>
        <v>TMK7</v>
      </c>
      <c r="AF216" s="9">
        <f>HOUR(O216)</f>
        <v>19</v>
      </c>
      <c r="AG216" s="9">
        <f>DAY(O216)</f>
        <v>18</v>
      </c>
      <c r="AH216" s="9">
        <f>IFERROR((I216-K216)*24*60,0)</f>
        <v>8.0000000051222742</v>
      </c>
      <c r="AI216" s="9">
        <f t="shared" si="2"/>
        <v>8.0000000051222742</v>
      </c>
      <c r="AJ216" s="9">
        <f>C216</f>
        <v>1741</v>
      </c>
      <c r="AK216" s="9">
        <f>IF(P216="completed",((V216-K216)*24*60),0)</f>
        <v>15.999999999767169</v>
      </c>
      <c r="AL216" s="9">
        <f>IF(P216="completed",((U216-K216)*24*60),0)</f>
        <v>15.999999999767169</v>
      </c>
      <c r="AM216" s="9" t="str">
        <f t="shared" si="3"/>
        <v>OTP Breached</v>
      </c>
      <c r="AN216" s="9" t="str">
        <f t="shared" si="4"/>
        <v>OTP Achieved</v>
      </c>
    </row>
    <row r="217" spans="1:40" ht="16">
      <c r="A217" s="3" t="s">
        <v>655</v>
      </c>
      <c r="B217" s="12">
        <v>46313.816666666666</v>
      </c>
      <c r="C217" s="5">
        <v>1891</v>
      </c>
      <c r="D217" s="1" t="s">
        <v>41</v>
      </c>
      <c r="E217" s="5">
        <v>9</v>
      </c>
      <c r="F217" s="1" t="s">
        <v>41</v>
      </c>
      <c r="G217" s="1" t="s">
        <v>41</v>
      </c>
      <c r="H217" s="1" t="s">
        <v>739</v>
      </c>
      <c r="I217" s="12">
        <v>46313.817361111112</v>
      </c>
      <c r="J217" s="1" t="s">
        <v>41</v>
      </c>
      <c r="K217" s="12">
        <v>46313.813888888886</v>
      </c>
      <c r="L217" s="5">
        <v>33</v>
      </c>
      <c r="M217" s="4"/>
      <c r="N217" s="1"/>
      <c r="O217" s="12">
        <v>46313.811111111114</v>
      </c>
      <c r="P217" s="1" t="s">
        <v>43</v>
      </c>
      <c r="Q217" s="1" t="s">
        <v>657</v>
      </c>
      <c r="R217" s="1" t="s">
        <v>740</v>
      </c>
      <c r="S217" s="5">
        <v>4247</v>
      </c>
      <c r="T217" s="1" t="s">
        <v>41</v>
      </c>
      <c r="U217" s="12">
        <v>46313.822916666664</v>
      </c>
      <c r="V217" s="12">
        <v>46313.823611111111</v>
      </c>
      <c r="W217" s="7" t="s">
        <v>741</v>
      </c>
      <c r="X217" s="5">
        <v>22411</v>
      </c>
      <c r="Y217" s="4"/>
      <c r="Z217" s="5">
        <v>0</v>
      </c>
      <c r="AA217" s="8">
        <v>0.81666666666666665</v>
      </c>
      <c r="AB217" s="5">
        <v>9</v>
      </c>
      <c r="AC217" s="1" t="s">
        <v>41</v>
      </c>
      <c r="AD217" s="9" t="str">
        <f t="shared" si="0"/>
        <v>Actual</v>
      </c>
      <c r="AE217" s="9" t="str">
        <f t="shared" si="1"/>
        <v>TMK7</v>
      </c>
      <c r="AF217" s="9">
        <f>HOUR(O217)</f>
        <v>19</v>
      </c>
      <c r="AG217" s="9">
        <f>DAY(O217)</f>
        <v>18</v>
      </c>
      <c r="AH217" s="9">
        <f>IFERROR((I217-K217)*24*60,0)</f>
        <v>5.0000000058207661</v>
      </c>
      <c r="AI217" s="9">
        <f t="shared" si="2"/>
        <v>5.0000000058207661</v>
      </c>
      <c r="AJ217" s="9">
        <f>C217</f>
        <v>1891</v>
      </c>
      <c r="AK217" s="9">
        <f>IF(P217="completed",((V217-K217)*24*60),0)</f>
        <v>14.00000000372529</v>
      </c>
      <c r="AL217" s="9">
        <f>IF(P217="completed",((U217-K217)*24*60),0)</f>
        <v>13.000000000465661</v>
      </c>
      <c r="AM217" s="9" t="str">
        <f t="shared" si="3"/>
        <v>OTP Breached</v>
      </c>
      <c r="AN217" s="9" t="str">
        <f t="shared" si="4"/>
        <v>OTP Achieved</v>
      </c>
    </row>
    <row r="218" spans="1:40" ht="16">
      <c r="A218" s="3" t="s">
        <v>40</v>
      </c>
      <c r="B218" s="12">
        <v>46313.815972222219</v>
      </c>
      <c r="C218" s="5">
        <v>2238</v>
      </c>
      <c r="D218" s="1" t="s">
        <v>41</v>
      </c>
      <c r="E218" s="5">
        <v>10</v>
      </c>
      <c r="F218" s="1" t="s">
        <v>41</v>
      </c>
      <c r="G218" s="1" t="s">
        <v>41</v>
      </c>
      <c r="H218" s="1" t="s">
        <v>742</v>
      </c>
      <c r="I218" s="12">
        <v>46313.815972222219</v>
      </c>
      <c r="J218" s="1" t="s">
        <v>41</v>
      </c>
      <c r="K218" s="12">
        <v>46313.811805555553</v>
      </c>
      <c r="L218" s="5">
        <v>23</v>
      </c>
      <c r="M218" s="4"/>
      <c r="N218" s="1"/>
      <c r="O218" s="12">
        <v>46313.811111111114</v>
      </c>
      <c r="P218" s="1" t="s">
        <v>43</v>
      </c>
      <c r="Q218" s="1" t="s">
        <v>44</v>
      </c>
      <c r="R218" s="1" t="s">
        <v>743</v>
      </c>
      <c r="S218" s="5">
        <v>4247</v>
      </c>
      <c r="T218" s="1" t="s">
        <v>41</v>
      </c>
      <c r="U218" s="12">
        <v>46313.823611111111</v>
      </c>
      <c r="V218" s="12">
        <v>46313.822916666664</v>
      </c>
      <c r="W218" s="7" t="s">
        <v>744</v>
      </c>
      <c r="X218" s="5">
        <v>22411</v>
      </c>
      <c r="Y218" s="4"/>
      <c r="Z218" s="5">
        <v>0</v>
      </c>
      <c r="AA218" s="8">
        <v>0.81597222222222221</v>
      </c>
      <c r="AB218" s="5">
        <v>10</v>
      </c>
      <c r="AC218" s="1" t="s">
        <v>41</v>
      </c>
      <c r="AD218" s="9" t="str">
        <f t="shared" si="0"/>
        <v>Actual</v>
      </c>
      <c r="AE218" s="9" t="str">
        <f t="shared" si="1"/>
        <v>TMK7</v>
      </c>
      <c r="AF218" s="9">
        <f>HOUR(O218)</f>
        <v>19</v>
      </c>
      <c r="AG218" s="9">
        <f>DAY(O218)</f>
        <v>18</v>
      </c>
      <c r="AH218" s="9">
        <f>IFERROR((I218-K218)*24*60,0)</f>
        <v>5.9999999986030161</v>
      </c>
      <c r="AI218" s="9">
        <f t="shared" si="2"/>
        <v>5.9999999986030161</v>
      </c>
      <c r="AJ218" s="9">
        <f>C218</f>
        <v>2238</v>
      </c>
      <c r="AK218" s="9">
        <f>IF(P218="completed",((V218-K218)*24*60),0)</f>
        <v>15.999999999767169</v>
      </c>
      <c r="AL218" s="9">
        <f>IF(P218="completed",((U218-K218)*24*60),0)</f>
        <v>17.000000003026798</v>
      </c>
      <c r="AM218" s="9" t="str">
        <f t="shared" si="3"/>
        <v>OTP Achieved</v>
      </c>
      <c r="AN218" s="9" t="str">
        <f t="shared" si="4"/>
        <v>OTP Achieved</v>
      </c>
    </row>
    <row r="219" spans="1:40" ht="16">
      <c r="A219" s="3" t="s">
        <v>57</v>
      </c>
      <c r="B219" s="12">
        <v>46313.815972222219</v>
      </c>
      <c r="C219" s="5">
        <v>1918</v>
      </c>
      <c r="D219" s="1" t="s">
        <v>41</v>
      </c>
      <c r="E219" s="5">
        <v>7</v>
      </c>
      <c r="F219" s="1" t="s">
        <v>41</v>
      </c>
      <c r="G219" s="1" t="s">
        <v>41</v>
      </c>
      <c r="H219" s="1" t="s">
        <v>745</v>
      </c>
      <c r="I219" s="12">
        <v>46313.815972222219</v>
      </c>
      <c r="J219" s="1" t="s">
        <v>41</v>
      </c>
      <c r="K219" s="12">
        <v>46313.813194444447</v>
      </c>
      <c r="L219" s="5">
        <v>17</v>
      </c>
      <c r="M219" s="4"/>
      <c r="N219" s="1"/>
      <c r="O219" s="12">
        <v>46313.810416666667</v>
      </c>
      <c r="P219" s="1" t="s">
        <v>43</v>
      </c>
      <c r="Q219" s="1" t="s">
        <v>59</v>
      </c>
      <c r="R219" s="1" t="s">
        <v>746</v>
      </c>
      <c r="S219" s="5">
        <v>4247</v>
      </c>
      <c r="T219" s="1" t="s">
        <v>41</v>
      </c>
      <c r="U219" s="12">
        <v>46313.821527777778</v>
      </c>
      <c r="V219" s="12">
        <v>46313.820833333331</v>
      </c>
      <c r="W219" s="7" t="s">
        <v>747</v>
      </c>
      <c r="X219" s="5">
        <v>22411</v>
      </c>
      <c r="Y219" s="4"/>
      <c r="Z219" s="5">
        <v>0</v>
      </c>
      <c r="AA219" s="8">
        <v>0.81597222222222221</v>
      </c>
      <c r="AB219" s="5">
        <v>7</v>
      </c>
      <c r="AC219" s="1" t="s">
        <v>41</v>
      </c>
      <c r="AD219" s="9" t="str">
        <f t="shared" si="0"/>
        <v>Actual</v>
      </c>
      <c r="AE219" s="9" t="str">
        <f t="shared" si="1"/>
        <v>TMK7</v>
      </c>
      <c r="AF219" s="9">
        <f>HOUR(O219)</f>
        <v>19</v>
      </c>
      <c r="AG219" s="9">
        <f>DAY(O219)</f>
        <v>18</v>
      </c>
      <c r="AH219" s="9">
        <f>IFERROR((I219-K219)*24*60,0)</f>
        <v>3.9999999920837581</v>
      </c>
      <c r="AI219" s="9">
        <f t="shared" si="2"/>
        <v>3.9999999920837581</v>
      </c>
      <c r="AJ219" s="9">
        <f>C219</f>
        <v>1918</v>
      </c>
      <c r="AK219" s="9">
        <f>IF(P219="completed",((V219-K219)*24*60),0)</f>
        <v>10.999999993946403</v>
      </c>
      <c r="AL219" s="9">
        <f>IF(P219="completed",((U219-K219)*24*60),0)</f>
        <v>11.999999997206032</v>
      </c>
      <c r="AM219" s="9" t="str">
        <f t="shared" si="3"/>
        <v>OTP Achieved</v>
      </c>
      <c r="AN219" s="9" t="str">
        <f t="shared" si="4"/>
        <v>OTP Achieved</v>
      </c>
    </row>
    <row r="220" spans="1:40" ht="16">
      <c r="A220" s="3" t="s">
        <v>339</v>
      </c>
      <c r="B220" s="12">
        <v>46313.81527777778</v>
      </c>
      <c r="C220" s="5">
        <v>2240</v>
      </c>
      <c r="D220" s="1" t="s">
        <v>41</v>
      </c>
      <c r="E220" s="5">
        <v>11</v>
      </c>
      <c r="F220" s="1" t="s">
        <v>41</v>
      </c>
      <c r="G220" s="1" t="s">
        <v>41</v>
      </c>
      <c r="H220" s="1" t="s">
        <v>748</v>
      </c>
      <c r="I220" s="12">
        <v>46313.81527777778</v>
      </c>
      <c r="J220" s="1" t="s">
        <v>41</v>
      </c>
      <c r="K220" s="12">
        <v>46313.811111111114</v>
      </c>
      <c r="L220" s="5">
        <v>14</v>
      </c>
      <c r="M220" s="4"/>
      <c r="N220" s="1"/>
      <c r="O220" s="12">
        <v>46313.810416666667</v>
      </c>
      <c r="P220" s="1" t="s">
        <v>43</v>
      </c>
      <c r="Q220" s="1" t="s">
        <v>341</v>
      </c>
      <c r="R220" s="1" t="s">
        <v>749</v>
      </c>
      <c r="S220" s="5">
        <v>4247</v>
      </c>
      <c r="T220" s="1" t="s">
        <v>41</v>
      </c>
      <c r="U220" s="12">
        <v>46313.821527777778</v>
      </c>
      <c r="V220" s="12">
        <v>46313.822916666664</v>
      </c>
      <c r="W220" s="7" t="s">
        <v>750</v>
      </c>
      <c r="X220" s="5">
        <v>22411</v>
      </c>
      <c r="Y220" s="4"/>
      <c r="Z220" s="5">
        <v>0</v>
      </c>
      <c r="AA220" s="8">
        <v>0.81527777777777777</v>
      </c>
      <c r="AB220" s="5">
        <v>11</v>
      </c>
      <c r="AC220" s="1" t="s">
        <v>41</v>
      </c>
      <c r="AD220" s="9" t="str">
        <f t="shared" si="0"/>
        <v>Actual</v>
      </c>
      <c r="AE220" s="9" t="str">
        <f t="shared" si="1"/>
        <v>TMK7</v>
      </c>
      <c r="AF220" s="9">
        <f>HOUR(O220)</f>
        <v>19</v>
      </c>
      <c r="AG220" s="9">
        <f>DAY(O220)</f>
        <v>18</v>
      </c>
      <c r="AH220" s="9">
        <f>IFERROR((I220-K220)*24*60,0)</f>
        <v>5.9999999986030161</v>
      </c>
      <c r="AI220" s="9">
        <f t="shared" si="2"/>
        <v>5.9999999986030161</v>
      </c>
      <c r="AJ220" s="9">
        <f>C220</f>
        <v>2240</v>
      </c>
      <c r="AK220" s="9">
        <f>IF(P220="completed",((V220-K220)*24*60),0)</f>
        <v>16.999999992549419</v>
      </c>
      <c r="AL220" s="9">
        <f>IF(P220="completed",((U220-K220)*24*60),0)</f>
        <v>14.99999999650754</v>
      </c>
      <c r="AM220" s="9" t="str">
        <f t="shared" si="3"/>
        <v>OTP Breached</v>
      </c>
      <c r="AN220" s="9" t="str">
        <f t="shared" si="4"/>
        <v>OTP Achieved</v>
      </c>
    </row>
    <row r="221" spans="1:40" ht="16">
      <c r="A221" s="3" t="s">
        <v>52</v>
      </c>
      <c r="B221" s="12">
        <v>46313.813194444447</v>
      </c>
      <c r="C221" s="5">
        <v>2021</v>
      </c>
      <c r="D221" s="1" t="s">
        <v>41</v>
      </c>
      <c r="E221" s="5">
        <v>9</v>
      </c>
      <c r="F221" s="1" t="s">
        <v>41</v>
      </c>
      <c r="G221" s="1" t="s">
        <v>41</v>
      </c>
      <c r="H221" s="1" t="s">
        <v>751</v>
      </c>
      <c r="I221" s="12">
        <v>46313.813888888886</v>
      </c>
      <c r="J221" s="1" t="s">
        <v>41</v>
      </c>
      <c r="K221" s="12">
        <v>46313.811111111114</v>
      </c>
      <c r="L221" s="5">
        <v>26</v>
      </c>
      <c r="M221" s="4"/>
      <c r="N221" s="1"/>
      <c r="O221" s="12">
        <v>46313.80972222222</v>
      </c>
      <c r="P221" s="1" t="s">
        <v>43</v>
      </c>
      <c r="Q221" s="1" t="s">
        <v>54</v>
      </c>
      <c r="R221" s="1" t="s">
        <v>752</v>
      </c>
      <c r="S221" s="5">
        <v>4247</v>
      </c>
      <c r="T221" s="1" t="s">
        <v>41</v>
      </c>
      <c r="U221" s="12">
        <v>46313.820138888892</v>
      </c>
      <c r="V221" s="12">
        <v>46313.819444444445</v>
      </c>
      <c r="W221" s="7" t="s">
        <v>753</v>
      </c>
      <c r="X221" s="5">
        <v>22411</v>
      </c>
      <c r="Y221" s="4"/>
      <c r="Z221" s="5">
        <v>0</v>
      </c>
      <c r="AA221" s="8">
        <v>0.81319444444444444</v>
      </c>
      <c r="AB221" s="5">
        <v>8</v>
      </c>
      <c r="AC221" s="1" t="s">
        <v>41</v>
      </c>
      <c r="AD221" s="9" t="str">
        <f t="shared" si="0"/>
        <v>Actual</v>
      </c>
      <c r="AE221" s="9" t="str">
        <f t="shared" si="1"/>
        <v>TMK7</v>
      </c>
      <c r="AF221" s="9">
        <f>HOUR(O221)</f>
        <v>19</v>
      </c>
      <c r="AG221" s="9">
        <f>DAY(O221)</f>
        <v>18</v>
      </c>
      <c r="AH221" s="9">
        <f>IFERROR((I221-K221)*24*60,0)</f>
        <v>3.9999999920837581</v>
      </c>
      <c r="AI221" s="9">
        <f t="shared" si="2"/>
        <v>3.9999999920837581</v>
      </c>
      <c r="AJ221" s="9">
        <f>C221</f>
        <v>2021</v>
      </c>
      <c r="AK221" s="9">
        <f>IF(P221="completed",((V221-K221)*24*60),0)</f>
        <v>11.999999997206032</v>
      </c>
      <c r="AL221" s="9">
        <f>IF(P221="completed",((U221-K221)*24*60),0)</f>
        <v>13.000000000465661</v>
      </c>
      <c r="AM221" s="9" t="str">
        <f t="shared" si="3"/>
        <v>OTP Achieved</v>
      </c>
      <c r="AN221" s="9" t="str">
        <f t="shared" si="4"/>
        <v>OTP Achieved</v>
      </c>
    </row>
    <row r="222" spans="1:40" ht="16">
      <c r="A222" s="3" t="s">
        <v>754</v>
      </c>
      <c r="B222" s="12">
        <v>46313.813194444447</v>
      </c>
      <c r="C222" s="5">
        <v>3055</v>
      </c>
      <c r="D222" s="1" t="s">
        <v>41</v>
      </c>
      <c r="E222" s="5">
        <v>13</v>
      </c>
      <c r="F222" s="1" t="s">
        <v>41</v>
      </c>
      <c r="G222" s="1" t="s">
        <v>41</v>
      </c>
      <c r="H222" s="1" t="s">
        <v>755</v>
      </c>
      <c r="I222" s="12">
        <v>46313.813888888886</v>
      </c>
      <c r="J222" s="1" t="s">
        <v>41</v>
      </c>
      <c r="K222" s="12">
        <v>46313.811111111114</v>
      </c>
      <c r="L222" s="5">
        <v>27</v>
      </c>
      <c r="M222" s="4"/>
      <c r="N222" s="1"/>
      <c r="O222" s="12">
        <v>46313.80972222222</v>
      </c>
      <c r="P222" s="1" t="s">
        <v>43</v>
      </c>
      <c r="Q222" s="1" t="s">
        <v>756</v>
      </c>
      <c r="R222" s="1" t="s">
        <v>757</v>
      </c>
      <c r="S222" s="5">
        <v>4247</v>
      </c>
      <c r="T222" s="1" t="s">
        <v>41</v>
      </c>
      <c r="U222" s="12">
        <v>46313.821527777778</v>
      </c>
      <c r="V222" s="12">
        <v>46313.822222222225</v>
      </c>
      <c r="W222" s="7" t="s">
        <v>758</v>
      </c>
      <c r="X222" s="5">
        <v>22411</v>
      </c>
      <c r="Y222" s="4"/>
      <c r="Z222" s="5">
        <v>0</v>
      </c>
      <c r="AA222" s="8">
        <v>0.81319444444444444</v>
      </c>
      <c r="AB222" s="5">
        <v>13</v>
      </c>
      <c r="AC222" s="1" t="s">
        <v>41</v>
      </c>
      <c r="AD222" s="9" t="str">
        <f t="shared" si="0"/>
        <v>Actual</v>
      </c>
      <c r="AE222" s="9" t="str">
        <f t="shared" si="1"/>
        <v>TMK7</v>
      </c>
      <c r="AF222" s="9">
        <f>HOUR(O222)</f>
        <v>19</v>
      </c>
      <c r="AG222" s="9">
        <f>DAY(O222)</f>
        <v>18</v>
      </c>
      <c r="AH222" s="9">
        <f>IFERROR((I222-K222)*24*60,0)</f>
        <v>3.9999999920837581</v>
      </c>
      <c r="AI222" s="9">
        <f t="shared" si="2"/>
        <v>3.9999999920837581</v>
      </c>
      <c r="AJ222" s="9">
        <f>C222</f>
        <v>3055</v>
      </c>
      <c r="AK222" s="9">
        <f>IF(P222="completed",((V222-K222)*24*60),0)</f>
        <v>15.999999999767169</v>
      </c>
      <c r="AL222" s="9">
        <f>IF(P222="completed",((U222-K222)*24*60),0)</f>
        <v>14.99999999650754</v>
      </c>
      <c r="AM222" s="9" t="str">
        <f t="shared" si="3"/>
        <v>OTP Breached</v>
      </c>
      <c r="AN222" s="9" t="str">
        <f t="shared" si="4"/>
        <v>OTP Achieved</v>
      </c>
    </row>
    <row r="223" spans="1:40" ht="16">
      <c r="A223" s="3" t="s">
        <v>185</v>
      </c>
      <c r="B223" s="12">
        <v>46313.8125</v>
      </c>
      <c r="C223" s="5">
        <v>2728</v>
      </c>
      <c r="D223" s="1" t="s">
        <v>41</v>
      </c>
      <c r="E223" s="5">
        <v>10</v>
      </c>
      <c r="F223" s="1" t="s">
        <v>41</v>
      </c>
      <c r="G223" s="1" t="s">
        <v>41</v>
      </c>
      <c r="H223" s="1" t="s">
        <v>759</v>
      </c>
      <c r="I223" s="12">
        <v>46313.8125</v>
      </c>
      <c r="J223" s="1" t="s">
        <v>41</v>
      </c>
      <c r="K223" s="12">
        <v>46313.810416666667</v>
      </c>
      <c r="L223" s="5">
        <v>40</v>
      </c>
      <c r="M223" s="4"/>
      <c r="N223" s="1"/>
      <c r="O223" s="12">
        <v>46313.808333333334</v>
      </c>
      <c r="P223" s="1" t="s">
        <v>43</v>
      </c>
      <c r="Q223" s="1" t="s">
        <v>187</v>
      </c>
      <c r="R223" s="1" t="s">
        <v>760</v>
      </c>
      <c r="S223" s="5">
        <v>4247</v>
      </c>
      <c r="T223" s="1" t="s">
        <v>41</v>
      </c>
      <c r="U223" s="12">
        <v>46313.820138888892</v>
      </c>
      <c r="V223" s="12">
        <v>46313.819444444445</v>
      </c>
      <c r="W223" s="7" t="s">
        <v>761</v>
      </c>
      <c r="X223" s="5">
        <v>22411</v>
      </c>
      <c r="Y223" s="4"/>
      <c r="Z223" s="5">
        <v>0</v>
      </c>
      <c r="AA223" s="8">
        <v>0.8125</v>
      </c>
      <c r="AB223" s="5">
        <v>9</v>
      </c>
      <c r="AC223" s="1" t="s">
        <v>41</v>
      </c>
      <c r="AD223" s="9" t="str">
        <f t="shared" si="0"/>
        <v>Actual</v>
      </c>
      <c r="AE223" s="9" t="str">
        <f t="shared" si="1"/>
        <v>TMK7</v>
      </c>
      <c r="AF223" s="9">
        <f>HOUR(O223)</f>
        <v>19</v>
      </c>
      <c r="AG223" s="9">
        <f>DAY(O223)</f>
        <v>18</v>
      </c>
      <c r="AH223" s="9">
        <f>IFERROR((I223-K223)*24*60,0)</f>
        <v>2.9999999993015081</v>
      </c>
      <c r="AI223" s="9">
        <f t="shared" si="2"/>
        <v>2.9999999993015081</v>
      </c>
      <c r="AJ223" s="9">
        <f>C223</f>
        <v>2728</v>
      </c>
      <c r="AK223" s="9">
        <f>IF(P223="completed",((V223-K223)*24*60),0)</f>
        <v>13.000000000465661</v>
      </c>
      <c r="AL223" s="9">
        <f>IF(P223="completed",((U223-K223)*24*60),0)</f>
        <v>14.00000000372529</v>
      </c>
      <c r="AM223" s="9" t="str">
        <f t="shared" si="3"/>
        <v>OTP Achieved</v>
      </c>
      <c r="AN223" s="9" t="str">
        <f t="shared" si="4"/>
        <v>OTP Achieved</v>
      </c>
    </row>
    <row r="224" spans="1:40" ht="16">
      <c r="A224" s="3" t="s">
        <v>72</v>
      </c>
      <c r="B224" s="12">
        <v>46313.8125</v>
      </c>
      <c r="C224" s="5">
        <v>2164</v>
      </c>
      <c r="D224" s="1" t="s">
        <v>41</v>
      </c>
      <c r="E224" s="5">
        <v>8</v>
      </c>
      <c r="F224" s="1" t="s">
        <v>41</v>
      </c>
      <c r="G224" s="1" t="s">
        <v>41</v>
      </c>
      <c r="H224" s="1" t="s">
        <v>762</v>
      </c>
      <c r="I224" s="12">
        <v>46313.8125</v>
      </c>
      <c r="J224" s="1" t="s">
        <v>41</v>
      </c>
      <c r="K224" s="12">
        <v>46313.809027777781</v>
      </c>
      <c r="L224" s="5">
        <v>36</v>
      </c>
      <c r="M224" s="4"/>
      <c r="N224" s="1"/>
      <c r="O224" s="12">
        <v>46313.807638888888</v>
      </c>
      <c r="P224" s="1" t="s">
        <v>43</v>
      </c>
      <c r="Q224" s="1" t="s">
        <v>74</v>
      </c>
      <c r="R224" s="1" t="s">
        <v>763</v>
      </c>
      <c r="S224" s="5">
        <v>4247</v>
      </c>
      <c r="T224" s="1" t="s">
        <v>41</v>
      </c>
      <c r="U224" s="12">
        <v>46313.819444444445</v>
      </c>
      <c r="V224" s="12">
        <v>46313.818055555559</v>
      </c>
      <c r="W224" s="7" t="s">
        <v>764</v>
      </c>
      <c r="X224" s="5">
        <v>22411</v>
      </c>
      <c r="Y224" s="1"/>
      <c r="Z224" s="5">
        <v>0</v>
      </c>
      <c r="AA224" s="8">
        <v>0.8125</v>
      </c>
      <c r="AB224" s="5">
        <v>8</v>
      </c>
      <c r="AC224" s="1" t="s">
        <v>41</v>
      </c>
      <c r="AD224" s="9" t="str">
        <f t="shared" si="0"/>
        <v>Actual</v>
      </c>
      <c r="AE224" s="9" t="str">
        <f t="shared" si="1"/>
        <v>TMK7</v>
      </c>
      <c r="AF224" s="9">
        <f>HOUR(O224)</f>
        <v>19</v>
      </c>
      <c r="AG224" s="9">
        <f>DAY(O224)</f>
        <v>18</v>
      </c>
      <c r="AH224" s="9">
        <f>IFERROR((I224-K224)*24*60,0)</f>
        <v>4.9999999953433871</v>
      </c>
      <c r="AI224" s="9">
        <f t="shared" si="2"/>
        <v>4.9999999953433871</v>
      </c>
      <c r="AJ224" s="9">
        <f>C224</f>
        <v>2164</v>
      </c>
      <c r="AK224" s="9">
        <f>IF(P224="completed",((V224-K224)*24*60),0)</f>
        <v>13.000000000465661</v>
      </c>
      <c r="AL224" s="9">
        <f>IF(P224="completed",((U224-K224)*24*60),0)</f>
        <v>14.99999999650754</v>
      </c>
      <c r="AM224" s="9" t="str">
        <f t="shared" si="3"/>
        <v>OTP Achieved</v>
      </c>
      <c r="AN224" s="9" t="str">
        <f t="shared" si="4"/>
        <v>OTP Achieved</v>
      </c>
    </row>
    <row r="225" spans="1:40" ht="16">
      <c r="A225" s="3" t="s">
        <v>177</v>
      </c>
      <c r="B225" s="12">
        <v>46313.811805555553</v>
      </c>
      <c r="C225" s="5">
        <v>2165</v>
      </c>
      <c r="D225" s="1" t="s">
        <v>41</v>
      </c>
      <c r="E225" s="5">
        <v>10</v>
      </c>
      <c r="F225" s="1" t="s">
        <v>41</v>
      </c>
      <c r="G225" s="1" t="s">
        <v>41</v>
      </c>
      <c r="H225" s="1" t="s">
        <v>765</v>
      </c>
      <c r="I225" s="12">
        <v>46313.8125</v>
      </c>
      <c r="J225" s="1" t="s">
        <v>41</v>
      </c>
      <c r="K225" s="12">
        <v>46313.809027777781</v>
      </c>
      <c r="L225" s="5">
        <v>46</v>
      </c>
      <c r="M225" s="4"/>
      <c r="N225" s="1"/>
      <c r="O225" s="12">
        <v>46313.806944444441</v>
      </c>
      <c r="P225" s="1" t="s">
        <v>43</v>
      </c>
      <c r="Q225" s="1" t="s">
        <v>179</v>
      </c>
      <c r="R225" s="1" t="s">
        <v>766</v>
      </c>
      <c r="S225" s="5">
        <v>4247</v>
      </c>
      <c r="T225" s="1" t="s">
        <v>41</v>
      </c>
      <c r="U225" s="12">
        <v>46313.818749999999</v>
      </c>
      <c r="V225" s="12">
        <v>46313.818749999999</v>
      </c>
      <c r="W225" s="7" t="s">
        <v>767</v>
      </c>
      <c r="X225" s="5">
        <v>22411</v>
      </c>
      <c r="Y225" s="4"/>
      <c r="Z225" s="5">
        <v>0</v>
      </c>
      <c r="AA225" s="8">
        <v>0.81180555555555556</v>
      </c>
      <c r="AB225" s="5">
        <v>9</v>
      </c>
      <c r="AC225" s="1" t="s">
        <v>41</v>
      </c>
      <c r="AD225" s="9" t="str">
        <f t="shared" si="0"/>
        <v>Actual</v>
      </c>
      <c r="AE225" s="9" t="str">
        <f t="shared" si="1"/>
        <v>TMK7</v>
      </c>
      <c r="AF225" s="9">
        <f>HOUR(O225)</f>
        <v>19</v>
      </c>
      <c r="AG225" s="9">
        <f>DAY(O225)</f>
        <v>18</v>
      </c>
      <c r="AH225" s="9">
        <f>IFERROR((I225-K225)*24*60,0)</f>
        <v>4.9999999953433871</v>
      </c>
      <c r="AI225" s="9">
        <f t="shared" si="2"/>
        <v>4.9999999953433871</v>
      </c>
      <c r="AJ225" s="9">
        <f>C225</f>
        <v>2165</v>
      </c>
      <c r="AK225" s="9">
        <f>IF(P225="completed",((V225-K225)*24*60),0)</f>
        <v>13.999999993247911</v>
      </c>
      <c r="AL225" s="9">
        <f>IF(P225="completed",((U225-K225)*24*60),0)</f>
        <v>13.999999993247911</v>
      </c>
      <c r="AM225" s="9" t="str">
        <f t="shared" si="3"/>
        <v>OTP Breached</v>
      </c>
      <c r="AN225" s="9" t="str">
        <f t="shared" si="4"/>
        <v>OTP Achieved</v>
      </c>
    </row>
    <row r="226" spans="1:40" ht="16">
      <c r="A226" s="3" t="s">
        <v>77</v>
      </c>
      <c r="B226" s="12">
        <v>46313.811805555553</v>
      </c>
      <c r="C226" s="5">
        <v>2094</v>
      </c>
      <c r="D226" s="1" t="s">
        <v>41</v>
      </c>
      <c r="E226" s="5">
        <v>10</v>
      </c>
      <c r="F226" s="1" t="s">
        <v>41</v>
      </c>
      <c r="G226" s="1" t="s">
        <v>41</v>
      </c>
      <c r="H226" s="1" t="s">
        <v>768</v>
      </c>
      <c r="I226" s="12">
        <v>46313.811805555553</v>
      </c>
      <c r="J226" s="1" t="s">
        <v>41</v>
      </c>
      <c r="K226" s="12">
        <v>46313.809027777781</v>
      </c>
      <c r="L226" s="5">
        <v>22</v>
      </c>
      <c r="M226" s="4"/>
      <c r="N226" s="1"/>
      <c r="O226" s="12">
        <v>46313.806944444441</v>
      </c>
      <c r="P226" s="1" t="s">
        <v>43</v>
      </c>
      <c r="Q226" s="1" t="s">
        <v>79</v>
      </c>
      <c r="R226" s="1" t="s">
        <v>769</v>
      </c>
      <c r="S226" s="5">
        <v>4247</v>
      </c>
      <c r="T226" s="1" t="s">
        <v>41</v>
      </c>
      <c r="U226" s="12">
        <v>46313.818055555559</v>
      </c>
      <c r="V226" s="12">
        <v>46313.818749999999</v>
      </c>
      <c r="W226" s="7" t="s">
        <v>770</v>
      </c>
      <c r="X226" s="5">
        <v>22411</v>
      </c>
      <c r="Y226" s="4"/>
      <c r="Z226" s="5">
        <v>0</v>
      </c>
      <c r="AA226" s="8">
        <v>0.81180555555555556</v>
      </c>
      <c r="AB226" s="5">
        <v>10</v>
      </c>
      <c r="AC226" s="1" t="s">
        <v>41</v>
      </c>
      <c r="AD226" s="9" t="str">
        <f t="shared" si="0"/>
        <v>Actual</v>
      </c>
      <c r="AE226" s="9" t="str">
        <f t="shared" si="1"/>
        <v>TMK7</v>
      </c>
      <c r="AF226" s="9">
        <f>HOUR(O226)</f>
        <v>19</v>
      </c>
      <c r="AG226" s="9">
        <f>DAY(O226)</f>
        <v>18</v>
      </c>
      <c r="AH226" s="9">
        <f>IFERROR((I226-K226)*24*60,0)</f>
        <v>3.9999999920837581</v>
      </c>
      <c r="AI226" s="9">
        <f t="shared" si="2"/>
        <v>3.9999999920837581</v>
      </c>
      <c r="AJ226" s="9">
        <f>C226</f>
        <v>2094</v>
      </c>
      <c r="AK226" s="9">
        <f>IF(P226="completed",((V226-K226)*24*60),0)</f>
        <v>13.999999993247911</v>
      </c>
      <c r="AL226" s="9">
        <f>IF(P226="completed",((U226-K226)*24*60),0)</f>
        <v>13.000000000465661</v>
      </c>
      <c r="AM226" s="9" t="str">
        <f t="shared" si="3"/>
        <v>OTP Breached</v>
      </c>
      <c r="AN226" s="9" t="str">
        <f t="shared" si="4"/>
        <v>OTP Achieved</v>
      </c>
    </row>
    <row r="227" spans="1:40" ht="16">
      <c r="A227" s="3" t="s">
        <v>157</v>
      </c>
      <c r="B227" s="12">
        <v>46313.811111111114</v>
      </c>
      <c r="C227" s="5">
        <v>2138</v>
      </c>
      <c r="D227" s="1" t="s">
        <v>41</v>
      </c>
      <c r="E227" s="5">
        <v>8</v>
      </c>
      <c r="F227" s="1" t="s">
        <v>41</v>
      </c>
      <c r="G227" s="1" t="s">
        <v>41</v>
      </c>
      <c r="H227" s="1" t="s">
        <v>771</v>
      </c>
      <c r="I227" s="12">
        <v>46313.811805555553</v>
      </c>
      <c r="J227" s="1" t="s">
        <v>41</v>
      </c>
      <c r="K227" s="12">
        <v>46313.809027777781</v>
      </c>
      <c r="L227" s="5">
        <v>31</v>
      </c>
      <c r="M227" s="4"/>
      <c r="N227" s="1"/>
      <c r="O227" s="12">
        <v>46313.806250000001</v>
      </c>
      <c r="P227" s="1" t="s">
        <v>43</v>
      </c>
      <c r="Q227" s="1" t="s">
        <v>159</v>
      </c>
      <c r="R227" s="1" t="s">
        <v>772</v>
      </c>
      <c r="S227" s="5">
        <v>4247</v>
      </c>
      <c r="T227" s="1" t="s">
        <v>41</v>
      </c>
      <c r="U227" s="12">
        <v>46313.817361111112</v>
      </c>
      <c r="V227" s="12">
        <v>46313.816666666666</v>
      </c>
      <c r="W227" s="7" t="s">
        <v>773</v>
      </c>
      <c r="X227" s="5">
        <v>22411</v>
      </c>
      <c r="Y227" s="4"/>
      <c r="Z227" s="5">
        <v>0</v>
      </c>
      <c r="AA227" s="8">
        <v>0.81111111111111112</v>
      </c>
      <c r="AB227" s="5">
        <v>7</v>
      </c>
      <c r="AC227" s="1" t="s">
        <v>41</v>
      </c>
      <c r="AD227" s="9" t="str">
        <f t="shared" si="0"/>
        <v>Actual</v>
      </c>
      <c r="AE227" s="9" t="str">
        <f t="shared" si="1"/>
        <v>TMK7</v>
      </c>
      <c r="AF227" s="9">
        <f>HOUR(O227)</f>
        <v>19</v>
      </c>
      <c r="AG227" s="9">
        <f>DAY(O227)</f>
        <v>18</v>
      </c>
      <c r="AH227" s="9">
        <f>IFERROR((I227-K227)*24*60,0)</f>
        <v>3.9999999920837581</v>
      </c>
      <c r="AI227" s="9">
        <f t="shared" si="2"/>
        <v>3.9999999920837581</v>
      </c>
      <c r="AJ227" s="9">
        <f>C227</f>
        <v>2138</v>
      </c>
      <c r="AK227" s="9">
        <f>IF(P227="completed",((V227-K227)*24*60),0)</f>
        <v>10.999999993946403</v>
      </c>
      <c r="AL227" s="9">
        <f>IF(P227="completed",((U227-K227)*24*60),0)</f>
        <v>11.999999997206032</v>
      </c>
      <c r="AM227" s="9" t="str">
        <f t="shared" si="3"/>
        <v>OTP Achieved</v>
      </c>
      <c r="AN227" s="9" t="str">
        <f t="shared" si="4"/>
        <v>OTP Achieved</v>
      </c>
    </row>
    <row r="228" spans="1:40" ht="16">
      <c r="A228" s="3" t="s">
        <v>209</v>
      </c>
      <c r="B228" s="12">
        <v>46313.80972222222</v>
      </c>
      <c r="C228" s="5">
        <v>1661</v>
      </c>
      <c r="D228" s="1" t="s">
        <v>41</v>
      </c>
      <c r="E228" s="5">
        <v>6</v>
      </c>
      <c r="F228" s="1" t="s">
        <v>41</v>
      </c>
      <c r="G228" s="1" t="s">
        <v>41</v>
      </c>
      <c r="H228" s="1" t="s">
        <v>774</v>
      </c>
      <c r="I228" s="12">
        <v>46313.810416666667</v>
      </c>
      <c r="J228" s="1" t="s">
        <v>41</v>
      </c>
      <c r="K228" s="12">
        <v>46313.806944444441</v>
      </c>
      <c r="L228" s="5">
        <v>34</v>
      </c>
      <c r="M228" s="4"/>
      <c r="N228" s="1"/>
      <c r="O228" s="12">
        <v>46313.806250000001</v>
      </c>
      <c r="P228" s="1" t="s">
        <v>43</v>
      </c>
      <c r="Q228" s="1" t="s">
        <v>211</v>
      </c>
      <c r="R228" s="1" t="s">
        <v>775</v>
      </c>
      <c r="S228" s="5">
        <v>4247</v>
      </c>
      <c r="T228" s="1" t="s">
        <v>41</v>
      </c>
      <c r="U228" s="12">
        <v>46313.81527777778</v>
      </c>
      <c r="V228" s="12">
        <v>46313.813888888886</v>
      </c>
      <c r="W228" s="7" t="s">
        <v>776</v>
      </c>
      <c r="X228" s="5">
        <v>22411</v>
      </c>
      <c r="Y228" s="4"/>
      <c r="Z228" s="5">
        <v>0</v>
      </c>
      <c r="AA228" s="8">
        <v>0.80972222222222223</v>
      </c>
      <c r="AB228" s="5">
        <v>5</v>
      </c>
      <c r="AC228" s="1" t="s">
        <v>41</v>
      </c>
      <c r="AD228" s="9" t="str">
        <f t="shared" si="0"/>
        <v>Actual</v>
      </c>
      <c r="AE228" s="9" t="str">
        <f t="shared" si="1"/>
        <v>TMK7</v>
      </c>
      <c r="AF228" s="9">
        <f>HOUR(O228)</f>
        <v>19</v>
      </c>
      <c r="AG228" s="9">
        <f>DAY(O228)</f>
        <v>18</v>
      </c>
      <c r="AH228" s="9">
        <f>IFERROR((I228-K228)*24*60,0)</f>
        <v>5.0000000058207661</v>
      </c>
      <c r="AI228" s="9">
        <f t="shared" si="2"/>
        <v>5.0000000058207661</v>
      </c>
      <c r="AJ228" s="9">
        <f>C228</f>
        <v>1661</v>
      </c>
      <c r="AK228" s="9">
        <f>IF(P228="completed",((V228-K228)*24*60),0)</f>
        <v>10.000000001164153</v>
      </c>
      <c r="AL228" s="9">
        <f>IF(P228="completed",((U228-K228)*24*60),0)</f>
        <v>12.000000007683411</v>
      </c>
      <c r="AM228" s="9" t="str">
        <f t="shared" si="3"/>
        <v>OTP Achieved</v>
      </c>
      <c r="AN228" s="9" t="str">
        <f t="shared" si="4"/>
        <v>OTP Achieved</v>
      </c>
    </row>
    <row r="229" spans="1:40" ht="16">
      <c r="A229" s="3" t="s">
        <v>347</v>
      </c>
      <c r="B229" s="12">
        <v>46313.80972222222</v>
      </c>
      <c r="C229" s="5">
        <v>1498</v>
      </c>
      <c r="D229" s="1" t="s">
        <v>41</v>
      </c>
      <c r="E229" s="5">
        <v>6</v>
      </c>
      <c r="F229" s="1" t="s">
        <v>41</v>
      </c>
      <c r="G229" s="1" t="s">
        <v>41</v>
      </c>
      <c r="H229" s="1" t="s">
        <v>777</v>
      </c>
      <c r="I229" s="12">
        <v>46313.80972222222</v>
      </c>
      <c r="J229" s="1" t="s">
        <v>41</v>
      </c>
      <c r="K229" s="12">
        <v>46313.807638888888</v>
      </c>
      <c r="L229" s="5">
        <v>16</v>
      </c>
      <c r="M229" s="4"/>
      <c r="N229" s="1"/>
      <c r="O229" s="12">
        <v>46313.806250000001</v>
      </c>
      <c r="P229" s="1" t="s">
        <v>43</v>
      </c>
      <c r="Q229" s="1" t="s">
        <v>349</v>
      </c>
      <c r="R229" s="1" t="s">
        <v>778</v>
      </c>
      <c r="S229" s="5">
        <v>4247</v>
      </c>
      <c r="T229" s="1" t="s">
        <v>41</v>
      </c>
      <c r="U229" s="12">
        <v>46313.814583333333</v>
      </c>
      <c r="V229" s="12">
        <v>46313.813888888886</v>
      </c>
      <c r="W229" s="7" t="s">
        <v>779</v>
      </c>
      <c r="X229" s="5">
        <v>22411</v>
      </c>
      <c r="Y229" s="1"/>
      <c r="Z229" s="5">
        <v>0</v>
      </c>
      <c r="AA229" s="8">
        <v>0.80972222222222223</v>
      </c>
      <c r="AB229" s="5">
        <v>5</v>
      </c>
      <c r="AC229" s="1" t="s">
        <v>41</v>
      </c>
      <c r="AD229" s="9" t="str">
        <f t="shared" si="0"/>
        <v>Actual</v>
      </c>
      <c r="AE229" s="9" t="str">
        <f t="shared" si="1"/>
        <v>TMK7</v>
      </c>
      <c r="AF229" s="9">
        <f>HOUR(O229)</f>
        <v>19</v>
      </c>
      <c r="AG229" s="9">
        <f>DAY(O229)</f>
        <v>18</v>
      </c>
      <c r="AH229" s="9">
        <f>IFERROR((I229-K229)*24*60,0)</f>
        <v>2.9999999993015081</v>
      </c>
      <c r="AI229" s="9">
        <f t="shared" si="2"/>
        <v>2.9999999993015081</v>
      </c>
      <c r="AJ229" s="9">
        <f>C229</f>
        <v>1498</v>
      </c>
      <c r="AK229" s="9">
        <f>IF(P229="completed",((V229-K229)*24*60),0)</f>
        <v>8.9999999979045242</v>
      </c>
      <c r="AL229" s="9">
        <f>IF(P229="completed",((U229-K229)*24*60),0)</f>
        <v>10.000000001164153</v>
      </c>
      <c r="AM229" s="9" t="str">
        <f t="shared" si="3"/>
        <v>OTP Achieved</v>
      </c>
      <c r="AN229" s="9" t="str">
        <f t="shared" si="4"/>
        <v>OTP Achieved</v>
      </c>
    </row>
    <row r="230" spans="1:40" ht="16">
      <c r="A230" s="3" t="s">
        <v>82</v>
      </c>
      <c r="B230" s="12">
        <v>46313.809027777781</v>
      </c>
      <c r="C230" s="5">
        <v>1533</v>
      </c>
      <c r="D230" s="1" t="s">
        <v>41</v>
      </c>
      <c r="E230" s="5">
        <v>6</v>
      </c>
      <c r="F230" s="1" t="s">
        <v>41</v>
      </c>
      <c r="G230" s="1" t="s">
        <v>41</v>
      </c>
      <c r="H230" s="1" t="s">
        <v>777</v>
      </c>
      <c r="I230" s="12">
        <v>46313.80972222222</v>
      </c>
      <c r="J230" s="1" t="s">
        <v>41</v>
      </c>
      <c r="K230" s="12">
        <v>46313.808333333334</v>
      </c>
      <c r="L230" s="5">
        <v>18</v>
      </c>
      <c r="M230" s="4"/>
      <c r="N230" s="1"/>
      <c r="O230" s="12">
        <v>46313.806250000001</v>
      </c>
      <c r="P230" s="1" t="s">
        <v>43</v>
      </c>
      <c r="Q230" s="1" t="s">
        <v>84</v>
      </c>
      <c r="R230" s="1" t="s">
        <v>780</v>
      </c>
      <c r="S230" s="5">
        <v>4247</v>
      </c>
      <c r="T230" s="1" t="s">
        <v>41</v>
      </c>
      <c r="U230" s="12">
        <v>46313.813888888886</v>
      </c>
      <c r="V230" s="12">
        <v>46313.813194444447</v>
      </c>
      <c r="W230" s="7" t="s">
        <v>781</v>
      </c>
      <c r="X230" s="5">
        <v>22411</v>
      </c>
      <c r="Y230" s="4"/>
      <c r="Z230" s="5">
        <v>0</v>
      </c>
      <c r="AA230" s="8">
        <v>0.80902777777777779</v>
      </c>
      <c r="AB230" s="5">
        <v>5</v>
      </c>
      <c r="AC230" s="1" t="s">
        <v>41</v>
      </c>
      <c r="AD230" s="9" t="str">
        <f t="shared" si="0"/>
        <v>Actual</v>
      </c>
      <c r="AE230" s="9" t="str">
        <f t="shared" si="1"/>
        <v>TMK7</v>
      </c>
      <c r="AF230" s="9">
        <f>HOUR(O230)</f>
        <v>19</v>
      </c>
      <c r="AG230" s="9">
        <f>DAY(O230)</f>
        <v>18</v>
      </c>
      <c r="AH230" s="9">
        <f>IFERROR((I230-K230)*24*60,0)</f>
        <v>1.9999999960418791</v>
      </c>
      <c r="AI230" s="9">
        <f t="shared" si="2"/>
        <v>1.9999999960418791</v>
      </c>
      <c r="AJ230" s="9">
        <f>C230</f>
        <v>1533</v>
      </c>
      <c r="AK230" s="9">
        <f>IF(P230="completed",((V230-K230)*24*60),0)</f>
        <v>7.0000000018626451</v>
      </c>
      <c r="AL230" s="9">
        <f>IF(P230="completed",((U230-K230)*24*60),0)</f>
        <v>7.9999999946448952</v>
      </c>
      <c r="AM230" s="9" t="str">
        <f t="shared" si="3"/>
        <v>OTP Achieved</v>
      </c>
      <c r="AN230" s="9" t="str">
        <f t="shared" si="4"/>
        <v>OTP Achieved</v>
      </c>
    </row>
    <row r="231" spans="1:40" ht="16">
      <c r="A231" s="3" t="s">
        <v>47</v>
      </c>
      <c r="B231" s="12">
        <v>46313.809027777781</v>
      </c>
      <c r="C231" s="5">
        <v>2725</v>
      </c>
      <c r="D231" s="1" t="s">
        <v>41</v>
      </c>
      <c r="E231" s="5">
        <v>8</v>
      </c>
      <c r="F231" s="1" t="s">
        <v>41</v>
      </c>
      <c r="G231" s="1" t="s">
        <v>41</v>
      </c>
      <c r="H231" s="1" t="s">
        <v>782</v>
      </c>
      <c r="I231" s="12">
        <v>46313.809027777781</v>
      </c>
      <c r="J231" s="1" t="s">
        <v>41</v>
      </c>
      <c r="K231" s="12">
        <v>46313.808333333334</v>
      </c>
      <c r="L231" s="5">
        <v>24</v>
      </c>
      <c r="M231" s="4"/>
      <c r="N231" s="1"/>
      <c r="O231" s="12">
        <v>46313.805555555555</v>
      </c>
      <c r="P231" s="1" t="s">
        <v>43</v>
      </c>
      <c r="Q231" s="1" t="s">
        <v>49</v>
      </c>
      <c r="R231" s="1" t="s">
        <v>783</v>
      </c>
      <c r="S231" s="5">
        <v>4247</v>
      </c>
      <c r="T231" s="1" t="s">
        <v>41</v>
      </c>
      <c r="U231" s="12">
        <v>46313.817361111112</v>
      </c>
      <c r="V231" s="12">
        <v>46313.814583333333</v>
      </c>
      <c r="W231" s="7" t="s">
        <v>784</v>
      </c>
      <c r="X231" s="5">
        <v>22411</v>
      </c>
      <c r="Y231" s="4"/>
      <c r="Z231" s="5">
        <v>0</v>
      </c>
      <c r="AA231" s="8">
        <v>0.80902777777777779</v>
      </c>
      <c r="AB231" s="5">
        <v>8</v>
      </c>
      <c r="AC231" s="1" t="s">
        <v>41</v>
      </c>
      <c r="AD231" s="9" t="str">
        <f t="shared" si="0"/>
        <v>Actual</v>
      </c>
      <c r="AE231" s="9" t="str">
        <f t="shared" si="1"/>
        <v>TMK7</v>
      </c>
      <c r="AF231" s="9">
        <f>HOUR(O231)</f>
        <v>19</v>
      </c>
      <c r="AG231" s="9">
        <f>DAY(O231)</f>
        <v>18</v>
      </c>
      <c r="AH231" s="9">
        <f>IFERROR((I231-K231)*24*60,0)</f>
        <v>1.000000003259629</v>
      </c>
      <c r="AI231" s="9">
        <f t="shared" si="2"/>
        <v>1.000000003259629</v>
      </c>
      <c r="AJ231" s="9">
        <f>C231</f>
        <v>2725</v>
      </c>
      <c r="AK231" s="9">
        <f>IF(P231="completed",((V231-K231)*24*60),0)</f>
        <v>8.9999999979045242</v>
      </c>
      <c r="AL231" s="9">
        <f>IF(P231="completed",((U231-K231)*24*60),0)</f>
        <v>13.000000000465661</v>
      </c>
      <c r="AM231" s="9" t="str">
        <f t="shared" si="3"/>
        <v>OTP Achieved</v>
      </c>
      <c r="AN231" s="9" t="str">
        <f t="shared" si="4"/>
        <v>OTP Achieved</v>
      </c>
    </row>
    <row r="232" spans="1:40" ht="16">
      <c r="A232" s="3" t="s">
        <v>106</v>
      </c>
      <c r="B232" s="12">
        <v>46313.808333333334</v>
      </c>
      <c r="C232" s="5">
        <v>2209</v>
      </c>
      <c r="D232" s="1" t="s">
        <v>41</v>
      </c>
      <c r="E232" s="5">
        <v>9</v>
      </c>
      <c r="F232" s="1" t="s">
        <v>41</v>
      </c>
      <c r="G232" s="1" t="s">
        <v>41</v>
      </c>
      <c r="H232" s="1" t="s">
        <v>785</v>
      </c>
      <c r="I232" s="12">
        <v>46313.809027777781</v>
      </c>
      <c r="J232" s="1" t="s">
        <v>41</v>
      </c>
      <c r="K232" s="12">
        <v>46313.808333333334</v>
      </c>
      <c r="L232" s="5">
        <v>30</v>
      </c>
      <c r="M232" s="4"/>
      <c r="N232" s="1"/>
      <c r="O232" s="12">
        <v>46313.805555555555</v>
      </c>
      <c r="P232" s="1" t="s">
        <v>43</v>
      </c>
      <c r="Q232" s="1" t="s">
        <v>108</v>
      </c>
      <c r="R232" s="1" t="s">
        <v>786</v>
      </c>
      <c r="S232" s="5">
        <v>4247</v>
      </c>
      <c r="T232" s="1" t="s">
        <v>41</v>
      </c>
      <c r="U232" s="12">
        <v>46313.814583333333</v>
      </c>
      <c r="V232" s="12">
        <v>46313.814583333333</v>
      </c>
      <c r="W232" s="7" t="s">
        <v>787</v>
      </c>
      <c r="X232" s="5">
        <v>22411</v>
      </c>
      <c r="Y232" s="4"/>
      <c r="Z232" s="5">
        <v>0</v>
      </c>
      <c r="AA232" s="8">
        <v>0.80833333333333335</v>
      </c>
      <c r="AB232" s="5">
        <v>9</v>
      </c>
      <c r="AC232" s="1" t="s">
        <v>41</v>
      </c>
      <c r="AD232" s="9" t="str">
        <f t="shared" si="0"/>
        <v>Actual</v>
      </c>
      <c r="AE232" s="9" t="str">
        <f t="shared" si="1"/>
        <v>TMK7</v>
      </c>
      <c r="AF232" s="9">
        <f>HOUR(O232)</f>
        <v>19</v>
      </c>
      <c r="AG232" s="9">
        <f>DAY(O232)</f>
        <v>18</v>
      </c>
      <c r="AH232" s="9">
        <f>IFERROR((I232-K232)*24*60,0)</f>
        <v>1.000000003259629</v>
      </c>
      <c r="AI232" s="9">
        <f t="shared" si="2"/>
        <v>1.000000003259629</v>
      </c>
      <c r="AJ232" s="9">
        <f>C232</f>
        <v>2209</v>
      </c>
      <c r="AK232" s="9">
        <f>IF(P232="completed",((V232-K232)*24*60),0)</f>
        <v>8.9999999979045242</v>
      </c>
      <c r="AL232" s="9">
        <f>IF(P232="completed",((U232-K232)*24*60),0)</f>
        <v>8.9999999979045242</v>
      </c>
      <c r="AM232" s="9" t="str">
        <f t="shared" si="3"/>
        <v>OTP Breached</v>
      </c>
      <c r="AN232" s="9" t="str">
        <f t="shared" si="4"/>
        <v>OTP Achieved</v>
      </c>
    </row>
    <row r="233" spans="1:40" ht="16">
      <c r="A233" s="3" t="s">
        <v>190</v>
      </c>
      <c r="B233" s="12">
        <v>46313.807638888888</v>
      </c>
      <c r="C233" s="5">
        <v>1736</v>
      </c>
      <c r="D233" s="1" t="s">
        <v>41</v>
      </c>
      <c r="E233" s="5">
        <v>5</v>
      </c>
      <c r="F233" s="1" t="s">
        <v>41</v>
      </c>
      <c r="G233" s="1" t="s">
        <v>41</v>
      </c>
      <c r="H233" s="1" t="s">
        <v>788</v>
      </c>
      <c r="I233" s="12">
        <v>46313.808333333334</v>
      </c>
      <c r="J233" s="1" t="s">
        <v>41</v>
      </c>
      <c r="K233" s="12">
        <v>46313.806944444441</v>
      </c>
      <c r="L233" s="5">
        <v>54</v>
      </c>
      <c r="M233" s="4"/>
      <c r="N233" s="1"/>
      <c r="O233" s="12">
        <v>46313.804861111108</v>
      </c>
      <c r="P233" s="1" t="s">
        <v>43</v>
      </c>
      <c r="Q233" s="1" t="s">
        <v>192</v>
      </c>
      <c r="R233" s="1" t="s">
        <v>789</v>
      </c>
      <c r="S233" s="5">
        <v>4247</v>
      </c>
      <c r="T233" s="1" t="s">
        <v>41</v>
      </c>
      <c r="U233" s="12">
        <v>46313.814583333333</v>
      </c>
      <c r="V233" s="12">
        <v>46313.811111111114</v>
      </c>
      <c r="W233" s="7" t="s">
        <v>790</v>
      </c>
      <c r="X233" s="5">
        <v>22411</v>
      </c>
      <c r="Y233" s="4"/>
      <c r="Z233" s="5">
        <v>0</v>
      </c>
      <c r="AA233" s="8">
        <v>0.80763888888888891</v>
      </c>
      <c r="AB233" s="5">
        <v>4</v>
      </c>
      <c r="AC233" s="1" t="s">
        <v>41</v>
      </c>
      <c r="AD233" s="9" t="str">
        <f t="shared" si="0"/>
        <v>Actual</v>
      </c>
      <c r="AE233" s="9" t="str">
        <f t="shared" si="1"/>
        <v>TMK7</v>
      </c>
      <c r="AF233" s="9">
        <f>HOUR(O233)</f>
        <v>19</v>
      </c>
      <c r="AG233" s="9">
        <f>DAY(O233)</f>
        <v>18</v>
      </c>
      <c r="AH233" s="9">
        <f>IFERROR((I233-K233)*24*60,0)</f>
        <v>2.000000006519258</v>
      </c>
      <c r="AI233" s="9">
        <f t="shared" si="2"/>
        <v>2.000000006519258</v>
      </c>
      <c r="AJ233" s="9">
        <f>C233</f>
        <v>1736</v>
      </c>
      <c r="AK233" s="9">
        <f>IF(P233="completed",((V233-K233)*24*60),0)</f>
        <v>6.0000000090803951</v>
      </c>
      <c r="AL233" s="9">
        <f>IF(P233="completed",((U233-K233)*24*60),0)</f>
        <v>11.000000004423782</v>
      </c>
      <c r="AM233" s="9" t="str">
        <f t="shared" si="3"/>
        <v>OTP Achieved</v>
      </c>
      <c r="AN233" s="9" t="str">
        <f t="shared" si="4"/>
        <v>OTP Achieved</v>
      </c>
    </row>
    <row r="234" spans="1:40" ht="16">
      <c r="A234" s="3" t="s">
        <v>339</v>
      </c>
      <c r="B234" s="12">
        <v>46313.806250000001</v>
      </c>
      <c r="C234" s="5">
        <v>968</v>
      </c>
      <c r="D234" s="1" t="s">
        <v>41</v>
      </c>
      <c r="E234" s="5">
        <v>4</v>
      </c>
      <c r="F234" s="1" t="s">
        <v>41</v>
      </c>
      <c r="G234" s="1" t="s">
        <v>41</v>
      </c>
      <c r="H234" s="1" t="s">
        <v>791</v>
      </c>
      <c r="I234" s="12">
        <v>46313.807638888888</v>
      </c>
      <c r="J234" s="1" t="s">
        <v>41</v>
      </c>
      <c r="K234" s="12">
        <v>46313.806944444441</v>
      </c>
      <c r="L234" s="5">
        <v>39</v>
      </c>
      <c r="M234" s="4"/>
      <c r="N234" s="1"/>
      <c r="O234" s="12">
        <v>46313.804861111108</v>
      </c>
      <c r="P234" s="1" t="s">
        <v>43</v>
      </c>
      <c r="Q234" s="1" t="s">
        <v>341</v>
      </c>
      <c r="R234" s="1" t="s">
        <v>792</v>
      </c>
      <c r="S234" s="5">
        <v>4247</v>
      </c>
      <c r="T234" s="1" t="s">
        <v>41</v>
      </c>
      <c r="U234" s="12">
        <v>46313.811111111114</v>
      </c>
      <c r="V234" s="12">
        <v>46313.80972222222</v>
      </c>
      <c r="W234" s="7" t="s">
        <v>793</v>
      </c>
      <c r="X234" s="5">
        <v>22411</v>
      </c>
      <c r="Y234" s="4"/>
      <c r="Z234" s="5">
        <v>0</v>
      </c>
      <c r="AA234" s="8">
        <v>0.80625000000000002</v>
      </c>
      <c r="AB234" s="5">
        <v>3</v>
      </c>
      <c r="AC234" s="1" t="s">
        <v>41</v>
      </c>
      <c r="AD234" s="9" t="str">
        <f t="shared" si="0"/>
        <v>Actual</v>
      </c>
      <c r="AE234" s="9" t="str">
        <f t="shared" si="1"/>
        <v>TMK7</v>
      </c>
      <c r="AF234" s="9">
        <f>HOUR(O234)</f>
        <v>19</v>
      </c>
      <c r="AG234" s="9">
        <f>DAY(O234)</f>
        <v>18</v>
      </c>
      <c r="AH234" s="9">
        <f>IFERROR((I234-K234)*24*60,0)</f>
        <v>1.000000003259629</v>
      </c>
      <c r="AI234" s="9">
        <f t="shared" si="2"/>
        <v>1.000000003259629</v>
      </c>
      <c r="AJ234" s="9">
        <f>C234</f>
        <v>968</v>
      </c>
      <c r="AK234" s="9">
        <f>IF(P234="completed",((V234-K234)*24*60),0)</f>
        <v>4.0000000025611371</v>
      </c>
      <c r="AL234" s="9">
        <f>IF(P234="completed",((U234-K234)*24*60),0)</f>
        <v>6.0000000090803951</v>
      </c>
      <c r="AM234" s="9" t="str">
        <f t="shared" si="3"/>
        <v>OTP Achieved</v>
      </c>
      <c r="AN234" s="9" t="str">
        <f t="shared" si="4"/>
        <v>OTP Achieved</v>
      </c>
    </row>
    <row r="235" spans="1:40" ht="16">
      <c r="A235" s="3" t="s">
        <v>754</v>
      </c>
      <c r="B235" s="12">
        <v>46313.805555555555</v>
      </c>
      <c r="C235" s="5">
        <v>1227</v>
      </c>
      <c r="D235" s="1" t="s">
        <v>41</v>
      </c>
      <c r="E235" s="5">
        <v>5</v>
      </c>
      <c r="F235" s="1" t="s">
        <v>41</v>
      </c>
      <c r="G235" s="1" t="s">
        <v>41</v>
      </c>
      <c r="H235" s="1" t="s">
        <v>794</v>
      </c>
      <c r="I235" s="12">
        <v>46313.805555555555</v>
      </c>
      <c r="J235" s="1" t="s">
        <v>41</v>
      </c>
      <c r="K235" s="12">
        <v>46313.805555555555</v>
      </c>
      <c r="L235" s="5">
        <v>25</v>
      </c>
      <c r="M235" s="4"/>
      <c r="N235" s="1"/>
      <c r="O235" s="12">
        <v>46313.804861111108</v>
      </c>
      <c r="P235" s="1" t="s">
        <v>43</v>
      </c>
      <c r="Q235" s="1" t="s">
        <v>756</v>
      </c>
      <c r="R235" s="1" t="s">
        <v>795</v>
      </c>
      <c r="S235" s="5">
        <v>4247</v>
      </c>
      <c r="T235" s="1" t="s">
        <v>41</v>
      </c>
      <c r="U235" s="12">
        <v>46313.80972222222</v>
      </c>
      <c r="V235" s="12">
        <v>46313.809027777781</v>
      </c>
      <c r="W235" s="7" t="s">
        <v>796</v>
      </c>
      <c r="X235" s="5">
        <v>22411</v>
      </c>
      <c r="Y235" s="4"/>
      <c r="Z235" s="5">
        <v>0</v>
      </c>
      <c r="AA235" s="8">
        <v>0.80555555555555558</v>
      </c>
      <c r="AB235" s="5">
        <v>5</v>
      </c>
      <c r="AC235" s="1" t="s">
        <v>41</v>
      </c>
      <c r="AD235" s="9" t="str">
        <f t="shared" si="0"/>
        <v>Actual</v>
      </c>
      <c r="AE235" s="9" t="str">
        <f t="shared" si="1"/>
        <v>TMK7</v>
      </c>
      <c r="AF235" s="9">
        <f>HOUR(O235)</f>
        <v>19</v>
      </c>
      <c r="AG235" s="9">
        <f>DAY(O235)</f>
        <v>18</v>
      </c>
      <c r="AH235" s="9">
        <f>IFERROR((I235-K235)*24*60,0)</f>
        <v>0</v>
      </c>
      <c r="AI235" s="9">
        <f t="shared" si="2"/>
        <v>0</v>
      </c>
      <c r="AJ235" s="9">
        <f>C235</f>
        <v>1227</v>
      </c>
      <c r="AK235" s="9">
        <f>IF(P235="completed",((V235-K235)*24*60),0)</f>
        <v>5.0000000058207661</v>
      </c>
      <c r="AL235" s="9">
        <f>IF(P235="completed",((U235-K235)*24*60),0)</f>
        <v>5.9999999986030161</v>
      </c>
      <c r="AM235" s="9" t="str">
        <f t="shared" si="3"/>
        <v>OTP Achieved</v>
      </c>
      <c r="AN235" s="9" t="str">
        <f t="shared" si="4"/>
        <v>OTP Achieved</v>
      </c>
    </row>
    <row r="236" spans="1:40" ht="16">
      <c r="A236" s="3" t="s">
        <v>303</v>
      </c>
      <c r="B236" s="12">
        <v>46313.805555555555</v>
      </c>
      <c r="C236" s="5">
        <v>2298</v>
      </c>
      <c r="D236" s="1" t="s">
        <v>41</v>
      </c>
      <c r="E236" s="5">
        <v>9</v>
      </c>
      <c r="F236" s="1" t="s">
        <v>41</v>
      </c>
      <c r="G236" s="1" t="s">
        <v>41</v>
      </c>
      <c r="H236" s="1" t="s">
        <v>797</v>
      </c>
      <c r="I236" s="12">
        <v>46313.806250000001</v>
      </c>
      <c r="J236" s="1" t="s">
        <v>41</v>
      </c>
      <c r="K236" s="12">
        <v>46313.806250000001</v>
      </c>
      <c r="L236" s="5">
        <v>26</v>
      </c>
      <c r="M236" s="4"/>
      <c r="N236" s="1"/>
      <c r="O236" s="12">
        <v>46313.804166666669</v>
      </c>
      <c r="P236" s="1" t="s">
        <v>43</v>
      </c>
      <c r="Q236" s="1" t="s">
        <v>305</v>
      </c>
      <c r="R236" s="1" t="s">
        <v>798</v>
      </c>
      <c r="S236" s="5">
        <v>4247</v>
      </c>
      <c r="T236" s="1" t="s">
        <v>41</v>
      </c>
      <c r="U236" s="12">
        <v>46313.813194444447</v>
      </c>
      <c r="V236" s="12">
        <v>46313.8125</v>
      </c>
      <c r="W236" s="7" t="s">
        <v>799</v>
      </c>
      <c r="X236" s="5">
        <v>22411</v>
      </c>
      <c r="Y236" s="13"/>
      <c r="Z236" s="5">
        <v>0</v>
      </c>
      <c r="AA236" s="8">
        <v>0.80555555555555558</v>
      </c>
      <c r="AB236" s="5">
        <v>9</v>
      </c>
      <c r="AC236" s="1" t="s">
        <v>41</v>
      </c>
      <c r="AD236" s="9" t="str">
        <f t="shared" si="0"/>
        <v>Actual</v>
      </c>
      <c r="AE236" s="9" t="str">
        <f t="shared" si="1"/>
        <v>TMK7</v>
      </c>
      <c r="AF236" s="9">
        <f>HOUR(O236)</f>
        <v>19</v>
      </c>
      <c r="AG236" s="9">
        <f>DAY(O236)</f>
        <v>18</v>
      </c>
      <c r="AH236" s="9">
        <f>IFERROR((I236-K236)*24*60,0)</f>
        <v>0</v>
      </c>
      <c r="AI236" s="9">
        <f t="shared" si="2"/>
        <v>0</v>
      </c>
      <c r="AJ236" s="9">
        <f>C236</f>
        <v>2298</v>
      </c>
      <c r="AK236" s="9">
        <f>IF(P236="completed",((V236-K236)*24*60),0)</f>
        <v>8.9999999979045242</v>
      </c>
      <c r="AL236" s="9">
        <f>IF(P236="completed",((U236-K236)*24*60),0)</f>
        <v>10.000000001164153</v>
      </c>
      <c r="AM236" s="9" t="str">
        <f t="shared" si="3"/>
        <v>OTP Achieved</v>
      </c>
      <c r="AN236" s="9" t="str">
        <f t="shared" si="4"/>
        <v>OTP Achieved</v>
      </c>
    </row>
    <row r="237" spans="1:40" ht="16">
      <c r="A237" s="3" t="s">
        <v>734</v>
      </c>
      <c r="B237" s="12">
        <v>46313.804861111108</v>
      </c>
      <c r="C237" s="5">
        <v>1664</v>
      </c>
      <c r="D237" s="1" t="s">
        <v>41</v>
      </c>
      <c r="E237" s="5">
        <v>6</v>
      </c>
      <c r="F237" s="1" t="s">
        <v>41</v>
      </c>
      <c r="G237" s="1" t="s">
        <v>41</v>
      </c>
      <c r="H237" s="1" t="s">
        <v>800</v>
      </c>
      <c r="I237" s="12">
        <v>46313.805555555555</v>
      </c>
      <c r="J237" s="1" t="s">
        <v>41</v>
      </c>
      <c r="K237" s="12">
        <v>46313.805555555555</v>
      </c>
      <c r="L237" s="5">
        <v>35</v>
      </c>
      <c r="M237" s="4"/>
      <c r="N237" s="1"/>
      <c r="O237" s="12">
        <v>46313.804166666669</v>
      </c>
      <c r="P237" s="1" t="s">
        <v>43</v>
      </c>
      <c r="Q237" s="1" t="s">
        <v>736</v>
      </c>
      <c r="R237" s="1" t="s">
        <v>801</v>
      </c>
      <c r="S237" s="5">
        <v>4247</v>
      </c>
      <c r="T237" s="1" t="s">
        <v>41</v>
      </c>
      <c r="U237" s="12">
        <v>46313.811111111114</v>
      </c>
      <c r="V237" s="12">
        <v>46313.80972222222</v>
      </c>
      <c r="W237" s="7" t="s">
        <v>802</v>
      </c>
      <c r="X237" s="5">
        <v>22411</v>
      </c>
      <c r="Y237" s="4"/>
      <c r="Z237" s="5">
        <v>0</v>
      </c>
      <c r="AA237" s="8">
        <v>0.80486111111111114</v>
      </c>
      <c r="AB237" s="5">
        <v>6</v>
      </c>
      <c r="AC237" s="1" t="s">
        <v>41</v>
      </c>
      <c r="AD237" s="9" t="str">
        <f t="shared" si="0"/>
        <v>Actual</v>
      </c>
      <c r="AE237" s="9" t="str">
        <f t="shared" si="1"/>
        <v>TMK7</v>
      </c>
      <c r="AF237" s="9">
        <f>HOUR(O237)</f>
        <v>19</v>
      </c>
      <c r="AG237" s="9">
        <f>DAY(O237)</f>
        <v>18</v>
      </c>
      <c r="AH237" s="9">
        <f>IFERROR((I237-K237)*24*60,0)</f>
        <v>0</v>
      </c>
      <c r="AI237" s="9">
        <f t="shared" si="2"/>
        <v>0</v>
      </c>
      <c r="AJ237" s="9">
        <f>C237</f>
        <v>1664</v>
      </c>
      <c r="AK237" s="9">
        <f>IF(P237="completed",((V237-K237)*24*60),0)</f>
        <v>5.9999999986030161</v>
      </c>
      <c r="AL237" s="9">
        <f>IF(P237="completed",((U237-K237)*24*60),0)</f>
        <v>8.0000000051222742</v>
      </c>
      <c r="AM237" s="9" t="str">
        <f t="shared" si="3"/>
        <v>OTP Achieved</v>
      </c>
      <c r="AN237" s="9" t="str">
        <f t="shared" si="4"/>
        <v>OTP Achieved</v>
      </c>
    </row>
    <row r="238" spans="1:40" ht="16">
      <c r="A238" s="3" t="s">
        <v>711</v>
      </c>
      <c r="B238" s="12">
        <v>46313.804861111108</v>
      </c>
      <c r="C238" s="5">
        <v>1729</v>
      </c>
      <c r="D238" s="1" t="s">
        <v>41</v>
      </c>
      <c r="E238" s="5">
        <v>7</v>
      </c>
      <c r="F238" s="1" t="s">
        <v>41</v>
      </c>
      <c r="G238" s="1" t="s">
        <v>41</v>
      </c>
      <c r="H238" s="1" t="s">
        <v>803</v>
      </c>
      <c r="I238" s="12">
        <v>46313.807638888888</v>
      </c>
      <c r="J238" s="1" t="s">
        <v>41</v>
      </c>
      <c r="K238" s="12">
        <v>46313.806944444441</v>
      </c>
      <c r="L238" s="5">
        <v>28</v>
      </c>
      <c r="M238" s="4"/>
      <c r="N238" s="1"/>
      <c r="O238" s="12">
        <v>46313.803472222222</v>
      </c>
      <c r="P238" s="1" t="s">
        <v>43</v>
      </c>
      <c r="Q238" s="1" t="s">
        <v>713</v>
      </c>
      <c r="R238" s="1" t="s">
        <v>804</v>
      </c>
      <c r="S238" s="5">
        <v>4247</v>
      </c>
      <c r="T238" s="1" t="s">
        <v>41</v>
      </c>
      <c r="U238" s="12">
        <v>46313.811805555553</v>
      </c>
      <c r="V238" s="12">
        <v>46313.811805555553</v>
      </c>
      <c r="W238" s="7" t="s">
        <v>805</v>
      </c>
      <c r="X238" s="5">
        <v>22411</v>
      </c>
      <c r="Y238" s="4"/>
      <c r="Z238" s="5">
        <v>0</v>
      </c>
      <c r="AA238" s="8">
        <v>0.80486111111111114</v>
      </c>
      <c r="AB238" s="5">
        <v>6</v>
      </c>
      <c r="AC238" s="1" t="s">
        <v>41</v>
      </c>
      <c r="AD238" s="9" t="str">
        <f t="shared" si="0"/>
        <v>Actual</v>
      </c>
      <c r="AE238" s="9" t="str">
        <f t="shared" si="1"/>
        <v>TMK7</v>
      </c>
      <c r="AF238" s="9">
        <f>HOUR(O238)</f>
        <v>19</v>
      </c>
      <c r="AG238" s="9">
        <f>DAY(O238)</f>
        <v>18</v>
      </c>
      <c r="AH238" s="9">
        <f>IFERROR((I238-K238)*24*60,0)</f>
        <v>1.000000003259629</v>
      </c>
      <c r="AI238" s="9">
        <f t="shared" si="2"/>
        <v>1.000000003259629</v>
      </c>
      <c r="AJ238" s="9">
        <f>C238</f>
        <v>1729</v>
      </c>
      <c r="AK238" s="9">
        <f>IF(P238="completed",((V238-K238)*24*60),0)</f>
        <v>7.0000000018626451</v>
      </c>
      <c r="AL238" s="9">
        <f>IF(P238="completed",((U238-K238)*24*60),0)</f>
        <v>7.0000000018626451</v>
      </c>
      <c r="AM238" s="9" t="str">
        <f t="shared" si="3"/>
        <v>OTP Breached</v>
      </c>
      <c r="AN238" s="9" t="str">
        <f t="shared" si="4"/>
        <v>OTP Achieved</v>
      </c>
    </row>
    <row r="239" spans="1:40" ht="16">
      <c r="A239" s="3" t="s">
        <v>52</v>
      </c>
      <c r="B239" s="12">
        <v>46313.803472222222</v>
      </c>
      <c r="C239" s="5">
        <v>956</v>
      </c>
      <c r="D239" s="1" t="s">
        <v>41</v>
      </c>
      <c r="E239" s="5">
        <v>4</v>
      </c>
      <c r="F239" s="1" t="s">
        <v>41</v>
      </c>
      <c r="G239" s="1" t="s">
        <v>41</v>
      </c>
      <c r="H239" s="1" t="s">
        <v>806</v>
      </c>
      <c r="I239" s="12">
        <v>46313.804861111108</v>
      </c>
      <c r="J239" s="1" t="s">
        <v>41</v>
      </c>
      <c r="K239" s="12">
        <v>46313.804166666669</v>
      </c>
      <c r="L239" s="5">
        <v>46</v>
      </c>
      <c r="M239" s="4"/>
      <c r="N239" s="1"/>
      <c r="O239" s="12">
        <v>46313.802777777775</v>
      </c>
      <c r="P239" s="1" t="s">
        <v>43</v>
      </c>
      <c r="Q239" s="1" t="s">
        <v>54</v>
      </c>
      <c r="R239" s="1" t="s">
        <v>807</v>
      </c>
      <c r="S239" s="5">
        <v>4247</v>
      </c>
      <c r="T239" s="1" t="s">
        <v>41</v>
      </c>
      <c r="U239" s="12">
        <v>46313.807638888888</v>
      </c>
      <c r="V239" s="12">
        <v>46313.806944444441</v>
      </c>
      <c r="W239" s="7" t="s">
        <v>808</v>
      </c>
      <c r="X239" s="5">
        <v>22411</v>
      </c>
      <c r="Y239" s="4"/>
      <c r="Z239" s="5">
        <v>0</v>
      </c>
      <c r="AA239" s="8">
        <v>0.80347222222222225</v>
      </c>
      <c r="AB239" s="5">
        <v>3</v>
      </c>
      <c r="AC239" s="1" t="s">
        <v>41</v>
      </c>
      <c r="AD239" s="9" t="str">
        <f t="shared" si="0"/>
        <v>Actual</v>
      </c>
      <c r="AE239" s="9" t="str">
        <f t="shared" si="1"/>
        <v>TMK7</v>
      </c>
      <c r="AF239" s="9">
        <f>HOUR(O239)</f>
        <v>19</v>
      </c>
      <c r="AG239" s="9">
        <f>DAY(O239)</f>
        <v>18</v>
      </c>
      <c r="AH239" s="9">
        <f>IFERROR((I239-K239)*24*60,0)</f>
        <v>0.99999999278225005</v>
      </c>
      <c r="AI239" s="9">
        <f t="shared" si="2"/>
        <v>0.99999999278225005</v>
      </c>
      <c r="AJ239" s="9">
        <f>C239</f>
        <v>956</v>
      </c>
      <c r="AK239" s="9">
        <f>IF(P239="completed",((V239-K239)*24*60),0)</f>
        <v>3.9999999920837581</v>
      </c>
      <c r="AL239" s="9">
        <f>IF(P239="completed",((U239-K239)*24*60),0)</f>
        <v>4.9999999953433871</v>
      </c>
      <c r="AM239" s="9" t="str">
        <f t="shared" si="3"/>
        <v>OTP Achieved</v>
      </c>
      <c r="AN239" s="9" t="str">
        <f t="shared" si="4"/>
        <v>OTP Achieved</v>
      </c>
    </row>
    <row r="240" spans="1:40" ht="16">
      <c r="A240" s="3" t="s">
        <v>77</v>
      </c>
      <c r="B240" s="12">
        <v>46313.804166666669</v>
      </c>
      <c r="C240" s="5">
        <v>1353</v>
      </c>
      <c r="D240" s="1" t="s">
        <v>41</v>
      </c>
      <c r="E240" s="5">
        <v>5</v>
      </c>
      <c r="F240" s="1" t="s">
        <v>41</v>
      </c>
      <c r="G240" s="1" t="s">
        <v>41</v>
      </c>
      <c r="H240" s="1" t="s">
        <v>809</v>
      </c>
      <c r="I240" s="12">
        <v>46313.804166666669</v>
      </c>
      <c r="J240" s="1" t="s">
        <v>41</v>
      </c>
      <c r="K240" s="12">
        <v>46313.804166666669</v>
      </c>
      <c r="L240" s="5">
        <v>19</v>
      </c>
      <c r="M240" s="4"/>
      <c r="N240" s="1"/>
      <c r="O240" s="12">
        <v>46313.802777777775</v>
      </c>
      <c r="P240" s="1" t="s">
        <v>43</v>
      </c>
      <c r="Q240" s="1" t="s">
        <v>79</v>
      </c>
      <c r="R240" s="1" t="s">
        <v>810</v>
      </c>
      <c r="S240" s="5">
        <v>4247</v>
      </c>
      <c r="T240" s="1" t="s">
        <v>41</v>
      </c>
      <c r="U240" s="12">
        <v>46313.808333333334</v>
      </c>
      <c r="V240" s="12">
        <v>46313.807638888888</v>
      </c>
      <c r="W240" s="7" t="s">
        <v>811</v>
      </c>
      <c r="X240" s="5">
        <v>22411</v>
      </c>
      <c r="Y240" s="4"/>
      <c r="Z240" s="5">
        <v>0</v>
      </c>
      <c r="AA240" s="8">
        <v>0.8041666666666667</v>
      </c>
      <c r="AB240" s="5">
        <v>4</v>
      </c>
      <c r="AC240" s="1" t="s">
        <v>41</v>
      </c>
      <c r="AD240" s="9" t="str">
        <f t="shared" si="0"/>
        <v>Actual</v>
      </c>
      <c r="AE240" s="9" t="str">
        <f t="shared" si="1"/>
        <v>TMK7</v>
      </c>
      <c r="AF240" s="9">
        <f>HOUR(O240)</f>
        <v>19</v>
      </c>
      <c r="AG240" s="9">
        <f>DAY(O240)</f>
        <v>18</v>
      </c>
      <c r="AH240" s="9">
        <f>IFERROR((I240-K240)*24*60,0)</f>
        <v>0</v>
      </c>
      <c r="AI240" s="9">
        <f t="shared" si="2"/>
        <v>0</v>
      </c>
      <c r="AJ240" s="9">
        <f>C240</f>
        <v>1353</v>
      </c>
      <c r="AK240" s="9">
        <f>IF(P240="completed",((V240-K240)*24*60),0)</f>
        <v>4.9999999953433871</v>
      </c>
      <c r="AL240" s="9">
        <f>IF(P240="completed",((U240-K240)*24*60),0)</f>
        <v>5.9999999986030161</v>
      </c>
      <c r="AM240" s="9" t="str">
        <f t="shared" si="3"/>
        <v>OTP Achieved</v>
      </c>
      <c r="AN240" s="9" t="str">
        <f t="shared" si="4"/>
        <v>OTP Achieved</v>
      </c>
    </row>
    <row r="241" spans="1:40" ht="16">
      <c r="A241" s="3" t="s">
        <v>40</v>
      </c>
      <c r="B241" s="12">
        <v>46313.802777777775</v>
      </c>
      <c r="C241" s="5">
        <v>1270</v>
      </c>
      <c r="D241" s="1" t="s">
        <v>41</v>
      </c>
      <c r="E241" s="5">
        <v>5</v>
      </c>
      <c r="F241" s="1" t="s">
        <v>41</v>
      </c>
      <c r="G241" s="1" t="s">
        <v>41</v>
      </c>
      <c r="H241" s="1" t="s">
        <v>812</v>
      </c>
      <c r="I241" s="12">
        <v>46313.803472222222</v>
      </c>
      <c r="J241" s="1" t="s">
        <v>41</v>
      </c>
      <c r="K241" s="12">
        <v>46313.802777777775</v>
      </c>
      <c r="L241" s="5">
        <v>24</v>
      </c>
      <c r="M241" s="4"/>
      <c r="N241" s="1"/>
      <c r="O241" s="12">
        <v>46313.802083333336</v>
      </c>
      <c r="P241" s="1" t="s">
        <v>43</v>
      </c>
      <c r="Q241" s="1" t="s">
        <v>44</v>
      </c>
      <c r="R241" s="1" t="s">
        <v>813</v>
      </c>
      <c r="S241" s="5">
        <v>4247</v>
      </c>
      <c r="T241" s="1" t="s">
        <v>41</v>
      </c>
      <c r="U241" s="12">
        <v>46313.807638888888</v>
      </c>
      <c r="V241" s="12">
        <v>46313.806250000001</v>
      </c>
      <c r="W241" s="7" t="s">
        <v>814</v>
      </c>
      <c r="X241" s="5">
        <v>22411</v>
      </c>
      <c r="Y241" s="4"/>
      <c r="Z241" s="5">
        <v>0</v>
      </c>
      <c r="AA241" s="8">
        <v>0.80277777777777781</v>
      </c>
      <c r="AB241" s="5">
        <v>5</v>
      </c>
      <c r="AC241" s="1" t="s">
        <v>41</v>
      </c>
      <c r="AD241" s="9" t="str">
        <f t="shared" si="0"/>
        <v>Actual</v>
      </c>
      <c r="AE241" s="9" t="str">
        <f t="shared" si="1"/>
        <v>TMK7</v>
      </c>
      <c r="AF241" s="9">
        <f>HOUR(O241)</f>
        <v>19</v>
      </c>
      <c r="AG241" s="9">
        <f>DAY(O241)</f>
        <v>18</v>
      </c>
      <c r="AH241" s="9">
        <f>IFERROR((I241-K241)*24*60,0)</f>
        <v>1.000000003259629</v>
      </c>
      <c r="AI241" s="9">
        <f t="shared" si="2"/>
        <v>1.000000003259629</v>
      </c>
      <c r="AJ241" s="9">
        <f>C241</f>
        <v>1270</v>
      </c>
      <c r="AK241" s="9">
        <f>IF(P241="completed",((V241-K241)*24*60),0)</f>
        <v>5.0000000058207661</v>
      </c>
      <c r="AL241" s="9">
        <f>IF(P241="completed",((U241-K241)*24*60),0)</f>
        <v>7.0000000018626451</v>
      </c>
      <c r="AM241" s="9" t="str">
        <f t="shared" si="3"/>
        <v>OTP Achieved</v>
      </c>
      <c r="AN241" s="9" t="str">
        <f t="shared" si="4"/>
        <v>OTP Achieved</v>
      </c>
    </row>
    <row r="242" spans="1:40" ht="16">
      <c r="A242" s="3" t="s">
        <v>47</v>
      </c>
      <c r="B242" s="12">
        <v>46313.802777777775</v>
      </c>
      <c r="C242" s="5">
        <v>367</v>
      </c>
      <c r="D242" s="1" t="s">
        <v>41</v>
      </c>
      <c r="E242" s="5">
        <v>1</v>
      </c>
      <c r="F242" s="1" t="s">
        <v>41</v>
      </c>
      <c r="G242" s="1" t="s">
        <v>41</v>
      </c>
      <c r="H242" s="1" t="s">
        <v>815</v>
      </c>
      <c r="I242" s="12">
        <v>46313.803472222222</v>
      </c>
      <c r="J242" s="1" t="s">
        <v>41</v>
      </c>
      <c r="K242" s="12">
        <v>46313.803472222222</v>
      </c>
      <c r="L242" s="5">
        <v>21</v>
      </c>
      <c r="M242" s="4"/>
      <c r="N242" s="1"/>
      <c r="O242" s="12">
        <v>46313.802083333336</v>
      </c>
      <c r="P242" s="1" t="s">
        <v>43</v>
      </c>
      <c r="Q242" s="1" t="s">
        <v>49</v>
      </c>
      <c r="R242" s="1" t="s">
        <v>816</v>
      </c>
      <c r="S242" s="5">
        <v>4247</v>
      </c>
      <c r="T242" s="1" t="s">
        <v>41</v>
      </c>
      <c r="U242" s="12">
        <v>46313.804861111108</v>
      </c>
      <c r="V242" s="12">
        <v>46313.804166666669</v>
      </c>
      <c r="W242" s="7" t="s">
        <v>817</v>
      </c>
      <c r="X242" s="5">
        <v>22411</v>
      </c>
      <c r="Y242" s="4"/>
      <c r="Z242" s="5">
        <v>0</v>
      </c>
      <c r="AA242" s="8">
        <v>0.80277777777777781</v>
      </c>
      <c r="AB242" s="5">
        <v>1</v>
      </c>
      <c r="AC242" s="1" t="s">
        <v>41</v>
      </c>
      <c r="AD242" s="9" t="str">
        <f t="shared" si="0"/>
        <v>Actual</v>
      </c>
      <c r="AE242" s="9" t="str">
        <f t="shared" si="1"/>
        <v>TMK7</v>
      </c>
      <c r="AF242" s="9">
        <f>HOUR(O242)</f>
        <v>19</v>
      </c>
      <c r="AG242" s="9">
        <f>DAY(O242)</f>
        <v>18</v>
      </c>
      <c r="AH242" s="9">
        <f>IFERROR((I242-K242)*24*60,0)</f>
        <v>0</v>
      </c>
      <c r="AI242" s="9">
        <f t="shared" si="2"/>
        <v>0</v>
      </c>
      <c r="AJ242" s="9">
        <f>C242</f>
        <v>367</v>
      </c>
      <c r="AK242" s="9">
        <f>IF(P242="completed",((V242-K242)*24*60),0)</f>
        <v>1.000000003259629</v>
      </c>
      <c r="AL242" s="9">
        <f>IF(P242="completed",((U242-K242)*24*60),0)</f>
        <v>1.9999999960418791</v>
      </c>
      <c r="AM242" s="9" t="str">
        <f t="shared" si="3"/>
        <v>OTP Achieved</v>
      </c>
      <c r="AN242" s="9" t="str">
        <f t="shared" si="4"/>
        <v>OTP Achieved</v>
      </c>
    </row>
    <row r="243" spans="1:40" ht="16">
      <c r="A243" s="3" t="s">
        <v>157</v>
      </c>
      <c r="B243" s="12">
        <v>46313.802777777775</v>
      </c>
      <c r="C243" s="5">
        <v>1250</v>
      </c>
      <c r="D243" s="1" t="s">
        <v>41</v>
      </c>
      <c r="E243" s="5">
        <v>5</v>
      </c>
      <c r="F243" s="1" t="s">
        <v>41</v>
      </c>
      <c r="G243" s="1" t="s">
        <v>41</v>
      </c>
      <c r="H243" s="1" t="s">
        <v>818</v>
      </c>
      <c r="I243" s="12">
        <v>46313.802777777775</v>
      </c>
      <c r="J243" s="1" t="s">
        <v>41</v>
      </c>
      <c r="K243" s="12">
        <v>46313.800694444442</v>
      </c>
      <c r="L243" s="5">
        <v>31</v>
      </c>
      <c r="M243" s="4"/>
      <c r="N243" s="1"/>
      <c r="O243" s="12">
        <v>46313.800694444442</v>
      </c>
      <c r="P243" s="1" t="s">
        <v>43</v>
      </c>
      <c r="Q243" s="1" t="s">
        <v>159</v>
      </c>
      <c r="R243" s="1" t="s">
        <v>819</v>
      </c>
      <c r="S243" s="5">
        <v>4247</v>
      </c>
      <c r="T243" s="1" t="s">
        <v>41</v>
      </c>
      <c r="U243" s="12">
        <v>46313.807638888888</v>
      </c>
      <c r="V243" s="12">
        <v>46313.805555555555</v>
      </c>
      <c r="W243" s="7" t="s">
        <v>820</v>
      </c>
      <c r="X243" s="5">
        <v>22411</v>
      </c>
      <c r="Y243" s="4"/>
      <c r="Z243" s="5">
        <v>0</v>
      </c>
      <c r="AA243" s="8">
        <v>0.80277777777777781</v>
      </c>
      <c r="AB243" s="5">
        <v>4</v>
      </c>
      <c r="AC243" s="1" t="s">
        <v>41</v>
      </c>
      <c r="AD243" s="9" t="str">
        <f t="shared" si="0"/>
        <v>Actual</v>
      </c>
      <c r="AE243" s="9" t="str">
        <f t="shared" si="1"/>
        <v>TMK7</v>
      </c>
      <c r="AF243" s="9">
        <f>HOUR(O243)</f>
        <v>19</v>
      </c>
      <c r="AG243" s="9">
        <f>DAY(O243)</f>
        <v>18</v>
      </c>
      <c r="AH243" s="9">
        <f>IFERROR((I243-K243)*24*60,0)</f>
        <v>2.9999999993015081</v>
      </c>
      <c r="AI243" s="9">
        <f t="shared" si="2"/>
        <v>2.9999999993015081</v>
      </c>
      <c r="AJ243" s="9">
        <f>C243</f>
        <v>1250</v>
      </c>
      <c r="AK243" s="9">
        <f>IF(P243="completed",((V243-K243)*24*60),0)</f>
        <v>7.0000000018626451</v>
      </c>
      <c r="AL243" s="9">
        <f>IF(P243="completed",((U243-K243)*24*60),0)</f>
        <v>10.000000001164153</v>
      </c>
      <c r="AM243" s="9" t="str">
        <f t="shared" si="3"/>
        <v>OTP Achieved</v>
      </c>
      <c r="AN243" s="9" t="str">
        <f t="shared" si="4"/>
        <v>OTP Achieved</v>
      </c>
    </row>
    <row r="244" spans="1:40" ht="16">
      <c r="A244" s="3" t="s">
        <v>77</v>
      </c>
      <c r="B244" s="12">
        <v>46313.802083333336</v>
      </c>
      <c r="C244" s="5">
        <v>12</v>
      </c>
      <c r="D244" s="1" t="s">
        <v>41</v>
      </c>
      <c r="E244" s="5">
        <v>0</v>
      </c>
      <c r="F244" s="1" t="s">
        <v>41</v>
      </c>
      <c r="G244" s="1" t="s">
        <v>41</v>
      </c>
      <c r="H244" s="1" t="s">
        <v>821</v>
      </c>
      <c r="I244" s="12">
        <v>46313.802083333336</v>
      </c>
      <c r="J244" s="1" t="s">
        <v>41</v>
      </c>
      <c r="K244" s="12">
        <v>46313.8</v>
      </c>
      <c r="L244" s="5">
        <v>18</v>
      </c>
      <c r="M244" s="4"/>
      <c r="N244" s="1"/>
      <c r="O244" s="12">
        <v>46313.79791666667</v>
      </c>
      <c r="P244" s="1" t="s">
        <v>43</v>
      </c>
      <c r="Q244" s="1" t="s">
        <v>79</v>
      </c>
      <c r="R244" s="1" t="s">
        <v>822</v>
      </c>
      <c r="S244" s="5">
        <v>4247</v>
      </c>
      <c r="T244" s="1" t="s">
        <v>41</v>
      </c>
      <c r="U244" s="12">
        <v>46313.802083333336</v>
      </c>
      <c r="V244" s="12">
        <v>46313.802083333336</v>
      </c>
      <c r="W244" s="7" t="s">
        <v>823</v>
      </c>
      <c r="X244" s="5">
        <v>22411</v>
      </c>
      <c r="Y244" s="4"/>
      <c r="Z244" s="5">
        <v>0</v>
      </c>
      <c r="AA244" s="8">
        <v>0.80208333333333337</v>
      </c>
      <c r="AB244" s="5">
        <v>0</v>
      </c>
      <c r="AC244" s="1" t="s">
        <v>41</v>
      </c>
      <c r="AD244" s="9" t="str">
        <f t="shared" si="0"/>
        <v>Actual</v>
      </c>
      <c r="AE244" s="9" t="str">
        <f t="shared" si="1"/>
        <v>TMK7</v>
      </c>
      <c r="AF244" s="9">
        <f>HOUR(O244)</f>
        <v>19</v>
      </c>
      <c r="AG244" s="9">
        <f>DAY(O244)</f>
        <v>18</v>
      </c>
      <c r="AH244" s="9">
        <f>IFERROR((I244-K244)*24*60,0)</f>
        <v>2.9999999993015081</v>
      </c>
      <c r="AI244" s="9">
        <f t="shared" si="2"/>
        <v>2.9999999993015081</v>
      </c>
      <c r="AJ244" s="9">
        <f>C244</f>
        <v>12</v>
      </c>
      <c r="AK244" s="9">
        <f>IF(P244="completed",((V244-K244)*24*60),0)</f>
        <v>2.9999999993015081</v>
      </c>
      <c r="AL244" s="9">
        <f>IF(P244="completed",((U244-K244)*24*60),0)</f>
        <v>2.9999999993015081</v>
      </c>
      <c r="AM244" s="9" t="str">
        <f t="shared" si="3"/>
        <v>OTP Breached</v>
      </c>
      <c r="AN244" s="9" t="str">
        <f t="shared" si="4"/>
        <v>OTP Achieved</v>
      </c>
    </row>
    <row r="245" spans="1:40" ht="16">
      <c r="A245" s="3" t="s">
        <v>72</v>
      </c>
      <c r="B245" s="12">
        <v>46313.8</v>
      </c>
      <c r="C245" s="5">
        <v>1894</v>
      </c>
      <c r="D245" s="1" t="s">
        <v>41</v>
      </c>
      <c r="E245" s="5">
        <v>7</v>
      </c>
      <c r="F245" s="1" t="s">
        <v>41</v>
      </c>
      <c r="G245" s="1" t="s">
        <v>41</v>
      </c>
      <c r="H245" s="1" t="s">
        <v>824</v>
      </c>
      <c r="I245" s="12">
        <v>46313.8</v>
      </c>
      <c r="J245" s="1" t="s">
        <v>41</v>
      </c>
      <c r="K245" s="12">
        <v>46313.799305555556</v>
      </c>
      <c r="L245" s="5">
        <v>42</v>
      </c>
      <c r="M245" s="4"/>
      <c r="N245" s="1"/>
      <c r="O245" s="12">
        <v>46313.797222222223</v>
      </c>
      <c r="P245" s="1" t="s">
        <v>43</v>
      </c>
      <c r="Q245" s="1" t="s">
        <v>74</v>
      </c>
      <c r="R245" s="1" t="s">
        <v>825</v>
      </c>
      <c r="S245" s="5">
        <v>4247</v>
      </c>
      <c r="T245" s="1" t="s">
        <v>41</v>
      </c>
      <c r="U245" s="12">
        <v>46313.806944444441</v>
      </c>
      <c r="V245" s="12">
        <v>46313.804861111108</v>
      </c>
      <c r="W245" s="7" t="s">
        <v>826</v>
      </c>
      <c r="X245" s="5">
        <v>22411</v>
      </c>
      <c r="Y245" s="4"/>
      <c r="Z245" s="5">
        <v>0</v>
      </c>
      <c r="AA245" s="8">
        <v>0.8</v>
      </c>
      <c r="AB245" s="5">
        <v>6</v>
      </c>
      <c r="AC245" s="1" t="s">
        <v>41</v>
      </c>
      <c r="AD245" s="9" t="str">
        <f t="shared" si="0"/>
        <v>Actual</v>
      </c>
      <c r="AE245" s="9" t="str">
        <f t="shared" si="1"/>
        <v>TMK7</v>
      </c>
      <c r="AF245" s="9">
        <f>HOUR(O245)</f>
        <v>19</v>
      </c>
      <c r="AG245" s="9">
        <f>DAY(O245)</f>
        <v>18</v>
      </c>
      <c r="AH245" s="9">
        <f>IFERROR((I245-K245)*24*60,0)</f>
        <v>1.000000003259629</v>
      </c>
      <c r="AI245" s="9">
        <f t="shared" si="2"/>
        <v>1.000000003259629</v>
      </c>
      <c r="AJ245" s="9">
        <f>C245</f>
        <v>1894</v>
      </c>
      <c r="AK245" s="9">
        <f>IF(P245="completed",((V245-K245)*24*60),0)</f>
        <v>7.9999999946448952</v>
      </c>
      <c r="AL245" s="9">
        <f>IF(P245="completed",((U245-K245)*24*60),0)</f>
        <v>10.999999993946403</v>
      </c>
      <c r="AM245" s="9" t="str">
        <f t="shared" si="3"/>
        <v>OTP Achieved</v>
      </c>
      <c r="AN245" s="9" t="str">
        <f t="shared" si="4"/>
        <v>OTP Achieved</v>
      </c>
    </row>
    <row r="246" spans="1:40" ht="16">
      <c r="A246" s="3" t="s">
        <v>235</v>
      </c>
      <c r="B246" s="12">
        <v>46313.799305555556</v>
      </c>
      <c r="C246" s="5">
        <v>1956</v>
      </c>
      <c r="D246" s="1" t="s">
        <v>41</v>
      </c>
      <c r="E246" s="5">
        <v>7</v>
      </c>
      <c r="F246" s="1" t="s">
        <v>41</v>
      </c>
      <c r="G246" s="1" t="s">
        <v>41</v>
      </c>
      <c r="H246" s="1" t="s">
        <v>827</v>
      </c>
      <c r="I246" s="12">
        <v>46313.801388888889</v>
      </c>
      <c r="J246" s="1" t="s">
        <v>41</v>
      </c>
      <c r="K246" s="12">
        <v>46313.800694444442</v>
      </c>
      <c r="L246" s="5">
        <v>40</v>
      </c>
      <c r="M246" s="4"/>
      <c r="N246" s="1"/>
      <c r="O246" s="12">
        <v>46313.797222222223</v>
      </c>
      <c r="P246" s="1" t="s">
        <v>43</v>
      </c>
      <c r="Q246" s="1" t="s">
        <v>237</v>
      </c>
      <c r="R246" s="1" t="s">
        <v>828</v>
      </c>
      <c r="S246" s="5">
        <v>4247</v>
      </c>
      <c r="T246" s="1" t="s">
        <v>41</v>
      </c>
      <c r="U246" s="12">
        <v>46313.806944444441</v>
      </c>
      <c r="V246" s="12">
        <v>46313.806250000001</v>
      </c>
      <c r="W246" s="7" t="s">
        <v>829</v>
      </c>
      <c r="X246" s="5">
        <v>22411</v>
      </c>
      <c r="Y246" s="4"/>
      <c r="Z246" s="5">
        <v>0</v>
      </c>
      <c r="AA246" s="8">
        <v>0.7993055555555556</v>
      </c>
      <c r="AB246" s="5">
        <v>7</v>
      </c>
      <c r="AC246" s="1" t="s">
        <v>41</v>
      </c>
      <c r="AD246" s="9" t="str">
        <f t="shared" si="0"/>
        <v>Actual</v>
      </c>
      <c r="AE246" s="9" t="str">
        <f t="shared" si="1"/>
        <v>TMK7</v>
      </c>
      <c r="AF246" s="9">
        <f>HOUR(O246)</f>
        <v>19</v>
      </c>
      <c r="AG246" s="9">
        <f>DAY(O246)</f>
        <v>18</v>
      </c>
      <c r="AH246" s="9">
        <f>IFERROR((I246-K246)*24*60,0)</f>
        <v>1.000000003259629</v>
      </c>
      <c r="AI246" s="9">
        <f t="shared" si="2"/>
        <v>1.000000003259629</v>
      </c>
      <c r="AJ246" s="9">
        <f>C246</f>
        <v>1956</v>
      </c>
      <c r="AK246" s="9">
        <f>IF(P246="completed",((V246-K246)*24*60),0)</f>
        <v>8.0000000051222742</v>
      </c>
      <c r="AL246" s="9">
        <f>IF(P246="completed",((U246-K246)*24*60),0)</f>
        <v>8.9999999979045242</v>
      </c>
      <c r="AM246" s="9" t="str">
        <f t="shared" si="3"/>
        <v>OTP Achieved</v>
      </c>
      <c r="AN246" s="9" t="str">
        <f t="shared" si="4"/>
        <v>OTP Achieved</v>
      </c>
    </row>
    <row r="247" spans="1:40" ht="16">
      <c r="A247" s="3" t="s">
        <v>347</v>
      </c>
      <c r="B247" s="12">
        <v>46313.798611111109</v>
      </c>
      <c r="C247" s="5">
        <v>1217</v>
      </c>
      <c r="D247" s="1" t="s">
        <v>41</v>
      </c>
      <c r="E247" s="5">
        <v>5</v>
      </c>
      <c r="F247" s="1" t="s">
        <v>41</v>
      </c>
      <c r="G247" s="1" t="s">
        <v>41</v>
      </c>
      <c r="H247" s="1" t="s">
        <v>830</v>
      </c>
      <c r="I247" s="12">
        <v>46313.799305555556</v>
      </c>
      <c r="J247" s="1" t="s">
        <v>41</v>
      </c>
      <c r="K247" s="12">
        <v>46313.79791666667</v>
      </c>
      <c r="L247" s="5">
        <v>18</v>
      </c>
      <c r="M247" s="4"/>
      <c r="N247" s="1"/>
      <c r="O247" s="12">
        <v>46313.797222222223</v>
      </c>
      <c r="P247" s="1" t="s">
        <v>43</v>
      </c>
      <c r="Q247" s="1" t="s">
        <v>349</v>
      </c>
      <c r="R247" s="1" t="s">
        <v>831</v>
      </c>
      <c r="S247" s="5">
        <v>4247</v>
      </c>
      <c r="T247" s="1" t="s">
        <v>41</v>
      </c>
      <c r="U247" s="12">
        <v>46313.803472222222</v>
      </c>
      <c r="V247" s="12">
        <v>46313.802777777775</v>
      </c>
      <c r="W247" s="7" t="s">
        <v>832</v>
      </c>
      <c r="X247" s="5">
        <v>22411</v>
      </c>
      <c r="Y247" s="1"/>
      <c r="Z247" s="5">
        <v>0</v>
      </c>
      <c r="AA247" s="8">
        <v>0.79861111111111116</v>
      </c>
      <c r="AB247" s="5">
        <v>5</v>
      </c>
      <c r="AC247" s="1" t="s">
        <v>41</v>
      </c>
      <c r="AD247" s="9" t="str">
        <f t="shared" si="0"/>
        <v>Actual</v>
      </c>
      <c r="AE247" s="9" t="str">
        <f t="shared" si="1"/>
        <v>TMK7</v>
      </c>
      <c r="AF247" s="9">
        <f>HOUR(O247)</f>
        <v>19</v>
      </c>
      <c r="AG247" s="9">
        <f>DAY(O247)</f>
        <v>18</v>
      </c>
      <c r="AH247" s="9">
        <f>IFERROR((I247-K247)*24*60,0)</f>
        <v>1.9999999960418791</v>
      </c>
      <c r="AI247" s="9">
        <f t="shared" si="2"/>
        <v>1.9999999960418791</v>
      </c>
      <c r="AJ247" s="9">
        <f>C247</f>
        <v>1217</v>
      </c>
      <c r="AK247" s="9">
        <f>IF(P247="completed",((V247-K247)*24*60),0)</f>
        <v>6.9999999913852662</v>
      </c>
      <c r="AL247" s="9">
        <f>IF(P247="completed",((U247-K247)*24*60),0)</f>
        <v>7.9999999946448952</v>
      </c>
      <c r="AM247" s="9" t="str">
        <f t="shared" si="3"/>
        <v>OTP Achieved</v>
      </c>
      <c r="AN247" s="9" t="str">
        <f t="shared" si="4"/>
        <v>OTP Achieved</v>
      </c>
    </row>
    <row r="248" spans="1:40" ht="16">
      <c r="A248" s="3" t="s">
        <v>339</v>
      </c>
      <c r="B248" s="12">
        <v>46313.79791666667</v>
      </c>
      <c r="C248" s="5">
        <v>1262</v>
      </c>
      <c r="D248" s="1" t="s">
        <v>41</v>
      </c>
      <c r="E248" s="5">
        <v>5</v>
      </c>
      <c r="F248" s="1" t="s">
        <v>41</v>
      </c>
      <c r="G248" s="1" t="s">
        <v>41</v>
      </c>
      <c r="H248" s="1" t="s">
        <v>833</v>
      </c>
      <c r="I248" s="12">
        <v>46313.798611111109</v>
      </c>
      <c r="J248" s="1" t="s">
        <v>41</v>
      </c>
      <c r="K248" s="12">
        <v>46313.79791666667</v>
      </c>
      <c r="L248" s="5">
        <v>30</v>
      </c>
      <c r="M248" s="4"/>
      <c r="N248" s="1"/>
      <c r="O248" s="12">
        <v>46313.796527777777</v>
      </c>
      <c r="P248" s="1" t="s">
        <v>43</v>
      </c>
      <c r="Q248" s="1" t="s">
        <v>341</v>
      </c>
      <c r="R248" s="1" t="s">
        <v>834</v>
      </c>
      <c r="S248" s="5">
        <v>4247</v>
      </c>
      <c r="T248" s="1" t="s">
        <v>41</v>
      </c>
      <c r="U248" s="12">
        <v>46313.802777777775</v>
      </c>
      <c r="V248" s="12">
        <v>46313.801388888889</v>
      </c>
      <c r="W248" s="7" t="s">
        <v>835</v>
      </c>
      <c r="X248" s="5">
        <v>22411</v>
      </c>
      <c r="Y248" s="4"/>
      <c r="Z248" s="5">
        <v>0</v>
      </c>
      <c r="AA248" s="8">
        <v>0.79791666666666672</v>
      </c>
      <c r="AB248" s="5">
        <v>5</v>
      </c>
      <c r="AC248" s="1" t="s">
        <v>41</v>
      </c>
      <c r="AD248" s="9" t="str">
        <f t="shared" si="0"/>
        <v>Actual</v>
      </c>
      <c r="AE248" s="9" t="str">
        <f t="shared" si="1"/>
        <v>TMK7</v>
      </c>
      <c r="AF248" s="9">
        <f>HOUR(O248)</f>
        <v>19</v>
      </c>
      <c r="AG248" s="9">
        <f>DAY(O248)</f>
        <v>18</v>
      </c>
      <c r="AH248" s="9">
        <f>IFERROR((I248-K248)*24*60,0)</f>
        <v>0.99999999278225005</v>
      </c>
      <c r="AI248" s="9">
        <f t="shared" si="2"/>
        <v>0.99999999278225005</v>
      </c>
      <c r="AJ248" s="9">
        <f>C248</f>
        <v>1262</v>
      </c>
      <c r="AK248" s="9">
        <f>IF(P248="completed",((V248-K248)*24*60),0)</f>
        <v>4.9999999953433871</v>
      </c>
      <c r="AL248" s="9">
        <f>IF(P248="completed",((U248-K248)*24*60),0)</f>
        <v>6.9999999913852662</v>
      </c>
      <c r="AM248" s="9" t="str">
        <f t="shared" si="3"/>
        <v>OTP Achieved</v>
      </c>
      <c r="AN248" s="9" t="str">
        <f t="shared" si="4"/>
        <v>OTP Achieved</v>
      </c>
    </row>
    <row r="249" spans="1:40" ht="16">
      <c r="A249" s="3" t="s">
        <v>177</v>
      </c>
      <c r="B249" s="12">
        <v>46313.796527777777</v>
      </c>
      <c r="C249" s="5">
        <v>2341</v>
      </c>
      <c r="D249" s="1" t="s">
        <v>41</v>
      </c>
      <c r="E249" s="5">
        <v>8</v>
      </c>
      <c r="F249" s="1" t="s">
        <v>41</v>
      </c>
      <c r="G249" s="1" t="s">
        <v>41</v>
      </c>
      <c r="H249" s="1" t="s">
        <v>836</v>
      </c>
      <c r="I249" s="12">
        <v>46313.800694444442</v>
      </c>
      <c r="J249" s="1" t="s">
        <v>41</v>
      </c>
      <c r="K249" s="12">
        <v>46313.8</v>
      </c>
      <c r="L249" s="5">
        <v>39</v>
      </c>
      <c r="M249" s="4"/>
      <c r="N249" s="1"/>
      <c r="O249" s="12">
        <v>46313.796527777777</v>
      </c>
      <c r="P249" s="1" t="s">
        <v>43</v>
      </c>
      <c r="Q249" s="1" t="s">
        <v>179</v>
      </c>
      <c r="R249" s="1" t="s">
        <v>837</v>
      </c>
      <c r="S249" s="5">
        <v>4247</v>
      </c>
      <c r="T249" s="1" t="s">
        <v>41</v>
      </c>
      <c r="U249" s="12">
        <v>46313.807638888888</v>
      </c>
      <c r="V249" s="12">
        <v>46313.805555555555</v>
      </c>
      <c r="W249" s="7" t="s">
        <v>838</v>
      </c>
      <c r="X249" s="5">
        <v>22411</v>
      </c>
      <c r="Y249" s="4"/>
      <c r="Z249" s="5">
        <v>0</v>
      </c>
      <c r="AA249" s="8">
        <v>0.79652777777777772</v>
      </c>
      <c r="AB249" s="5">
        <v>7</v>
      </c>
      <c r="AC249" s="1" t="s">
        <v>41</v>
      </c>
      <c r="AD249" s="9" t="str">
        <f t="shared" si="0"/>
        <v>Actual</v>
      </c>
      <c r="AE249" s="9" t="str">
        <f t="shared" si="1"/>
        <v>TMK7</v>
      </c>
      <c r="AF249" s="9">
        <f>HOUR(O249)</f>
        <v>19</v>
      </c>
      <c r="AG249" s="9">
        <f>DAY(O249)</f>
        <v>18</v>
      </c>
      <c r="AH249" s="9">
        <f>IFERROR((I249-K249)*24*60,0)</f>
        <v>0.99999999278225005</v>
      </c>
      <c r="AI249" s="9">
        <f t="shared" si="2"/>
        <v>0.99999999278225005</v>
      </c>
      <c r="AJ249" s="9">
        <f>C249</f>
        <v>2341</v>
      </c>
      <c r="AK249" s="9">
        <f>IF(P249="completed",((V249-K249)*24*60),0)</f>
        <v>7.9999999946448952</v>
      </c>
      <c r="AL249" s="9">
        <f>IF(P249="completed",((U249-K249)*24*60),0)</f>
        <v>10.999999993946403</v>
      </c>
      <c r="AM249" s="9" t="str">
        <f t="shared" si="3"/>
        <v>OTP Achieved</v>
      </c>
      <c r="AN249" s="9" t="str">
        <f t="shared" si="4"/>
        <v>OTP Achieved</v>
      </c>
    </row>
    <row r="250" spans="1:40" ht="16">
      <c r="A250" s="3" t="s">
        <v>57</v>
      </c>
      <c r="B250" s="12">
        <v>46313.796527777777</v>
      </c>
      <c r="C250" s="5">
        <v>1833</v>
      </c>
      <c r="D250" s="1" t="s">
        <v>41</v>
      </c>
      <c r="E250" s="5">
        <v>6</v>
      </c>
      <c r="F250" s="1" t="s">
        <v>41</v>
      </c>
      <c r="G250" s="1" t="s">
        <v>41</v>
      </c>
      <c r="H250" s="1" t="s">
        <v>839</v>
      </c>
      <c r="I250" s="12">
        <v>46313.797222222223</v>
      </c>
      <c r="J250" s="1" t="s">
        <v>41</v>
      </c>
      <c r="K250" s="12">
        <v>46313.797222222223</v>
      </c>
      <c r="L250" s="5">
        <v>18</v>
      </c>
      <c r="M250" s="4"/>
      <c r="N250" s="1"/>
      <c r="O250" s="12">
        <v>46313.79583333333</v>
      </c>
      <c r="P250" s="1" t="s">
        <v>43</v>
      </c>
      <c r="Q250" s="1" t="s">
        <v>59</v>
      </c>
      <c r="R250" s="1" t="s">
        <v>840</v>
      </c>
      <c r="S250" s="5">
        <v>4247</v>
      </c>
      <c r="T250" s="1" t="s">
        <v>41</v>
      </c>
      <c r="U250" s="12">
        <v>46313.802777777775</v>
      </c>
      <c r="V250" s="12">
        <v>46313.801388888889</v>
      </c>
      <c r="W250" s="7" t="s">
        <v>841</v>
      </c>
      <c r="X250" s="5">
        <v>22411</v>
      </c>
      <c r="Y250" s="1"/>
      <c r="Z250" s="5">
        <v>0</v>
      </c>
      <c r="AA250" s="8">
        <v>0.79583333333333328</v>
      </c>
      <c r="AB250" s="5">
        <v>6</v>
      </c>
      <c r="AC250" s="1" t="s">
        <v>41</v>
      </c>
      <c r="AD250" s="9" t="str">
        <f t="shared" si="0"/>
        <v>Actual</v>
      </c>
      <c r="AE250" s="9" t="str">
        <f t="shared" si="1"/>
        <v>TMK7</v>
      </c>
      <c r="AF250" s="9">
        <f>HOUR(O250)</f>
        <v>19</v>
      </c>
      <c r="AG250" s="9">
        <f>DAY(O250)</f>
        <v>18</v>
      </c>
      <c r="AH250" s="9">
        <f>IFERROR((I250-K250)*24*60,0)</f>
        <v>0</v>
      </c>
      <c r="AI250" s="9">
        <f t="shared" si="2"/>
        <v>0</v>
      </c>
      <c r="AJ250" s="9">
        <f>C250</f>
        <v>1833</v>
      </c>
      <c r="AK250" s="9">
        <f>IF(P250="completed",((V250-K250)*24*60),0)</f>
        <v>5.9999999986030161</v>
      </c>
      <c r="AL250" s="9">
        <f>IF(P250="completed",((U250-K250)*24*60),0)</f>
        <v>7.9999999946448952</v>
      </c>
      <c r="AM250" s="9" t="str">
        <f t="shared" si="3"/>
        <v>OTP Achieved</v>
      </c>
      <c r="AN250" s="9" t="str">
        <f t="shared" si="4"/>
        <v>OTP Achieved</v>
      </c>
    </row>
    <row r="251" spans="1:40" ht="16">
      <c r="A251" s="3" t="s">
        <v>339</v>
      </c>
      <c r="B251" s="12">
        <v>46313.794444444444</v>
      </c>
      <c r="C251" s="5">
        <v>286</v>
      </c>
      <c r="D251" s="1" t="s">
        <v>41</v>
      </c>
      <c r="E251" s="5">
        <v>1</v>
      </c>
      <c r="F251" s="1" t="s">
        <v>41</v>
      </c>
      <c r="G251" s="1" t="s">
        <v>41</v>
      </c>
      <c r="H251" s="1" t="s">
        <v>842</v>
      </c>
      <c r="I251" s="12">
        <v>46313.795138888891</v>
      </c>
      <c r="J251" s="1" t="s">
        <v>41</v>
      </c>
      <c r="K251" s="12">
        <v>46313.795138888891</v>
      </c>
      <c r="L251" s="5">
        <v>18</v>
      </c>
      <c r="M251" s="1"/>
      <c r="N251" s="1"/>
      <c r="O251" s="12">
        <v>46313.794444444444</v>
      </c>
      <c r="P251" s="1" t="s">
        <v>43</v>
      </c>
      <c r="Q251" s="1" t="s">
        <v>341</v>
      </c>
      <c r="R251" s="1" t="s">
        <v>843</v>
      </c>
      <c r="S251" s="5">
        <v>4247</v>
      </c>
      <c r="T251" s="1" t="s">
        <v>41</v>
      </c>
      <c r="U251" s="12">
        <v>46313.797222222223</v>
      </c>
      <c r="V251" s="12">
        <v>46313.79583333333</v>
      </c>
      <c r="W251" s="7" t="s">
        <v>844</v>
      </c>
      <c r="X251" s="5">
        <v>22411</v>
      </c>
      <c r="Y251" s="4"/>
      <c r="Z251" s="5">
        <v>0</v>
      </c>
      <c r="AA251" s="8">
        <v>0.7944444444444444</v>
      </c>
      <c r="AB251" s="5">
        <v>0</v>
      </c>
      <c r="AC251" s="1" t="s">
        <v>41</v>
      </c>
      <c r="AD251" s="9" t="str">
        <f t="shared" si="0"/>
        <v>Actual</v>
      </c>
      <c r="AE251" s="9" t="str">
        <f t="shared" si="1"/>
        <v>TMK7</v>
      </c>
      <c r="AF251" s="9">
        <f>HOUR(O251)</f>
        <v>19</v>
      </c>
      <c r="AG251" s="9">
        <f>DAY(O251)</f>
        <v>18</v>
      </c>
      <c r="AH251" s="9">
        <f>IFERROR((I251-K251)*24*60,0)</f>
        <v>0</v>
      </c>
      <c r="AI251" s="9">
        <f t="shared" si="2"/>
        <v>0</v>
      </c>
      <c r="AJ251" s="9">
        <f>C251</f>
        <v>286</v>
      </c>
      <c r="AK251" s="9">
        <f>IF(P251="completed",((V251-K251)*24*60),0)</f>
        <v>0.99999999278225005</v>
      </c>
      <c r="AL251" s="9">
        <f>IF(P251="completed",((U251-K251)*24*60),0)</f>
        <v>2.9999999993015081</v>
      </c>
      <c r="AM251" s="9" t="str">
        <f t="shared" si="3"/>
        <v>OTP Achieved</v>
      </c>
      <c r="AN251" s="9" t="str">
        <f t="shared" si="4"/>
        <v>OTP Achieved</v>
      </c>
    </row>
    <row r="252" spans="1:40" ht="16">
      <c r="A252" s="3" t="s">
        <v>209</v>
      </c>
      <c r="B252" s="12">
        <v>46313.793749999997</v>
      </c>
      <c r="C252" s="5">
        <v>1830</v>
      </c>
      <c r="D252" s="1" t="s">
        <v>41</v>
      </c>
      <c r="E252" s="5">
        <v>8</v>
      </c>
      <c r="F252" s="1" t="s">
        <v>41</v>
      </c>
      <c r="G252" s="1" t="s">
        <v>41</v>
      </c>
      <c r="H252" s="1" t="s">
        <v>845</v>
      </c>
      <c r="I252" s="12">
        <v>46313.796527777777</v>
      </c>
      <c r="J252" s="1" t="s">
        <v>41</v>
      </c>
      <c r="K252" s="12">
        <v>46313.796527777777</v>
      </c>
      <c r="L252" s="5">
        <v>30</v>
      </c>
      <c r="M252" s="1"/>
      <c r="N252" s="1"/>
      <c r="O252" s="12">
        <v>46313.793749999997</v>
      </c>
      <c r="P252" s="1" t="s">
        <v>43</v>
      </c>
      <c r="Q252" s="1" t="s">
        <v>211</v>
      </c>
      <c r="R252" s="1" t="s">
        <v>846</v>
      </c>
      <c r="S252" s="5">
        <v>4247</v>
      </c>
      <c r="T252" s="1" t="s">
        <v>41</v>
      </c>
      <c r="U252" s="12">
        <v>46313.802083333336</v>
      </c>
      <c r="V252" s="12">
        <v>46313.802083333336</v>
      </c>
      <c r="W252" s="7" t="s">
        <v>847</v>
      </c>
      <c r="X252" s="5">
        <v>22411</v>
      </c>
      <c r="Y252" s="4"/>
      <c r="Z252" s="5">
        <v>0</v>
      </c>
      <c r="AA252" s="8">
        <v>0.79374999999999996</v>
      </c>
      <c r="AB252" s="5">
        <v>8</v>
      </c>
      <c r="AC252" s="1" t="s">
        <v>41</v>
      </c>
      <c r="AD252" s="9" t="str">
        <f t="shared" si="0"/>
        <v>Actual</v>
      </c>
      <c r="AE252" s="9" t="str">
        <f t="shared" si="1"/>
        <v>TMK7</v>
      </c>
      <c r="AF252" s="9">
        <f>HOUR(O252)</f>
        <v>19</v>
      </c>
      <c r="AG252" s="9">
        <f>DAY(O252)</f>
        <v>18</v>
      </c>
      <c r="AH252" s="9">
        <f>IFERROR((I252-K252)*24*60,0)</f>
        <v>0</v>
      </c>
      <c r="AI252" s="9">
        <f t="shared" si="2"/>
        <v>0</v>
      </c>
      <c r="AJ252" s="9">
        <f>C252</f>
        <v>1830</v>
      </c>
      <c r="AK252" s="9">
        <f>IF(P252="completed",((V252-K252)*24*60),0)</f>
        <v>8.0000000051222742</v>
      </c>
      <c r="AL252" s="9">
        <f>IF(P252="completed",((U252-K252)*24*60),0)</f>
        <v>8.0000000051222742</v>
      </c>
      <c r="AM252" s="9" t="str">
        <f t="shared" si="3"/>
        <v>OTP Breached</v>
      </c>
      <c r="AN252" s="9" t="str">
        <f t="shared" si="4"/>
        <v>OTP Achieved</v>
      </c>
    </row>
    <row r="253" spans="1:40" ht="16">
      <c r="A253" s="3" t="s">
        <v>734</v>
      </c>
      <c r="B253" s="12">
        <v>46313.793749999997</v>
      </c>
      <c r="C253" s="5">
        <v>1308</v>
      </c>
      <c r="D253" s="1" t="s">
        <v>41</v>
      </c>
      <c r="E253" s="5">
        <v>5</v>
      </c>
      <c r="F253" s="1" t="s">
        <v>41</v>
      </c>
      <c r="G253" s="1" t="s">
        <v>41</v>
      </c>
      <c r="H253" s="1" t="s">
        <v>848</v>
      </c>
      <c r="I253" s="12">
        <v>46313.79583333333</v>
      </c>
      <c r="J253" s="1" t="s">
        <v>41</v>
      </c>
      <c r="K253" s="12">
        <v>46313.795138888891</v>
      </c>
      <c r="L253" s="5">
        <v>30</v>
      </c>
      <c r="M253" s="1"/>
      <c r="N253" s="1"/>
      <c r="O253" s="12">
        <v>46313.793749999997</v>
      </c>
      <c r="P253" s="1" t="s">
        <v>43</v>
      </c>
      <c r="Q253" s="1" t="s">
        <v>736</v>
      </c>
      <c r="R253" s="1" t="s">
        <v>849</v>
      </c>
      <c r="S253" s="5">
        <v>4247</v>
      </c>
      <c r="T253" s="1" t="s">
        <v>41</v>
      </c>
      <c r="U253" s="12">
        <v>46313.8</v>
      </c>
      <c r="V253" s="12">
        <v>46313.799305555556</v>
      </c>
      <c r="W253" s="7" t="s">
        <v>850</v>
      </c>
      <c r="X253" s="5">
        <v>22411</v>
      </c>
      <c r="Y253" s="4"/>
      <c r="Z253" s="5">
        <v>0</v>
      </c>
      <c r="AA253" s="8">
        <v>0.79374999999999996</v>
      </c>
      <c r="AB253" s="5">
        <v>5</v>
      </c>
      <c r="AC253" s="1" t="s">
        <v>41</v>
      </c>
      <c r="AD253" s="9" t="str">
        <f t="shared" si="0"/>
        <v>Actual</v>
      </c>
      <c r="AE253" s="9" t="str">
        <f t="shared" si="1"/>
        <v>TMK7</v>
      </c>
      <c r="AF253" s="9">
        <f>HOUR(O253)</f>
        <v>19</v>
      </c>
      <c r="AG253" s="9">
        <f>DAY(O253)</f>
        <v>18</v>
      </c>
      <c r="AH253" s="9">
        <f>IFERROR((I253-K253)*24*60,0)</f>
        <v>0.99999999278225005</v>
      </c>
      <c r="AI253" s="9">
        <f t="shared" si="2"/>
        <v>0.99999999278225005</v>
      </c>
      <c r="AJ253" s="9">
        <f>C253</f>
        <v>1308</v>
      </c>
      <c r="AK253" s="9">
        <f>IF(P253="completed",((V253-K253)*24*60),0)</f>
        <v>5.9999999986030161</v>
      </c>
      <c r="AL253" s="9">
        <f>IF(P253="completed",((U253-K253)*24*60),0)</f>
        <v>7.0000000018626451</v>
      </c>
      <c r="AM253" s="9" t="str">
        <f t="shared" si="3"/>
        <v>OTP Achieved</v>
      </c>
      <c r="AN253" s="9" t="str">
        <f t="shared" si="4"/>
        <v>OTP Achieved</v>
      </c>
    </row>
    <row r="254" spans="1:40" ht="16">
      <c r="A254" s="3" t="s">
        <v>157</v>
      </c>
      <c r="B254" s="12">
        <v>46313.793055555558</v>
      </c>
      <c r="C254" s="5">
        <v>1895</v>
      </c>
      <c r="D254" s="1" t="s">
        <v>41</v>
      </c>
      <c r="E254" s="5">
        <v>6</v>
      </c>
      <c r="F254" s="1" t="s">
        <v>41</v>
      </c>
      <c r="G254" s="1" t="s">
        <v>41</v>
      </c>
      <c r="H254" s="1" t="s">
        <v>851</v>
      </c>
      <c r="I254" s="12">
        <v>46313.793749999997</v>
      </c>
      <c r="J254" s="1" t="s">
        <v>41</v>
      </c>
      <c r="K254" s="12">
        <v>46313.793749999997</v>
      </c>
      <c r="L254" s="5">
        <v>19</v>
      </c>
      <c r="M254" s="1"/>
      <c r="N254" s="1"/>
      <c r="O254" s="12">
        <v>46313.792361111111</v>
      </c>
      <c r="P254" s="1" t="s">
        <v>43</v>
      </c>
      <c r="Q254" s="1" t="s">
        <v>159</v>
      </c>
      <c r="R254" s="1" t="s">
        <v>852</v>
      </c>
      <c r="S254" s="5">
        <v>4247</v>
      </c>
      <c r="T254" s="1" t="s">
        <v>41</v>
      </c>
      <c r="U254" s="12">
        <v>46313.799305555556</v>
      </c>
      <c r="V254" s="12">
        <v>46313.79791666667</v>
      </c>
      <c r="W254" s="7" t="s">
        <v>853</v>
      </c>
      <c r="X254" s="5">
        <v>22411</v>
      </c>
      <c r="Y254" s="4"/>
      <c r="Z254" s="5">
        <v>0</v>
      </c>
      <c r="AA254" s="8">
        <v>0.79305555555555551</v>
      </c>
      <c r="AB254" s="5">
        <v>6</v>
      </c>
      <c r="AC254" s="1" t="s">
        <v>41</v>
      </c>
      <c r="AD254" s="9" t="str">
        <f t="shared" si="0"/>
        <v>Actual</v>
      </c>
      <c r="AE254" s="9" t="str">
        <f t="shared" si="1"/>
        <v>TMK7</v>
      </c>
      <c r="AF254" s="9">
        <f>HOUR(O254)</f>
        <v>19</v>
      </c>
      <c r="AG254" s="9">
        <f>DAY(O254)</f>
        <v>18</v>
      </c>
      <c r="AH254" s="9">
        <f>IFERROR((I254-K254)*24*60,0)</f>
        <v>0</v>
      </c>
      <c r="AI254" s="9">
        <f t="shared" si="2"/>
        <v>0</v>
      </c>
      <c r="AJ254" s="9">
        <f>C254</f>
        <v>1895</v>
      </c>
      <c r="AK254" s="9">
        <f>IF(P254="completed",((V254-K254)*24*60),0)</f>
        <v>6.0000000090803951</v>
      </c>
      <c r="AL254" s="9">
        <f>IF(P254="completed",((U254-K254)*24*60),0)</f>
        <v>8.0000000051222742</v>
      </c>
      <c r="AM254" s="9" t="str">
        <f t="shared" si="3"/>
        <v>OTP Achieved</v>
      </c>
      <c r="AN254" s="9" t="str">
        <f t="shared" si="4"/>
        <v>OTP Achieved</v>
      </c>
    </row>
    <row r="255" spans="1:40" ht="16">
      <c r="A255" s="3" t="s">
        <v>655</v>
      </c>
      <c r="B255" s="12">
        <v>46313.792361111111</v>
      </c>
      <c r="C255" s="5">
        <v>3044</v>
      </c>
      <c r="D255" s="1" t="s">
        <v>41</v>
      </c>
      <c r="E255" s="5">
        <v>11</v>
      </c>
      <c r="F255" s="1" t="s">
        <v>41</v>
      </c>
      <c r="G255" s="1" t="s">
        <v>41</v>
      </c>
      <c r="H255" s="1" t="s">
        <v>854</v>
      </c>
      <c r="I255" s="12">
        <v>46313.794444444444</v>
      </c>
      <c r="J255" s="1" t="s">
        <v>41</v>
      </c>
      <c r="K255" s="12">
        <v>46313.794444444444</v>
      </c>
      <c r="L255" s="5">
        <v>28</v>
      </c>
      <c r="M255" s="1"/>
      <c r="N255" s="1"/>
      <c r="O255" s="12">
        <v>46313.792361111111</v>
      </c>
      <c r="P255" s="1" t="s">
        <v>43</v>
      </c>
      <c r="Q255" s="1" t="s">
        <v>657</v>
      </c>
      <c r="R255" s="1" t="s">
        <v>855</v>
      </c>
      <c r="S255" s="5">
        <v>4247</v>
      </c>
      <c r="T255" s="1" t="s">
        <v>41</v>
      </c>
      <c r="U255" s="12">
        <v>46313.803472222222</v>
      </c>
      <c r="V255" s="12">
        <v>46313.802083333336</v>
      </c>
      <c r="W255" s="7" t="s">
        <v>856</v>
      </c>
      <c r="X255" s="5">
        <v>22411</v>
      </c>
      <c r="Y255" s="4"/>
      <c r="Z255" s="5">
        <v>0</v>
      </c>
      <c r="AA255" s="8">
        <v>0.79236111111111107</v>
      </c>
      <c r="AB255" s="5">
        <v>11</v>
      </c>
      <c r="AC255" s="1" t="s">
        <v>41</v>
      </c>
      <c r="AD255" s="9" t="str">
        <f t="shared" si="0"/>
        <v>Actual</v>
      </c>
      <c r="AE255" s="9" t="str">
        <f t="shared" si="1"/>
        <v>TMK7</v>
      </c>
      <c r="AF255" s="9">
        <f>HOUR(O255)</f>
        <v>19</v>
      </c>
      <c r="AG255" s="9">
        <f>DAY(O255)</f>
        <v>18</v>
      </c>
      <c r="AH255" s="9">
        <f>IFERROR((I255-K255)*24*60,0)</f>
        <v>0</v>
      </c>
      <c r="AI255" s="9">
        <f t="shared" si="2"/>
        <v>0</v>
      </c>
      <c r="AJ255" s="9">
        <f>C255</f>
        <v>3044</v>
      </c>
      <c r="AK255" s="9">
        <f>IF(P255="completed",((V255-K255)*24*60),0)</f>
        <v>11.000000004423782</v>
      </c>
      <c r="AL255" s="9">
        <f>IF(P255="completed",((U255-K255)*24*60),0)</f>
        <v>13.000000000465661</v>
      </c>
      <c r="AM255" s="9" t="str">
        <f t="shared" si="3"/>
        <v>OTP Achieved</v>
      </c>
      <c r="AN255" s="9" t="str">
        <f t="shared" si="4"/>
        <v>OTP Achieved</v>
      </c>
    </row>
    <row r="256" spans="1:40" ht="16">
      <c r="A256" s="3" t="s">
        <v>185</v>
      </c>
      <c r="B256" s="12">
        <v>46313.790277777778</v>
      </c>
      <c r="C256" s="5">
        <v>2124</v>
      </c>
      <c r="D256" s="1" t="s">
        <v>41</v>
      </c>
      <c r="E256" s="5">
        <v>9</v>
      </c>
      <c r="F256" s="1" t="s">
        <v>41</v>
      </c>
      <c r="G256" s="1" t="s">
        <v>41</v>
      </c>
      <c r="H256" s="1" t="s">
        <v>857</v>
      </c>
      <c r="I256" s="12">
        <v>46313.790972222225</v>
      </c>
      <c r="J256" s="1" t="s">
        <v>41</v>
      </c>
      <c r="K256" s="12">
        <v>46313.790972222225</v>
      </c>
      <c r="L256" s="5">
        <v>38</v>
      </c>
      <c r="M256" s="1"/>
      <c r="N256" s="1"/>
      <c r="O256" s="12">
        <v>46313.790277777778</v>
      </c>
      <c r="P256" s="1" t="s">
        <v>43</v>
      </c>
      <c r="Q256" s="1" t="s">
        <v>187</v>
      </c>
      <c r="R256" s="1" t="s">
        <v>858</v>
      </c>
      <c r="S256" s="5">
        <v>4247</v>
      </c>
      <c r="T256" s="1" t="s">
        <v>41</v>
      </c>
      <c r="U256" s="12">
        <v>46313.797222222223</v>
      </c>
      <c r="V256" s="12">
        <v>46313.797222222223</v>
      </c>
      <c r="W256" s="7" t="s">
        <v>859</v>
      </c>
      <c r="X256" s="5">
        <v>22411</v>
      </c>
      <c r="Y256" s="4"/>
      <c r="Z256" s="5">
        <v>0</v>
      </c>
      <c r="AA256" s="8">
        <v>0.79027777777777775</v>
      </c>
      <c r="AB256" s="5">
        <v>8</v>
      </c>
      <c r="AC256" s="1" t="s">
        <v>41</v>
      </c>
      <c r="AD256" s="9" t="str">
        <f t="shared" si="0"/>
        <v>Actual</v>
      </c>
      <c r="AE256" s="9" t="str">
        <f t="shared" si="1"/>
        <v>TMK7</v>
      </c>
      <c r="AF256" s="9">
        <f>HOUR(O256)</f>
        <v>18</v>
      </c>
      <c r="AG256" s="9">
        <f>DAY(O256)</f>
        <v>18</v>
      </c>
      <c r="AH256" s="9">
        <f>IFERROR((I256-K256)*24*60,0)</f>
        <v>0</v>
      </c>
      <c r="AI256" s="9">
        <f t="shared" si="2"/>
        <v>0</v>
      </c>
      <c r="AJ256" s="9">
        <f>C256</f>
        <v>2124</v>
      </c>
      <c r="AK256" s="9">
        <f>IF(P256="completed",((V256-K256)*24*60),0)</f>
        <v>8.9999999979045242</v>
      </c>
      <c r="AL256" s="9">
        <f>IF(P256="completed",((U256-K256)*24*60),0)</f>
        <v>8.9999999979045242</v>
      </c>
      <c r="AM256" s="9" t="str">
        <f t="shared" si="3"/>
        <v>OTP Breached</v>
      </c>
      <c r="AN256" s="9" t="str">
        <f t="shared" si="4"/>
        <v>OTP Achieved</v>
      </c>
    </row>
    <row r="257" spans="1:40" ht="16">
      <c r="A257" s="3" t="s">
        <v>98</v>
      </c>
      <c r="B257" s="12">
        <v>46313.789583333331</v>
      </c>
      <c r="C257" s="5">
        <v>2085</v>
      </c>
      <c r="D257" s="1" t="s">
        <v>41</v>
      </c>
      <c r="E257" s="5">
        <v>7</v>
      </c>
      <c r="F257" s="1" t="s">
        <v>41</v>
      </c>
      <c r="G257" s="1" t="s">
        <v>41</v>
      </c>
      <c r="H257" s="1" t="s">
        <v>860</v>
      </c>
      <c r="I257" s="12">
        <v>46313.790972222225</v>
      </c>
      <c r="J257" s="1" t="s">
        <v>41</v>
      </c>
      <c r="K257" s="12">
        <v>46313.790972222225</v>
      </c>
      <c r="L257" s="5">
        <v>29</v>
      </c>
      <c r="M257" s="1"/>
      <c r="N257" s="1"/>
      <c r="O257" s="12">
        <v>46313.789583333331</v>
      </c>
      <c r="P257" s="1" t="s">
        <v>43</v>
      </c>
      <c r="Q257" s="1" t="s">
        <v>100</v>
      </c>
      <c r="R257" s="1" t="s">
        <v>861</v>
      </c>
      <c r="S257" s="5">
        <v>4247</v>
      </c>
      <c r="T257" s="1" t="s">
        <v>41</v>
      </c>
      <c r="U257" s="12">
        <v>46313.796527777777</v>
      </c>
      <c r="V257" s="12">
        <v>46313.79583333333</v>
      </c>
      <c r="W257" s="7" t="s">
        <v>862</v>
      </c>
      <c r="X257" s="5">
        <v>22411</v>
      </c>
      <c r="Y257" s="4"/>
      <c r="Z257" s="5">
        <v>0</v>
      </c>
      <c r="AA257" s="8">
        <v>0.7895833333333333</v>
      </c>
      <c r="AB257" s="5">
        <v>6</v>
      </c>
      <c r="AC257" s="1" t="s">
        <v>41</v>
      </c>
      <c r="AD257" s="9" t="str">
        <f t="shared" ref="AD257:AD511" si="5">IF(LEFT(R257,2)="AM","Dummy","Actual")</f>
        <v>Actual</v>
      </c>
      <c r="AE257" s="9" t="str">
        <f t="shared" ref="AE257:AE511" si="6">LEFT(H257,4)</f>
        <v>TMK7</v>
      </c>
      <c r="AF257" s="9">
        <f>HOUR(O257)</f>
        <v>18</v>
      </c>
      <c r="AG257" s="9">
        <f>DAY(O257)</f>
        <v>18</v>
      </c>
      <c r="AH257" s="9">
        <f>IFERROR((I257-K257)*24*60,0)</f>
        <v>0</v>
      </c>
      <c r="AI257" s="9">
        <f t="shared" ref="AI257:AI511" si="7">IF(AH257&gt;0,AH257,0)</f>
        <v>0</v>
      </c>
      <c r="AJ257" s="9">
        <f>C257</f>
        <v>2085</v>
      </c>
      <c r="AK257" s="9">
        <f>IF(P257="completed",((V257-K257)*24*60),0)</f>
        <v>6.9999999913852662</v>
      </c>
      <c r="AL257" s="9">
        <f>IF(P257="completed",((U257-K257)*24*60),0)</f>
        <v>7.9999999946448952</v>
      </c>
      <c r="AM257" s="9" t="str">
        <f t="shared" ref="AM257:AM511" si="8">IF(AK257&lt;AL257,"OTP Achieved","OTP Breached")</f>
        <v>OTP Achieved</v>
      </c>
      <c r="AN257" s="9" t="str">
        <f t="shared" ref="AN257:AN511" si="9">IF(AK257&lt;(AL257+3),"OTP Achieved","OTP Breached")</f>
        <v>OTP Achieved</v>
      </c>
    </row>
    <row r="258" spans="1:40" ht="16">
      <c r="A258" s="3" t="s">
        <v>190</v>
      </c>
      <c r="B258" s="12">
        <v>46313.788888888892</v>
      </c>
      <c r="C258" s="5">
        <v>2568</v>
      </c>
      <c r="D258" s="1" t="s">
        <v>41</v>
      </c>
      <c r="E258" s="5">
        <v>9</v>
      </c>
      <c r="F258" s="1" t="s">
        <v>41</v>
      </c>
      <c r="G258" s="1" t="s">
        <v>41</v>
      </c>
      <c r="H258" s="1" t="s">
        <v>863</v>
      </c>
      <c r="I258" s="12">
        <v>46313.791666666664</v>
      </c>
      <c r="J258" s="1" t="s">
        <v>41</v>
      </c>
      <c r="K258" s="12">
        <v>46313.791666666664</v>
      </c>
      <c r="L258" s="5">
        <v>34</v>
      </c>
      <c r="M258" s="1"/>
      <c r="N258" s="1"/>
      <c r="O258" s="12">
        <v>46313.788888888892</v>
      </c>
      <c r="P258" s="1" t="s">
        <v>43</v>
      </c>
      <c r="Q258" s="1" t="s">
        <v>192</v>
      </c>
      <c r="R258" s="1" t="s">
        <v>864</v>
      </c>
      <c r="S258" s="5">
        <v>4247</v>
      </c>
      <c r="T258" s="1" t="s">
        <v>41</v>
      </c>
      <c r="U258" s="12">
        <v>46313.8</v>
      </c>
      <c r="V258" s="12">
        <v>46313.79791666667</v>
      </c>
      <c r="W258" s="7" t="s">
        <v>865</v>
      </c>
      <c r="X258" s="5">
        <v>22411</v>
      </c>
      <c r="Y258" s="4"/>
      <c r="Z258" s="5">
        <v>0</v>
      </c>
      <c r="AA258" s="8">
        <v>0.78888888888888886</v>
      </c>
      <c r="AB258" s="5">
        <v>8</v>
      </c>
      <c r="AC258" s="1" t="s">
        <v>41</v>
      </c>
      <c r="AD258" s="9" t="str">
        <f t="shared" si="5"/>
        <v>Actual</v>
      </c>
      <c r="AE258" s="9" t="str">
        <f t="shared" si="6"/>
        <v>TMK7</v>
      </c>
      <c r="AF258" s="9">
        <f>HOUR(O258)</f>
        <v>18</v>
      </c>
      <c r="AG258" s="9">
        <f>DAY(O258)</f>
        <v>18</v>
      </c>
      <c r="AH258" s="9">
        <f>IFERROR((I258-K258)*24*60,0)</f>
        <v>0</v>
      </c>
      <c r="AI258" s="9">
        <f t="shared" si="7"/>
        <v>0</v>
      </c>
      <c r="AJ258" s="9">
        <f>C258</f>
        <v>2568</v>
      </c>
      <c r="AK258" s="9">
        <f>IF(P258="completed",((V258-K258)*24*60),0)</f>
        <v>9.0000000083819032</v>
      </c>
      <c r="AL258" s="9">
        <f>IF(P258="completed",((U258-K258)*24*60),0)</f>
        <v>12.000000007683411</v>
      </c>
      <c r="AM258" s="9" t="str">
        <f t="shared" si="8"/>
        <v>OTP Achieved</v>
      </c>
      <c r="AN258" s="9" t="str">
        <f t="shared" si="9"/>
        <v>OTP Achieved</v>
      </c>
    </row>
    <row r="259" spans="1:40" ht="16">
      <c r="A259" s="3" t="s">
        <v>303</v>
      </c>
      <c r="B259" s="12">
        <v>46313.788194444445</v>
      </c>
      <c r="C259" s="5">
        <v>2342</v>
      </c>
      <c r="D259" s="1" t="s">
        <v>41</v>
      </c>
      <c r="E259" s="5">
        <v>10</v>
      </c>
      <c r="F259" s="1" t="s">
        <v>41</v>
      </c>
      <c r="G259" s="1" t="s">
        <v>41</v>
      </c>
      <c r="H259" s="1" t="s">
        <v>866</v>
      </c>
      <c r="I259" s="12">
        <v>46313.788194444445</v>
      </c>
      <c r="J259" s="1" t="s">
        <v>41</v>
      </c>
      <c r="K259" s="12">
        <v>46313.786805555559</v>
      </c>
      <c r="L259" s="5">
        <v>28</v>
      </c>
      <c r="M259" s="1"/>
      <c r="N259" s="1"/>
      <c r="O259" s="12">
        <v>46313.786111111112</v>
      </c>
      <c r="P259" s="1" t="s">
        <v>43</v>
      </c>
      <c r="Q259" s="1" t="s">
        <v>305</v>
      </c>
      <c r="R259" s="1" t="s">
        <v>867</v>
      </c>
      <c r="S259" s="5">
        <v>4247</v>
      </c>
      <c r="T259" s="1" t="s">
        <v>41</v>
      </c>
      <c r="U259" s="12">
        <v>46313.795138888891</v>
      </c>
      <c r="V259" s="12">
        <v>46313.795138888891</v>
      </c>
      <c r="W259" s="7" t="s">
        <v>868</v>
      </c>
      <c r="X259" s="5">
        <v>22411</v>
      </c>
      <c r="Y259" s="4"/>
      <c r="Z259" s="5">
        <v>0</v>
      </c>
      <c r="AA259" s="8">
        <v>0.78819444444444442</v>
      </c>
      <c r="AB259" s="5">
        <v>10</v>
      </c>
      <c r="AC259" s="1" t="s">
        <v>41</v>
      </c>
      <c r="AD259" s="9" t="str">
        <f t="shared" si="5"/>
        <v>Actual</v>
      </c>
      <c r="AE259" s="9" t="str">
        <f t="shared" si="6"/>
        <v>TMK7</v>
      </c>
      <c r="AF259" s="9">
        <f>HOUR(O259)</f>
        <v>18</v>
      </c>
      <c r="AG259" s="9">
        <f>DAY(O259)</f>
        <v>18</v>
      </c>
      <c r="AH259" s="9">
        <f>IFERROR((I259-K259)*24*60,0)</f>
        <v>1.9999999960418791</v>
      </c>
      <c r="AI259" s="9">
        <f t="shared" si="7"/>
        <v>1.9999999960418791</v>
      </c>
      <c r="AJ259" s="9">
        <f>C259</f>
        <v>2342</v>
      </c>
      <c r="AK259" s="9">
        <f>IF(P259="completed",((V259-K259)*24*60),0)</f>
        <v>11.999999997206032</v>
      </c>
      <c r="AL259" s="9">
        <f>IF(P259="completed",((U259-K259)*24*60),0)</f>
        <v>11.999999997206032</v>
      </c>
      <c r="AM259" s="9" t="str">
        <f t="shared" si="8"/>
        <v>OTP Breached</v>
      </c>
      <c r="AN259" s="9" t="str">
        <f t="shared" si="9"/>
        <v>OTP Achieved</v>
      </c>
    </row>
    <row r="260" spans="1:40" ht="16">
      <c r="A260" s="3" t="s">
        <v>82</v>
      </c>
      <c r="B260" s="12">
        <v>46313.787499999999</v>
      </c>
      <c r="C260" s="5">
        <v>2430</v>
      </c>
      <c r="D260" s="1" t="s">
        <v>41</v>
      </c>
      <c r="E260" s="5">
        <v>11</v>
      </c>
      <c r="F260" s="1" t="s">
        <v>41</v>
      </c>
      <c r="G260" s="1" t="s">
        <v>41</v>
      </c>
      <c r="H260" s="1" t="s">
        <v>869</v>
      </c>
      <c r="I260" s="12">
        <v>46313.788194444445</v>
      </c>
      <c r="J260" s="1" t="s">
        <v>41</v>
      </c>
      <c r="K260" s="12">
        <v>46313.787499999999</v>
      </c>
      <c r="L260" s="5">
        <v>33</v>
      </c>
      <c r="M260" s="1"/>
      <c r="N260" s="1"/>
      <c r="O260" s="12">
        <v>46313.786111111112</v>
      </c>
      <c r="P260" s="1" t="s">
        <v>43</v>
      </c>
      <c r="Q260" s="1" t="s">
        <v>84</v>
      </c>
      <c r="R260" s="1" t="s">
        <v>870</v>
      </c>
      <c r="S260" s="5">
        <v>4247</v>
      </c>
      <c r="T260" s="1" t="s">
        <v>41</v>
      </c>
      <c r="U260" s="12">
        <v>46313.795138888891</v>
      </c>
      <c r="V260" s="12">
        <v>46313.795138888891</v>
      </c>
      <c r="W260" s="7" t="s">
        <v>871</v>
      </c>
      <c r="X260" s="5">
        <v>22411</v>
      </c>
      <c r="Y260" s="10"/>
      <c r="Z260" s="5">
        <v>0</v>
      </c>
      <c r="AA260" s="8">
        <v>0.78749999999999998</v>
      </c>
      <c r="AB260" s="5">
        <v>10</v>
      </c>
      <c r="AC260" s="1" t="s">
        <v>41</v>
      </c>
      <c r="AD260" s="9" t="str">
        <f t="shared" si="5"/>
        <v>Actual</v>
      </c>
      <c r="AE260" s="9" t="str">
        <f t="shared" si="6"/>
        <v>TMK7</v>
      </c>
      <c r="AF260" s="9">
        <f>HOUR(O260)</f>
        <v>18</v>
      </c>
      <c r="AG260" s="9">
        <f>DAY(O260)</f>
        <v>18</v>
      </c>
      <c r="AH260" s="9">
        <f>IFERROR((I260-K260)*24*60,0)</f>
        <v>1.000000003259629</v>
      </c>
      <c r="AI260" s="9">
        <f t="shared" si="7"/>
        <v>1.000000003259629</v>
      </c>
      <c r="AJ260" s="9">
        <f>C260</f>
        <v>2430</v>
      </c>
      <c r="AK260" s="9">
        <f>IF(P260="completed",((V260-K260)*24*60),0)</f>
        <v>11.000000004423782</v>
      </c>
      <c r="AL260" s="9">
        <f>IF(P260="completed",((U260-K260)*24*60),0)</f>
        <v>11.000000004423782</v>
      </c>
      <c r="AM260" s="9" t="str">
        <f t="shared" si="8"/>
        <v>OTP Breached</v>
      </c>
      <c r="AN260" s="9" t="str">
        <f t="shared" si="9"/>
        <v>OTP Achieved</v>
      </c>
    </row>
    <row r="261" spans="1:40" ht="16">
      <c r="A261" s="3" t="s">
        <v>52</v>
      </c>
      <c r="B261" s="12">
        <v>46313.786805555559</v>
      </c>
      <c r="C261" s="5">
        <v>1956</v>
      </c>
      <c r="D261" s="1" t="s">
        <v>41</v>
      </c>
      <c r="E261" s="5">
        <v>7</v>
      </c>
      <c r="F261" s="1" t="s">
        <v>41</v>
      </c>
      <c r="G261" s="1" t="s">
        <v>41</v>
      </c>
      <c r="H261" s="1" t="s">
        <v>872</v>
      </c>
      <c r="I261" s="12">
        <v>46313.791666666664</v>
      </c>
      <c r="J261" s="1" t="s">
        <v>41</v>
      </c>
      <c r="K261" s="12">
        <v>46313.791666666664</v>
      </c>
      <c r="L261" s="5">
        <v>28</v>
      </c>
      <c r="M261" s="1"/>
      <c r="N261" s="1"/>
      <c r="O261" s="12">
        <v>46313.786111111112</v>
      </c>
      <c r="P261" s="1" t="s">
        <v>43</v>
      </c>
      <c r="Q261" s="1" t="s">
        <v>54</v>
      </c>
      <c r="R261" s="1" t="s">
        <v>873</v>
      </c>
      <c r="S261" s="5">
        <v>4247</v>
      </c>
      <c r="T261" s="1" t="s">
        <v>41</v>
      </c>
      <c r="U261" s="12">
        <v>46313.79791666667</v>
      </c>
      <c r="V261" s="12">
        <v>46313.796527777777</v>
      </c>
      <c r="W261" s="7" t="s">
        <v>874</v>
      </c>
      <c r="X261" s="5">
        <v>22411</v>
      </c>
      <c r="Y261" s="4"/>
      <c r="Z261" s="5">
        <v>0</v>
      </c>
      <c r="AA261" s="8">
        <v>0.78680555555555554</v>
      </c>
      <c r="AB261" s="5">
        <v>7</v>
      </c>
      <c r="AC261" s="1" t="s">
        <v>41</v>
      </c>
      <c r="AD261" s="9" t="str">
        <f t="shared" si="5"/>
        <v>Actual</v>
      </c>
      <c r="AE261" s="9" t="str">
        <f t="shared" si="6"/>
        <v>TMK7</v>
      </c>
      <c r="AF261" s="9">
        <f>HOUR(O261)</f>
        <v>18</v>
      </c>
      <c r="AG261" s="9">
        <f>DAY(O261)</f>
        <v>18</v>
      </c>
      <c r="AH261" s="9">
        <f>IFERROR((I261-K261)*24*60,0)</f>
        <v>0</v>
      </c>
      <c r="AI261" s="9">
        <f t="shared" si="7"/>
        <v>0</v>
      </c>
      <c r="AJ261" s="9">
        <f>C261</f>
        <v>1956</v>
      </c>
      <c r="AK261" s="9">
        <f>IF(P261="completed",((V261-K261)*24*60),0)</f>
        <v>7.0000000018626451</v>
      </c>
      <c r="AL261" s="9">
        <f>IF(P261="completed",((U261-K261)*24*60),0)</f>
        <v>9.0000000083819032</v>
      </c>
      <c r="AM261" s="9" t="str">
        <f t="shared" si="8"/>
        <v>OTP Achieved</v>
      </c>
      <c r="AN261" s="9" t="str">
        <f t="shared" si="9"/>
        <v>OTP Achieved</v>
      </c>
    </row>
    <row r="262" spans="1:40" ht="16">
      <c r="A262" s="3" t="s">
        <v>347</v>
      </c>
      <c r="B262" s="12">
        <v>46313.786805555559</v>
      </c>
      <c r="C262" s="5">
        <v>1285</v>
      </c>
      <c r="D262" s="1" t="s">
        <v>41</v>
      </c>
      <c r="E262" s="5">
        <v>5</v>
      </c>
      <c r="F262" s="1" t="s">
        <v>41</v>
      </c>
      <c r="G262" s="1" t="s">
        <v>41</v>
      </c>
      <c r="H262" s="1" t="s">
        <v>875</v>
      </c>
      <c r="I262" s="12">
        <v>46313.786805555559</v>
      </c>
      <c r="J262" s="1" t="s">
        <v>41</v>
      </c>
      <c r="K262" s="12">
        <v>46313.786111111112</v>
      </c>
      <c r="L262" s="5">
        <v>23</v>
      </c>
      <c r="M262" s="1"/>
      <c r="N262" s="1"/>
      <c r="O262" s="12">
        <v>46313.785416666666</v>
      </c>
      <c r="P262" s="1" t="s">
        <v>43</v>
      </c>
      <c r="Q262" s="1" t="s">
        <v>349</v>
      </c>
      <c r="R262" s="1" t="s">
        <v>876</v>
      </c>
      <c r="S262" s="5">
        <v>4247</v>
      </c>
      <c r="T262" s="1" t="s">
        <v>41</v>
      </c>
      <c r="U262" s="12">
        <v>46313.790972222225</v>
      </c>
      <c r="V262" s="12">
        <v>46313.790277777778</v>
      </c>
      <c r="W262" s="7" t="s">
        <v>877</v>
      </c>
      <c r="X262" s="5">
        <v>22411</v>
      </c>
      <c r="Y262" s="4"/>
      <c r="Z262" s="5">
        <v>0</v>
      </c>
      <c r="AA262" s="8">
        <v>0.78680555555555554</v>
      </c>
      <c r="AB262" s="5">
        <v>5</v>
      </c>
      <c r="AC262" s="1" t="s">
        <v>41</v>
      </c>
      <c r="AD262" s="9" t="str">
        <f t="shared" si="5"/>
        <v>Actual</v>
      </c>
      <c r="AE262" s="9" t="str">
        <f t="shared" si="6"/>
        <v>TMK7</v>
      </c>
      <c r="AF262" s="9">
        <f>HOUR(O262)</f>
        <v>18</v>
      </c>
      <c r="AG262" s="9">
        <f>DAY(O262)</f>
        <v>18</v>
      </c>
      <c r="AH262" s="9">
        <f>IFERROR((I262-K262)*24*60,0)</f>
        <v>1.000000003259629</v>
      </c>
      <c r="AI262" s="9">
        <f t="shared" si="7"/>
        <v>1.000000003259629</v>
      </c>
      <c r="AJ262" s="9">
        <f>C262</f>
        <v>1285</v>
      </c>
      <c r="AK262" s="9">
        <f>IF(P262="completed",((V262-K262)*24*60),0)</f>
        <v>5.9999999986030161</v>
      </c>
      <c r="AL262" s="9">
        <f>IF(P262="completed",((U262-K262)*24*60),0)</f>
        <v>7.0000000018626451</v>
      </c>
      <c r="AM262" s="9" t="str">
        <f t="shared" si="8"/>
        <v>OTP Achieved</v>
      </c>
      <c r="AN262" s="9" t="str">
        <f t="shared" si="9"/>
        <v>OTP Achieved</v>
      </c>
    </row>
    <row r="263" spans="1:40" ht="16">
      <c r="A263" s="3" t="s">
        <v>711</v>
      </c>
      <c r="B263" s="12">
        <v>46313.786111111112</v>
      </c>
      <c r="C263" s="5">
        <v>2710</v>
      </c>
      <c r="D263" s="1" t="s">
        <v>41</v>
      </c>
      <c r="E263" s="5">
        <v>10</v>
      </c>
      <c r="F263" s="1" t="s">
        <v>41</v>
      </c>
      <c r="G263" s="1" t="s">
        <v>41</v>
      </c>
      <c r="H263" s="1" t="s">
        <v>878</v>
      </c>
      <c r="I263" s="12">
        <v>46313.786805555559</v>
      </c>
      <c r="J263" s="1" t="s">
        <v>41</v>
      </c>
      <c r="K263" s="12">
        <v>46313.785416666666</v>
      </c>
      <c r="L263" s="5">
        <v>27</v>
      </c>
      <c r="M263" s="1"/>
      <c r="N263" s="1"/>
      <c r="O263" s="12">
        <v>46313.784722222219</v>
      </c>
      <c r="P263" s="1" t="s">
        <v>43</v>
      </c>
      <c r="Q263" s="1" t="s">
        <v>713</v>
      </c>
      <c r="R263" s="1" t="s">
        <v>879</v>
      </c>
      <c r="S263" s="5">
        <v>4247</v>
      </c>
      <c r="T263" s="1" t="s">
        <v>41</v>
      </c>
      <c r="U263" s="12">
        <v>46313.794444444444</v>
      </c>
      <c r="V263" s="12">
        <v>46313.793055555558</v>
      </c>
      <c r="W263" s="7" t="s">
        <v>880</v>
      </c>
      <c r="X263" s="5">
        <v>22411</v>
      </c>
      <c r="Y263" s="1"/>
      <c r="Z263" s="5">
        <v>0</v>
      </c>
      <c r="AA263" s="8">
        <v>0.78611111111111109</v>
      </c>
      <c r="AB263" s="5">
        <v>9</v>
      </c>
      <c r="AC263" s="1" t="s">
        <v>41</v>
      </c>
      <c r="AD263" s="9" t="str">
        <f t="shared" si="5"/>
        <v>Actual</v>
      </c>
      <c r="AE263" s="9" t="str">
        <f t="shared" si="6"/>
        <v>TMK7</v>
      </c>
      <c r="AF263" s="9">
        <f>HOUR(O263)</f>
        <v>18</v>
      </c>
      <c r="AG263" s="9">
        <f>DAY(O263)</f>
        <v>18</v>
      </c>
      <c r="AH263" s="9">
        <f>IFERROR((I263-K263)*24*60,0)</f>
        <v>2.000000006519258</v>
      </c>
      <c r="AI263" s="9">
        <f t="shared" si="7"/>
        <v>2.000000006519258</v>
      </c>
      <c r="AJ263" s="9">
        <f>C263</f>
        <v>2710</v>
      </c>
      <c r="AK263" s="9">
        <f>IF(P263="completed",((V263-K263)*24*60),0)</f>
        <v>11.000000004423782</v>
      </c>
      <c r="AL263" s="9">
        <f>IF(P263="completed",((U263-K263)*24*60),0)</f>
        <v>13.000000000465661</v>
      </c>
      <c r="AM263" s="9" t="str">
        <f t="shared" si="8"/>
        <v>OTP Achieved</v>
      </c>
      <c r="AN263" s="9" t="str">
        <f t="shared" si="9"/>
        <v>OTP Achieved</v>
      </c>
    </row>
    <row r="264" spans="1:40" ht="16">
      <c r="A264" s="3" t="s">
        <v>47</v>
      </c>
      <c r="B264" s="12">
        <v>46313.786111111112</v>
      </c>
      <c r="C264" s="5">
        <v>2183</v>
      </c>
      <c r="D264" s="1" t="s">
        <v>41</v>
      </c>
      <c r="E264" s="5">
        <v>9</v>
      </c>
      <c r="F264" s="1" t="s">
        <v>41</v>
      </c>
      <c r="G264" s="1" t="s">
        <v>41</v>
      </c>
      <c r="H264" s="1" t="s">
        <v>881</v>
      </c>
      <c r="I264" s="12">
        <v>46313.786111111112</v>
      </c>
      <c r="J264" s="1" t="s">
        <v>41</v>
      </c>
      <c r="K264" s="12">
        <v>46313.785416666666</v>
      </c>
      <c r="L264" s="5">
        <v>27</v>
      </c>
      <c r="M264" s="1"/>
      <c r="N264" s="1"/>
      <c r="O264" s="12">
        <v>46313.78402777778</v>
      </c>
      <c r="P264" s="1" t="s">
        <v>43</v>
      </c>
      <c r="Q264" s="1" t="s">
        <v>49</v>
      </c>
      <c r="R264" s="1" t="s">
        <v>882</v>
      </c>
      <c r="S264" s="5">
        <v>4247</v>
      </c>
      <c r="T264" s="1" t="s">
        <v>41</v>
      </c>
      <c r="U264" s="12">
        <v>46313.793749999997</v>
      </c>
      <c r="V264" s="12">
        <v>46313.792361111111</v>
      </c>
      <c r="W264" s="7" t="s">
        <v>883</v>
      </c>
      <c r="X264" s="5">
        <v>22411</v>
      </c>
      <c r="Y264" s="4"/>
      <c r="Z264" s="5">
        <v>0</v>
      </c>
      <c r="AA264" s="8">
        <v>0.78611111111111109</v>
      </c>
      <c r="AB264" s="5">
        <v>9</v>
      </c>
      <c r="AC264" s="1" t="s">
        <v>41</v>
      </c>
      <c r="AD264" s="9" t="str">
        <f t="shared" si="5"/>
        <v>Actual</v>
      </c>
      <c r="AE264" s="9" t="str">
        <f t="shared" si="6"/>
        <v>TMK7</v>
      </c>
      <c r="AF264" s="9">
        <f>HOUR(O264)</f>
        <v>18</v>
      </c>
      <c r="AG264" s="9">
        <f>DAY(O264)</f>
        <v>18</v>
      </c>
      <c r="AH264" s="9">
        <f>IFERROR((I264-K264)*24*60,0)</f>
        <v>1.000000003259629</v>
      </c>
      <c r="AI264" s="9">
        <f t="shared" si="7"/>
        <v>1.000000003259629</v>
      </c>
      <c r="AJ264" s="9">
        <f>C264</f>
        <v>2183</v>
      </c>
      <c r="AK264" s="9">
        <f>IF(P264="completed",((V264-K264)*24*60),0)</f>
        <v>10.000000001164153</v>
      </c>
      <c r="AL264" s="9">
        <f>IF(P264="completed",((U264-K264)*24*60),0)</f>
        <v>11.999999997206032</v>
      </c>
      <c r="AM264" s="9" t="str">
        <f t="shared" si="8"/>
        <v>OTP Achieved</v>
      </c>
      <c r="AN264" s="9" t="str">
        <f t="shared" si="9"/>
        <v>OTP Achieved</v>
      </c>
    </row>
    <row r="265" spans="1:40" ht="16">
      <c r="A265" s="3" t="s">
        <v>40</v>
      </c>
      <c r="B265" s="12">
        <v>46313.785416666666</v>
      </c>
      <c r="C265" s="5">
        <v>2346</v>
      </c>
      <c r="D265" s="1" t="s">
        <v>41</v>
      </c>
      <c r="E265" s="5">
        <v>11</v>
      </c>
      <c r="F265" s="1" t="s">
        <v>41</v>
      </c>
      <c r="G265" s="1" t="s">
        <v>41</v>
      </c>
      <c r="H265" s="1" t="s">
        <v>884</v>
      </c>
      <c r="I265" s="12">
        <v>46313.786111111112</v>
      </c>
      <c r="J265" s="1" t="s">
        <v>41</v>
      </c>
      <c r="K265" s="12">
        <v>46313.785416666666</v>
      </c>
      <c r="L265" s="5">
        <v>36</v>
      </c>
      <c r="M265" s="1"/>
      <c r="N265" s="1"/>
      <c r="O265" s="12">
        <v>46313.78402777778</v>
      </c>
      <c r="P265" s="1" t="s">
        <v>43</v>
      </c>
      <c r="Q265" s="1" t="s">
        <v>44</v>
      </c>
      <c r="R265" s="1" t="s">
        <v>885</v>
      </c>
      <c r="S265" s="5">
        <v>4247</v>
      </c>
      <c r="T265" s="1" t="s">
        <v>41</v>
      </c>
      <c r="U265" s="12">
        <v>46313.792361111111</v>
      </c>
      <c r="V265" s="12">
        <v>46313.793055555558</v>
      </c>
      <c r="W265" s="7" t="s">
        <v>886</v>
      </c>
      <c r="X265" s="5">
        <v>22411</v>
      </c>
      <c r="Y265" s="4"/>
      <c r="Z265" s="5">
        <v>0</v>
      </c>
      <c r="AA265" s="8">
        <v>0.78541666666666665</v>
      </c>
      <c r="AB265" s="5">
        <v>10</v>
      </c>
      <c r="AC265" s="1" t="s">
        <v>41</v>
      </c>
      <c r="AD265" s="9" t="str">
        <f t="shared" si="5"/>
        <v>Actual</v>
      </c>
      <c r="AE265" s="9" t="str">
        <f t="shared" si="6"/>
        <v>TMK7</v>
      </c>
      <c r="AF265" s="9">
        <f>HOUR(O265)</f>
        <v>18</v>
      </c>
      <c r="AG265" s="9">
        <f>DAY(O265)</f>
        <v>18</v>
      </c>
      <c r="AH265" s="9">
        <f>IFERROR((I265-K265)*24*60,0)</f>
        <v>1.000000003259629</v>
      </c>
      <c r="AI265" s="9">
        <f t="shared" si="7"/>
        <v>1.000000003259629</v>
      </c>
      <c r="AJ265" s="9">
        <f>C265</f>
        <v>2346</v>
      </c>
      <c r="AK265" s="9">
        <f>IF(P265="completed",((V265-K265)*24*60),0)</f>
        <v>11.000000004423782</v>
      </c>
      <c r="AL265" s="9">
        <f>IF(P265="completed",((U265-K265)*24*60),0)</f>
        <v>10.000000001164153</v>
      </c>
      <c r="AM265" s="9" t="str">
        <f t="shared" si="8"/>
        <v>OTP Breached</v>
      </c>
      <c r="AN265" s="9" t="str">
        <f t="shared" si="9"/>
        <v>OTP Achieved</v>
      </c>
    </row>
    <row r="266" spans="1:40" ht="16">
      <c r="A266" s="3" t="s">
        <v>106</v>
      </c>
      <c r="B266" s="12">
        <v>46313.785416666666</v>
      </c>
      <c r="C266" s="5">
        <v>2949</v>
      </c>
      <c r="D266" s="1" t="s">
        <v>41</v>
      </c>
      <c r="E266" s="5">
        <v>13</v>
      </c>
      <c r="F266" s="1" t="s">
        <v>41</v>
      </c>
      <c r="G266" s="1" t="s">
        <v>41</v>
      </c>
      <c r="H266" s="1" t="s">
        <v>887</v>
      </c>
      <c r="I266" s="12">
        <v>46313.786111111112</v>
      </c>
      <c r="J266" s="1" t="s">
        <v>41</v>
      </c>
      <c r="K266" s="12">
        <v>46313.784722222219</v>
      </c>
      <c r="L266" s="5">
        <v>37</v>
      </c>
      <c r="M266" s="1"/>
      <c r="N266" s="1"/>
      <c r="O266" s="12">
        <v>46313.783333333333</v>
      </c>
      <c r="P266" s="1" t="s">
        <v>43</v>
      </c>
      <c r="Q266" s="1" t="s">
        <v>108</v>
      </c>
      <c r="R266" s="1" t="s">
        <v>888</v>
      </c>
      <c r="S266" s="5">
        <v>4247</v>
      </c>
      <c r="T266" s="1" t="s">
        <v>41</v>
      </c>
      <c r="U266" s="12">
        <v>46313.793749999997</v>
      </c>
      <c r="V266" s="12">
        <v>46313.794444444444</v>
      </c>
      <c r="W266" s="7" t="s">
        <v>889</v>
      </c>
      <c r="X266" s="5">
        <v>22411</v>
      </c>
      <c r="Y266" s="4"/>
      <c r="Z266" s="5">
        <v>0</v>
      </c>
      <c r="AA266" s="8">
        <v>0.78541666666666665</v>
      </c>
      <c r="AB266" s="5">
        <v>12</v>
      </c>
      <c r="AC266" s="1" t="s">
        <v>41</v>
      </c>
      <c r="AD266" s="9" t="str">
        <f t="shared" si="5"/>
        <v>Actual</v>
      </c>
      <c r="AE266" s="9" t="str">
        <f t="shared" si="6"/>
        <v>TMK7</v>
      </c>
      <c r="AF266" s="9">
        <f>HOUR(O266)</f>
        <v>18</v>
      </c>
      <c r="AG266" s="9">
        <f>DAY(O266)</f>
        <v>18</v>
      </c>
      <c r="AH266" s="9">
        <f>IFERROR((I266-K266)*24*60,0)</f>
        <v>2.000000006519258</v>
      </c>
      <c r="AI266" s="9">
        <f t="shared" si="7"/>
        <v>2.000000006519258</v>
      </c>
      <c r="AJ266" s="9">
        <f>C266</f>
        <v>2949</v>
      </c>
      <c r="AK266" s="9">
        <f>IF(P266="completed",((V266-K266)*24*60),0)</f>
        <v>14.00000000372529</v>
      </c>
      <c r="AL266" s="9">
        <f>IF(P266="completed",((U266-K266)*24*60),0)</f>
        <v>13.000000000465661</v>
      </c>
      <c r="AM266" s="9" t="str">
        <f t="shared" si="8"/>
        <v>OTP Breached</v>
      </c>
      <c r="AN266" s="9" t="str">
        <f t="shared" si="9"/>
        <v>OTP Achieved</v>
      </c>
    </row>
    <row r="267" spans="1:40" ht="16">
      <c r="A267" s="3" t="s">
        <v>754</v>
      </c>
      <c r="B267" s="12">
        <v>46313.785416666666</v>
      </c>
      <c r="C267" s="5">
        <v>3056</v>
      </c>
      <c r="D267" s="1" t="s">
        <v>41</v>
      </c>
      <c r="E267" s="5">
        <v>10</v>
      </c>
      <c r="F267" s="1" t="s">
        <v>41</v>
      </c>
      <c r="G267" s="1" t="s">
        <v>41</v>
      </c>
      <c r="H267" s="1" t="s">
        <v>890</v>
      </c>
      <c r="I267" s="12">
        <v>46313.785416666666</v>
      </c>
      <c r="J267" s="1" t="s">
        <v>41</v>
      </c>
      <c r="K267" s="12">
        <v>46313.78402777778</v>
      </c>
      <c r="L267" s="5">
        <v>23</v>
      </c>
      <c r="M267" s="1"/>
      <c r="N267" s="1"/>
      <c r="O267" s="12">
        <v>46313.782638888886</v>
      </c>
      <c r="P267" s="1" t="s">
        <v>43</v>
      </c>
      <c r="Q267" s="1" t="s">
        <v>756</v>
      </c>
      <c r="R267" s="1" t="s">
        <v>891</v>
      </c>
      <c r="S267" s="5">
        <v>4247</v>
      </c>
      <c r="T267" s="1" t="s">
        <v>41</v>
      </c>
      <c r="U267" s="12">
        <v>46313.793749999997</v>
      </c>
      <c r="V267" s="12">
        <v>46313.792361111111</v>
      </c>
      <c r="W267" s="7" t="s">
        <v>892</v>
      </c>
      <c r="X267" s="5">
        <v>22411</v>
      </c>
      <c r="Y267" s="4"/>
      <c r="Z267" s="5">
        <v>0</v>
      </c>
      <c r="AA267" s="8">
        <v>0.78541666666666665</v>
      </c>
      <c r="AB267" s="5">
        <v>10</v>
      </c>
      <c r="AC267" s="1" t="s">
        <v>41</v>
      </c>
      <c r="AD267" s="9" t="str">
        <f t="shared" si="5"/>
        <v>Actual</v>
      </c>
      <c r="AE267" s="9" t="str">
        <f t="shared" si="6"/>
        <v>TMK7</v>
      </c>
      <c r="AF267" s="9">
        <f>HOUR(O267)</f>
        <v>18</v>
      </c>
      <c r="AG267" s="9">
        <f>DAY(O267)</f>
        <v>18</v>
      </c>
      <c r="AH267" s="9">
        <f>IFERROR((I267-K267)*24*60,0)</f>
        <v>1.9999999960418791</v>
      </c>
      <c r="AI267" s="9">
        <f t="shared" si="7"/>
        <v>1.9999999960418791</v>
      </c>
      <c r="AJ267" s="9">
        <f>C267</f>
        <v>3056</v>
      </c>
      <c r="AK267" s="9">
        <f>IF(P267="completed",((V267-K267)*24*60),0)</f>
        <v>11.999999997206032</v>
      </c>
      <c r="AL267" s="9">
        <f>IF(P267="completed",((U267-K267)*24*60),0)</f>
        <v>13.999999993247911</v>
      </c>
      <c r="AM267" s="9" t="str">
        <f t="shared" si="8"/>
        <v>OTP Achieved</v>
      </c>
      <c r="AN267" s="9" t="str">
        <f t="shared" si="9"/>
        <v>OTP Achieved</v>
      </c>
    </row>
    <row r="268" spans="1:40" ht="16">
      <c r="A268" s="3" t="s">
        <v>198</v>
      </c>
      <c r="B268" s="12">
        <v>46313.785416666666</v>
      </c>
      <c r="C268" s="5">
        <v>2802</v>
      </c>
      <c r="D268" s="1" t="s">
        <v>41</v>
      </c>
      <c r="E268" s="5">
        <v>9</v>
      </c>
      <c r="F268" s="1" t="s">
        <v>41</v>
      </c>
      <c r="G268" s="1" t="s">
        <v>41</v>
      </c>
      <c r="H268" s="1" t="s">
        <v>893</v>
      </c>
      <c r="I268" s="12">
        <v>46313.785416666666</v>
      </c>
      <c r="J268" s="1" t="s">
        <v>41</v>
      </c>
      <c r="K268" s="12">
        <v>46313.782638888886</v>
      </c>
      <c r="L268" s="5">
        <v>22</v>
      </c>
      <c r="M268" s="1"/>
      <c r="N268" s="1"/>
      <c r="O268" s="12">
        <v>46313.781944444447</v>
      </c>
      <c r="P268" s="1" t="s">
        <v>43</v>
      </c>
      <c r="Q268" s="1" t="s">
        <v>200</v>
      </c>
      <c r="R268" s="1" t="s">
        <v>894</v>
      </c>
      <c r="S268" s="5">
        <v>4247</v>
      </c>
      <c r="T268" s="1" t="s">
        <v>41</v>
      </c>
      <c r="U268" s="12">
        <v>46313.793749999997</v>
      </c>
      <c r="V268" s="12">
        <v>46313.791666666664</v>
      </c>
      <c r="W268" s="7" t="s">
        <v>895</v>
      </c>
      <c r="X268" s="5">
        <v>22411</v>
      </c>
      <c r="Y268" s="4"/>
      <c r="Z268" s="5">
        <v>0</v>
      </c>
      <c r="AA268" s="8">
        <v>0.78541666666666665</v>
      </c>
      <c r="AB268" s="5">
        <v>8</v>
      </c>
      <c r="AC268" s="1" t="s">
        <v>41</v>
      </c>
      <c r="AD268" s="9" t="str">
        <f t="shared" si="5"/>
        <v>Actual</v>
      </c>
      <c r="AE268" s="9" t="str">
        <f t="shared" si="6"/>
        <v>TMK7</v>
      </c>
      <c r="AF268" s="9">
        <f>HOUR(O268)</f>
        <v>18</v>
      </c>
      <c r="AG268" s="9">
        <f>DAY(O268)</f>
        <v>18</v>
      </c>
      <c r="AH268" s="9">
        <f>IFERROR((I268-K268)*24*60,0)</f>
        <v>4.0000000025611371</v>
      </c>
      <c r="AI268" s="9">
        <f t="shared" si="7"/>
        <v>4.0000000025611371</v>
      </c>
      <c r="AJ268" s="9">
        <f>C268</f>
        <v>2802</v>
      </c>
      <c r="AK268" s="9">
        <f>IF(P268="completed",((V268-K268)*24*60),0)</f>
        <v>13.000000000465661</v>
      </c>
      <c r="AL268" s="9">
        <f>IF(P268="completed",((U268-K268)*24*60),0)</f>
        <v>15.999999999767169</v>
      </c>
      <c r="AM268" s="9" t="str">
        <f t="shared" si="8"/>
        <v>OTP Achieved</v>
      </c>
      <c r="AN268" s="9" t="str">
        <f t="shared" si="9"/>
        <v>OTP Achieved</v>
      </c>
    </row>
    <row r="269" spans="1:40" ht="16">
      <c r="A269" s="3" t="s">
        <v>339</v>
      </c>
      <c r="B269" s="12">
        <v>46313.784722222219</v>
      </c>
      <c r="C269" s="5">
        <v>1041</v>
      </c>
      <c r="D269" s="1" t="s">
        <v>41</v>
      </c>
      <c r="E269" s="5">
        <v>7</v>
      </c>
      <c r="F269" s="1" t="s">
        <v>41</v>
      </c>
      <c r="G269" s="1" t="s">
        <v>41</v>
      </c>
      <c r="H269" s="1" t="s">
        <v>896</v>
      </c>
      <c r="I269" s="12">
        <v>46313.785416666666</v>
      </c>
      <c r="J269" s="1" t="s">
        <v>41</v>
      </c>
      <c r="K269" s="12">
        <v>46313.783333333333</v>
      </c>
      <c r="L269" s="5">
        <v>18</v>
      </c>
      <c r="M269" s="1"/>
      <c r="N269" s="1"/>
      <c r="O269" s="12">
        <v>46313.781944444447</v>
      </c>
      <c r="P269" s="1" t="s">
        <v>43</v>
      </c>
      <c r="Q269" s="1" t="s">
        <v>341</v>
      </c>
      <c r="R269" s="1" t="s">
        <v>897</v>
      </c>
      <c r="S269" s="5">
        <v>4247</v>
      </c>
      <c r="T269" s="1" t="s">
        <v>41</v>
      </c>
      <c r="U269" s="12">
        <v>46313.788888888892</v>
      </c>
      <c r="V269" s="12">
        <v>46313.789583333331</v>
      </c>
      <c r="W269" s="7" t="s">
        <v>898</v>
      </c>
      <c r="X269" s="5">
        <v>22411</v>
      </c>
      <c r="Y269" s="4"/>
      <c r="Z269" s="5">
        <v>0</v>
      </c>
      <c r="AA269" s="8">
        <v>0.78472222222222221</v>
      </c>
      <c r="AB269" s="5">
        <v>6</v>
      </c>
      <c r="AC269" s="1" t="s">
        <v>41</v>
      </c>
      <c r="AD269" s="9" t="str">
        <f t="shared" si="5"/>
        <v>Actual</v>
      </c>
      <c r="AE269" s="9" t="str">
        <f t="shared" si="6"/>
        <v>TMK7</v>
      </c>
      <c r="AF269" s="9">
        <f>HOUR(O269)</f>
        <v>18</v>
      </c>
      <c r="AG269" s="9">
        <f>DAY(O269)</f>
        <v>18</v>
      </c>
      <c r="AH269" s="9">
        <f>IFERROR((I269-K269)*24*60,0)</f>
        <v>2.9999999993015081</v>
      </c>
      <c r="AI269" s="9">
        <f t="shared" si="7"/>
        <v>2.9999999993015081</v>
      </c>
      <c r="AJ269" s="9">
        <f>C269</f>
        <v>1041</v>
      </c>
      <c r="AK269" s="9">
        <f>IF(P269="completed",((V269-K269)*24*60),0)</f>
        <v>8.9999999979045242</v>
      </c>
      <c r="AL269" s="9">
        <f>IF(P269="completed",((U269-K269)*24*60),0)</f>
        <v>8.0000000051222742</v>
      </c>
      <c r="AM269" s="9" t="str">
        <f t="shared" si="8"/>
        <v>OTP Breached</v>
      </c>
      <c r="AN269" s="9" t="str">
        <f t="shared" si="9"/>
        <v>OTP Achieved</v>
      </c>
    </row>
    <row r="270" spans="1:40" ht="16">
      <c r="A270" s="3" t="s">
        <v>77</v>
      </c>
      <c r="B270" s="12">
        <v>46313.78402777778</v>
      </c>
      <c r="C270" s="5">
        <v>2447</v>
      </c>
      <c r="D270" s="1" t="s">
        <v>41</v>
      </c>
      <c r="E270" s="5">
        <v>8</v>
      </c>
      <c r="F270" s="1" t="s">
        <v>41</v>
      </c>
      <c r="G270" s="1" t="s">
        <v>41</v>
      </c>
      <c r="H270" s="1" t="s">
        <v>899</v>
      </c>
      <c r="I270" s="12">
        <v>46313.784722222219</v>
      </c>
      <c r="J270" s="1" t="s">
        <v>41</v>
      </c>
      <c r="K270" s="12">
        <v>46313.78125</v>
      </c>
      <c r="L270" s="5">
        <v>28</v>
      </c>
      <c r="M270" s="1"/>
      <c r="N270" s="1"/>
      <c r="O270" s="12">
        <v>46313.78125</v>
      </c>
      <c r="P270" s="1" t="s">
        <v>43</v>
      </c>
      <c r="Q270" s="1" t="s">
        <v>79</v>
      </c>
      <c r="R270" s="1" t="s">
        <v>900</v>
      </c>
      <c r="S270" s="5">
        <v>4247</v>
      </c>
      <c r="T270" s="1" t="s">
        <v>41</v>
      </c>
      <c r="U270" s="12">
        <v>46313.790972222225</v>
      </c>
      <c r="V270" s="12">
        <v>46313.789583333331</v>
      </c>
      <c r="W270" s="7" t="s">
        <v>901</v>
      </c>
      <c r="X270" s="5">
        <v>22411</v>
      </c>
      <c r="Y270" s="4"/>
      <c r="Z270" s="5">
        <v>0</v>
      </c>
      <c r="AA270" s="8">
        <v>0.78402777777777777</v>
      </c>
      <c r="AB270" s="5">
        <v>7</v>
      </c>
      <c r="AC270" s="1" t="s">
        <v>41</v>
      </c>
      <c r="AD270" s="9" t="str">
        <f t="shared" si="5"/>
        <v>Actual</v>
      </c>
      <c r="AE270" s="9" t="str">
        <f t="shared" si="6"/>
        <v>TMK7</v>
      </c>
      <c r="AF270" s="9">
        <f>HOUR(O270)</f>
        <v>18</v>
      </c>
      <c r="AG270" s="9">
        <f>DAY(O270)</f>
        <v>18</v>
      </c>
      <c r="AH270" s="9">
        <f>IFERROR((I270-K270)*24*60,0)</f>
        <v>4.9999999953433871</v>
      </c>
      <c r="AI270" s="9">
        <f t="shared" si="7"/>
        <v>4.9999999953433871</v>
      </c>
      <c r="AJ270" s="9">
        <f>C270</f>
        <v>2447</v>
      </c>
      <c r="AK270" s="9">
        <f>IF(P270="completed",((V270-K270)*24*60),0)</f>
        <v>11.999999997206032</v>
      </c>
      <c r="AL270" s="9">
        <f>IF(P270="completed",((U270-K270)*24*60),0)</f>
        <v>14.00000000372529</v>
      </c>
      <c r="AM270" s="9" t="str">
        <f t="shared" si="8"/>
        <v>OTP Achieved</v>
      </c>
      <c r="AN270" s="9" t="str">
        <f t="shared" si="9"/>
        <v>OTP Achieved</v>
      </c>
    </row>
    <row r="271" spans="1:40" ht="16">
      <c r="A271" s="3" t="s">
        <v>72</v>
      </c>
      <c r="B271" s="12">
        <v>46313.78402777778</v>
      </c>
      <c r="C271" s="5">
        <v>2348</v>
      </c>
      <c r="D271" s="1" t="s">
        <v>41</v>
      </c>
      <c r="E271" s="5">
        <v>8</v>
      </c>
      <c r="F271" s="1" t="s">
        <v>41</v>
      </c>
      <c r="G271" s="1" t="s">
        <v>41</v>
      </c>
      <c r="H271" s="1" t="s">
        <v>902</v>
      </c>
      <c r="I271" s="12">
        <v>46313.78402777778</v>
      </c>
      <c r="J271" s="1" t="s">
        <v>41</v>
      </c>
      <c r="K271" s="12">
        <v>46313.780555555553</v>
      </c>
      <c r="L271" s="5">
        <v>35</v>
      </c>
      <c r="M271" s="1"/>
      <c r="N271" s="1"/>
      <c r="O271" s="12">
        <v>46313.779861111114</v>
      </c>
      <c r="P271" s="1" t="s">
        <v>43</v>
      </c>
      <c r="Q271" s="1" t="s">
        <v>74</v>
      </c>
      <c r="R271" s="1" t="s">
        <v>903</v>
      </c>
      <c r="S271" s="5">
        <v>4247</v>
      </c>
      <c r="T271" s="1" t="s">
        <v>41</v>
      </c>
      <c r="U271" s="12">
        <v>46313.790972222225</v>
      </c>
      <c r="V271" s="12">
        <v>46313.789583333331</v>
      </c>
      <c r="W271" s="7" t="s">
        <v>904</v>
      </c>
      <c r="X271" s="5">
        <v>22411</v>
      </c>
      <c r="Y271" s="1"/>
      <c r="Z271" s="5">
        <v>0</v>
      </c>
      <c r="AA271" s="8">
        <v>0.78402777777777777</v>
      </c>
      <c r="AB271" s="5">
        <v>8</v>
      </c>
      <c r="AC271" s="1" t="s">
        <v>41</v>
      </c>
      <c r="AD271" s="9" t="str">
        <f t="shared" si="5"/>
        <v>Actual</v>
      </c>
      <c r="AE271" s="9" t="str">
        <f t="shared" si="6"/>
        <v>TMK7</v>
      </c>
      <c r="AF271" s="9">
        <f>HOUR(O271)</f>
        <v>18</v>
      </c>
      <c r="AG271" s="9">
        <f>DAY(O271)</f>
        <v>18</v>
      </c>
      <c r="AH271" s="9">
        <f>IFERROR((I271-K271)*24*60,0)</f>
        <v>5.0000000058207661</v>
      </c>
      <c r="AI271" s="9">
        <f t="shared" si="7"/>
        <v>5.0000000058207661</v>
      </c>
      <c r="AJ271" s="9">
        <f>C271</f>
        <v>2348</v>
      </c>
      <c r="AK271" s="9">
        <f>IF(P271="completed",((V271-K271)*24*60),0)</f>
        <v>13.000000000465661</v>
      </c>
      <c r="AL271" s="9">
        <f>IF(P271="completed",((U271-K271)*24*60),0)</f>
        <v>15.000000006984919</v>
      </c>
      <c r="AM271" s="9" t="str">
        <f t="shared" si="8"/>
        <v>OTP Achieved</v>
      </c>
      <c r="AN271" s="9" t="str">
        <f t="shared" si="9"/>
        <v>OTP Achieved</v>
      </c>
    </row>
    <row r="272" spans="1:40" ht="16">
      <c r="A272" s="3" t="s">
        <v>734</v>
      </c>
      <c r="B272" s="12">
        <v>46313.782638888886</v>
      </c>
      <c r="C272" s="5">
        <v>1530</v>
      </c>
      <c r="D272" s="1" t="s">
        <v>41</v>
      </c>
      <c r="E272" s="5">
        <v>6</v>
      </c>
      <c r="F272" s="1" t="s">
        <v>41</v>
      </c>
      <c r="G272" s="1" t="s">
        <v>41</v>
      </c>
      <c r="H272" s="1" t="s">
        <v>905</v>
      </c>
      <c r="I272" s="12">
        <v>46313.782638888886</v>
      </c>
      <c r="J272" s="1" t="s">
        <v>41</v>
      </c>
      <c r="K272" s="12">
        <v>46313.78125</v>
      </c>
      <c r="L272" s="5">
        <v>42</v>
      </c>
      <c r="M272" s="1"/>
      <c r="N272" s="1"/>
      <c r="O272" s="12">
        <v>46313.779861111114</v>
      </c>
      <c r="P272" s="1" t="s">
        <v>43</v>
      </c>
      <c r="Q272" s="1" t="s">
        <v>736</v>
      </c>
      <c r="R272" s="1" t="s">
        <v>906</v>
      </c>
      <c r="S272" s="5">
        <v>4247</v>
      </c>
      <c r="T272" s="1" t="s">
        <v>41</v>
      </c>
      <c r="U272" s="12">
        <v>46313.787499999999</v>
      </c>
      <c r="V272" s="12">
        <v>46313.786111111112</v>
      </c>
      <c r="W272" s="7" t="s">
        <v>907</v>
      </c>
      <c r="X272" s="5">
        <v>22411</v>
      </c>
      <c r="Y272" s="4"/>
      <c r="Z272" s="5">
        <v>0</v>
      </c>
      <c r="AA272" s="8">
        <v>0.78263888888888888</v>
      </c>
      <c r="AB272" s="5">
        <v>5</v>
      </c>
      <c r="AC272" s="1" t="s">
        <v>41</v>
      </c>
      <c r="AD272" s="9" t="str">
        <f t="shared" si="5"/>
        <v>Actual</v>
      </c>
      <c r="AE272" s="9" t="str">
        <f t="shared" si="6"/>
        <v>TMK7</v>
      </c>
      <c r="AF272" s="9">
        <f>HOUR(O272)</f>
        <v>18</v>
      </c>
      <c r="AG272" s="9">
        <f>DAY(O272)</f>
        <v>18</v>
      </c>
      <c r="AH272" s="9">
        <f>IFERROR((I272-K272)*24*60,0)</f>
        <v>1.9999999960418791</v>
      </c>
      <c r="AI272" s="9">
        <f t="shared" si="7"/>
        <v>1.9999999960418791</v>
      </c>
      <c r="AJ272" s="9">
        <f>C272</f>
        <v>1530</v>
      </c>
      <c r="AK272" s="9">
        <f>IF(P272="completed",((V272-K272)*24*60),0)</f>
        <v>7.0000000018626451</v>
      </c>
      <c r="AL272" s="9">
        <f>IF(P272="completed",((U272-K272)*24*60),0)</f>
        <v>8.9999999979045242</v>
      </c>
      <c r="AM272" s="9" t="str">
        <f t="shared" si="8"/>
        <v>OTP Achieved</v>
      </c>
      <c r="AN272" s="9" t="str">
        <f t="shared" si="9"/>
        <v>OTP Achieved</v>
      </c>
    </row>
    <row r="273" spans="1:40" ht="16">
      <c r="A273" s="3" t="s">
        <v>177</v>
      </c>
      <c r="B273" s="12">
        <v>46313.78125</v>
      </c>
      <c r="C273" s="5">
        <v>2594</v>
      </c>
      <c r="D273" s="1" t="s">
        <v>41</v>
      </c>
      <c r="E273" s="5">
        <v>11</v>
      </c>
      <c r="F273" s="1" t="s">
        <v>41</v>
      </c>
      <c r="G273" s="1" t="s">
        <v>41</v>
      </c>
      <c r="H273" s="1" t="s">
        <v>908</v>
      </c>
      <c r="I273" s="12">
        <v>46313.781944444447</v>
      </c>
      <c r="J273" s="1" t="s">
        <v>41</v>
      </c>
      <c r="K273" s="12">
        <v>46313.780555555553</v>
      </c>
      <c r="L273" s="5">
        <v>34</v>
      </c>
      <c r="M273" s="1"/>
      <c r="N273" s="1"/>
      <c r="O273" s="12">
        <v>46313.779861111114</v>
      </c>
      <c r="P273" s="1" t="s">
        <v>43</v>
      </c>
      <c r="Q273" s="1" t="s">
        <v>179</v>
      </c>
      <c r="R273" s="1" t="s">
        <v>909</v>
      </c>
      <c r="S273" s="5">
        <v>4247</v>
      </c>
      <c r="T273" s="1" t="s">
        <v>41</v>
      </c>
      <c r="U273" s="12">
        <v>46313.788888888892</v>
      </c>
      <c r="V273" s="12">
        <v>46313.788888888892</v>
      </c>
      <c r="W273" s="7" t="s">
        <v>910</v>
      </c>
      <c r="X273" s="5">
        <v>22411</v>
      </c>
      <c r="Y273" s="4"/>
      <c r="Z273" s="5">
        <v>0</v>
      </c>
      <c r="AA273" s="8">
        <v>0.78125</v>
      </c>
      <c r="AB273" s="5">
        <v>10</v>
      </c>
      <c r="AC273" s="1" t="s">
        <v>41</v>
      </c>
      <c r="AD273" s="9" t="str">
        <f t="shared" si="5"/>
        <v>Actual</v>
      </c>
      <c r="AE273" s="9" t="str">
        <f t="shared" si="6"/>
        <v>TMK7</v>
      </c>
      <c r="AF273" s="9">
        <f>HOUR(O273)</f>
        <v>18</v>
      </c>
      <c r="AG273" s="9">
        <f>DAY(O273)</f>
        <v>18</v>
      </c>
      <c r="AH273" s="9">
        <f>IFERROR((I273-K273)*24*60,0)</f>
        <v>2.000000006519258</v>
      </c>
      <c r="AI273" s="9">
        <f t="shared" si="7"/>
        <v>2.000000006519258</v>
      </c>
      <c r="AJ273" s="9">
        <f>C273</f>
        <v>2594</v>
      </c>
      <c r="AK273" s="9">
        <f>IF(P273="completed",((V273-K273)*24*60),0)</f>
        <v>12.000000007683411</v>
      </c>
      <c r="AL273" s="9">
        <f>IF(P273="completed",((U273-K273)*24*60),0)</f>
        <v>12.000000007683411</v>
      </c>
      <c r="AM273" s="9" t="str">
        <f t="shared" si="8"/>
        <v>OTP Breached</v>
      </c>
      <c r="AN273" s="9" t="str">
        <f t="shared" si="9"/>
        <v>OTP Achieved</v>
      </c>
    </row>
    <row r="274" spans="1:40" ht="16">
      <c r="A274" s="3" t="s">
        <v>198</v>
      </c>
      <c r="B274" s="12">
        <v>46313.78125</v>
      </c>
      <c r="C274" s="5">
        <v>154</v>
      </c>
      <c r="D274" s="1" t="s">
        <v>41</v>
      </c>
      <c r="E274" s="5">
        <v>0</v>
      </c>
      <c r="F274" s="1" t="s">
        <v>41</v>
      </c>
      <c r="G274" s="1" t="s">
        <v>41</v>
      </c>
      <c r="H274" s="1" t="s">
        <v>911</v>
      </c>
      <c r="I274" s="12">
        <v>46313.78125</v>
      </c>
      <c r="J274" s="1" t="s">
        <v>41</v>
      </c>
      <c r="K274" s="12">
        <v>46313.780555555553</v>
      </c>
      <c r="L274" s="5">
        <v>24</v>
      </c>
      <c r="M274" s="1"/>
      <c r="N274" s="1"/>
      <c r="O274" s="12">
        <v>46313.77847222222</v>
      </c>
      <c r="P274" s="1" t="s">
        <v>43</v>
      </c>
      <c r="Q274" s="1" t="s">
        <v>200</v>
      </c>
      <c r="R274" s="1" t="s">
        <v>912</v>
      </c>
      <c r="S274" s="5">
        <v>4247</v>
      </c>
      <c r="T274" s="1" t="s">
        <v>41</v>
      </c>
      <c r="U274" s="12">
        <v>46313.782638888886</v>
      </c>
      <c r="V274" s="12">
        <v>46313.78125</v>
      </c>
      <c r="W274" s="7" t="s">
        <v>913</v>
      </c>
      <c r="X274" s="5">
        <v>22411</v>
      </c>
      <c r="Y274" s="10"/>
      <c r="Z274" s="5">
        <v>0</v>
      </c>
      <c r="AA274" s="8">
        <v>0.78125</v>
      </c>
      <c r="AB274" s="5">
        <v>0</v>
      </c>
      <c r="AC274" s="1" t="s">
        <v>41</v>
      </c>
      <c r="AD274" s="9" t="str">
        <f t="shared" si="5"/>
        <v>Actual</v>
      </c>
      <c r="AE274" s="9" t="str">
        <f t="shared" si="6"/>
        <v>TMK7</v>
      </c>
      <c r="AF274" s="9">
        <f>HOUR(O274)</f>
        <v>18</v>
      </c>
      <c r="AG274" s="9">
        <f>DAY(O274)</f>
        <v>18</v>
      </c>
      <c r="AH274" s="9">
        <f>IFERROR((I274-K274)*24*60,0)</f>
        <v>1.000000003259629</v>
      </c>
      <c r="AI274" s="9">
        <f t="shared" si="7"/>
        <v>1.000000003259629</v>
      </c>
      <c r="AJ274" s="9">
        <f>C274</f>
        <v>154</v>
      </c>
      <c r="AK274" s="9">
        <f>IF(P274="completed",((V274-K274)*24*60),0)</f>
        <v>1.000000003259629</v>
      </c>
      <c r="AL274" s="9">
        <f>IF(P274="completed",((U274-K274)*24*60),0)</f>
        <v>2.9999999993015081</v>
      </c>
      <c r="AM274" s="9" t="str">
        <f t="shared" si="8"/>
        <v>OTP Achieved</v>
      </c>
      <c r="AN274" s="9" t="str">
        <f t="shared" si="9"/>
        <v>OTP Achieved</v>
      </c>
    </row>
    <row r="275" spans="1:40" ht="16">
      <c r="A275" s="3" t="s">
        <v>98</v>
      </c>
      <c r="B275" s="12">
        <v>46313.780555555553</v>
      </c>
      <c r="C275" s="5">
        <v>1259</v>
      </c>
      <c r="D275" s="1" t="s">
        <v>41</v>
      </c>
      <c r="E275" s="5">
        <v>6</v>
      </c>
      <c r="F275" s="1" t="s">
        <v>41</v>
      </c>
      <c r="G275" s="1" t="s">
        <v>41</v>
      </c>
      <c r="H275" s="1" t="s">
        <v>914</v>
      </c>
      <c r="I275" s="12">
        <v>46313.78125</v>
      </c>
      <c r="J275" s="1" t="s">
        <v>41</v>
      </c>
      <c r="K275" s="12">
        <v>46313.78125</v>
      </c>
      <c r="L275" s="5">
        <v>26</v>
      </c>
      <c r="M275" s="1"/>
      <c r="N275" s="1"/>
      <c r="O275" s="12">
        <v>46313.777777777781</v>
      </c>
      <c r="P275" s="1" t="s">
        <v>43</v>
      </c>
      <c r="Q275" s="1" t="s">
        <v>100</v>
      </c>
      <c r="R275" s="1" t="s">
        <v>915</v>
      </c>
      <c r="S275" s="5">
        <v>4247</v>
      </c>
      <c r="T275" s="1" t="s">
        <v>41</v>
      </c>
      <c r="U275" s="12">
        <v>46313.785416666666</v>
      </c>
      <c r="V275" s="12">
        <v>46313.784722222219</v>
      </c>
      <c r="W275" s="7" t="s">
        <v>916</v>
      </c>
      <c r="X275" s="5">
        <v>22411</v>
      </c>
      <c r="Y275" s="4"/>
      <c r="Z275" s="5">
        <v>0</v>
      </c>
      <c r="AA275" s="8">
        <v>0.78055555555555556</v>
      </c>
      <c r="AB275" s="5">
        <v>5</v>
      </c>
      <c r="AC275" s="1" t="s">
        <v>41</v>
      </c>
      <c r="AD275" s="9" t="str">
        <f t="shared" si="5"/>
        <v>Actual</v>
      </c>
      <c r="AE275" s="9" t="str">
        <f t="shared" si="6"/>
        <v>TMK7</v>
      </c>
      <c r="AF275" s="9">
        <f>HOUR(O275)</f>
        <v>18</v>
      </c>
      <c r="AG275" s="9">
        <f>DAY(O275)</f>
        <v>18</v>
      </c>
      <c r="AH275" s="9">
        <f>IFERROR((I275-K275)*24*60,0)</f>
        <v>0</v>
      </c>
      <c r="AI275" s="9">
        <f t="shared" si="7"/>
        <v>0</v>
      </c>
      <c r="AJ275" s="9">
        <f>C275</f>
        <v>1259</v>
      </c>
      <c r="AK275" s="9">
        <f>IF(P275="completed",((V275-K275)*24*60),0)</f>
        <v>4.9999999953433871</v>
      </c>
      <c r="AL275" s="9">
        <f>IF(P275="completed",((U275-K275)*24*60),0)</f>
        <v>5.9999999986030161</v>
      </c>
      <c r="AM275" s="9" t="str">
        <f t="shared" si="8"/>
        <v>OTP Achieved</v>
      </c>
      <c r="AN275" s="9" t="str">
        <f t="shared" si="9"/>
        <v>OTP Achieved</v>
      </c>
    </row>
    <row r="276" spans="1:40" ht="16">
      <c r="A276" s="3" t="s">
        <v>379</v>
      </c>
      <c r="B276" s="12">
        <v>46313.779861111114</v>
      </c>
      <c r="C276" s="5">
        <v>2328</v>
      </c>
      <c r="D276" s="1" t="s">
        <v>41</v>
      </c>
      <c r="E276" s="5">
        <v>9</v>
      </c>
      <c r="F276" s="1" t="s">
        <v>41</v>
      </c>
      <c r="G276" s="1" t="s">
        <v>41</v>
      </c>
      <c r="H276" s="1" t="s">
        <v>917</v>
      </c>
      <c r="I276" s="12">
        <v>46313.779861111114</v>
      </c>
      <c r="J276" s="1" t="s">
        <v>41</v>
      </c>
      <c r="K276" s="12">
        <v>46313.77847222222</v>
      </c>
      <c r="L276" s="5">
        <v>21</v>
      </c>
      <c r="M276" s="1"/>
      <c r="N276" s="1"/>
      <c r="O276" s="12">
        <v>46313.777777777781</v>
      </c>
      <c r="P276" s="1" t="s">
        <v>43</v>
      </c>
      <c r="Q276" s="1" t="s">
        <v>381</v>
      </c>
      <c r="R276" s="1" t="s">
        <v>918</v>
      </c>
      <c r="S276" s="5">
        <v>4247</v>
      </c>
      <c r="T276" s="1" t="s">
        <v>41</v>
      </c>
      <c r="U276" s="12">
        <v>46313.786111111112</v>
      </c>
      <c r="V276" s="12">
        <v>46313.786111111112</v>
      </c>
      <c r="W276" s="7" t="s">
        <v>919</v>
      </c>
      <c r="X276" s="5">
        <v>22411</v>
      </c>
      <c r="Y276" s="4"/>
      <c r="Z276" s="5">
        <v>0</v>
      </c>
      <c r="AA276" s="8">
        <v>0.77986111111111112</v>
      </c>
      <c r="AB276" s="5">
        <v>9</v>
      </c>
      <c r="AC276" s="1" t="s">
        <v>41</v>
      </c>
      <c r="AD276" s="9" t="str">
        <f t="shared" si="5"/>
        <v>Actual</v>
      </c>
      <c r="AE276" s="9" t="str">
        <f t="shared" si="6"/>
        <v>TMK7</v>
      </c>
      <c r="AF276" s="9">
        <f>HOUR(O276)</f>
        <v>18</v>
      </c>
      <c r="AG276" s="9">
        <f>DAY(O276)</f>
        <v>18</v>
      </c>
      <c r="AH276" s="9">
        <f>IFERROR((I276-K276)*24*60,0)</f>
        <v>2.000000006519258</v>
      </c>
      <c r="AI276" s="9">
        <f t="shared" si="7"/>
        <v>2.000000006519258</v>
      </c>
      <c r="AJ276" s="9">
        <f>C276</f>
        <v>2328</v>
      </c>
      <c r="AK276" s="9">
        <f>IF(P276="completed",((V276-K276)*24*60),0)</f>
        <v>11.000000004423782</v>
      </c>
      <c r="AL276" s="9">
        <f>IF(P276="completed",((U276-K276)*24*60),0)</f>
        <v>11.000000004423782</v>
      </c>
      <c r="AM276" s="9" t="str">
        <f t="shared" si="8"/>
        <v>OTP Breached</v>
      </c>
      <c r="AN276" s="9" t="str">
        <f t="shared" si="9"/>
        <v>OTP Achieved</v>
      </c>
    </row>
    <row r="277" spans="1:40" ht="16">
      <c r="A277" s="3" t="s">
        <v>40</v>
      </c>
      <c r="B277" s="12">
        <v>46313.777083333334</v>
      </c>
      <c r="C277" s="5">
        <v>421</v>
      </c>
      <c r="D277" s="1" t="s">
        <v>41</v>
      </c>
      <c r="E277" s="5">
        <v>3</v>
      </c>
      <c r="F277" s="1" t="s">
        <v>41</v>
      </c>
      <c r="G277" s="1" t="s">
        <v>41</v>
      </c>
      <c r="H277" s="1" t="s">
        <v>920</v>
      </c>
      <c r="I277" s="12">
        <v>46313.777083333334</v>
      </c>
      <c r="J277" s="1" t="s">
        <v>41</v>
      </c>
      <c r="K277" s="12">
        <v>46313.777083333334</v>
      </c>
      <c r="L277" s="5">
        <v>18</v>
      </c>
      <c r="M277" s="1"/>
      <c r="N277" s="1"/>
      <c r="O277" s="12">
        <v>46313.775694444441</v>
      </c>
      <c r="P277" s="1" t="s">
        <v>43</v>
      </c>
      <c r="Q277" s="1" t="s">
        <v>44</v>
      </c>
      <c r="R277" s="1" t="s">
        <v>921</v>
      </c>
      <c r="S277" s="5">
        <v>4247</v>
      </c>
      <c r="T277" s="1" t="s">
        <v>41</v>
      </c>
      <c r="U277" s="12">
        <v>46313.779166666667</v>
      </c>
      <c r="V277" s="12">
        <v>46313.779166666667</v>
      </c>
      <c r="W277" s="7" t="s">
        <v>922</v>
      </c>
      <c r="X277" s="5">
        <v>22411</v>
      </c>
      <c r="Y277" s="4"/>
      <c r="Z277" s="5">
        <v>0</v>
      </c>
      <c r="AA277" s="8">
        <v>0.77708333333333335</v>
      </c>
      <c r="AB277" s="5">
        <v>2</v>
      </c>
      <c r="AC277" s="1" t="s">
        <v>41</v>
      </c>
      <c r="AD277" s="9" t="str">
        <f t="shared" si="5"/>
        <v>Actual</v>
      </c>
      <c r="AE277" s="9" t="str">
        <f t="shared" si="6"/>
        <v>TMK7</v>
      </c>
      <c r="AF277" s="9">
        <f>HOUR(O277)</f>
        <v>18</v>
      </c>
      <c r="AG277" s="9">
        <f>DAY(O277)</f>
        <v>18</v>
      </c>
      <c r="AH277" s="9">
        <f>IFERROR((I277-K277)*24*60,0)</f>
        <v>0</v>
      </c>
      <c r="AI277" s="9">
        <f t="shared" si="7"/>
        <v>0</v>
      </c>
      <c r="AJ277" s="9">
        <f>C277</f>
        <v>421</v>
      </c>
      <c r="AK277" s="9">
        <f>IF(P277="completed",((V277-K277)*24*60),0)</f>
        <v>2.9999999993015081</v>
      </c>
      <c r="AL277" s="9">
        <f>IF(P277="completed",((U277-K277)*24*60),0)</f>
        <v>2.9999999993015081</v>
      </c>
      <c r="AM277" s="9" t="str">
        <f t="shared" si="8"/>
        <v>OTP Breached</v>
      </c>
      <c r="AN277" s="9" t="str">
        <f t="shared" si="9"/>
        <v>OTP Achieved</v>
      </c>
    </row>
    <row r="278" spans="1:40" ht="16">
      <c r="A278" s="3" t="s">
        <v>157</v>
      </c>
      <c r="B278" s="12">
        <v>46313.776388888888</v>
      </c>
      <c r="C278" s="5">
        <v>3879</v>
      </c>
      <c r="D278" s="1" t="s">
        <v>41</v>
      </c>
      <c r="E278" s="5">
        <v>11</v>
      </c>
      <c r="F278" s="1" t="s">
        <v>41</v>
      </c>
      <c r="G278" s="1" t="s">
        <v>41</v>
      </c>
      <c r="H278" s="1" t="s">
        <v>923</v>
      </c>
      <c r="I278" s="12">
        <v>46313.777083333334</v>
      </c>
      <c r="J278" s="1" t="s">
        <v>41</v>
      </c>
      <c r="K278" s="12">
        <v>46313.775694444441</v>
      </c>
      <c r="L278" s="5">
        <v>38</v>
      </c>
      <c r="M278" s="1"/>
      <c r="N278" s="1"/>
      <c r="O278" s="12">
        <v>46313.775000000001</v>
      </c>
      <c r="P278" s="1" t="s">
        <v>43</v>
      </c>
      <c r="Q278" s="1" t="s">
        <v>159</v>
      </c>
      <c r="R278" s="1" t="s">
        <v>924</v>
      </c>
      <c r="S278" s="5">
        <v>4247</v>
      </c>
      <c r="T278" s="1" t="s">
        <v>41</v>
      </c>
      <c r="U278" s="12">
        <v>46313.786111111112</v>
      </c>
      <c r="V278" s="12">
        <v>46313.78402777778</v>
      </c>
      <c r="W278" s="7" t="s">
        <v>925</v>
      </c>
      <c r="X278" s="5">
        <v>22411</v>
      </c>
      <c r="Y278" s="4"/>
      <c r="Z278" s="5">
        <v>0</v>
      </c>
      <c r="AA278" s="8">
        <v>0.77638888888888891</v>
      </c>
      <c r="AB278" s="5">
        <v>10</v>
      </c>
      <c r="AC278" s="1" t="s">
        <v>41</v>
      </c>
      <c r="AD278" s="9" t="str">
        <f t="shared" si="5"/>
        <v>Actual</v>
      </c>
      <c r="AE278" s="9" t="str">
        <f t="shared" si="6"/>
        <v>TMK7</v>
      </c>
      <c r="AF278" s="9">
        <f>HOUR(O278)</f>
        <v>18</v>
      </c>
      <c r="AG278" s="9">
        <f>DAY(O278)</f>
        <v>18</v>
      </c>
      <c r="AH278" s="9">
        <f>IFERROR((I278-K278)*24*60,0)</f>
        <v>2.000000006519258</v>
      </c>
      <c r="AI278" s="9">
        <f t="shared" si="7"/>
        <v>2.000000006519258</v>
      </c>
      <c r="AJ278" s="9">
        <f>C278</f>
        <v>3879</v>
      </c>
      <c r="AK278" s="9">
        <f>IF(P278="completed",((V278-K278)*24*60),0)</f>
        <v>12.000000007683411</v>
      </c>
      <c r="AL278" s="9">
        <f>IF(P278="completed",((U278-K278)*24*60),0)</f>
        <v>15.000000006984919</v>
      </c>
      <c r="AM278" s="9" t="str">
        <f t="shared" si="8"/>
        <v>OTP Achieved</v>
      </c>
      <c r="AN278" s="9" t="str">
        <f t="shared" si="9"/>
        <v>OTP Achieved</v>
      </c>
    </row>
    <row r="279" spans="1:40" ht="16">
      <c r="A279" s="3" t="s">
        <v>209</v>
      </c>
      <c r="B279" s="12">
        <v>46313.776388888888</v>
      </c>
      <c r="C279" s="5">
        <v>2124</v>
      </c>
      <c r="D279" s="1" t="s">
        <v>41</v>
      </c>
      <c r="E279" s="5">
        <v>13</v>
      </c>
      <c r="F279" s="1" t="s">
        <v>41</v>
      </c>
      <c r="G279" s="1" t="s">
        <v>41</v>
      </c>
      <c r="H279" s="1" t="s">
        <v>926</v>
      </c>
      <c r="I279" s="12">
        <v>46313.777083333334</v>
      </c>
      <c r="J279" s="1" t="s">
        <v>41</v>
      </c>
      <c r="K279" s="12">
        <v>46313.775694444441</v>
      </c>
      <c r="L279" s="5">
        <v>47</v>
      </c>
      <c r="M279" s="1"/>
      <c r="N279" s="1"/>
      <c r="O279" s="12">
        <v>46313.775000000001</v>
      </c>
      <c r="P279" s="1" t="s">
        <v>43</v>
      </c>
      <c r="Q279" s="1" t="s">
        <v>211</v>
      </c>
      <c r="R279" s="1" t="s">
        <v>927</v>
      </c>
      <c r="S279" s="5">
        <v>4247</v>
      </c>
      <c r="T279" s="1" t="s">
        <v>41</v>
      </c>
      <c r="U279" s="12">
        <v>46313.783333333333</v>
      </c>
      <c r="V279" s="12">
        <v>46313.785416666666</v>
      </c>
      <c r="W279" s="7" t="s">
        <v>928</v>
      </c>
      <c r="X279" s="5">
        <v>22411</v>
      </c>
      <c r="Y279" s="4"/>
      <c r="Z279" s="5">
        <v>0</v>
      </c>
      <c r="AA279" s="8">
        <v>0.77638888888888891</v>
      </c>
      <c r="AB279" s="5">
        <v>12</v>
      </c>
      <c r="AC279" s="1" t="s">
        <v>41</v>
      </c>
      <c r="AD279" s="9" t="str">
        <f t="shared" si="5"/>
        <v>Actual</v>
      </c>
      <c r="AE279" s="9" t="str">
        <f t="shared" si="6"/>
        <v>TMK7</v>
      </c>
      <c r="AF279" s="9">
        <f>HOUR(O279)</f>
        <v>18</v>
      </c>
      <c r="AG279" s="9">
        <f>DAY(O279)</f>
        <v>18</v>
      </c>
      <c r="AH279" s="9">
        <f>IFERROR((I279-K279)*24*60,0)</f>
        <v>2.000000006519258</v>
      </c>
      <c r="AI279" s="9">
        <f t="shared" si="7"/>
        <v>2.000000006519258</v>
      </c>
      <c r="AJ279" s="9">
        <f>C279</f>
        <v>2124</v>
      </c>
      <c r="AK279" s="9">
        <f>IF(P279="completed",((V279-K279)*24*60),0)</f>
        <v>14.00000000372529</v>
      </c>
      <c r="AL279" s="9">
        <f>IF(P279="completed",((U279-K279)*24*60),0)</f>
        <v>11.000000004423782</v>
      </c>
      <c r="AM279" s="9" t="str">
        <f t="shared" si="8"/>
        <v>OTP Breached</v>
      </c>
      <c r="AN279" s="9" t="str">
        <f t="shared" si="9"/>
        <v>OTP Achieved</v>
      </c>
    </row>
    <row r="280" spans="1:40" ht="16">
      <c r="A280" s="3" t="s">
        <v>57</v>
      </c>
      <c r="B280" s="12">
        <v>46313.775694444441</v>
      </c>
      <c r="C280" s="5">
        <v>1488</v>
      </c>
      <c r="D280" s="1" t="s">
        <v>41</v>
      </c>
      <c r="E280" s="5">
        <v>7</v>
      </c>
      <c r="F280" s="1" t="s">
        <v>41</v>
      </c>
      <c r="G280" s="1" t="s">
        <v>41</v>
      </c>
      <c r="H280" s="1" t="s">
        <v>929</v>
      </c>
      <c r="I280" s="12">
        <v>46313.776388888888</v>
      </c>
      <c r="J280" s="1" t="s">
        <v>41</v>
      </c>
      <c r="K280" s="12">
        <v>46313.773611111108</v>
      </c>
      <c r="L280" s="5">
        <v>17</v>
      </c>
      <c r="M280" s="1"/>
      <c r="N280" s="1"/>
      <c r="O280" s="12">
        <v>46313.773611111108</v>
      </c>
      <c r="P280" s="1" t="s">
        <v>43</v>
      </c>
      <c r="Q280" s="1" t="s">
        <v>59</v>
      </c>
      <c r="R280" s="1" t="s">
        <v>930</v>
      </c>
      <c r="S280" s="5">
        <v>4247</v>
      </c>
      <c r="T280" s="1" t="s">
        <v>41</v>
      </c>
      <c r="U280" s="12">
        <v>46313.781944444447</v>
      </c>
      <c r="V280" s="12">
        <v>46313.78125</v>
      </c>
      <c r="W280" s="7" t="s">
        <v>931</v>
      </c>
      <c r="X280" s="5">
        <v>22411</v>
      </c>
      <c r="Y280" s="4"/>
      <c r="Z280" s="5">
        <v>0</v>
      </c>
      <c r="AA280" s="8">
        <v>0.77569444444444446</v>
      </c>
      <c r="AB280" s="5">
        <v>7</v>
      </c>
      <c r="AC280" s="1" t="s">
        <v>41</v>
      </c>
      <c r="AD280" s="9" t="str">
        <f t="shared" si="5"/>
        <v>Actual</v>
      </c>
      <c r="AE280" s="9" t="str">
        <f t="shared" si="6"/>
        <v>TMK7</v>
      </c>
      <c r="AF280" s="9">
        <f>HOUR(O280)</f>
        <v>18</v>
      </c>
      <c r="AG280" s="9">
        <f>DAY(O280)</f>
        <v>18</v>
      </c>
      <c r="AH280" s="9">
        <f>IFERROR((I280-K280)*24*60,0)</f>
        <v>4.0000000025611371</v>
      </c>
      <c r="AI280" s="9">
        <f t="shared" si="7"/>
        <v>4.0000000025611371</v>
      </c>
      <c r="AJ280" s="9">
        <f>C280</f>
        <v>1488</v>
      </c>
      <c r="AK280" s="9">
        <f>IF(P280="completed",((V280-K280)*24*60),0)</f>
        <v>11.000000004423782</v>
      </c>
      <c r="AL280" s="9">
        <f>IF(P280="completed",((U280-K280)*24*60),0)</f>
        <v>12.000000007683411</v>
      </c>
      <c r="AM280" s="9" t="str">
        <f t="shared" si="8"/>
        <v>OTP Achieved</v>
      </c>
      <c r="AN280" s="9" t="str">
        <f t="shared" si="9"/>
        <v>OTP Achieved</v>
      </c>
    </row>
    <row r="281" spans="1:40" ht="16">
      <c r="A281" s="3" t="s">
        <v>347</v>
      </c>
      <c r="B281" s="12">
        <v>46313.775694444441</v>
      </c>
      <c r="C281" s="5">
        <v>1074</v>
      </c>
      <c r="D281" s="1" t="s">
        <v>41</v>
      </c>
      <c r="E281" s="5">
        <v>4</v>
      </c>
      <c r="F281" s="1" t="s">
        <v>41</v>
      </c>
      <c r="G281" s="1" t="s">
        <v>41</v>
      </c>
      <c r="H281" s="1" t="s">
        <v>932</v>
      </c>
      <c r="I281" s="12">
        <v>46313.775694444441</v>
      </c>
      <c r="J281" s="1" t="s">
        <v>41</v>
      </c>
      <c r="K281" s="12">
        <v>46313.775694444441</v>
      </c>
      <c r="L281" s="5">
        <v>19</v>
      </c>
      <c r="M281" s="1"/>
      <c r="N281" s="1"/>
      <c r="O281" s="12">
        <v>46313.772222222222</v>
      </c>
      <c r="P281" s="1" t="s">
        <v>43</v>
      </c>
      <c r="Q281" s="1" t="s">
        <v>349</v>
      </c>
      <c r="R281" s="1" t="s">
        <v>933</v>
      </c>
      <c r="S281" s="5">
        <v>4247</v>
      </c>
      <c r="T281" s="1" t="s">
        <v>41</v>
      </c>
      <c r="U281" s="12">
        <v>46313.779166666667</v>
      </c>
      <c r="V281" s="12">
        <v>46313.77847222222</v>
      </c>
      <c r="W281" s="7" t="s">
        <v>934</v>
      </c>
      <c r="X281" s="5">
        <v>22411</v>
      </c>
      <c r="Y281" s="4"/>
      <c r="Z281" s="5">
        <v>0</v>
      </c>
      <c r="AA281" s="8">
        <v>0.77569444444444446</v>
      </c>
      <c r="AB281" s="5">
        <v>4</v>
      </c>
      <c r="AC281" s="1" t="s">
        <v>41</v>
      </c>
      <c r="AD281" s="9" t="str">
        <f t="shared" si="5"/>
        <v>Actual</v>
      </c>
      <c r="AE281" s="9" t="str">
        <f t="shared" si="6"/>
        <v>TMK7</v>
      </c>
      <c r="AF281" s="9">
        <f>HOUR(O281)</f>
        <v>18</v>
      </c>
      <c r="AG281" s="9">
        <f>DAY(O281)</f>
        <v>18</v>
      </c>
      <c r="AH281" s="9">
        <f>IFERROR((I281-K281)*24*60,0)</f>
        <v>0</v>
      </c>
      <c r="AI281" s="9">
        <f t="shared" si="7"/>
        <v>0</v>
      </c>
      <c r="AJ281" s="9">
        <f>C281</f>
        <v>1074</v>
      </c>
      <c r="AK281" s="9">
        <f>IF(P281="completed",((V281-K281)*24*60),0)</f>
        <v>4.0000000025611371</v>
      </c>
      <c r="AL281" s="9">
        <f>IF(P281="completed",((U281-K281)*24*60),0)</f>
        <v>5.0000000058207661</v>
      </c>
      <c r="AM281" s="9" t="str">
        <f t="shared" si="8"/>
        <v>OTP Achieved</v>
      </c>
      <c r="AN281" s="9" t="str">
        <f t="shared" si="9"/>
        <v>OTP Achieved</v>
      </c>
    </row>
    <row r="282" spans="1:40" ht="16">
      <c r="A282" s="3" t="s">
        <v>303</v>
      </c>
      <c r="B282" s="12">
        <v>46313.774305555555</v>
      </c>
      <c r="C282" s="5">
        <v>1211</v>
      </c>
      <c r="D282" s="1" t="s">
        <v>41</v>
      </c>
      <c r="E282" s="5">
        <v>7</v>
      </c>
      <c r="F282" s="1" t="s">
        <v>41</v>
      </c>
      <c r="G282" s="1" t="s">
        <v>41</v>
      </c>
      <c r="H282" s="1" t="s">
        <v>935</v>
      </c>
      <c r="I282" s="12">
        <v>46313.775000000001</v>
      </c>
      <c r="J282" s="1" t="s">
        <v>41</v>
      </c>
      <c r="K282" s="12">
        <v>46313.775000000001</v>
      </c>
      <c r="L282" s="5">
        <v>22</v>
      </c>
      <c r="M282" s="1"/>
      <c r="N282" s="1"/>
      <c r="O282" s="12">
        <v>46313.772222222222</v>
      </c>
      <c r="P282" s="1" t="s">
        <v>43</v>
      </c>
      <c r="Q282" s="1" t="s">
        <v>305</v>
      </c>
      <c r="R282" s="1" t="s">
        <v>936</v>
      </c>
      <c r="S282" s="5">
        <v>4247</v>
      </c>
      <c r="T282" s="1" t="s">
        <v>41</v>
      </c>
      <c r="U282" s="12">
        <v>46313.779861111114</v>
      </c>
      <c r="V282" s="12">
        <v>46313.779861111114</v>
      </c>
      <c r="W282" s="7" t="s">
        <v>937</v>
      </c>
      <c r="X282" s="5">
        <v>22411</v>
      </c>
      <c r="Y282" s="4"/>
      <c r="Z282" s="5">
        <v>0</v>
      </c>
      <c r="AA282" s="8">
        <v>0.77430555555555558</v>
      </c>
      <c r="AB282" s="5">
        <v>6</v>
      </c>
      <c r="AC282" s="1" t="s">
        <v>41</v>
      </c>
      <c r="AD282" s="9" t="str">
        <f t="shared" si="5"/>
        <v>Actual</v>
      </c>
      <c r="AE282" s="9" t="str">
        <f t="shared" si="6"/>
        <v>TMK7</v>
      </c>
      <c r="AF282" s="9">
        <f>HOUR(O282)</f>
        <v>18</v>
      </c>
      <c r="AG282" s="9">
        <f>DAY(O282)</f>
        <v>18</v>
      </c>
      <c r="AH282" s="9">
        <f>IFERROR((I282-K282)*24*60,0)</f>
        <v>0</v>
      </c>
      <c r="AI282" s="9">
        <f t="shared" si="7"/>
        <v>0</v>
      </c>
      <c r="AJ282" s="9">
        <f>C282</f>
        <v>1211</v>
      </c>
      <c r="AK282" s="9">
        <f>IF(P282="completed",((V282-K282)*24*60),0)</f>
        <v>7.0000000018626451</v>
      </c>
      <c r="AL282" s="9">
        <f>IF(P282="completed",((U282-K282)*24*60),0)</f>
        <v>7.0000000018626451</v>
      </c>
      <c r="AM282" s="9" t="str">
        <f t="shared" si="8"/>
        <v>OTP Breached</v>
      </c>
      <c r="AN282" s="9" t="str">
        <f t="shared" si="9"/>
        <v>OTP Achieved</v>
      </c>
    </row>
    <row r="283" spans="1:40" ht="16">
      <c r="A283" s="3" t="s">
        <v>47</v>
      </c>
      <c r="B283" s="12">
        <v>46313.774305555555</v>
      </c>
      <c r="C283" s="5">
        <v>2346</v>
      </c>
      <c r="D283" s="1" t="s">
        <v>41</v>
      </c>
      <c r="E283" s="5">
        <v>7</v>
      </c>
      <c r="F283" s="1" t="s">
        <v>41</v>
      </c>
      <c r="G283" s="1" t="s">
        <v>41</v>
      </c>
      <c r="H283" s="1" t="s">
        <v>938</v>
      </c>
      <c r="I283" s="12">
        <v>46313.775000000001</v>
      </c>
      <c r="J283" s="1" t="s">
        <v>41</v>
      </c>
      <c r="K283" s="12">
        <v>46313.773611111108</v>
      </c>
      <c r="L283" s="5">
        <v>21</v>
      </c>
      <c r="M283" s="1"/>
      <c r="N283" s="1"/>
      <c r="O283" s="12">
        <v>46313.772222222222</v>
      </c>
      <c r="P283" s="1" t="s">
        <v>43</v>
      </c>
      <c r="Q283" s="1" t="s">
        <v>49</v>
      </c>
      <c r="R283" s="1" t="s">
        <v>939</v>
      </c>
      <c r="S283" s="5">
        <v>4247</v>
      </c>
      <c r="T283" s="1" t="s">
        <v>41</v>
      </c>
      <c r="U283" s="12">
        <v>46313.78125</v>
      </c>
      <c r="V283" s="12">
        <v>46313.779861111114</v>
      </c>
      <c r="W283" s="7" t="s">
        <v>940</v>
      </c>
      <c r="X283" s="5">
        <v>22411</v>
      </c>
      <c r="Y283" s="4"/>
      <c r="Z283" s="5">
        <v>0</v>
      </c>
      <c r="AA283" s="8">
        <v>0.77430555555555558</v>
      </c>
      <c r="AB283" s="5">
        <v>7</v>
      </c>
      <c r="AC283" s="1" t="s">
        <v>41</v>
      </c>
      <c r="AD283" s="9" t="str">
        <f t="shared" si="5"/>
        <v>Actual</v>
      </c>
      <c r="AE283" s="9" t="str">
        <f t="shared" si="6"/>
        <v>TMK7</v>
      </c>
      <c r="AF283" s="9">
        <f>HOUR(O283)</f>
        <v>18</v>
      </c>
      <c r="AG283" s="9">
        <f>DAY(O283)</f>
        <v>18</v>
      </c>
      <c r="AH283" s="9">
        <f>IFERROR((I283-K283)*24*60,0)</f>
        <v>2.000000006519258</v>
      </c>
      <c r="AI283" s="9">
        <f t="shared" si="7"/>
        <v>2.000000006519258</v>
      </c>
      <c r="AJ283" s="9">
        <f>C283</f>
        <v>2346</v>
      </c>
      <c r="AK283" s="9">
        <f>IF(P283="completed",((V283-K283)*24*60),0)</f>
        <v>9.0000000083819032</v>
      </c>
      <c r="AL283" s="9">
        <f>IF(P283="completed",((U283-K283)*24*60),0)</f>
        <v>11.000000004423782</v>
      </c>
      <c r="AM283" s="9" t="str">
        <f t="shared" si="8"/>
        <v>OTP Achieved</v>
      </c>
      <c r="AN283" s="9" t="str">
        <f t="shared" si="9"/>
        <v>OTP Achieved</v>
      </c>
    </row>
    <row r="284" spans="1:40" ht="16">
      <c r="A284" s="3" t="s">
        <v>82</v>
      </c>
      <c r="B284" s="12">
        <v>46313.774305555555</v>
      </c>
      <c r="C284" s="5">
        <v>1667</v>
      </c>
      <c r="D284" s="1" t="s">
        <v>41</v>
      </c>
      <c r="E284" s="5">
        <v>8</v>
      </c>
      <c r="F284" s="1" t="s">
        <v>41</v>
      </c>
      <c r="G284" s="1" t="s">
        <v>41</v>
      </c>
      <c r="H284" s="1" t="s">
        <v>941</v>
      </c>
      <c r="I284" s="12">
        <v>46313.774305555555</v>
      </c>
      <c r="J284" s="1" t="s">
        <v>41</v>
      </c>
      <c r="K284" s="12">
        <v>46313.773611111108</v>
      </c>
      <c r="L284" s="5">
        <v>42</v>
      </c>
      <c r="M284" s="1"/>
      <c r="N284" s="1"/>
      <c r="O284" s="12">
        <v>46313.772222222222</v>
      </c>
      <c r="P284" s="1" t="s">
        <v>43</v>
      </c>
      <c r="Q284" s="1" t="s">
        <v>84</v>
      </c>
      <c r="R284" s="1" t="s">
        <v>942</v>
      </c>
      <c r="S284" s="5">
        <v>4247</v>
      </c>
      <c r="T284" s="1" t="s">
        <v>41</v>
      </c>
      <c r="U284" s="12">
        <v>46313.780555555553</v>
      </c>
      <c r="V284" s="12">
        <v>46313.779861111114</v>
      </c>
      <c r="W284" s="7" t="s">
        <v>943</v>
      </c>
      <c r="X284" s="5">
        <v>22411</v>
      </c>
      <c r="Y284" s="4"/>
      <c r="Z284" s="5">
        <v>0</v>
      </c>
      <c r="AA284" s="8">
        <v>0.77430555555555558</v>
      </c>
      <c r="AB284" s="5">
        <v>7</v>
      </c>
      <c r="AC284" s="1" t="s">
        <v>41</v>
      </c>
      <c r="AD284" s="9" t="str">
        <f t="shared" si="5"/>
        <v>Actual</v>
      </c>
      <c r="AE284" s="9" t="str">
        <f t="shared" si="6"/>
        <v>TMK7</v>
      </c>
      <c r="AF284" s="9">
        <f>HOUR(O284)</f>
        <v>18</v>
      </c>
      <c r="AG284" s="9">
        <f>DAY(O284)</f>
        <v>18</v>
      </c>
      <c r="AH284" s="9">
        <f>IFERROR((I284-K284)*24*60,0)</f>
        <v>1.000000003259629</v>
      </c>
      <c r="AI284" s="9">
        <f t="shared" si="7"/>
        <v>1.000000003259629</v>
      </c>
      <c r="AJ284" s="9">
        <f>C284</f>
        <v>1667</v>
      </c>
      <c r="AK284" s="9">
        <f>IF(P284="completed",((V284-K284)*24*60),0)</f>
        <v>9.0000000083819032</v>
      </c>
      <c r="AL284" s="9">
        <f>IF(P284="completed",((U284-K284)*24*60),0)</f>
        <v>10.000000001164153</v>
      </c>
      <c r="AM284" s="9" t="str">
        <f t="shared" si="8"/>
        <v>OTP Achieved</v>
      </c>
      <c r="AN284" s="9" t="str">
        <f t="shared" si="9"/>
        <v>OTP Achieved</v>
      </c>
    </row>
    <row r="285" spans="1:40" ht="16">
      <c r="A285" s="3" t="s">
        <v>190</v>
      </c>
      <c r="B285" s="12">
        <v>46313.773611111108</v>
      </c>
      <c r="C285" s="5">
        <v>1955</v>
      </c>
      <c r="D285" s="1" t="s">
        <v>41</v>
      </c>
      <c r="E285" s="5">
        <v>6</v>
      </c>
      <c r="F285" s="1" t="s">
        <v>41</v>
      </c>
      <c r="G285" s="1" t="s">
        <v>41</v>
      </c>
      <c r="H285" s="1" t="s">
        <v>944</v>
      </c>
      <c r="I285" s="12">
        <v>46313.774305555555</v>
      </c>
      <c r="J285" s="1" t="s">
        <v>41</v>
      </c>
      <c r="K285" s="12">
        <v>46313.774305555555</v>
      </c>
      <c r="L285" s="5">
        <v>23</v>
      </c>
      <c r="M285" s="1"/>
      <c r="N285" s="1"/>
      <c r="O285" s="12">
        <v>46313.772222222222</v>
      </c>
      <c r="P285" s="1" t="s">
        <v>43</v>
      </c>
      <c r="Q285" s="1" t="s">
        <v>192</v>
      </c>
      <c r="R285" s="1" t="s">
        <v>945</v>
      </c>
      <c r="S285" s="5">
        <v>4247</v>
      </c>
      <c r="T285" s="1" t="s">
        <v>41</v>
      </c>
      <c r="U285" s="12">
        <v>46313.779861111114</v>
      </c>
      <c r="V285" s="12">
        <v>46313.77847222222</v>
      </c>
      <c r="W285" s="7" t="s">
        <v>946</v>
      </c>
      <c r="X285" s="5">
        <v>22411</v>
      </c>
      <c r="Y285" s="4"/>
      <c r="Z285" s="5">
        <v>0</v>
      </c>
      <c r="AA285" s="8">
        <v>0.77361111111111114</v>
      </c>
      <c r="AB285" s="5">
        <v>6</v>
      </c>
      <c r="AC285" s="1" t="s">
        <v>41</v>
      </c>
      <c r="AD285" s="9" t="str">
        <f t="shared" si="5"/>
        <v>Actual</v>
      </c>
      <c r="AE285" s="9" t="str">
        <f t="shared" si="6"/>
        <v>TMK7</v>
      </c>
      <c r="AF285" s="9">
        <f>HOUR(O285)</f>
        <v>18</v>
      </c>
      <c r="AG285" s="9">
        <f>DAY(O285)</f>
        <v>18</v>
      </c>
      <c r="AH285" s="9">
        <f>IFERROR((I285-K285)*24*60,0)</f>
        <v>0</v>
      </c>
      <c r="AI285" s="9">
        <f t="shared" si="7"/>
        <v>0</v>
      </c>
      <c r="AJ285" s="9">
        <f>C285</f>
        <v>1955</v>
      </c>
      <c r="AK285" s="9">
        <f>IF(P285="completed",((V285-K285)*24*60),0)</f>
        <v>5.9999999986030161</v>
      </c>
      <c r="AL285" s="9">
        <f>IF(P285="completed",((U285-K285)*24*60),0)</f>
        <v>8.0000000051222742</v>
      </c>
      <c r="AM285" s="9" t="str">
        <f t="shared" si="8"/>
        <v>OTP Achieved</v>
      </c>
      <c r="AN285" s="9" t="str">
        <f t="shared" si="9"/>
        <v>OTP Achieved</v>
      </c>
    </row>
    <row r="286" spans="1:40" ht="16">
      <c r="A286" s="3" t="s">
        <v>106</v>
      </c>
      <c r="B286" s="12">
        <v>46313.772916666669</v>
      </c>
      <c r="C286" s="5">
        <v>1336</v>
      </c>
      <c r="D286" s="1" t="s">
        <v>41</v>
      </c>
      <c r="E286" s="5">
        <v>5</v>
      </c>
      <c r="F286" s="1" t="s">
        <v>41</v>
      </c>
      <c r="G286" s="1" t="s">
        <v>41</v>
      </c>
      <c r="H286" s="1" t="s">
        <v>947</v>
      </c>
      <c r="I286" s="12">
        <v>46313.773611111108</v>
      </c>
      <c r="J286" s="1" t="s">
        <v>41</v>
      </c>
      <c r="K286" s="12">
        <v>46313.772916666669</v>
      </c>
      <c r="L286" s="5">
        <v>37</v>
      </c>
      <c r="M286" s="1"/>
      <c r="N286" s="1"/>
      <c r="O286" s="12">
        <v>46313.771527777775</v>
      </c>
      <c r="P286" s="1" t="s">
        <v>43</v>
      </c>
      <c r="Q286" s="1" t="s">
        <v>108</v>
      </c>
      <c r="R286" s="1" t="s">
        <v>948</v>
      </c>
      <c r="S286" s="5">
        <v>4247</v>
      </c>
      <c r="T286" s="1" t="s">
        <v>41</v>
      </c>
      <c r="U286" s="12">
        <v>46313.777083333334</v>
      </c>
      <c r="V286" s="12">
        <v>46313.776388888888</v>
      </c>
      <c r="W286" s="7" t="s">
        <v>949</v>
      </c>
      <c r="X286" s="5">
        <v>22411</v>
      </c>
      <c r="Y286" s="4"/>
      <c r="Z286" s="5">
        <v>0</v>
      </c>
      <c r="AA286" s="8">
        <v>0.7729166666666667</v>
      </c>
      <c r="AB286" s="5">
        <v>5</v>
      </c>
      <c r="AC286" s="1" t="s">
        <v>41</v>
      </c>
      <c r="AD286" s="9" t="str">
        <f t="shared" si="5"/>
        <v>Actual</v>
      </c>
      <c r="AE286" s="9" t="str">
        <f t="shared" si="6"/>
        <v>TMK7</v>
      </c>
      <c r="AF286" s="9">
        <f>HOUR(O286)</f>
        <v>18</v>
      </c>
      <c r="AG286" s="9">
        <f>DAY(O286)</f>
        <v>18</v>
      </c>
      <c r="AH286" s="9">
        <f>IFERROR((I286-K286)*24*60,0)</f>
        <v>0.99999999278225005</v>
      </c>
      <c r="AI286" s="9">
        <f t="shared" si="7"/>
        <v>0.99999999278225005</v>
      </c>
      <c r="AJ286" s="9">
        <f>C286</f>
        <v>1336</v>
      </c>
      <c r="AK286" s="9">
        <f>IF(P286="completed",((V286-K286)*24*60),0)</f>
        <v>4.9999999953433871</v>
      </c>
      <c r="AL286" s="9">
        <f>IF(P286="completed",((U286-K286)*24*60),0)</f>
        <v>5.9999999986030161</v>
      </c>
      <c r="AM286" s="9" t="str">
        <f t="shared" si="8"/>
        <v>OTP Achieved</v>
      </c>
      <c r="AN286" s="9" t="str">
        <f t="shared" si="9"/>
        <v>OTP Achieved</v>
      </c>
    </row>
    <row r="287" spans="1:40" ht="16">
      <c r="A287" s="3" t="s">
        <v>655</v>
      </c>
      <c r="B287" s="12">
        <v>46313.771527777775</v>
      </c>
      <c r="C287" s="5">
        <v>3788</v>
      </c>
      <c r="D287" s="1" t="s">
        <v>41</v>
      </c>
      <c r="E287" s="5">
        <v>10</v>
      </c>
      <c r="F287" s="1" t="s">
        <v>41</v>
      </c>
      <c r="G287" s="1" t="s">
        <v>41</v>
      </c>
      <c r="H287" s="1" t="s">
        <v>950</v>
      </c>
      <c r="I287" s="12">
        <v>46313.772916666669</v>
      </c>
      <c r="J287" s="1" t="s">
        <v>41</v>
      </c>
      <c r="K287" s="12">
        <v>46313.772916666669</v>
      </c>
      <c r="L287" s="5">
        <v>21</v>
      </c>
      <c r="M287" s="1"/>
      <c r="N287" s="1"/>
      <c r="O287" s="12">
        <v>46313.771527777775</v>
      </c>
      <c r="P287" s="1" t="s">
        <v>43</v>
      </c>
      <c r="Q287" s="1" t="s">
        <v>657</v>
      </c>
      <c r="R287" s="1" t="s">
        <v>951</v>
      </c>
      <c r="S287" s="5">
        <v>4247</v>
      </c>
      <c r="T287" s="1" t="s">
        <v>41</v>
      </c>
      <c r="U287" s="12">
        <v>46313.781944444447</v>
      </c>
      <c r="V287" s="12">
        <v>46313.779861111114</v>
      </c>
      <c r="W287" s="7" t="s">
        <v>952</v>
      </c>
      <c r="X287" s="5">
        <v>22411</v>
      </c>
      <c r="Y287" s="4"/>
      <c r="Z287" s="5">
        <v>0</v>
      </c>
      <c r="AA287" s="8">
        <v>0.77152777777777781</v>
      </c>
      <c r="AB287" s="5">
        <v>10</v>
      </c>
      <c r="AC287" s="1" t="s">
        <v>41</v>
      </c>
      <c r="AD287" s="9" t="str">
        <f t="shared" si="5"/>
        <v>Actual</v>
      </c>
      <c r="AE287" s="9" t="str">
        <f t="shared" si="6"/>
        <v>TMK7</v>
      </c>
      <c r="AF287" s="9">
        <f>HOUR(O287)</f>
        <v>18</v>
      </c>
      <c r="AG287" s="9">
        <f>DAY(O287)</f>
        <v>18</v>
      </c>
      <c r="AH287" s="9">
        <f>IFERROR((I287-K287)*24*60,0)</f>
        <v>0</v>
      </c>
      <c r="AI287" s="9">
        <f t="shared" si="7"/>
        <v>0</v>
      </c>
      <c r="AJ287" s="9">
        <f>C287</f>
        <v>3788</v>
      </c>
      <c r="AK287" s="9">
        <f>IF(P287="completed",((V287-K287)*24*60),0)</f>
        <v>10.000000001164153</v>
      </c>
      <c r="AL287" s="9">
        <f>IF(P287="completed",((U287-K287)*24*60),0)</f>
        <v>13.000000000465661</v>
      </c>
      <c r="AM287" s="9" t="str">
        <f t="shared" si="8"/>
        <v>OTP Achieved</v>
      </c>
      <c r="AN287" s="9" t="str">
        <f t="shared" si="9"/>
        <v>OTP Achieved</v>
      </c>
    </row>
    <row r="288" spans="1:40" ht="16">
      <c r="A288" s="3" t="s">
        <v>754</v>
      </c>
      <c r="B288" s="12">
        <v>46313.770833333336</v>
      </c>
      <c r="C288" s="5">
        <v>862</v>
      </c>
      <c r="D288" s="1" t="s">
        <v>41</v>
      </c>
      <c r="E288" s="5">
        <v>4</v>
      </c>
      <c r="F288" s="1" t="s">
        <v>41</v>
      </c>
      <c r="G288" s="1" t="s">
        <v>41</v>
      </c>
      <c r="H288" s="1" t="s">
        <v>953</v>
      </c>
      <c r="I288" s="12">
        <v>46313.772222222222</v>
      </c>
      <c r="J288" s="1" t="s">
        <v>41</v>
      </c>
      <c r="K288" s="12">
        <v>46313.772222222222</v>
      </c>
      <c r="L288" s="5">
        <v>23</v>
      </c>
      <c r="M288" s="1"/>
      <c r="N288" s="1"/>
      <c r="O288" s="12">
        <v>46313.770833333336</v>
      </c>
      <c r="P288" s="1" t="s">
        <v>43</v>
      </c>
      <c r="Q288" s="1" t="s">
        <v>756</v>
      </c>
      <c r="R288" s="1" t="s">
        <v>954</v>
      </c>
      <c r="S288" s="5">
        <v>4247</v>
      </c>
      <c r="T288" s="1" t="s">
        <v>41</v>
      </c>
      <c r="U288" s="12">
        <v>46313.775000000001</v>
      </c>
      <c r="V288" s="12">
        <v>46313.774305555555</v>
      </c>
      <c r="W288" s="7" t="s">
        <v>955</v>
      </c>
      <c r="X288" s="5">
        <v>22411</v>
      </c>
      <c r="Y288" s="4"/>
      <c r="Z288" s="5">
        <v>0</v>
      </c>
      <c r="AA288" s="8">
        <v>0.77083333333333337</v>
      </c>
      <c r="AB288" s="5">
        <v>3</v>
      </c>
      <c r="AC288" s="1" t="s">
        <v>41</v>
      </c>
      <c r="AD288" s="9" t="str">
        <f t="shared" si="5"/>
        <v>Actual</v>
      </c>
      <c r="AE288" s="9" t="str">
        <f t="shared" si="6"/>
        <v>TMK7</v>
      </c>
      <c r="AF288" s="9">
        <f>HOUR(O288)</f>
        <v>18</v>
      </c>
      <c r="AG288" s="9">
        <f>DAY(O288)</f>
        <v>18</v>
      </c>
      <c r="AH288" s="9">
        <f>IFERROR((I288-K288)*24*60,0)</f>
        <v>0</v>
      </c>
      <c r="AI288" s="9">
        <f t="shared" si="7"/>
        <v>0</v>
      </c>
      <c r="AJ288" s="9">
        <f>C288</f>
        <v>862</v>
      </c>
      <c r="AK288" s="9">
        <f>IF(P288="completed",((V288-K288)*24*60),0)</f>
        <v>2.9999999993015081</v>
      </c>
      <c r="AL288" s="9">
        <f>IF(P288="completed",((U288-K288)*24*60),0)</f>
        <v>4.0000000025611371</v>
      </c>
      <c r="AM288" s="9" t="str">
        <f t="shared" si="8"/>
        <v>OTP Achieved</v>
      </c>
      <c r="AN288" s="9" t="str">
        <f t="shared" si="9"/>
        <v>OTP Achieved</v>
      </c>
    </row>
    <row r="289" spans="1:40" ht="16">
      <c r="A289" s="3" t="s">
        <v>77</v>
      </c>
      <c r="B289" s="12">
        <v>46313.770833333336</v>
      </c>
      <c r="C289" s="5">
        <v>2270</v>
      </c>
      <c r="D289" s="1" t="s">
        <v>41</v>
      </c>
      <c r="E289" s="5">
        <v>7</v>
      </c>
      <c r="F289" s="1" t="s">
        <v>41</v>
      </c>
      <c r="G289" s="1" t="s">
        <v>41</v>
      </c>
      <c r="H289" s="1" t="s">
        <v>956</v>
      </c>
      <c r="I289" s="12">
        <v>46313.773611111108</v>
      </c>
      <c r="J289" s="1" t="s">
        <v>41</v>
      </c>
      <c r="K289" s="12">
        <v>46313.773611111108</v>
      </c>
      <c r="L289" s="5">
        <v>17</v>
      </c>
      <c r="M289" s="1"/>
      <c r="N289" s="1"/>
      <c r="O289" s="12">
        <v>46313.770833333336</v>
      </c>
      <c r="P289" s="1" t="s">
        <v>43</v>
      </c>
      <c r="Q289" s="1" t="s">
        <v>79</v>
      </c>
      <c r="R289" s="1" t="s">
        <v>957</v>
      </c>
      <c r="S289" s="5">
        <v>4247</v>
      </c>
      <c r="T289" s="1" t="s">
        <v>41</v>
      </c>
      <c r="U289" s="12">
        <v>46313.779861111114</v>
      </c>
      <c r="V289" s="12">
        <v>46313.777777777781</v>
      </c>
      <c r="W289" s="7" t="s">
        <v>958</v>
      </c>
      <c r="X289" s="5">
        <v>22411</v>
      </c>
      <c r="Y289" s="4"/>
      <c r="Z289" s="5">
        <v>0</v>
      </c>
      <c r="AA289" s="8">
        <v>0.77083333333333337</v>
      </c>
      <c r="AB289" s="5">
        <v>6</v>
      </c>
      <c r="AC289" s="1" t="s">
        <v>41</v>
      </c>
      <c r="AD289" s="9" t="str">
        <f t="shared" si="5"/>
        <v>Actual</v>
      </c>
      <c r="AE289" s="9" t="str">
        <f t="shared" si="6"/>
        <v>TMK7</v>
      </c>
      <c r="AF289" s="9">
        <f>HOUR(O289)</f>
        <v>18</v>
      </c>
      <c r="AG289" s="9">
        <f>DAY(O289)</f>
        <v>18</v>
      </c>
      <c r="AH289" s="9">
        <f>IFERROR((I289-K289)*24*60,0)</f>
        <v>0</v>
      </c>
      <c r="AI289" s="9">
        <f t="shared" si="7"/>
        <v>0</v>
      </c>
      <c r="AJ289" s="9">
        <f>C289</f>
        <v>2270</v>
      </c>
      <c r="AK289" s="9">
        <f>IF(P289="completed",((V289-K289)*24*60),0)</f>
        <v>6.0000000090803951</v>
      </c>
      <c r="AL289" s="9">
        <f>IF(P289="completed",((U289-K289)*24*60),0)</f>
        <v>9.0000000083819032</v>
      </c>
      <c r="AM289" s="9" t="str">
        <f t="shared" si="8"/>
        <v>OTP Achieved</v>
      </c>
      <c r="AN289" s="9" t="str">
        <f t="shared" si="9"/>
        <v>OTP Achieved</v>
      </c>
    </row>
    <row r="290" spans="1:40" ht="16">
      <c r="A290" s="3" t="s">
        <v>198</v>
      </c>
      <c r="B290" s="12">
        <v>46313.770138888889</v>
      </c>
      <c r="C290" s="5">
        <v>1908</v>
      </c>
      <c r="D290" s="1" t="s">
        <v>41</v>
      </c>
      <c r="E290" s="5">
        <v>5</v>
      </c>
      <c r="F290" s="1" t="s">
        <v>41</v>
      </c>
      <c r="G290" s="1" t="s">
        <v>41</v>
      </c>
      <c r="H290" s="1" t="s">
        <v>959</v>
      </c>
      <c r="I290" s="12">
        <v>46313.771527777775</v>
      </c>
      <c r="J290" s="1" t="s">
        <v>41</v>
      </c>
      <c r="K290" s="12">
        <v>46313.771527777775</v>
      </c>
      <c r="L290" s="5">
        <v>21</v>
      </c>
      <c r="M290" s="1"/>
      <c r="N290" s="1"/>
      <c r="O290" s="12">
        <v>46313.770138888889</v>
      </c>
      <c r="P290" s="1" t="s">
        <v>43</v>
      </c>
      <c r="Q290" s="1" t="s">
        <v>200</v>
      </c>
      <c r="R290" s="1" t="s">
        <v>960</v>
      </c>
      <c r="S290" s="5">
        <v>4247</v>
      </c>
      <c r="T290" s="1" t="s">
        <v>41</v>
      </c>
      <c r="U290" s="12">
        <v>46313.776388888888</v>
      </c>
      <c r="V290" s="12">
        <v>46313.775000000001</v>
      </c>
      <c r="W290" s="7" t="s">
        <v>961</v>
      </c>
      <c r="X290" s="5">
        <v>22411</v>
      </c>
      <c r="Y290" s="1"/>
      <c r="Z290" s="5">
        <v>0</v>
      </c>
      <c r="AA290" s="8">
        <v>0.77013888888888893</v>
      </c>
      <c r="AB290" s="5">
        <v>5</v>
      </c>
      <c r="AC290" s="1" t="s">
        <v>41</v>
      </c>
      <c r="AD290" s="9" t="str">
        <f t="shared" si="5"/>
        <v>Actual</v>
      </c>
      <c r="AE290" s="9" t="str">
        <f t="shared" si="6"/>
        <v>TMK7</v>
      </c>
      <c r="AF290" s="9">
        <f>HOUR(O290)</f>
        <v>18</v>
      </c>
      <c r="AG290" s="9">
        <f>DAY(O290)</f>
        <v>18</v>
      </c>
      <c r="AH290" s="9">
        <f>IFERROR((I290-K290)*24*60,0)</f>
        <v>0</v>
      </c>
      <c r="AI290" s="9">
        <f t="shared" si="7"/>
        <v>0</v>
      </c>
      <c r="AJ290" s="9">
        <f>C290</f>
        <v>1908</v>
      </c>
      <c r="AK290" s="9">
        <f>IF(P290="completed",((V290-K290)*24*60),0)</f>
        <v>5.0000000058207661</v>
      </c>
      <c r="AL290" s="9">
        <f>IF(P290="completed",((U290-K290)*24*60),0)</f>
        <v>7.0000000018626451</v>
      </c>
      <c r="AM290" s="9" t="str">
        <f t="shared" si="8"/>
        <v>OTP Achieved</v>
      </c>
      <c r="AN290" s="9" t="str">
        <f t="shared" si="9"/>
        <v>OTP Achieved</v>
      </c>
    </row>
    <row r="291" spans="1:40" ht="16">
      <c r="A291" s="3" t="s">
        <v>52</v>
      </c>
      <c r="B291" s="12">
        <v>46313.770138888889</v>
      </c>
      <c r="C291" s="5">
        <v>2049</v>
      </c>
      <c r="D291" s="1" t="s">
        <v>41</v>
      </c>
      <c r="E291" s="5">
        <v>7</v>
      </c>
      <c r="F291" s="1" t="s">
        <v>41</v>
      </c>
      <c r="G291" s="1" t="s">
        <v>41</v>
      </c>
      <c r="H291" s="1" t="s">
        <v>962</v>
      </c>
      <c r="I291" s="12">
        <v>46313.772222222222</v>
      </c>
      <c r="J291" s="1" t="s">
        <v>41</v>
      </c>
      <c r="K291" s="12">
        <v>46313.772222222222</v>
      </c>
      <c r="L291" s="5">
        <v>40</v>
      </c>
      <c r="M291" s="1"/>
      <c r="N291" s="1"/>
      <c r="O291" s="12">
        <v>46313.770138888889</v>
      </c>
      <c r="P291" s="1" t="s">
        <v>43</v>
      </c>
      <c r="Q291" s="1" t="s">
        <v>54</v>
      </c>
      <c r="R291" s="1" t="s">
        <v>963</v>
      </c>
      <c r="S291" s="5">
        <v>4247</v>
      </c>
      <c r="T291" s="1" t="s">
        <v>41</v>
      </c>
      <c r="U291" s="12">
        <v>46313.777777777781</v>
      </c>
      <c r="V291" s="12">
        <v>46313.777083333334</v>
      </c>
      <c r="W291" s="7" t="s">
        <v>964</v>
      </c>
      <c r="X291" s="5">
        <v>22411</v>
      </c>
      <c r="Y291" s="4"/>
      <c r="Z291" s="5">
        <v>0</v>
      </c>
      <c r="AA291" s="8">
        <v>0.77013888888888893</v>
      </c>
      <c r="AB291" s="5">
        <v>7</v>
      </c>
      <c r="AC291" s="1" t="s">
        <v>41</v>
      </c>
      <c r="AD291" s="9" t="str">
        <f t="shared" si="5"/>
        <v>Actual</v>
      </c>
      <c r="AE291" s="9" t="str">
        <f t="shared" si="6"/>
        <v>TMK7</v>
      </c>
      <c r="AF291" s="9">
        <f>HOUR(O291)</f>
        <v>18</v>
      </c>
      <c r="AG291" s="9">
        <f>DAY(O291)</f>
        <v>18</v>
      </c>
      <c r="AH291" s="9">
        <f>IFERROR((I291-K291)*24*60,0)</f>
        <v>0</v>
      </c>
      <c r="AI291" s="9">
        <f t="shared" si="7"/>
        <v>0</v>
      </c>
      <c r="AJ291" s="9">
        <f>C291</f>
        <v>2049</v>
      </c>
      <c r="AK291" s="9">
        <f>IF(P291="completed",((V291-K291)*24*60),0)</f>
        <v>7.0000000018626451</v>
      </c>
      <c r="AL291" s="9">
        <f>IF(P291="completed",((U291-K291)*24*60),0)</f>
        <v>8.0000000051222742</v>
      </c>
      <c r="AM291" s="9" t="str">
        <f t="shared" si="8"/>
        <v>OTP Achieved</v>
      </c>
      <c r="AN291" s="9" t="str">
        <f t="shared" si="9"/>
        <v>OTP Achieved</v>
      </c>
    </row>
    <row r="292" spans="1:40" ht="16">
      <c r="A292" s="3" t="s">
        <v>734</v>
      </c>
      <c r="B292" s="12">
        <v>46313.769444444442</v>
      </c>
      <c r="C292" s="5">
        <v>2082</v>
      </c>
      <c r="D292" s="1" t="s">
        <v>41</v>
      </c>
      <c r="E292" s="5">
        <v>7</v>
      </c>
      <c r="F292" s="1" t="s">
        <v>41</v>
      </c>
      <c r="G292" s="1" t="s">
        <v>41</v>
      </c>
      <c r="H292" s="1" t="s">
        <v>965</v>
      </c>
      <c r="I292" s="12">
        <v>46313.770138888889</v>
      </c>
      <c r="J292" s="1" t="s">
        <v>41</v>
      </c>
      <c r="K292" s="12">
        <v>46313.769444444442</v>
      </c>
      <c r="L292" s="5">
        <v>31</v>
      </c>
      <c r="M292" s="1"/>
      <c r="N292" s="1"/>
      <c r="O292" s="12">
        <v>46313.769444444442</v>
      </c>
      <c r="P292" s="1" t="s">
        <v>43</v>
      </c>
      <c r="Q292" s="1" t="s">
        <v>736</v>
      </c>
      <c r="R292" s="1" t="s">
        <v>966</v>
      </c>
      <c r="S292" s="5">
        <v>4247</v>
      </c>
      <c r="T292" s="1" t="s">
        <v>41</v>
      </c>
      <c r="U292" s="12">
        <v>46313.775694444441</v>
      </c>
      <c r="V292" s="12">
        <v>46313.775000000001</v>
      </c>
      <c r="W292" s="7" t="s">
        <v>967</v>
      </c>
      <c r="X292" s="5">
        <v>22411</v>
      </c>
      <c r="Y292" s="4"/>
      <c r="Z292" s="5">
        <v>0</v>
      </c>
      <c r="AA292" s="8">
        <v>0.76944444444444449</v>
      </c>
      <c r="AB292" s="5">
        <v>7</v>
      </c>
      <c r="AC292" s="1" t="s">
        <v>41</v>
      </c>
      <c r="AD292" s="9" t="str">
        <f t="shared" si="5"/>
        <v>Actual</v>
      </c>
      <c r="AE292" s="9" t="str">
        <f t="shared" si="6"/>
        <v>TMK7</v>
      </c>
      <c r="AF292" s="9">
        <f>HOUR(O292)</f>
        <v>18</v>
      </c>
      <c r="AG292" s="9">
        <f>DAY(O292)</f>
        <v>18</v>
      </c>
      <c r="AH292" s="9">
        <f>IFERROR((I292-K292)*24*60,0)</f>
        <v>1.000000003259629</v>
      </c>
      <c r="AI292" s="9">
        <f t="shared" si="7"/>
        <v>1.000000003259629</v>
      </c>
      <c r="AJ292" s="9">
        <f>C292</f>
        <v>2082</v>
      </c>
      <c r="AK292" s="9">
        <f>IF(P292="completed",((V292-K292)*24*60),0)</f>
        <v>8.0000000051222742</v>
      </c>
      <c r="AL292" s="9">
        <f>IF(P292="completed",((U292-K292)*24*60),0)</f>
        <v>8.9999999979045242</v>
      </c>
      <c r="AM292" s="9" t="str">
        <f t="shared" si="8"/>
        <v>OTP Achieved</v>
      </c>
      <c r="AN292" s="9" t="str">
        <f t="shared" si="9"/>
        <v>OTP Achieved</v>
      </c>
    </row>
    <row r="293" spans="1:40" ht="16">
      <c r="A293" s="3" t="s">
        <v>157</v>
      </c>
      <c r="B293" s="12">
        <v>46313.767361111109</v>
      </c>
      <c r="C293" s="5">
        <v>1636</v>
      </c>
      <c r="D293" s="1" t="s">
        <v>41</v>
      </c>
      <c r="E293" s="5">
        <v>5</v>
      </c>
      <c r="F293" s="1" t="s">
        <v>41</v>
      </c>
      <c r="G293" s="1" t="s">
        <v>41</v>
      </c>
      <c r="H293" s="1" t="s">
        <v>968</v>
      </c>
      <c r="I293" s="12">
        <v>46313.768055555556</v>
      </c>
      <c r="J293" s="1" t="s">
        <v>41</v>
      </c>
      <c r="K293" s="12">
        <v>46313.768055555556</v>
      </c>
      <c r="L293" s="5">
        <v>28</v>
      </c>
      <c r="M293" s="1"/>
      <c r="N293" s="1"/>
      <c r="O293" s="12">
        <v>46313.767361111109</v>
      </c>
      <c r="P293" s="1" t="s">
        <v>43</v>
      </c>
      <c r="Q293" s="1" t="s">
        <v>159</v>
      </c>
      <c r="R293" s="1" t="s">
        <v>969</v>
      </c>
      <c r="S293" s="5">
        <v>4247</v>
      </c>
      <c r="T293" s="1" t="s">
        <v>41</v>
      </c>
      <c r="U293" s="12">
        <v>46313.772222222222</v>
      </c>
      <c r="V293" s="12">
        <v>46313.771527777775</v>
      </c>
      <c r="W293" s="7" t="s">
        <v>970</v>
      </c>
      <c r="X293" s="5">
        <v>22411</v>
      </c>
      <c r="Y293" s="4"/>
      <c r="Z293" s="5">
        <v>0</v>
      </c>
      <c r="AA293" s="8">
        <v>0.76736111111111116</v>
      </c>
      <c r="AB293" s="5">
        <v>5</v>
      </c>
      <c r="AC293" s="1" t="s">
        <v>41</v>
      </c>
      <c r="AD293" s="9" t="str">
        <f t="shared" si="5"/>
        <v>Actual</v>
      </c>
      <c r="AE293" s="9" t="str">
        <f t="shared" si="6"/>
        <v>TMK7</v>
      </c>
      <c r="AF293" s="9">
        <f>HOUR(O293)</f>
        <v>18</v>
      </c>
      <c r="AG293" s="9">
        <f>DAY(O293)</f>
        <v>18</v>
      </c>
      <c r="AH293" s="9">
        <f>IFERROR((I293-K293)*24*60,0)</f>
        <v>0</v>
      </c>
      <c r="AI293" s="9">
        <f t="shared" si="7"/>
        <v>0</v>
      </c>
      <c r="AJ293" s="9">
        <f>C293</f>
        <v>1636</v>
      </c>
      <c r="AK293" s="9">
        <f>IF(P293="completed",((V293-K293)*24*60),0)</f>
        <v>4.9999999953433871</v>
      </c>
      <c r="AL293" s="9">
        <f>IF(P293="completed",((U293-K293)*24*60),0)</f>
        <v>5.9999999986030161</v>
      </c>
      <c r="AM293" s="9" t="str">
        <f t="shared" si="8"/>
        <v>OTP Achieved</v>
      </c>
      <c r="AN293" s="9" t="str">
        <f t="shared" si="9"/>
        <v>OTP Achieved</v>
      </c>
    </row>
    <row r="294" spans="1:40" ht="16">
      <c r="A294" s="3" t="s">
        <v>379</v>
      </c>
      <c r="B294" s="12">
        <v>46313.76666666667</v>
      </c>
      <c r="C294" s="5">
        <v>1376</v>
      </c>
      <c r="D294" s="1" t="s">
        <v>41</v>
      </c>
      <c r="E294" s="5">
        <v>6</v>
      </c>
      <c r="F294" s="1" t="s">
        <v>41</v>
      </c>
      <c r="G294" s="1" t="s">
        <v>41</v>
      </c>
      <c r="H294" s="1" t="s">
        <v>971</v>
      </c>
      <c r="I294" s="12">
        <v>46313.768055555556</v>
      </c>
      <c r="J294" s="1" t="s">
        <v>41</v>
      </c>
      <c r="K294" s="12">
        <v>46313.768055555556</v>
      </c>
      <c r="L294" s="5">
        <v>18</v>
      </c>
      <c r="M294" s="1"/>
      <c r="N294" s="1"/>
      <c r="O294" s="12">
        <v>46313.76666666667</v>
      </c>
      <c r="P294" s="1" t="s">
        <v>43</v>
      </c>
      <c r="Q294" s="1" t="s">
        <v>381</v>
      </c>
      <c r="R294" s="1" t="s">
        <v>972</v>
      </c>
      <c r="S294" s="5">
        <v>4247</v>
      </c>
      <c r="T294" s="1" t="s">
        <v>41</v>
      </c>
      <c r="U294" s="12">
        <v>46313.772222222222</v>
      </c>
      <c r="V294" s="12">
        <v>46313.772222222222</v>
      </c>
      <c r="W294" s="7" t="s">
        <v>973</v>
      </c>
      <c r="X294" s="5">
        <v>22411</v>
      </c>
      <c r="Y294" s="4"/>
      <c r="Z294" s="5">
        <v>0</v>
      </c>
      <c r="AA294" s="8">
        <v>0.76666666666666672</v>
      </c>
      <c r="AB294" s="5">
        <v>6</v>
      </c>
      <c r="AC294" s="1" t="s">
        <v>41</v>
      </c>
      <c r="AD294" s="9" t="str">
        <f t="shared" si="5"/>
        <v>Actual</v>
      </c>
      <c r="AE294" s="9" t="str">
        <f t="shared" si="6"/>
        <v>TMK7</v>
      </c>
      <c r="AF294" s="9">
        <f>HOUR(O294)</f>
        <v>18</v>
      </c>
      <c r="AG294" s="9">
        <f>DAY(O294)</f>
        <v>18</v>
      </c>
      <c r="AH294" s="9">
        <f>IFERROR((I294-K294)*24*60,0)</f>
        <v>0</v>
      </c>
      <c r="AI294" s="9">
        <f t="shared" si="7"/>
        <v>0</v>
      </c>
      <c r="AJ294" s="9">
        <f>C294</f>
        <v>1376</v>
      </c>
      <c r="AK294" s="9">
        <f>IF(P294="completed",((V294-K294)*24*60),0)</f>
        <v>5.9999999986030161</v>
      </c>
      <c r="AL294" s="9">
        <f>IF(P294="completed",((U294-K294)*24*60),0)</f>
        <v>5.9999999986030161</v>
      </c>
      <c r="AM294" s="9" t="str">
        <f t="shared" si="8"/>
        <v>OTP Breached</v>
      </c>
      <c r="AN294" s="9" t="str">
        <f t="shared" si="9"/>
        <v>OTP Achieved</v>
      </c>
    </row>
    <row r="295" spans="1:40" ht="16">
      <c r="A295" s="3" t="s">
        <v>72</v>
      </c>
      <c r="B295" s="12">
        <v>46313.76458333333</v>
      </c>
      <c r="C295" s="5">
        <v>1383</v>
      </c>
      <c r="D295" s="1" t="s">
        <v>41</v>
      </c>
      <c r="E295" s="5">
        <v>6</v>
      </c>
      <c r="F295" s="1" t="s">
        <v>41</v>
      </c>
      <c r="G295" s="1" t="s">
        <v>41</v>
      </c>
      <c r="H295" s="1" t="s">
        <v>974</v>
      </c>
      <c r="I295" s="12">
        <v>46313.765972222223</v>
      </c>
      <c r="J295" s="1" t="s">
        <v>41</v>
      </c>
      <c r="K295" s="12">
        <v>46313.765972222223</v>
      </c>
      <c r="L295" s="5">
        <v>19</v>
      </c>
      <c r="M295" s="1"/>
      <c r="N295" s="1"/>
      <c r="O295" s="12">
        <v>46313.76458333333</v>
      </c>
      <c r="P295" s="1" t="s">
        <v>43</v>
      </c>
      <c r="Q295" s="1" t="s">
        <v>74</v>
      </c>
      <c r="R295" s="1" t="s">
        <v>975</v>
      </c>
      <c r="S295" s="5">
        <v>4247</v>
      </c>
      <c r="T295" s="1" t="s">
        <v>41</v>
      </c>
      <c r="U295" s="12">
        <v>46313.770833333336</v>
      </c>
      <c r="V295" s="12">
        <v>46313.770138888889</v>
      </c>
      <c r="W295" s="7" t="s">
        <v>976</v>
      </c>
      <c r="X295" s="5">
        <v>22411</v>
      </c>
      <c r="Y295" s="4"/>
      <c r="Z295" s="5">
        <v>0</v>
      </c>
      <c r="AA295" s="8">
        <v>0.76458333333333328</v>
      </c>
      <c r="AB295" s="5">
        <v>5</v>
      </c>
      <c r="AC295" s="1" t="s">
        <v>41</v>
      </c>
      <c r="AD295" s="9" t="str">
        <f t="shared" si="5"/>
        <v>Actual</v>
      </c>
      <c r="AE295" s="9" t="str">
        <f t="shared" si="6"/>
        <v>TMK7</v>
      </c>
      <c r="AF295" s="9">
        <f>HOUR(O295)</f>
        <v>18</v>
      </c>
      <c r="AG295" s="9">
        <f>DAY(O295)</f>
        <v>18</v>
      </c>
      <c r="AH295" s="9">
        <f>IFERROR((I295-K295)*24*60,0)</f>
        <v>0</v>
      </c>
      <c r="AI295" s="9">
        <f t="shared" si="7"/>
        <v>0</v>
      </c>
      <c r="AJ295" s="9">
        <f>C295</f>
        <v>1383</v>
      </c>
      <c r="AK295" s="9">
        <f>IF(P295="completed",((V295-K295)*24*60),0)</f>
        <v>5.9999999986030161</v>
      </c>
      <c r="AL295" s="9">
        <f>IF(P295="completed",((U295-K295)*24*60),0)</f>
        <v>7.0000000018626451</v>
      </c>
      <c r="AM295" s="9" t="str">
        <f t="shared" si="8"/>
        <v>OTP Achieved</v>
      </c>
      <c r="AN295" s="9" t="str">
        <f t="shared" si="9"/>
        <v>OTP Achieved</v>
      </c>
    </row>
    <row r="296" spans="1:40" ht="16">
      <c r="A296" s="3" t="s">
        <v>347</v>
      </c>
      <c r="B296" s="12">
        <v>46313.763888888891</v>
      </c>
      <c r="C296" s="5">
        <v>1284</v>
      </c>
      <c r="D296" s="1" t="s">
        <v>41</v>
      </c>
      <c r="E296" s="5">
        <v>5</v>
      </c>
      <c r="F296" s="1" t="s">
        <v>41</v>
      </c>
      <c r="G296" s="1" t="s">
        <v>41</v>
      </c>
      <c r="H296" s="1" t="s">
        <v>977</v>
      </c>
      <c r="I296" s="12">
        <v>46313.76458333333</v>
      </c>
      <c r="J296" s="1" t="s">
        <v>41</v>
      </c>
      <c r="K296" s="12">
        <v>46313.762499999997</v>
      </c>
      <c r="L296" s="5">
        <v>23</v>
      </c>
      <c r="M296" s="1"/>
      <c r="N296" s="1"/>
      <c r="O296" s="12">
        <v>46313.761111111111</v>
      </c>
      <c r="P296" s="1" t="s">
        <v>43</v>
      </c>
      <c r="Q296" s="1" t="s">
        <v>349</v>
      </c>
      <c r="R296" s="1" t="s">
        <v>978</v>
      </c>
      <c r="S296" s="5">
        <v>4247</v>
      </c>
      <c r="T296" s="1" t="s">
        <v>41</v>
      </c>
      <c r="U296" s="12">
        <v>46313.769444444442</v>
      </c>
      <c r="V296" s="12">
        <v>46313.768055555556</v>
      </c>
      <c r="W296" s="7" t="s">
        <v>979</v>
      </c>
      <c r="X296" s="5">
        <v>22411</v>
      </c>
      <c r="Y296" s="4"/>
      <c r="Z296" s="5">
        <v>0</v>
      </c>
      <c r="AA296" s="8">
        <v>0.76388888888888884</v>
      </c>
      <c r="AB296" s="5">
        <v>5</v>
      </c>
      <c r="AC296" s="1" t="s">
        <v>41</v>
      </c>
      <c r="AD296" s="9" t="str">
        <f t="shared" si="5"/>
        <v>Actual</v>
      </c>
      <c r="AE296" s="9" t="str">
        <f t="shared" si="6"/>
        <v>TMK7</v>
      </c>
      <c r="AF296" s="9">
        <f>HOUR(O296)</f>
        <v>18</v>
      </c>
      <c r="AG296" s="9">
        <f>DAY(O296)</f>
        <v>18</v>
      </c>
      <c r="AH296" s="9">
        <f>IFERROR((I296-K296)*24*60,0)</f>
        <v>2.9999999993015081</v>
      </c>
      <c r="AI296" s="9">
        <f t="shared" si="7"/>
        <v>2.9999999993015081</v>
      </c>
      <c r="AJ296" s="9">
        <f>C296</f>
        <v>1284</v>
      </c>
      <c r="AK296" s="9">
        <f>IF(P296="completed",((V296-K296)*24*60),0)</f>
        <v>8.0000000051222742</v>
      </c>
      <c r="AL296" s="9">
        <f>IF(P296="completed",((U296-K296)*24*60),0)</f>
        <v>10.000000001164153</v>
      </c>
      <c r="AM296" s="9" t="str">
        <f t="shared" si="8"/>
        <v>OTP Achieved</v>
      </c>
      <c r="AN296" s="9" t="str">
        <f t="shared" si="9"/>
        <v>OTP Achieved</v>
      </c>
    </row>
    <row r="297" spans="1:40" ht="16">
      <c r="A297" s="3" t="s">
        <v>190</v>
      </c>
      <c r="B297" s="12">
        <v>46313.763888888891</v>
      </c>
      <c r="C297" s="5">
        <v>1521</v>
      </c>
      <c r="D297" s="1" t="s">
        <v>41</v>
      </c>
      <c r="E297" s="5">
        <v>5</v>
      </c>
      <c r="F297" s="1" t="s">
        <v>41</v>
      </c>
      <c r="G297" s="1" t="s">
        <v>41</v>
      </c>
      <c r="H297" s="1" t="s">
        <v>980</v>
      </c>
      <c r="I297" s="12">
        <v>46313.763888888891</v>
      </c>
      <c r="J297" s="1" t="s">
        <v>41</v>
      </c>
      <c r="K297" s="12">
        <v>46313.761111111111</v>
      </c>
      <c r="L297" s="5">
        <v>20</v>
      </c>
      <c r="M297" s="1"/>
      <c r="N297" s="1"/>
      <c r="O297" s="12">
        <v>46313.760416666664</v>
      </c>
      <c r="P297" s="1" t="s">
        <v>43</v>
      </c>
      <c r="Q297" s="1" t="s">
        <v>192</v>
      </c>
      <c r="R297" s="1" t="s">
        <v>981</v>
      </c>
      <c r="S297" s="5">
        <v>4247</v>
      </c>
      <c r="T297" s="1" t="s">
        <v>41</v>
      </c>
      <c r="U297" s="12">
        <v>46313.768750000003</v>
      </c>
      <c r="V297" s="12">
        <v>46313.76666666667</v>
      </c>
      <c r="W297" s="7" t="s">
        <v>982</v>
      </c>
      <c r="X297" s="5">
        <v>22411</v>
      </c>
      <c r="Y297" s="4"/>
      <c r="Z297" s="5">
        <v>0</v>
      </c>
      <c r="AA297" s="8">
        <v>0.76388888888888884</v>
      </c>
      <c r="AB297" s="5">
        <v>4</v>
      </c>
      <c r="AC297" s="1" t="s">
        <v>41</v>
      </c>
      <c r="AD297" s="9" t="str">
        <f t="shared" si="5"/>
        <v>Actual</v>
      </c>
      <c r="AE297" s="9" t="str">
        <f t="shared" si="6"/>
        <v>TMK7</v>
      </c>
      <c r="AF297" s="9">
        <f>HOUR(O297)</f>
        <v>18</v>
      </c>
      <c r="AG297" s="9">
        <f>DAY(O297)</f>
        <v>18</v>
      </c>
      <c r="AH297" s="9">
        <f>IFERROR((I297-K297)*24*60,0)</f>
        <v>4.0000000025611371</v>
      </c>
      <c r="AI297" s="9">
        <f t="shared" si="7"/>
        <v>4.0000000025611371</v>
      </c>
      <c r="AJ297" s="9">
        <f>C297</f>
        <v>1521</v>
      </c>
      <c r="AK297" s="9">
        <f>IF(P297="completed",((V297-K297)*24*60),0)</f>
        <v>8.0000000051222742</v>
      </c>
      <c r="AL297" s="9">
        <f>IF(P297="completed",((U297-K297)*24*60),0)</f>
        <v>11.000000004423782</v>
      </c>
      <c r="AM297" s="9" t="str">
        <f t="shared" si="8"/>
        <v>OTP Achieved</v>
      </c>
      <c r="AN297" s="9" t="str">
        <f t="shared" si="9"/>
        <v>OTP Achieved</v>
      </c>
    </row>
    <row r="298" spans="1:40" ht="16">
      <c r="A298" s="3" t="s">
        <v>98</v>
      </c>
      <c r="B298" s="12">
        <v>46313.763194444444</v>
      </c>
      <c r="C298" s="5">
        <v>1531</v>
      </c>
      <c r="D298" s="1" t="s">
        <v>41</v>
      </c>
      <c r="E298" s="5">
        <v>8</v>
      </c>
      <c r="F298" s="1" t="s">
        <v>41</v>
      </c>
      <c r="G298" s="1" t="s">
        <v>41</v>
      </c>
      <c r="H298" s="1" t="s">
        <v>980</v>
      </c>
      <c r="I298" s="12">
        <v>46313.763888888891</v>
      </c>
      <c r="J298" s="1" t="s">
        <v>41</v>
      </c>
      <c r="K298" s="12">
        <v>46313.760416666664</v>
      </c>
      <c r="L298" s="5">
        <v>20</v>
      </c>
      <c r="M298" s="1"/>
      <c r="N298" s="1"/>
      <c r="O298" s="12">
        <v>46313.760416666664</v>
      </c>
      <c r="P298" s="1" t="s">
        <v>43</v>
      </c>
      <c r="Q298" s="1" t="s">
        <v>100</v>
      </c>
      <c r="R298" s="1" t="s">
        <v>983</v>
      </c>
      <c r="S298" s="5">
        <v>4247</v>
      </c>
      <c r="T298" s="1" t="s">
        <v>41</v>
      </c>
      <c r="U298" s="12">
        <v>46313.768055555556</v>
      </c>
      <c r="V298" s="12">
        <v>46313.768750000003</v>
      </c>
      <c r="W298" s="7" t="s">
        <v>984</v>
      </c>
      <c r="X298" s="5">
        <v>22411</v>
      </c>
      <c r="Y298" s="4"/>
      <c r="Z298" s="5">
        <v>0</v>
      </c>
      <c r="AA298" s="8">
        <v>0.7631944444444444</v>
      </c>
      <c r="AB298" s="5">
        <v>7</v>
      </c>
      <c r="AC298" s="1" t="s">
        <v>41</v>
      </c>
      <c r="AD298" s="9" t="str">
        <f t="shared" si="5"/>
        <v>Actual</v>
      </c>
      <c r="AE298" s="9" t="str">
        <f t="shared" si="6"/>
        <v>TMK7</v>
      </c>
      <c r="AF298" s="9">
        <f>HOUR(O298)</f>
        <v>18</v>
      </c>
      <c r="AG298" s="9">
        <f>DAY(O298)</f>
        <v>18</v>
      </c>
      <c r="AH298" s="9">
        <f>IFERROR((I298-K298)*24*60,0)</f>
        <v>5.0000000058207661</v>
      </c>
      <c r="AI298" s="9">
        <f t="shared" si="7"/>
        <v>5.0000000058207661</v>
      </c>
      <c r="AJ298" s="9">
        <f>C298</f>
        <v>1531</v>
      </c>
      <c r="AK298" s="9">
        <f>IF(P298="completed",((V298-K298)*24*60),0)</f>
        <v>12.000000007683411</v>
      </c>
      <c r="AL298" s="9">
        <f>IF(P298="completed",((U298-K298)*24*60),0)</f>
        <v>11.000000004423782</v>
      </c>
      <c r="AM298" s="9" t="str">
        <f t="shared" si="8"/>
        <v>OTP Breached</v>
      </c>
      <c r="AN298" s="9" t="str">
        <f t="shared" si="9"/>
        <v>OTP Achieved</v>
      </c>
    </row>
    <row r="299" spans="1:40" ht="16">
      <c r="A299" s="3" t="s">
        <v>209</v>
      </c>
      <c r="B299" s="12">
        <v>46313.762499999997</v>
      </c>
      <c r="C299" s="5">
        <v>2346</v>
      </c>
      <c r="D299" s="1" t="s">
        <v>41</v>
      </c>
      <c r="E299" s="5">
        <v>8</v>
      </c>
      <c r="F299" s="1" t="s">
        <v>41</v>
      </c>
      <c r="G299" s="1" t="s">
        <v>41</v>
      </c>
      <c r="H299" s="1" t="s">
        <v>985</v>
      </c>
      <c r="I299" s="12">
        <v>46313.763194444444</v>
      </c>
      <c r="J299" s="1" t="s">
        <v>41</v>
      </c>
      <c r="K299" s="12">
        <v>46313.761111111111</v>
      </c>
      <c r="L299" s="5">
        <v>41</v>
      </c>
      <c r="M299" s="1"/>
      <c r="N299" s="1"/>
      <c r="O299" s="12">
        <v>46313.760416666664</v>
      </c>
      <c r="P299" s="1" t="s">
        <v>43</v>
      </c>
      <c r="Q299" s="1" t="s">
        <v>211</v>
      </c>
      <c r="R299" s="1" t="s">
        <v>986</v>
      </c>
      <c r="S299" s="5">
        <v>4247</v>
      </c>
      <c r="T299" s="1" t="s">
        <v>41</v>
      </c>
      <c r="U299" s="12">
        <v>46313.769444444442</v>
      </c>
      <c r="V299" s="12">
        <v>46313.768055555556</v>
      </c>
      <c r="W299" s="7" t="s">
        <v>987</v>
      </c>
      <c r="X299" s="5">
        <v>22411</v>
      </c>
      <c r="Y299" s="4"/>
      <c r="Z299" s="5">
        <v>0</v>
      </c>
      <c r="AA299" s="8">
        <v>0.76249999999999996</v>
      </c>
      <c r="AB299" s="5">
        <v>7</v>
      </c>
      <c r="AC299" s="1" t="s">
        <v>41</v>
      </c>
      <c r="AD299" s="9" t="str">
        <f t="shared" si="5"/>
        <v>Actual</v>
      </c>
      <c r="AE299" s="9" t="str">
        <f t="shared" si="6"/>
        <v>TMK7</v>
      </c>
      <c r="AF299" s="9">
        <f>HOUR(O299)</f>
        <v>18</v>
      </c>
      <c r="AG299" s="9">
        <f>DAY(O299)</f>
        <v>18</v>
      </c>
      <c r="AH299" s="9">
        <f>IFERROR((I299-K299)*24*60,0)</f>
        <v>2.9999999993015081</v>
      </c>
      <c r="AI299" s="9">
        <f t="shared" si="7"/>
        <v>2.9999999993015081</v>
      </c>
      <c r="AJ299" s="9">
        <f>C299</f>
        <v>2346</v>
      </c>
      <c r="AK299" s="9">
        <f>IF(P299="completed",((V299-K299)*24*60),0)</f>
        <v>10.000000001164153</v>
      </c>
      <c r="AL299" s="9">
        <f>IF(P299="completed",((U299-K299)*24*60),0)</f>
        <v>11.999999997206032</v>
      </c>
      <c r="AM299" s="9" t="str">
        <f t="shared" si="8"/>
        <v>OTP Achieved</v>
      </c>
      <c r="AN299" s="9" t="str">
        <f t="shared" si="9"/>
        <v>OTP Achieved</v>
      </c>
    </row>
    <row r="300" spans="1:40" ht="16">
      <c r="A300" s="3" t="s">
        <v>177</v>
      </c>
      <c r="B300" s="12">
        <v>46313.762499999997</v>
      </c>
      <c r="C300" s="5">
        <v>3937</v>
      </c>
      <c r="D300" s="1" t="s">
        <v>41</v>
      </c>
      <c r="E300" s="5">
        <v>12</v>
      </c>
      <c r="F300" s="1" t="s">
        <v>41</v>
      </c>
      <c r="G300" s="1" t="s">
        <v>41</v>
      </c>
      <c r="H300" s="1" t="s">
        <v>988</v>
      </c>
      <c r="I300" s="12">
        <v>46313.763194444444</v>
      </c>
      <c r="J300" s="1" t="s">
        <v>41</v>
      </c>
      <c r="K300" s="12">
        <v>46313.760416666664</v>
      </c>
      <c r="L300" s="5">
        <v>34</v>
      </c>
      <c r="M300" s="1"/>
      <c r="N300" s="1"/>
      <c r="O300" s="12">
        <v>46313.760416666664</v>
      </c>
      <c r="P300" s="1" t="s">
        <v>43</v>
      </c>
      <c r="Q300" s="1" t="s">
        <v>179</v>
      </c>
      <c r="R300" s="1" t="s">
        <v>989</v>
      </c>
      <c r="S300" s="5">
        <v>4247</v>
      </c>
      <c r="T300" s="1" t="s">
        <v>41</v>
      </c>
      <c r="U300" s="12">
        <v>46313.772916666669</v>
      </c>
      <c r="V300" s="12">
        <v>46313.770833333336</v>
      </c>
      <c r="W300" s="7" t="s">
        <v>990</v>
      </c>
      <c r="X300" s="5">
        <v>22411</v>
      </c>
      <c r="Y300" s="4"/>
      <c r="Z300" s="5">
        <v>0</v>
      </c>
      <c r="AA300" s="8">
        <v>0.76249999999999996</v>
      </c>
      <c r="AB300" s="5">
        <v>11</v>
      </c>
      <c r="AC300" s="1" t="s">
        <v>41</v>
      </c>
      <c r="AD300" s="9" t="str">
        <f t="shared" si="5"/>
        <v>Actual</v>
      </c>
      <c r="AE300" s="9" t="str">
        <f t="shared" si="6"/>
        <v>TMK7</v>
      </c>
      <c r="AF300" s="9">
        <f>HOUR(O300)</f>
        <v>18</v>
      </c>
      <c r="AG300" s="9">
        <f>DAY(O300)</f>
        <v>18</v>
      </c>
      <c r="AH300" s="9">
        <f>IFERROR((I300-K300)*24*60,0)</f>
        <v>4.0000000025611371</v>
      </c>
      <c r="AI300" s="9">
        <f t="shared" si="7"/>
        <v>4.0000000025611371</v>
      </c>
      <c r="AJ300" s="9">
        <f>C300</f>
        <v>3937</v>
      </c>
      <c r="AK300" s="9">
        <f>IF(P300="completed",((V300-K300)*24*60),0)</f>
        <v>15.000000006984919</v>
      </c>
      <c r="AL300" s="9">
        <f>IF(P300="completed",((U300-K300)*24*60),0)</f>
        <v>18.000000006286427</v>
      </c>
      <c r="AM300" s="9" t="str">
        <f t="shared" si="8"/>
        <v>OTP Achieved</v>
      </c>
      <c r="AN300" s="9" t="str">
        <f t="shared" si="9"/>
        <v>OTP Achieved</v>
      </c>
    </row>
    <row r="301" spans="1:40" ht="16">
      <c r="A301" s="3" t="s">
        <v>655</v>
      </c>
      <c r="B301" s="12">
        <v>46313.762499999997</v>
      </c>
      <c r="C301" s="5">
        <v>1628</v>
      </c>
      <c r="D301" s="1" t="s">
        <v>41</v>
      </c>
      <c r="E301" s="5">
        <v>5</v>
      </c>
      <c r="F301" s="1" t="s">
        <v>41</v>
      </c>
      <c r="G301" s="1" t="s">
        <v>41</v>
      </c>
      <c r="H301" s="1" t="s">
        <v>991</v>
      </c>
      <c r="I301" s="12">
        <v>46313.763194444444</v>
      </c>
      <c r="J301" s="1" t="s">
        <v>41</v>
      </c>
      <c r="K301" s="12">
        <v>46313.759027777778</v>
      </c>
      <c r="L301" s="5">
        <v>39</v>
      </c>
      <c r="M301" s="1"/>
      <c r="N301" s="1"/>
      <c r="O301" s="12">
        <v>46313.757638888892</v>
      </c>
      <c r="P301" s="1" t="s">
        <v>43</v>
      </c>
      <c r="Q301" s="1" t="s">
        <v>657</v>
      </c>
      <c r="R301" s="1" t="s">
        <v>992</v>
      </c>
      <c r="S301" s="5">
        <v>4247</v>
      </c>
      <c r="T301" s="1" t="s">
        <v>41</v>
      </c>
      <c r="U301" s="12">
        <v>46313.768055555556</v>
      </c>
      <c r="V301" s="12">
        <v>46313.765972222223</v>
      </c>
      <c r="W301" s="7" t="s">
        <v>993</v>
      </c>
      <c r="X301" s="5">
        <v>22411</v>
      </c>
      <c r="Y301" s="4"/>
      <c r="Z301" s="5">
        <v>0</v>
      </c>
      <c r="AA301" s="8">
        <v>0.76249999999999996</v>
      </c>
      <c r="AB301" s="5">
        <v>4</v>
      </c>
      <c r="AC301" s="1" t="s">
        <v>41</v>
      </c>
      <c r="AD301" s="9" t="str">
        <f t="shared" si="5"/>
        <v>Actual</v>
      </c>
      <c r="AE301" s="9" t="str">
        <f t="shared" si="6"/>
        <v>TMK7</v>
      </c>
      <c r="AF301" s="9">
        <f>HOUR(O301)</f>
        <v>18</v>
      </c>
      <c r="AG301" s="9">
        <f>DAY(O301)</f>
        <v>18</v>
      </c>
      <c r="AH301" s="9">
        <f>IFERROR((I301-K301)*24*60,0)</f>
        <v>5.9999999986030161</v>
      </c>
      <c r="AI301" s="9">
        <f t="shared" si="7"/>
        <v>5.9999999986030161</v>
      </c>
      <c r="AJ301" s="9">
        <f>C301</f>
        <v>1628</v>
      </c>
      <c r="AK301" s="9">
        <f>IF(P301="completed",((V301-K301)*24*60),0)</f>
        <v>10.000000001164153</v>
      </c>
      <c r="AL301" s="9">
        <f>IF(P301="completed",((U301-K301)*24*60),0)</f>
        <v>13.000000000465661</v>
      </c>
      <c r="AM301" s="9" t="str">
        <f t="shared" si="8"/>
        <v>OTP Achieved</v>
      </c>
      <c r="AN301" s="9" t="str">
        <f t="shared" si="9"/>
        <v>OTP Achieved</v>
      </c>
    </row>
    <row r="302" spans="1:40" ht="16">
      <c r="A302" s="3" t="s">
        <v>339</v>
      </c>
      <c r="B302" s="12">
        <v>46313.761111111111</v>
      </c>
      <c r="C302" s="5">
        <v>2155</v>
      </c>
      <c r="D302" s="1" t="s">
        <v>41</v>
      </c>
      <c r="E302" s="5">
        <v>9</v>
      </c>
      <c r="F302" s="1" t="s">
        <v>41</v>
      </c>
      <c r="G302" s="1" t="s">
        <v>41</v>
      </c>
      <c r="H302" s="1" t="s">
        <v>994</v>
      </c>
      <c r="I302" s="12">
        <v>46313.761111111111</v>
      </c>
      <c r="J302" s="1" t="s">
        <v>41</v>
      </c>
      <c r="K302" s="12">
        <v>46313.759027777778</v>
      </c>
      <c r="L302" s="5">
        <v>17</v>
      </c>
      <c r="M302" s="1"/>
      <c r="N302" s="1"/>
      <c r="O302" s="12">
        <v>46313.756944444445</v>
      </c>
      <c r="P302" s="1" t="s">
        <v>43</v>
      </c>
      <c r="Q302" s="1" t="s">
        <v>341</v>
      </c>
      <c r="R302" s="1" t="s">
        <v>995</v>
      </c>
      <c r="S302" s="5">
        <v>4247</v>
      </c>
      <c r="T302" s="1" t="s">
        <v>41</v>
      </c>
      <c r="U302" s="12">
        <v>46313.767361111109</v>
      </c>
      <c r="V302" s="12">
        <v>46313.767361111109</v>
      </c>
      <c r="W302" s="7" t="s">
        <v>996</v>
      </c>
      <c r="X302" s="5">
        <v>22411</v>
      </c>
      <c r="Y302" s="4"/>
      <c r="Z302" s="5">
        <v>0</v>
      </c>
      <c r="AA302" s="8">
        <v>0.76111111111111107</v>
      </c>
      <c r="AB302" s="5">
        <v>9</v>
      </c>
      <c r="AC302" s="1" t="s">
        <v>41</v>
      </c>
      <c r="AD302" s="9" t="str">
        <f t="shared" si="5"/>
        <v>Actual</v>
      </c>
      <c r="AE302" s="9" t="str">
        <f t="shared" si="6"/>
        <v>TMK7</v>
      </c>
      <c r="AF302" s="9">
        <f>HOUR(O302)</f>
        <v>18</v>
      </c>
      <c r="AG302" s="9">
        <f>DAY(O302)</f>
        <v>18</v>
      </c>
      <c r="AH302" s="9">
        <f>IFERROR((I302-K302)*24*60,0)</f>
        <v>2.9999999993015081</v>
      </c>
      <c r="AI302" s="9">
        <f t="shared" si="7"/>
        <v>2.9999999993015081</v>
      </c>
      <c r="AJ302" s="9">
        <f>C302</f>
        <v>2155</v>
      </c>
      <c r="AK302" s="9">
        <f>IF(P302="completed",((V302-K302)*24*60),0)</f>
        <v>11.999999997206032</v>
      </c>
      <c r="AL302" s="9">
        <f>IF(P302="completed",((U302-K302)*24*60),0)</f>
        <v>11.999999997206032</v>
      </c>
      <c r="AM302" s="9" t="str">
        <f t="shared" si="8"/>
        <v>OTP Breached</v>
      </c>
      <c r="AN302" s="9" t="str">
        <f t="shared" si="9"/>
        <v>OTP Achieved</v>
      </c>
    </row>
    <row r="303" spans="1:40" ht="16">
      <c r="A303" s="3" t="s">
        <v>303</v>
      </c>
      <c r="B303" s="12">
        <v>46313.759722222225</v>
      </c>
      <c r="C303" s="5">
        <v>2128</v>
      </c>
      <c r="D303" s="1" t="s">
        <v>41</v>
      </c>
      <c r="E303" s="5">
        <v>8</v>
      </c>
      <c r="F303" s="1" t="s">
        <v>41</v>
      </c>
      <c r="G303" s="1" t="s">
        <v>41</v>
      </c>
      <c r="H303" s="1" t="s">
        <v>997</v>
      </c>
      <c r="I303" s="12">
        <v>46313.760416666664</v>
      </c>
      <c r="J303" s="1" t="s">
        <v>41</v>
      </c>
      <c r="K303" s="12">
        <v>46313.756944444445</v>
      </c>
      <c r="L303" s="5">
        <v>14</v>
      </c>
      <c r="M303" s="1"/>
      <c r="N303" s="1"/>
      <c r="O303" s="12">
        <v>46313.756249999999</v>
      </c>
      <c r="P303" s="1" t="s">
        <v>43</v>
      </c>
      <c r="Q303" s="1" t="s">
        <v>305</v>
      </c>
      <c r="R303" s="1" t="s">
        <v>998</v>
      </c>
      <c r="S303" s="5">
        <v>4247</v>
      </c>
      <c r="T303" s="1" t="s">
        <v>41</v>
      </c>
      <c r="U303" s="12">
        <v>46313.765972222223</v>
      </c>
      <c r="V303" s="12">
        <v>46313.765277777777</v>
      </c>
      <c r="W303" s="7" t="s">
        <v>999</v>
      </c>
      <c r="X303" s="5">
        <v>22411</v>
      </c>
      <c r="Y303" s="4"/>
      <c r="Z303" s="5">
        <v>0</v>
      </c>
      <c r="AA303" s="8">
        <v>0.75972222222222219</v>
      </c>
      <c r="AB303" s="5">
        <v>7</v>
      </c>
      <c r="AC303" s="1" t="s">
        <v>41</v>
      </c>
      <c r="AD303" s="9" t="str">
        <f t="shared" si="5"/>
        <v>Actual</v>
      </c>
      <c r="AE303" s="9" t="str">
        <f t="shared" si="6"/>
        <v>TMK7</v>
      </c>
      <c r="AF303" s="9">
        <f>HOUR(O303)</f>
        <v>18</v>
      </c>
      <c r="AG303" s="9">
        <f>DAY(O303)</f>
        <v>18</v>
      </c>
      <c r="AH303" s="9">
        <f>IFERROR((I303-K303)*24*60,0)</f>
        <v>4.9999999953433871</v>
      </c>
      <c r="AI303" s="9">
        <f t="shared" si="7"/>
        <v>4.9999999953433871</v>
      </c>
      <c r="AJ303" s="9">
        <f>C303</f>
        <v>2128</v>
      </c>
      <c r="AK303" s="9">
        <f>IF(P303="completed",((V303-K303)*24*60),0)</f>
        <v>11.999999997206032</v>
      </c>
      <c r="AL303" s="9">
        <f>IF(P303="completed",((U303-K303)*24*60),0)</f>
        <v>13.000000000465661</v>
      </c>
      <c r="AM303" s="9" t="str">
        <f t="shared" si="8"/>
        <v>OTP Achieved</v>
      </c>
      <c r="AN303" s="9" t="str">
        <f t="shared" si="9"/>
        <v>OTP Achieved</v>
      </c>
    </row>
    <row r="304" spans="1:40" ht="16">
      <c r="A304" s="3" t="s">
        <v>52</v>
      </c>
      <c r="B304" s="12">
        <v>46313.759722222225</v>
      </c>
      <c r="C304" s="5">
        <v>1244</v>
      </c>
      <c r="D304" s="1" t="s">
        <v>41</v>
      </c>
      <c r="E304" s="5">
        <v>4</v>
      </c>
      <c r="F304" s="1" t="s">
        <v>41</v>
      </c>
      <c r="G304" s="1" t="s">
        <v>41</v>
      </c>
      <c r="H304" s="1" t="s">
        <v>1000</v>
      </c>
      <c r="I304" s="12">
        <v>46313.760416666664</v>
      </c>
      <c r="J304" s="1" t="s">
        <v>41</v>
      </c>
      <c r="K304" s="12">
        <v>46313.756944444445</v>
      </c>
      <c r="L304" s="5">
        <v>58</v>
      </c>
      <c r="M304" s="1"/>
      <c r="N304" s="1"/>
      <c r="O304" s="12">
        <v>46313.754861111112</v>
      </c>
      <c r="P304" s="1" t="s">
        <v>43</v>
      </c>
      <c r="Q304" s="1" t="s">
        <v>54</v>
      </c>
      <c r="R304" s="1" t="s">
        <v>1001</v>
      </c>
      <c r="S304" s="5">
        <v>4247</v>
      </c>
      <c r="T304" s="1" t="s">
        <v>41</v>
      </c>
      <c r="U304" s="12">
        <v>46313.763888888891</v>
      </c>
      <c r="V304" s="12">
        <v>46313.762499999997</v>
      </c>
      <c r="W304" s="7" t="s">
        <v>1002</v>
      </c>
      <c r="X304" s="5">
        <v>22411</v>
      </c>
      <c r="Y304" s="4"/>
      <c r="Z304" s="5">
        <v>0</v>
      </c>
      <c r="AA304" s="8">
        <v>0.75972222222222219</v>
      </c>
      <c r="AB304" s="5">
        <v>3</v>
      </c>
      <c r="AC304" s="1" t="s">
        <v>41</v>
      </c>
      <c r="AD304" s="9" t="str">
        <f t="shared" si="5"/>
        <v>Actual</v>
      </c>
      <c r="AE304" s="9" t="str">
        <f t="shared" si="6"/>
        <v>TMK7</v>
      </c>
      <c r="AF304" s="9">
        <f>HOUR(O304)</f>
        <v>18</v>
      </c>
      <c r="AG304" s="9">
        <f>DAY(O304)</f>
        <v>18</v>
      </c>
      <c r="AH304" s="9">
        <f>IFERROR((I304-K304)*24*60,0)</f>
        <v>4.9999999953433871</v>
      </c>
      <c r="AI304" s="9">
        <f t="shared" si="7"/>
        <v>4.9999999953433871</v>
      </c>
      <c r="AJ304" s="9">
        <f>C304</f>
        <v>1244</v>
      </c>
      <c r="AK304" s="9">
        <f>IF(P304="completed",((V304-K304)*24*60),0)</f>
        <v>7.9999999946448952</v>
      </c>
      <c r="AL304" s="9">
        <f>IF(P304="completed",((U304-K304)*24*60),0)</f>
        <v>10.000000001164153</v>
      </c>
      <c r="AM304" s="9" t="str">
        <f t="shared" si="8"/>
        <v>OTP Achieved</v>
      </c>
      <c r="AN304" s="9" t="str">
        <f t="shared" si="9"/>
        <v>OTP Achieved</v>
      </c>
    </row>
    <row r="305" spans="1:40" ht="16">
      <c r="A305" s="3" t="s">
        <v>72</v>
      </c>
      <c r="B305" s="12">
        <v>46313.759722222225</v>
      </c>
      <c r="C305" s="5">
        <v>623</v>
      </c>
      <c r="D305" s="1" t="s">
        <v>41</v>
      </c>
      <c r="E305" s="5">
        <v>2</v>
      </c>
      <c r="F305" s="1" t="s">
        <v>41</v>
      </c>
      <c r="G305" s="1" t="s">
        <v>41</v>
      </c>
      <c r="H305" s="1" t="s">
        <v>1003</v>
      </c>
      <c r="I305" s="12">
        <v>46313.759722222225</v>
      </c>
      <c r="J305" s="1" t="s">
        <v>41</v>
      </c>
      <c r="K305" s="12">
        <v>46313.755555555559</v>
      </c>
      <c r="L305" s="5">
        <v>28</v>
      </c>
      <c r="M305" s="1"/>
      <c r="N305" s="1"/>
      <c r="O305" s="12">
        <v>46313.754861111112</v>
      </c>
      <c r="P305" s="1" t="s">
        <v>43</v>
      </c>
      <c r="Q305" s="1" t="s">
        <v>74</v>
      </c>
      <c r="R305" s="1" t="s">
        <v>1004</v>
      </c>
      <c r="S305" s="5">
        <v>4247</v>
      </c>
      <c r="T305" s="1" t="s">
        <v>41</v>
      </c>
      <c r="U305" s="12">
        <v>46313.762499999997</v>
      </c>
      <c r="V305" s="12">
        <v>46313.761111111111</v>
      </c>
      <c r="W305" s="7" t="s">
        <v>1005</v>
      </c>
      <c r="X305" s="5">
        <v>22411</v>
      </c>
      <c r="Y305" s="4"/>
      <c r="Z305" s="5">
        <v>0</v>
      </c>
      <c r="AA305" s="8">
        <v>0.75972222222222219</v>
      </c>
      <c r="AB305" s="5">
        <v>1</v>
      </c>
      <c r="AC305" s="1" t="s">
        <v>41</v>
      </c>
      <c r="AD305" s="9" t="str">
        <f t="shared" si="5"/>
        <v>Actual</v>
      </c>
      <c r="AE305" s="9" t="str">
        <f t="shared" si="6"/>
        <v>TMK7</v>
      </c>
      <c r="AF305" s="9">
        <f>HOUR(O305)</f>
        <v>18</v>
      </c>
      <c r="AG305" s="9">
        <f>DAY(O305)</f>
        <v>18</v>
      </c>
      <c r="AH305" s="9">
        <f>IFERROR((I305-K305)*24*60,0)</f>
        <v>5.9999999986030161</v>
      </c>
      <c r="AI305" s="9">
        <f t="shared" si="7"/>
        <v>5.9999999986030161</v>
      </c>
      <c r="AJ305" s="9">
        <f>C305</f>
        <v>623</v>
      </c>
      <c r="AK305" s="9">
        <f>IF(P305="completed",((V305-K305)*24*60),0)</f>
        <v>7.9999999946448952</v>
      </c>
      <c r="AL305" s="9">
        <f>IF(P305="completed",((U305-K305)*24*60),0)</f>
        <v>9.9999999906867743</v>
      </c>
      <c r="AM305" s="9" t="str">
        <f t="shared" si="8"/>
        <v>OTP Achieved</v>
      </c>
      <c r="AN305" s="9" t="str">
        <f t="shared" si="9"/>
        <v>OTP Achieved</v>
      </c>
    </row>
    <row r="306" spans="1:40" ht="16">
      <c r="A306" s="3" t="s">
        <v>198</v>
      </c>
      <c r="B306" s="12">
        <v>46313.759722222225</v>
      </c>
      <c r="C306" s="5">
        <v>1260</v>
      </c>
      <c r="D306" s="1" t="s">
        <v>41</v>
      </c>
      <c r="E306" s="5">
        <v>4</v>
      </c>
      <c r="F306" s="1" t="s">
        <v>41</v>
      </c>
      <c r="G306" s="1" t="s">
        <v>41</v>
      </c>
      <c r="H306" s="1" t="s">
        <v>1006</v>
      </c>
      <c r="I306" s="12">
        <v>46313.759722222225</v>
      </c>
      <c r="J306" s="1" t="s">
        <v>41</v>
      </c>
      <c r="K306" s="12">
        <v>46313.756944444445</v>
      </c>
      <c r="L306" s="5">
        <v>27</v>
      </c>
      <c r="M306" s="1"/>
      <c r="N306" s="1"/>
      <c r="O306" s="12">
        <v>46313.754166666666</v>
      </c>
      <c r="P306" s="1" t="s">
        <v>43</v>
      </c>
      <c r="Q306" s="1" t="s">
        <v>200</v>
      </c>
      <c r="R306" s="1" t="s">
        <v>1007</v>
      </c>
      <c r="S306" s="5">
        <v>4247</v>
      </c>
      <c r="T306" s="1" t="s">
        <v>41</v>
      </c>
      <c r="U306" s="12">
        <v>46313.763194444444</v>
      </c>
      <c r="V306" s="12">
        <v>46313.762499999997</v>
      </c>
      <c r="W306" s="7" t="s">
        <v>1008</v>
      </c>
      <c r="X306" s="5">
        <v>22411</v>
      </c>
      <c r="Y306" s="10"/>
      <c r="Z306" s="5">
        <v>0</v>
      </c>
      <c r="AA306" s="8">
        <v>0.75972222222222219</v>
      </c>
      <c r="AB306" s="5">
        <v>4</v>
      </c>
      <c r="AC306" s="1" t="s">
        <v>41</v>
      </c>
      <c r="AD306" s="9" t="str">
        <f t="shared" si="5"/>
        <v>Actual</v>
      </c>
      <c r="AE306" s="9" t="str">
        <f t="shared" si="6"/>
        <v>TMK7</v>
      </c>
      <c r="AF306" s="9">
        <f>HOUR(O306)</f>
        <v>18</v>
      </c>
      <c r="AG306" s="9">
        <f>DAY(O306)</f>
        <v>18</v>
      </c>
      <c r="AH306" s="9">
        <f>IFERROR((I306-K306)*24*60,0)</f>
        <v>4.0000000025611371</v>
      </c>
      <c r="AI306" s="9">
        <f t="shared" si="7"/>
        <v>4.0000000025611371</v>
      </c>
      <c r="AJ306" s="9">
        <f>C306</f>
        <v>1260</v>
      </c>
      <c r="AK306" s="9">
        <f>IF(P306="completed",((V306-K306)*24*60),0)</f>
        <v>7.9999999946448952</v>
      </c>
      <c r="AL306" s="9">
        <f>IF(P306="completed",((U306-K306)*24*60),0)</f>
        <v>8.9999999979045242</v>
      </c>
      <c r="AM306" s="9" t="str">
        <f t="shared" si="8"/>
        <v>OTP Achieved</v>
      </c>
      <c r="AN306" s="9" t="str">
        <f t="shared" si="9"/>
        <v>OTP Achieved</v>
      </c>
    </row>
    <row r="307" spans="1:40" ht="16">
      <c r="A307" s="3" t="s">
        <v>98</v>
      </c>
      <c r="B307" s="12">
        <v>46313.756944444445</v>
      </c>
      <c r="C307" s="5">
        <v>959</v>
      </c>
      <c r="D307" s="1" t="s">
        <v>41</v>
      </c>
      <c r="E307" s="5">
        <v>3</v>
      </c>
      <c r="F307" s="1" t="s">
        <v>41</v>
      </c>
      <c r="G307" s="1" t="s">
        <v>41</v>
      </c>
      <c r="H307" s="1" t="s">
        <v>1009</v>
      </c>
      <c r="I307" s="12">
        <v>46313.756944444445</v>
      </c>
      <c r="J307" s="1" t="s">
        <v>41</v>
      </c>
      <c r="K307" s="12">
        <v>46313.755555555559</v>
      </c>
      <c r="L307" s="5">
        <v>29</v>
      </c>
      <c r="M307" s="1"/>
      <c r="N307" s="1"/>
      <c r="O307" s="12">
        <v>46313.753472222219</v>
      </c>
      <c r="P307" s="1" t="s">
        <v>43</v>
      </c>
      <c r="Q307" s="1" t="s">
        <v>100</v>
      </c>
      <c r="R307" s="1" t="s">
        <v>1010</v>
      </c>
      <c r="S307" s="5">
        <v>4247</v>
      </c>
      <c r="T307" s="1" t="s">
        <v>41</v>
      </c>
      <c r="U307" s="12">
        <v>46313.759722222225</v>
      </c>
      <c r="V307" s="12">
        <v>46313.759027777778</v>
      </c>
      <c r="W307" s="7" t="s">
        <v>1011</v>
      </c>
      <c r="X307" s="5">
        <v>22411</v>
      </c>
      <c r="Y307" s="4"/>
      <c r="Z307" s="5">
        <v>0</v>
      </c>
      <c r="AA307" s="8">
        <v>0.75694444444444442</v>
      </c>
      <c r="AB307" s="5">
        <v>3</v>
      </c>
      <c r="AC307" s="1" t="s">
        <v>41</v>
      </c>
      <c r="AD307" s="9" t="str">
        <f t="shared" si="5"/>
        <v>Actual</v>
      </c>
      <c r="AE307" s="9" t="str">
        <f t="shared" si="6"/>
        <v>TMK7</v>
      </c>
      <c r="AF307" s="9">
        <f>HOUR(O307)</f>
        <v>18</v>
      </c>
      <c r="AG307" s="9">
        <f>DAY(O307)</f>
        <v>18</v>
      </c>
      <c r="AH307" s="9">
        <f>IFERROR((I307-K307)*24*60,0)</f>
        <v>1.9999999960418791</v>
      </c>
      <c r="AI307" s="9">
        <f t="shared" si="7"/>
        <v>1.9999999960418791</v>
      </c>
      <c r="AJ307" s="9">
        <f>C307</f>
        <v>959</v>
      </c>
      <c r="AK307" s="9">
        <f>IF(P307="completed",((V307-K307)*24*60),0)</f>
        <v>4.9999999953433871</v>
      </c>
      <c r="AL307" s="9">
        <f>IF(P307="completed",((U307-K307)*24*60),0)</f>
        <v>5.9999999986030161</v>
      </c>
      <c r="AM307" s="9" t="str">
        <f t="shared" si="8"/>
        <v>OTP Achieved</v>
      </c>
      <c r="AN307" s="9" t="str">
        <f t="shared" si="9"/>
        <v>OTP Achieved</v>
      </c>
    </row>
    <row r="308" spans="1:40" ht="16">
      <c r="A308" s="3" t="s">
        <v>57</v>
      </c>
      <c r="B308" s="12">
        <v>46313.756249999999</v>
      </c>
      <c r="C308" s="5">
        <v>2164</v>
      </c>
      <c r="D308" s="1" t="s">
        <v>41</v>
      </c>
      <c r="E308" s="5">
        <v>7</v>
      </c>
      <c r="F308" s="1" t="s">
        <v>41</v>
      </c>
      <c r="G308" s="1" t="s">
        <v>41</v>
      </c>
      <c r="H308" s="1" t="s">
        <v>1012</v>
      </c>
      <c r="I308" s="12">
        <v>46313.756249999999</v>
      </c>
      <c r="J308" s="1" t="s">
        <v>41</v>
      </c>
      <c r="K308" s="12">
        <v>46313.753472222219</v>
      </c>
      <c r="L308" s="5">
        <v>18</v>
      </c>
      <c r="M308" s="1"/>
      <c r="N308" s="1"/>
      <c r="O308" s="12">
        <v>46313.75277777778</v>
      </c>
      <c r="P308" s="1" t="s">
        <v>43</v>
      </c>
      <c r="Q308" s="1" t="s">
        <v>59</v>
      </c>
      <c r="R308" s="1" t="s">
        <v>1013</v>
      </c>
      <c r="S308" s="5">
        <v>4247</v>
      </c>
      <c r="T308" s="1" t="s">
        <v>41</v>
      </c>
      <c r="U308" s="12">
        <v>46313.762499999997</v>
      </c>
      <c r="V308" s="12">
        <v>46313.761111111111</v>
      </c>
      <c r="W308" s="7" t="s">
        <v>1014</v>
      </c>
      <c r="X308" s="5">
        <v>22411</v>
      </c>
      <c r="Y308" s="4"/>
      <c r="Z308" s="5">
        <v>0</v>
      </c>
      <c r="AA308" s="8">
        <v>0.75624999999999998</v>
      </c>
      <c r="AB308" s="5">
        <v>7</v>
      </c>
      <c r="AC308" s="1" t="s">
        <v>41</v>
      </c>
      <c r="AD308" s="9" t="str">
        <f t="shared" si="5"/>
        <v>Actual</v>
      </c>
      <c r="AE308" s="9" t="str">
        <f t="shared" si="6"/>
        <v>TMK7</v>
      </c>
      <c r="AF308" s="9">
        <f>HOUR(O308)</f>
        <v>18</v>
      </c>
      <c r="AG308" s="9">
        <f>DAY(O308)</f>
        <v>18</v>
      </c>
      <c r="AH308" s="9">
        <f>IFERROR((I308-K308)*24*60,0)</f>
        <v>4.0000000025611371</v>
      </c>
      <c r="AI308" s="9">
        <f t="shared" si="7"/>
        <v>4.0000000025611371</v>
      </c>
      <c r="AJ308" s="9">
        <f>C308</f>
        <v>2164</v>
      </c>
      <c r="AK308" s="9">
        <f>IF(P308="completed",((V308-K308)*24*60),0)</f>
        <v>11.000000004423782</v>
      </c>
      <c r="AL308" s="9">
        <f>IF(P308="completed",((U308-K308)*24*60),0)</f>
        <v>13.000000000465661</v>
      </c>
      <c r="AM308" s="9" t="str">
        <f t="shared" si="8"/>
        <v>OTP Achieved</v>
      </c>
      <c r="AN308" s="9" t="str">
        <f t="shared" si="9"/>
        <v>OTP Achieved</v>
      </c>
    </row>
    <row r="309" spans="1:40" ht="16">
      <c r="A309" s="3" t="s">
        <v>106</v>
      </c>
      <c r="B309" s="12">
        <v>46313.756249999999</v>
      </c>
      <c r="C309" s="5">
        <v>1625</v>
      </c>
      <c r="D309" s="1" t="s">
        <v>41</v>
      </c>
      <c r="E309" s="5">
        <v>9</v>
      </c>
      <c r="F309" s="1" t="s">
        <v>41</v>
      </c>
      <c r="G309" s="1" t="s">
        <v>41</v>
      </c>
      <c r="H309" s="1" t="s">
        <v>1015</v>
      </c>
      <c r="I309" s="12">
        <v>46313.756944444445</v>
      </c>
      <c r="J309" s="1" t="s">
        <v>41</v>
      </c>
      <c r="K309" s="12">
        <v>46313.75277777778</v>
      </c>
      <c r="L309" s="5">
        <v>38</v>
      </c>
      <c r="M309" s="1"/>
      <c r="N309" s="1"/>
      <c r="O309" s="12">
        <v>46313.752083333333</v>
      </c>
      <c r="P309" s="1" t="s">
        <v>43</v>
      </c>
      <c r="Q309" s="1" t="s">
        <v>108</v>
      </c>
      <c r="R309" s="1" t="s">
        <v>1016</v>
      </c>
      <c r="S309" s="5">
        <v>4247</v>
      </c>
      <c r="T309" s="1" t="s">
        <v>41</v>
      </c>
      <c r="U309" s="12">
        <v>46313.761805555558</v>
      </c>
      <c r="V309" s="12">
        <v>46313.761805555558</v>
      </c>
      <c r="W309" s="7" t="s">
        <v>1017</v>
      </c>
      <c r="X309" s="5">
        <v>22411</v>
      </c>
      <c r="Y309" s="1"/>
      <c r="Z309" s="5">
        <v>0</v>
      </c>
      <c r="AA309" s="8">
        <v>0.75624999999999998</v>
      </c>
      <c r="AB309" s="5">
        <v>8</v>
      </c>
      <c r="AC309" s="1" t="s">
        <v>41</v>
      </c>
      <c r="AD309" s="9" t="str">
        <f t="shared" si="5"/>
        <v>Actual</v>
      </c>
      <c r="AE309" s="9" t="str">
        <f t="shared" si="6"/>
        <v>TMK7</v>
      </c>
      <c r="AF309" s="9">
        <f>HOUR(O309)</f>
        <v>18</v>
      </c>
      <c r="AG309" s="9">
        <f>DAY(O309)</f>
        <v>18</v>
      </c>
      <c r="AH309" s="9">
        <f>IFERROR((I309-K309)*24*60,0)</f>
        <v>5.9999999986030161</v>
      </c>
      <c r="AI309" s="9">
        <f t="shared" si="7"/>
        <v>5.9999999986030161</v>
      </c>
      <c r="AJ309" s="9">
        <f>C309</f>
        <v>1625</v>
      </c>
      <c r="AK309" s="9">
        <f>IF(P309="completed",((V309-K309)*24*60),0)</f>
        <v>13.000000000465661</v>
      </c>
      <c r="AL309" s="9">
        <f>IF(P309="completed",((U309-K309)*24*60),0)</f>
        <v>13.000000000465661</v>
      </c>
      <c r="AM309" s="9" t="str">
        <f t="shared" si="8"/>
        <v>OTP Breached</v>
      </c>
      <c r="AN309" s="9" t="str">
        <f t="shared" si="9"/>
        <v>OTP Achieved</v>
      </c>
    </row>
    <row r="310" spans="1:40" ht="16">
      <c r="A310" s="3" t="s">
        <v>125</v>
      </c>
      <c r="B310" s="12">
        <v>46313.754166666666</v>
      </c>
      <c r="C310" s="5">
        <v>2433</v>
      </c>
      <c r="D310" s="1" t="s">
        <v>41</v>
      </c>
      <c r="E310" s="5">
        <v>10</v>
      </c>
      <c r="F310" s="1" t="s">
        <v>41</v>
      </c>
      <c r="G310" s="1" t="s">
        <v>41</v>
      </c>
      <c r="H310" s="1" t="s">
        <v>1018</v>
      </c>
      <c r="I310" s="12">
        <v>46313.754861111112</v>
      </c>
      <c r="J310" s="1" t="s">
        <v>41</v>
      </c>
      <c r="K310" s="12">
        <v>46313.75277777778</v>
      </c>
      <c r="L310" s="5">
        <v>23</v>
      </c>
      <c r="M310" s="1"/>
      <c r="N310" s="1"/>
      <c r="O310" s="12">
        <v>46313.752083333333</v>
      </c>
      <c r="P310" s="1" t="s">
        <v>43</v>
      </c>
      <c r="Q310" s="1" t="s">
        <v>127</v>
      </c>
      <c r="R310" s="1" t="s">
        <v>1019</v>
      </c>
      <c r="S310" s="5">
        <v>4247</v>
      </c>
      <c r="T310" s="1" t="s">
        <v>41</v>
      </c>
      <c r="U310" s="12">
        <v>46313.761805555558</v>
      </c>
      <c r="V310" s="12">
        <v>46313.761805555558</v>
      </c>
      <c r="W310" s="7" t="s">
        <v>1020</v>
      </c>
      <c r="X310" s="5">
        <v>22411</v>
      </c>
      <c r="Y310" s="4"/>
      <c r="Z310" s="5">
        <v>0</v>
      </c>
      <c r="AA310" s="8">
        <v>0.75416666666666665</v>
      </c>
      <c r="AB310" s="5">
        <v>10</v>
      </c>
      <c r="AC310" s="1" t="s">
        <v>41</v>
      </c>
      <c r="AD310" s="9" t="str">
        <f t="shared" si="5"/>
        <v>Actual</v>
      </c>
      <c r="AE310" s="9" t="str">
        <f t="shared" si="6"/>
        <v>TMK7</v>
      </c>
      <c r="AF310" s="9">
        <f>HOUR(O310)</f>
        <v>18</v>
      </c>
      <c r="AG310" s="9">
        <f>DAY(O310)</f>
        <v>18</v>
      </c>
      <c r="AH310" s="9">
        <f>IFERROR((I310-K310)*24*60,0)</f>
        <v>2.9999999993015081</v>
      </c>
      <c r="AI310" s="9">
        <f t="shared" si="7"/>
        <v>2.9999999993015081</v>
      </c>
      <c r="AJ310" s="9">
        <f>C310</f>
        <v>2433</v>
      </c>
      <c r="AK310" s="9">
        <f>IF(P310="completed",((V310-K310)*24*60),0)</f>
        <v>13.000000000465661</v>
      </c>
      <c r="AL310" s="9">
        <f>IF(P310="completed",((U310-K310)*24*60),0)</f>
        <v>13.000000000465661</v>
      </c>
      <c r="AM310" s="9" t="str">
        <f t="shared" si="8"/>
        <v>OTP Breached</v>
      </c>
      <c r="AN310" s="9" t="str">
        <f t="shared" si="9"/>
        <v>OTP Achieved</v>
      </c>
    </row>
    <row r="311" spans="1:40" ht="16">
      <c r="A311" s="3" t="s">
        <v>734</v>
      </c>
      <c r="B311" s="12">
        <v>46313.754166666666</v>
      </c>
      <c r="C311" s="5">
        <v>2424</v>
      </c>
      <c r="D311" s="1" t="s">
        <v>41</v>
      </c>
      <c r="E311" s="5">
        <v>9</v>
      </c>
      <c r="F311" s="1" t="s">
        <v>41</v>
      </c>
      <c r="G311" s="1" t="s">
        <v>41</v>
      </c>
      <c r="H311" s="1" t="s">
        <v>1021</v>
      </c>
      <c r="I311" s="12">
        <v>46313.754166666666</v>
      </c>
      <c r="J311" s="1" t="s">
        <v>41</v>
      </c>
      <c r="K311" s="12">
        <v>46313.75</v>
      </c>
      <c r="L311" s="5">
        <v>39</v>
      </c>
      <c r="M311" s="1"/>
      <c r="N311" s="1"/>
      <c r="O311" s="12">
        <v>46313.75</v>
      </c>
      <c r="P311" s="1" t="s">
        <v>43</v>
      </c>
      <c r="Q311" s="1" t="s">
        <v>736</v>
      </c>
      <c r="R311" s="1" t="s">
        <v>1022</v>
      </c>
      <c r="S311" s="5">
        <v>4247</v>
      </c>
      <c r="T311" s="1" t="s">
        <v>41</v>
      </c>
      <c r="U311" s="12">
        <v>46313.761111111111</v>
      </c>
      <c r="V311" s="12">
        <v>46313.760416666664</v>
      </c>
      <c r="W311" s="7" t="s">
        <v>1023</v>
      </c>
      <c r="X311" s="5">
        <v>22411</v>
      </c>
      <c r="Y311" s="4"/>
      <c r="Z311" s="5">
        <v>0</v>
      </c>
      <c r="AA311" s="8">
        <v>0.75416666666666665</v>
      </c>
      <c r="AB311" s="5">
        <v>9</v>
      </c>
      <c r="AC311" s="1" t="s">
        <v>41</v>
      </c>
      <c r="AD311" s="9" t="str">
        <f t="shared" si="5"/>
        <v>Actual</v>
      </c>
      <c r="AE311" s="9" t="str">
        <f t="shared" si="6"/>
        <v>TMK7</v>
      </c>
      <c r="AF311" s="9">
        <f>HOUR(O311)</f>
        <v>18</v>
      </c>
      <c r="AG311" s="9">
        <f>DAY(O311)</f>
        <v>18</v>
      </c>
      <c r="AH311" s="9">
        <f>IFERROR((I311-K311)*24*60,0)</f>
        <v>5.9999999986030161</v>
      </c>
      <c r="AI311" s="9">
        <f t="shared" si="7"/>
        <v>5.9999999986030161</v>
      </c>
      <c r="AJ311" s="9">
        <f>C311</f>
        <v>2424</v>
      </c>
      <c r="AK311" s="9">
        <f>IF(P311="completed",((V311-K311)*24*60),0)</f>
        <v>14.99999999650754</v>
      </c>
      <c r="AL311" s="9">
        <f>IF(P311="completed",((U311-K311)*24*60),0)</f>
        <v>15.999999999767169</v>
      </c>
      <c r="AM311" s="9" t="str">
        <f t="shared" si="8"/>
        <v>OTP Achieved</v>
      </c>
      <c r="AN311" s="9" t="str">
        <f t="shared" si="9"/>
        <v>OTP Achieved</v>
      </c>
    </row>
    <row r="312" spans="1:40" ht="16">
      <c r="A312" s="3" t="s">
        <v>347</v>
      </c>
      <c r="B312" s="12">
        <v>46313.753472222219</v>
      </c>
      <c r="C312" s="5">
        <v>1257</v>
      </c>
      <c r="D312" s="1" t="s">
        <v>41</v>
      </c>
      <c r="E312" s="5">
        <v>5</v>
      </c>
      <c r="F312" s="1" t="s">
        <v>41</v>
      </c>
      <c r="G312" s="1" t="s">
        <v>41</v>
      </c>
      <c r="H312" s="1" t="s">
        <v>1024</v>
      </c>
      <c r="I312" s="12">
        <v>46313.753472222219</v>
      </c>
      <c r="J312" s="1" t="s">
        <v>41</v>
      </c>
      <c r="K312" s="12">
        <v>46313.75</v>
      </c>
      <c r="L312" s="5">
        <v>21</v>
      </c>
      <c r="M312" s="1"/>
      <c r="N312" s="1"/>
      <c r="O312" s="12">
        <v>46313.748611111114</v>
      </c>
      <c r="P312" s="1" t="s">
        <v>43</v>
      </c>
      <c r="Q312" s="1" t="s">
        <v>349</v>
      </c>
      <c r="R312" s="1" t="s">
        <v>1025</v>
      </c>
      <c r="S312" s="5">
        <v>4247</v>
      </c>
      <c r="T312" s="1" t="s">
        <v>41</v>
      </c>
      <c r="U312" s="12">
        <v>46313.758333333331</v>
      </c>
      <c r="V312" s="12">
        <v>46313.756944444445</v>
      </c>
      <c r="W312" s="7" t="s">
        <v>1026</v>
      </c>
      <c r="X312" s="5">
        <v>22411</v>
      </c>
      <c r="Y312" s="4"/>
      <c r="Z312" s="5">
        <v>0</v>
      </c>
      <c r="AA312" s="8">
        <v>0.75347222222222221</v>
      </c>
      <c r="AB312" s="5">
        <v>5</v>
      </c>
      <c r="AC312" s="1" t="s">
        <v>41</v>
      </c>
      <c r="AD312" s="9" t="str">
        <f t="shared" si="5"/>
        <v>Actual</v>
      </c>
      <c r="AE312" s="9" t="str">
        <f t="shared" si="6"/>
        <v>TMK7</v>
      </c>
      <c r="AF312" s="9">
        <f>HOUR(O312)</f>
        <v>17</v>
      </c>
      <c r="AG312" s="9">
        <f>DAY(O312)</f>
        <v>18</v>
      </c>
      <c r="AH312" s="9">
        <f>IFERROR((I312-K312)*24*60,0)</f>
        <v>4.9999999953433871</v>
      </c>
      <c r="AI312" s="9">
        <f t="shared" si="7"/>
        <v>4.9999999953433871</v>
      </c>
      <c r="AJ312" s="9">
        <f>C312</f>
        <v>1257</v>
      </c>
      <c r="AK312" s="9">
        <f>IF(P312="completed",((V312-K312)*24*60),0)</f>
        <v>10.000000001164153</v>
      </c>
      <c r="AL312" s="9">
        <f>IF(P312="completed",((U312-K312)*24*60),0)</f>
        <v>11.999999997206032</v>
      </c>
      <c r="AM312" s="9" t="str">
        <f t="shared" si="8"/>
        <v>OTP Achieved</v>
      </c>
      <c r="AN312" s="9" t="str">
        <f t="shared" si="9"/>
        <v>OTP Achieved</v>
      </c>
    </row>
    <row r="313" spans="1:40" ht="16">
      <c r="A313" s="3" t="s">
        <v>177</v>
      </c>
      <c r="B313" s="12">
        <v>46313.753472222219</v>
      </c>
      <c r="C313" s="5">
        <v>998</v>
      </c>
      <c r="D313" s="1" t="s">
        <v>41</v>
      </c>
      <c r="E313" s="5">
        <v>4</v>
      </c>
      <c r="F313" s="1" t="s">
        <v>41</v>
      </c>
      <c r="G313" s="1" t="s">
        <v>41</v>
      </c>
      <c r="H313" s="1" t="s">
        <v>1027</v>
      </c>
      <c r="I313" s="12">
        <v>46313.753472222219</v>
      </c>
      <c r="J313" s="1" t="s">
        <v>41</v>
      </c>
      <c r="K313" s="12">
        <v>46313.747916666667</v>
      </c>
      <c r="L313" s="5">
        <v>37</v>
      </c>
      <c r="M313" s="1"/>
      <c r="N313" s="1"/>
      <c r="O313" s="12">
        <v>46313.74722222222</v>
      </c>
      <c r="P313" s="1" t="s">
        <v>43</v>
      </c>
      <c r="Q313" s="1" t="s">
        <v>179</v>
      </c>
      <c r="R313" s="1" t="s">
        <v>1028</v>
      </c>
      <c r="S313" s="5">
        <v>4247</v>
      </c>
      <c r="T313" s="1" t="s">
        <v>41</v>
      </c>
      <c r="U313" s="12">
        <v>46313.756944444445</v>
      </c>
      <c r="V313" s="12">
        <v>46313.756249999999</v>
      </c>
      <c r="W313" s="7" t="s">
        <v>1029</v>
      </c>
      <c r="X313" s="5">
        <v>22411</v>
      </c>
      <c r="Y313" s="10"/>
      <c r="Z313" s="5">
        <v>0</v>
      </c>
      <c r="AA313" s="8">
        <v>0.75347222222222221</v>
      </c>
      <c r="AB313" s="5">
        <v>4</v>
      </c>
      <c r="AC313" s="1" t="s">
        <v>41</v>
      </c>
      <c r="AD313" s="9" t="str">
        <f t="shared" si="5"/>
        <v>Actual</v>
      </c>
      <c r="AE313" s="9" t="str">
        <f t="shared" si="6"/>
        <v>TMK7</v>
      </c>
      <c r="AF313" s="9">
        <f>HOUR(O313)</f>
        <v>17</v>
      </c>
      <c r="AG313" s="9">
        <f>DAY(O313)</f>
        <v>18</v>
      </c>
      <c r="AH313" s="9">
        <f>IFERROR((I313-K313)*24*60,0)</f>
        <v>7.9999999946448952</v>
      </c>
      <c r="AI313" s="9">
        <f t="shared" si="7"/>
        <v>7.9999999946448952</v>
      </c>
      <c r="AJ313" s="9">
        <f>C313</f>
        <v>998</v>
      </c>
      <c r="AK313" s="9">
        <f>IF(P313="completed",((V313-K313)*24*60),0)</f>
        <v>11.999999997206032</v>
      </c>
      <c r="AL313" s="9">
        <f>IF(P313="completed",((U313-K313)*24*60),0)</f>
        <v>13.000000000465661</v>
      </c>
      <c r="AM313" s="9" t="str">
        <f t="shared" si="8"/>
        <v>OTP Achieved</v>
      </c>
      <c r="AN313" s="9" t="str">
        <f t="shared" si="9"/>
        <v>OTP Achieved</v>
      </c>
    </row>
    <row r="314" spans="1:40" ht="16">
      <c r="A314" s="3" t="s">
        <v>339</v>
      </c>
      <c r="B314" s="12">
        <v>46313.75277777778</v>
      </c>
      <c r="C314" s="5">
        <v>2159</v>
      </c>
      <c r="D314" s="1" t="s">
        <v>41</v>
      </c>
      <c r="E314" s="5">
        <v>6</v>
      </c>
      <c r="F314" s="1" t="s">
        <v>41</v>
      </c>
      <c r="G314" s="1" t="s">
        <v>41</v>
      </c>
      <c r="H314" s="1" t="s">
        <v>1030</v>
      </c>
      <c r="I314" s="12">
        <v>46313.753472222219</v>
      </c>
      <c r="J314" s="1" t="s">
        <v>41</v>
      </c>
      <c r="K314" s="12">
        <v>46313.747916666667</v>
      </c>
      <c r="L314" s="5">
        <v>43</v>
      </c>
      <c r="M314" s="1"/>
      <c r="N314" s="1"/>
      <c r="O314" s="12">
        <v>46313.74722222222</v>
      </c>
      <c r="P314" s="1" t="s">
        <v>43</v>
      </c>
      <c r="Q314" s="1" t="s">
        <v>341</v>
      </c>
      <c r="R314" s="1" t="s">
        <v>1031</v>
      </c>
      <c r="S314" s="5">
        <v>4247</v>
      </c>
      <c r="T314" s="1" t="s">
        <v>41</v>
      </c>
      <c r="U314" s="12">
        <v>46313.758333333331</v>
      </c>
      <c r="V314" s="12">
        <v>46313.756944444445</v>
      </c>
      <c r="W314" s="7" t="s">
        <v>1032</v>
      </c>
      <c r="X314" s="5">
        <v>22411</v>
      </c>
      <c r="Y314" s="4"/>
      <c r="Z314" s="5">
        <v>0</v>
      </c>
      <c r="AA314" s="8">
        <v>0.75277777777777777</v>
      </c>
      <c r="AB314" s="5">
        <v>5</v>
      </c>
      <c r="AC314" s="1" t="s">
        <v>41</v>
      </c>
      <c r="AD314" s="9" t="str">
        <f t="shared" si="5"/>
        <v>Actual</v>
      </c>
      <c r="AE314" s="9" t="str">
        <f t="shared" si="6"/>
        <v>TMK7</v>
      </c>
      <c r="AF314" s="9">
        <f>HOUR(O314)</f>
        <v>17</v>
      </c>
      <c r="AG314" s="9">
        <f>DAY(O314)</f>
        <v>18</v>
      </c>
      <c r="AH314" s="9">
        <f>IFERROR((I314-K314)*24*60,0)</f>
        <v>7.9999999946448952</v>
      </c>
      <c r="AI314" s="9">
        <f t="shared" si="7"/>
        <v>7.9999999946448952</v>
      </c>
      <c r="AJ314" s="9">
        <f>C314</f>
        <v>2159</v>
      </c>
      <c r="AK314" s="9">
        <f>IF(P314="completed",((V314-K314)*24*60),0)</f>
        <v>13.000000000465661</v>
      </c>
      <c r="AL314" s="9">
        <f>IF(P314="completed",((U314-K314)*24*60),0)</f>
        <v>14.99999999650754</v>
      </c>
      <c r="AM314" s="9" t="str">
        <f t="shared" si="8"/>
        <v>OTP Achieved</v>
      </c>
      <c r="AN314" s="9" t="str">
        <f t="shared" si="9"/>
        <v>OTP Achieved</v>
      </c>
    </row>
    <row r="315" spans="1:40" ht="16">
      <c r="A315" s="3" t="s">
        <v>198</v>
      </c>
      <c r="B315" s="12">
        <v>46313.752083333333</v>
      </c>
      <c r="C315" s="5">
        <v>1486</v>
      </c>
      <c r="D315" s="1" t="s">
        <v>41</v>
      </c>
      <c r="E315" s="5">
        <v>5</v>
      </c>
      <c r="F315" s="1" t="s">
        <v>41</v>
      </c>
      <c r="G315" s="1" t="s">
        <v>41</v>
      </c>
      <c r="H315" s="1" t="s">
        <v>1033</v>
      </c>
      <c r="I315" s="12">
        <v>46313.75277777778</v>
      </c>
      <c r="J315" s="1" t="s">
        <v>41</v>
      </c>
      <c r="K315" s="12">
        <v>46313.74722222222</v>
      </c>
      <c r="L315" s="5">
        <v>28</v>
      </c>
      <c r="M315" s="1"/>
      <c r="N315" s="1"/>
      <c r="O315" s="12">
        <v>46313.745833333334</v>
      </c>
      <c r="P315" s="1" t="s">
        <v>43</v>
      </c>
      <c r="Q315" s="1" t="s">
        <v>200</v>
      </c>
      <c r="R315" s="1" t="s">
        <v>1034</v>
      </c>
      <c r="S315" s="5">
        <v>4247</v>
      </c>
      <c r="T315" s="1" t="s">
        <v>41</v>
      </c>
      <c r="U315" s="12">
        <v>46313.756944444445</v>
      </c>
      <c r="V315" s="12">
        <v>46313.755555555559</v>
      </c>
      <c r="W315" s="7" t="s">
        <v>1035</v>
      </c>
      <c r="X315" s="5">
        <v>22411</v>
      </c>
      <c r="Y315" s="4"/>
      <c r="Z315" s="5">
        <v>0</v>
      </c>
      <c r="AA315" s="8">
        <v>0.75208333333333333</v>
      </c>
      <c r="AB315" s="5">
        <v>4</v>
      </c>
      <c r="AC315" s="1" t="s">
        <v>41</v>
      </c>
      <c r="AD315" s="9" t="str">
        <f t="shared" si="5"/>
        <v>Actual</v>
      </c>
      <c r="AE315" s="9" t="str">
        <f t="shared" si="6"/>
        <v>TMK7</v>
      </c>
      <c r="AF315" s="9">
        <f>HOUR(O315)</f>
        <v>17</v>
      </c>
      <c r="AG315" s="9">
        <f>DAY(O315)</f>
        <v>18</v>
      </c>
      <c r="AH315" s="9">
        <f>IFERROR((I315-K315)*24*60,0)</f>
        <v>8.0000000051222742</v>
      </c>
      <c r="AI315" s="9">
        <f t="shared" si="7"/>
        <v>8.0000000051222742</v>
      </c>
      <c r="AJ315" s="9">
        <f>C315</f>
        <v>1486</v>
      </c>
      <c r="AK315" s="9">
        <f>IF(P315="completed",((V315-K315)*24*60),0)</f>
        <v>12.000000007683411</v>
      </c>
      <c r="AL315" s="9">
        <f>IF(P315="completed",((U315-K315)*24*60),0)</f>
        <v>14.00000000372529</v>
      </c>
      <c r="AM315" s="9" t="str">
        <f t="shared" si="8"/>
        <v>OTP Achieved</v>
      </c>
      <c r="AN315" s="9" t="str">
        <f t="shared" si="9"/>
        <v>OTP Achieved</v>
      </c>
    </row>
    <row r="316" spans="1:40" ht="16">
      <c r="A316" s="3" t="s">
        <v>62</v>
      </c>
      <c r="B316" s="12">
        <v>46313.75</v>
      </c>
      <c r="C316" s="5">
        <v>152</v>
      </c>
      <c r="D316" s="1" t="s">
        <v>41</v>
      </c>
      <c r="E316" s="5">
        <v>1</v>
      </c>
      <c r="F316" s="1" t="s">
        <v>41</v>
      </c>
      <c r="G316" s="1" t="s">
        <v>41</v>
      </c>
      <c r="H316" s="1" t="s">
        <v>1036</v>
      </c>
      <c r="I316" s="12">
        <v>46313.750694444447</v>
      </c>
      <c r="J316" s="1" t="s">
        <v>41</v>
      </c>
      <c r="K316" s="12">
        <v>46313.75</v>
      </c>
      <c r="L316" s="5">
        <v>43</v>
      </c>
      <c r="M316" s="1"/>
      <c r="N316" s="1"/>
      <c r="O316" s="12">
        <v>46313.745833333334</v>
      </c>
      <c r="P316" s="1" t="s">
        <v>43</v>
      </c>
      <c r="Q316" s="1" t="s">
        <v>64</v>
      </c>
      <c r="R316" s="1" t="s">
        <v>1037</v>
      </c>
      <c r="S316" s="5">
        <v>4247</v>
      </c>
      <c r="T316" s="1" t="s">
        <v>41</v>
      </c>
      <c r="U316" s="12">
        <v>46313.751388888886</v>
      </c>
      <c r="V316" s="12">
        <v>46313.750694444447</v>
      </c>
      <c r="W316" s="7" t="s">
        <v>1038</v>
      </c>
      <c r="X316" s="5">
        <v>22411</v>
      </c>
      <c r="Y316" s="4"/>
      <c r="Z316" s="5">
        <v>0</v>
      </c>
      <c r="AA316" s="8">
        <v>0.75</v>
      </c>
      <c r="AB316" s="5">
        <v>0</v>
      </c>
      <c r="AC316" s="1" t="s">
        <v>41</v>
      </c>
      <c r="AD316" s="9" t="str">
        <f t="shared" si="5"/>
        <v>Actual</v>
      </c>
      <c r="AE316" s="9" t="str">
        <f t="shared" si="6"/>
        <v>TMK7</v>
      </c>
      <c r="AF316" s="9">
        <f>HOUR(O316)</f>
        <v>17</v>
      </c>
      <c r="AG316" s="9">
        <f>DAY(O316)</f>
        <v>18</v>
      </c>
      <c r="AH316" s="9">
        <f>IFERROR((I316-K316)*24*60,0)</f>
        <v>1.000000003259629</v>
      </c>
      <c r="AI316" s="9">
        <f t="shared" si="7"/>
        <v>1.000000003259629</v>
      </c>
      <c r="AJ316" s="9">
        <f>C316</f>
        <v>152</v>
      </c>
      <c r="AK316" s="9">
        <f>IF(P316="completed",((V316-K316)*24*60),0)</f>
        <v>1.000000003259629</v>
      </c>
      <c r="AL316" s="9">
        <f>IF(P316="completed",((U316-K316)*24*60),0)</f>
        <v>1.9999999960418791</v>
      </c>
      <c r="AM316" s="9" t="str">
        <f t="shared" si="8"/>
        <v>OTP Achieved</v>
      </c>
      <c r="AN316" s="9" t="str">
        <f t="shared" si="9"/>
        <v>OTP Achieved</v>
      </c>
    </row>
    <row r="317" spans="1:40" ht="16">
      <c r="A317" s="3" t="s">
        <v>209</v>
      </c>
      <c r="B317" s="12">
        <v>46313.75</v>
      </c>
      <c r="C317" s="5">
        <v>1423</v>
      </c>
      <c r="D317" s="1" t="s">
        <v>41</v>
      </c>
      <c r="E317" s="5">
        <v>5</v>
      </c>
      <c r="F317" s="1" t="s">
        <v>41</v>
      </c>
      <c r="G317" s="1" t="s">
        <v>41</v>
      </c>
      <c r="H317" s="1" t="s">
        <v>1039</v>
      </c>
      <c r="I317" s="12">
        <v>46313.750694444447</v>
      </c>
      <c r="J317" s="1" t="s">
        <v>41</v>
      </c>
      <c r="K317" s="12">
        <v>46313.746527777781</v>
      </c>
      <c r="L317" s="5">
        <v>46</v>
      </c>
      <c r="M317" s="1"/>
      <c r="N317" s="1"/>
      <c r="O317" s="12">
        <v>46313.745138888888</v>
      </c>
      <c r="P317" s="1" t="s">
        <v>43</v>
      </c>
      <c r="Q317" s="1" t="s">
        <v>211</v>
      </c>
      <c r="R317" s="1" t="s">
        <v>1040</v>
      </c>
      <c r="S317" s="5">
        <v>4247</v>
      </c>
      <c r="T317" s="1" t="s">
        <v>41</v>
      </c>
      <c r="U317" s="12">
        <v>46313.754166666666</v>
      </c>
      <c r="V317" s="12">
        <v>46313.753472222219</v>
      </c>
      <c r="W317" s="7" t="s">
        <v>1041</v>
      </c>
      <c r="X317" s="5">
        <v>22411</v>
      </c>
      <c r="Y317" s="4"/>
      <c r="Z317" s="5">
        <v>0</v>
      </c>
      <c r="AA317" s="8">
        <v>0.75</v>
      </c>
      <c r="AB317" s="5">
        <v>4</v>
      </c>
      <c r="AC317" s="1" t="s">
        <v>41</v>
      </c>
      <c r="AD317" s="9" t="str">
        <f t="shared" si="5"/>
        <v>Actual</v>
      </c>
      <c r="AE317" s="9" t="str">
        <f t="shared" si="6"/>
        <v>TMK7</v>
      </c>
      <c r="AF317" s="9">
        <f>HOUR(O317)</f>
        <v>17</v>
      </c>
      <c r="AG317" s="9">
        <f>DAY(O317)</f>
        <v>18</v>
      </c>
      <c r="AH317" s="9">
        <f>IFERROR((I317-K317)*24*60,0)</f>
        <v>5.9999999986030161</v>
      </c>
      <c r="AI317" s="9">
        <f t="shared" si="7"/>
        <v>5.9999999986030161</v>
      </c>
      <c r="AJ317" s="9">
        <f>C317</f>
        <v>1423</v>
      </c>
      <c r="AK317" s="9">
        <f>IF(P317="completed",((V317-K317)*24*60),0)</f>
        <v>9.9999999906867743</v>
      </c>
      <c r="AL317" s="9">
        <f>IF(P317="completed",((U317-K317)*24*60),0)</f>
        <v>10.999999993946403</v>
      </c>
      <c r="AM317" s="9" t="str">
        <f t="shared" si="8"/>
        <v>OTP Achieved</v>
      </c>
      <c r="AN317" s="9" t="str">
        <f t="shared" si="9"/>
        <v>OTP Achieved</v>
      </c>
    </row>
    <row r="318" spans="1:40" ht="16">
      <c r="A318" s="3" t="s">
        <v>379</v>
      </c>
      <c r="B318" s="12">
        <v>46313.749305555553</v>
      </c>
      <c r="C318" s="5">
        <v>1632</v>
      </c>
      <c r="D318" s="1" t="s">
        <v>41</v>
      </c>
      <c r="E318" s="5">
        <v>5</v>
      </c>
      <c r="F318" s="1" t="s">
        <v>41</v>
      </c>
      <c r="G318" s="1" t="s">
        <v>41</v>
      </c>
      <c r="H318" s="1" t="s">
        <v>1042</v>
      </c>
      <c r="I318" s="12">
        <v>46313.749305555553</v>
      </c>
      <c r="J318" s="1" t="s">
        <v>41</v>
      </c>
      <c r="K318" s="12">
        <v>46313.745833333334</v>
      </c>
      <c r="L318" s="5">
        <v>24</v>
      </c>
      <c r="M318" s="1"/>
      <c r="N318" s="1"/>
      <c r="O318" s="12">
        <v>46313.743055555555</v>
      </c>
      <c r="P318" s="1" t="s">
        <v>43</v>
      </c>
      <c r="Q318" s="1" t="s">
        <v>381</v>
      </c>
      <c r="R318" s="1" t="s">
        <v>1043</v>
      </c>
      <c r="S318" s="5">
        <v>4247</v>
      </c>
      <c r="T318" s="1" t="s">
        <v>41</v>
      </c>
      <c r="U318" s="12">
        <v>46313.754166666666</v>
      </c>
      <c r="V318" s="12">
        <v>46313.75277777778</v>
      </c>
      <c r="W318" s="7" t="s">
        <v>1044</v>
      </c>
      <c r="X318" s="5">
        <v>22411</v>
      </c>
      <c r="Y318" s="4"/>
      <c r="Z318" s="5">
        <v>0</v>
      </c>
      <c r="AA318" s="8">
        <v>0.74930555555555556</v>
      </c>
      <c r="AB318" s="5">
        <v>5</v>
      </c>
      <c r="AC318" s="1" t="s">
        <v>41</v>
      </c>
      <c r="AD318" s="9" t="str">
        <f t="shared" si="5"/>
        <v>Actual</v>
      </c>
      <c r="AE318" s="9" t="str">
        <f t="shared" si="6"/>
        <v>TMK7</v>
      </c>
      <c r="AF318" s="9">
        <f>HOUR(O318)</f>
        <v>17</v>
      </c>
      <c r="AG318" s="9">
        <f>DAY(O318)</f>
        <v>18</v>
      </c>
      <c r="AH318" s="9">
        <f>IFERROR((I318-K318)*24*60,0)</f>
        <v>4.9999999953433871</v>
      </c>
      <c r="AI318" s="9">
        <f t="shared" si="7"/>
        <v>4.9999999953433871</v>
      </c>
      <c r="AJ318" s="9">
        <f>C318</f>
        <v>1632</v>
      </c>
      <c r="AK318" s="9">
        <f>IF(P318="completed",((V318-K318)*24*60),0)</f>
        <v>10.000000001164153</v>
      </c>
      <c r="AL318" s="9">
        <f>IF(P318="completed",((U318-K318)*24*60),0)</f>
        <v>11.999999997206032</v>
      </c>
      <c r="AM318" s="9" t="str">
        <f t="shared" si="8"/>
        <v>OTP Achieved</v>
      </c>
      <c r="AN318" s="9" t="str">
        <f t="shared" si="9"/>
        <v>OTP Achieved</v>
      </c>
    </row>
    <row r="319" spans="1:40" ht="16">
      <c r="A319" s="3" t="s">
        <v>98</v>
      </c>
      <c r="B319" s="12">
        <v>46313.748611111114</v>
      </c>
      <c r="C319" s="5">
        <v>1410</v>
      </c>
      <c r="D319" s="1" t="s">
        <v>41</v>
      </c>
      <c r="E319" s="5">
        <v>4</v>
      </c>
      <c r="F319" s="1" t="s">
        <v>41</v>
      </c>
      <c r="G319" s="1" t="s">
        <v>41</v>
      </c>
      <c r="H319" s="1" t="s">
        <v>1045</v>
      </c>
      <c r="I319" s="12">
        <v>46313.748611111114</v>
      </c>
      <c r="J319" s="1" t="s">
        <v>41</v>
      </c>
      <c r="K319" s="12">
        <v>46313.743750000001</v>
      </c>
      <c r="L319" s="5">
        <v>27</v>
      </c>
      <c r="M319" s="1"/>
      <c r="N319" s="1"/>
      <c r="O319" s="12">
        <v>46313.742361111108</v>
      </c>
      <c r="P319" s="1" t="s">
        <v>43</v>
      </c>
      <c r="Q319" s="1" t="s">
        <v>100</v>
      </c>
      <c r="R319" s="1" t="s">
        <v>1046</v>
      </c>
      <c r="S319" s="5">
        <v>4247</v>
      </c>
      <c r="T319" s="1" t="s">
        <v>41</v>
      </c>
      <c r="U319" s="12">
        <v>46313.753472222219</v>
      </c>
      <c r="V319" s="12">
        <v>46313.750694444447</v>
      </c>
      <c r="W319" s="7" t="s">
        <v>1047</v>
      </c>
      <c r="X319" s="5">
        <v>22411</v>
      </c>
      <c r="Y319" s="4"/>
      <c r="Z319" s="5">
        <v>0</v>
      </c>
      <c r="AA319" s="8">
        <v>0.74861111111111112</v>
      </c>
      <c r="AB319" s="5">
        <v>3</v>
      </c>
      <c r="AC319" s="1" t="s">
        <v>41</v>
      </c>
      <c r="AD319" s="9" t="str">
        <f t="shared" si="5"/>
        <v>Actual</v>
      </c>
      <c r="AE319" s="9" t="str">
        <f t="shared" si="6"/>
        <v>TMK7</v>
      </c>
      <c r="AF319" s="9">
        <f>HOUR(O319)</f>
        <v>17</v>
      </c>
      <c r="AG319" s="9">
        <f>DAY(O319)</f>
        <v>18</v>
      </c>
      <c r="AH319" s="9">
        <f>IFERROR((I319-K319)*24*60,0)</f>
        <v>7.0000000018626451</v>
      </c>
      <c r="AI319" s="9">
        <f t="shared" si="7"/>
        <v>7.0000000018626451</v>
      </c>
      <c r="AJ319" s="9">
        <f>C319</f>
        <v>1410</v>
      </c>
      <c r="AK319" s="9">
        <f>IF(P319="completed",((V319-K319)*24*60),0)</f>
        <v>10.000000001164153</v>
      </c>
      <c r="AL319" s="9">
        <f>IF(P319="completed",((U319-K319)*24*60),0)</f>
        <v>13.999999993247911</v>
      </c>
      <c r="AM319" s="9" t="str">
        <f t="shared" si="8"/>
        <v>OTP Achieved</v>
      </c>
      <c r="AN319" s="9" t="str">
        <f t="shared" si="9"/>
        <v>OTP Achieved</v>
      </c>
    </row>
    <row r="320" spans="1:40" ht="16">
      <c r="A320" s="3" t="s">
        <v>655</v>
      </c>
      <c r="B320" s="12">
        <v>46313.746527777781</v>
      </c>
      <c r="C320" s="5">
        <v>1791</v>
      </c>
      <c r="D320" s="1" t="s">
        <v>41</v>
      </c>
      <c r="E320" s="5">
        <v>6</v>
      </c>
      <c r="F320" s="1" t="s">
        <v>41</v>
      </c>
      <c r="G320" s="1" t="s">
        <v>41</v>
      </c>
      <c r="H320" s="1" t="s">
        <v>1048</v>
      </c>
      <c r="I320" s="12">
        <v>46313.74722222222</v>
      </c>
      <c r="J320" s="1" t="s">
        <v>41</v>
      </c>
      <c r="K320" s="12">
        <v>46313.744444444441</v>
      </c>
      <c r="L320" s="5">
        <v>33</v>
      </c>
      <c r="M320" s="1"/>
      <c r="N320" s="1"/>
      <c r="O320" s="12">
        <v>46313.742361111108</v>
      </c>
      <c r="P320" s="1" t="s">
        <v>43</v>
      </c>
      <c r="Q320" s="1" t="s">
        <v>657</v>
      </c>
      <c r="R320" s="1" t="s">
        <v>1049</v>
      </c>
      <c r="S320" s="5">
        <v>4247</v>
      </c>
      <c r="T320" s="1" t="s">
        <v>41</v>
      </c>
      <c r="U320" s="12">
        <v>46313.752083333333</v>
      </c>
      <c r="V320" s="12">
        <v>46313.750694444447</v>
      </c>
      <c r="W320" s="7" t="s">
        <v>1050</v>
      </c>
      <c r="X320" s="5">
        <v>22411</v>
      </c>
      <c r="Y320" s="4"/>
      <c r="Z320" s="5">
        <v>0</v>
      </c>
      <c r="AA320" s="8">
        <v>0.74652777777777779</v>
      </c>
      <c r="AB320" s="5">
        <v>5</v>
      </c>
      <c r="AC320" s="1" t="s">
        <v>41</v>
      </c>
      <c r="AD320" s="9" t="str">
        <f t="shared" si="5"/>
        <v>Actual</v>
      </c>
      <c r="AE320" s="9" t="str">
        <f t="shared" si="6"/>
        <v>TMK7</v>
      </c>
      <c r="AF320" s="9">
        <f>HOUR(O320)</f>
        <v>17</v>
      </c>
      <c r="AG320" s="9">
        <f>DAY(O320)</f>
        <v>18</v>
      </c>
      <c r="AH320" s="9">
        <f>IFERROR((I320-K320)*24*60,0)</f>
        <v>4.0000000025611371</v>
      </c>
      <c r="AI320" s="9">
        <f t="shared" si="7"/>
        <v>4.0000000025611371</v>
      </c>
      <c r="AJ320" s="9">
        <f>C320</f>
        <v>1791</v>
      </c>
      <c r="AK320" s="9">
        <f>IF(P320="completed",((V320-K320)*24*60),0)</f>
        <v>9.0000000083819032</v>
      </c>
      <c r="AL320" s="9">
        <f>IF(P320="completed",((U320-K320)*24*60),0)</f>
        <v>11.000000004423782</v>
      </c>
      <c r="AM320" s="9" t="str">
        <f t="shared" si="8"/>
        <v>OTP Achieved</v>
      </c>
      <c r="AN320" s="9" t="str">
        <f t="shared" si="9"/>
        <v>OTP Achieved</v>
      </c>
    </row>
    <row r="321" spans="1:40" ht="16">
      <c r="A321" s="3" t="s">
        <v>57</v>
      </c>
      <c r="B321" s="12">
        <v>46313.745833333334</v>
      </c>
      <c r="C321" s="5">
        <v>1613</v>
      </c>
      <c r="D321" s="1" t="s">
        <v>41</v>
      </c>
      <c r="E321" s="5">
        <v>6</v>
      </c>
      <c r="F321" s="1" t="s">
        <v>41</v>
      </c>
      <c r="G321" s="1" t="s">
        <v>41</v>
      </c>
      <c r="H321" s="1" t="s">
        <v>1051</v>
      </c>
      <c r="I321" s="12">
        <v>46313.745833333334</v>
      </c>
      <c r="J321" s="1" t="s">
        <v>41</v>
      </c>
      <c r="K321" s="12">
        <v>46313.743055555555</v>
      </c>
      <c r="L321" s="5">
        <v>14</v>
      </c>
      <c r="M321" s="1"/>
      <c r="N321" s="1"/>
      <c r="O321" s="12">
        <v>46313.742361111108</v>
      </c>
      <c r="P321" s="1" t="s">
        <v>43</v>
      </c>
      <c r="Q321" s="1" t="s">
        <v>59</v>
      </c>
      <c r="R321" s="1" t="s">
        <v>1052</v>
      </c>
      <c r="S321" s="5">
        <v>4247</v>
      </c>
      <c r="T321" s="1" t="s">
        <v>41</v>
      </c>
      <c r="U321" s="12">
        <v>46313.751388888886</v>
      </c>
      <c r="V321" s="12">
        <v>46313.749305555553</v>
      </c>
      <c r="W321" s="7" t="s">
        <v>1053</v>
      </c>
      <c r="X321" s="5">
        <v>22411</v>
      </c>
      <c r="Y321" s="4"/>
      <c r="Z321" s="5">
        <v>0</v>
      </c>
      <c r="AA321" s="8">
        <v>0.74583333333333335</v>
      </c>
      <c r="AB321" s="5">
        <v>5</v>
      </c>
      <c r="AC321" s="1" t="s">
        <v>41</v>
      </c>
      <c r="AD321" s="9" t="str">
        <f t="shared" si="5"/>
        <v>Actual</v>
      </c>
      <c r="AE321" s="9" t="str">
        <f t="shared" si="6"/>
        <v>TMK7</v>
      </c>
      <c r="AF321" s="9">
        <f>HOUR(O321)</f>
        <v>17</v>
      </c>
      <c r="AG321" s="9">
        <f>DAY(O321)</f>
        <v>18</v>
      </c>
      <c r="AH321" s="9">
        <f>IFERROR((I321-K321)*24*60,0)</f>
        <v>4.0000000025611371</v>
      </c>
      <c r="AI321" s="9">
        <f t="shared" si="7"/>
        <v>4.0000000025611371</v>
      </c>
      <c r="AJ321" s="9">
        <f>C321</f>
        <v>1613</v>
      </c>
      <c r="AK321" s="9">
        <f>IF(P321="completed",((V321-K321)*24*60),0)</f>
        <v>8.9999999979045242</v>
      </c>
      <c r="AL321" s="9">
        <f>IF(P321="completed",((U321-K321)*24*60),0)</f>
        <v>11.999999997206032</v>
      </c>
      <c r="AM321" s="9" t="str">
        <f t="shared" si="8"/>
        <v>OTP Achieved</v>
      </c>
      <c r="AN321" s="9" t="str">
        <f t="shared" si="9"/>
        <v>OTP Achieved</v>
      </c>
    </row>
    <row r="322" spans="1:40" ht="16">
      <c r="A322" s="3" t="s">
        <v>198</v>
      </c>
      <c r="B322" s="12">
        <v>46313.745138888888</v>
      </c>
      <c r="C322" s="5">
        <v>1233</v>
      </c>
      <c r="D322" s="1" t="s">
        <v>41</v>
      </c>
      <c r="E322" s="5">
        <v>4</v>
      </c>
      <c r="F322" s="1" t="s">
        <v>41</v>
      </c>
      <c r="G322" s="1" t="s">
        <v>41</v>
      </c>
      <c r="H322" s="1" t="s">
        <v>1054</v>
      </c>
      <c r="I322" s="12">
        <v>46313.745833333334</v>
      </c>
      <c r="J322" s="1" t="s">
        <v>41</v>
      </c>
      <c r="K322" s="12">
        <v>46313.743750000001</v>
      </c>
      <c r="L322" s="5">
        <v>29</v>
      </c>
      <c r="M322" s="1"/>
      <c r="N322" s="1"/>
      <c r="O322" s="12">
        <v>46313.742361111108</v>
      </c>
      <c r="P322" s="1" t="s">
        <v>43</v>
      </c>
      <c r="Q322" s="1" t="s">
        <v>200</v>
      </c>
      <c r="R322" s="1" t="s">
        <v>1055</v>
      </c>
      <c r="S322" s="5">
        <v>4247</v>
      </c>
      <c r="T322" s="1" t="s">
        <v>41</v>
      </c>
      <c r="U322" s="12">
        <v>46313.750694444447</v>
      </c>
      <c r="V322" s="12">
        <v>46313.747916666667</v>
      </c>
      <c r="W322" s="7" t="s">
        <v>1056</v>
      </c>
      <c r="X322" s="5">
        <v>22411</v>
      </c>
      <c r="Y322" s="4"/>
      <c r="Z322" s="5">
        <v>0</v>
      </c>
      <c r="AA322" s="8">
        <v>0.74513888888888891</v>
      </c>
      <c r="AB322" s="5">
        <v>3</v>
      </c>
      <c r="AC322" s="1" t="s">
        <v>41</v>
      </c>
      <c r="AD322" s="9" t="str">
        <f t="shared" si="5"/>
        <v>Actual</v>
      </c>
      <c r="AE322" s="9" t="str">
        <f t="shared" si="6"/>
        <v>TMK7</v>
      </c>
      <c r="AF322" s="9">
        <f>HOUR(O322)</f>
        <v>17</v>
      </c>
      <c r="AG322" s="9">
        <f>DAY(O322)</f>
        <v>18</v>
      </c>
      <c r="AH322" s="9">
        <f>IFERROR((I322-K322)*24*60,0)</f>
        <v>2.9999999993015081</v>
      </c>
      <c r="AI322" s="9">
        <f t="shared" si="7"/>
        <v>2.9999999993015081</v>
      </c>
      <c r="AJ322" s="9">
        <f>C322</f>
        <v>1233</v>
      </c>
      <c r="AK322" s="9">
        <f>IF(P322="completed",((V322-K322)*24*60),0)</f>
        <v>5.9999999986030161</v>
      </c>
      <c r="AL322" s="9">
        <f>IF(P322="completed",((U322-K322)*24*60),0)</f>
        <v>10.000000001164153</v>
      </c>
      <c r="AM322" s="9" t="str">
        <f t="shared" si="8"/>
        <v>OTP Achieved</v>
      </c>
      <c r="AN322" s="9" t="str">
        <f t="shared" si="9"/>
        <v>OTP Achieved</v>
      </c>
    </row>
    <row r="323" spans="1:40" ht="16">
      <c r="A323" s="3" t="s">
        <v>303</v>
      </c>
      <c r="B323" s="12">
        <v>46313.745138888888</v>
      </c>
      <c r="C323" s="5">
        <v>2153</v>
      </c>
      <c r="D323" s="1" t="s">
        <v>41</v>
      </c>
      <c r="E323" s="5">
        <v>9</v>
      </c>
      <c r="F323" s="1" t="s">
        <v>41</v>
      </c>
      <c r="G323" s="1" t="s">
        <v>41</v>
      </c>
      <c r="H323" s="1" t="s">
        <v>1057</v>
      </c>
      <c r="I323" s="12">
        <v>46313.745138888888</v>
      </c>
      <c r="J323" s="1" t="s">
        <v>41</v>
      </c>
      <c r="K323" s="12">
        <v>46313.743055555555</v>
      </c>
      <c r="L323" s="5">
        <v>24</v>
      </c>
      <c r="M323" s="1"/>
      <c r="N323" s="1"/>
      <c r="O323" s="12">
        <v>46313.742361111108</v>
      </c>
      <c r="P323" s="1" t="s">
        <v>43</v>
      </c>
      <c r="Q323" s="1" t="s">
        <v>305</v>
      </c>
      <c r="R323" s="1" t="s">
        <v>1058</v>
      </c>
      <c r="S323" s="5">
        <v>4247</v>
      </c>
      <c r="T323" s="1" t="s">
        <v>41</v>
      </c>
      <c r="U323" s="12">
        <v>46313.751388888886</v>
      </c>
      <c r="V323" s="12">
        <v>46313.751388888886</v>
      </c>
      <c r="W323" s="7" t="s">
        <v>1059</v>
      </c>
      <c r="X323" s="5">
        <v>22411</v>
      </c>
      <c r="Y323" s="4"/>
      <c r="Z323" s="5">
        <v>0</v>
      </c>
      <c r="AA323" s="8">
        <v>0.74513888888888891</v>
      </c>
      <c r="AB323" s="5">
        <v>8</v>
      </c>
      <c r="AC323" s="1" t="s">
        <v>41</v>
      </c>
      <c r="AD323" s="9" t="str">
        <f t="shared" si="5"/>
        <v>Actual</v>
      </c>
      <c r="AE323" s="9" t="str">
        <f t="shared" si="6"/>
        <v>TMK7</v>
      </c>
      <c r="AF323" s="9">
        <f>HOUR(O323)</f>
        <v>17</v>
      </c>
      <c r="AG323" s="9">
        <f>DAY(O323)</f>
        <v>18</v>
      </c>
      <c r="AH323" s="9">
        <f>IFERROR((I323-K323)*24*60,0)</f>
        <v>2.9999999993015081</v>
      </c>
      <c r="AI323" s="9">
        <f t="shared" si="7"/>
        <v>2.9999999993015081</v>
      </c>
      <c r="AJ323" s="9">
        <f>C323</f>
        <v>2153</v>
      </c>
      <c r="AK323" s="9">
        <f>IF(P323="completed",((V323-K323)*24*60),0)</f>
        <v>11.999999997206032</v>
      </c>
      <c r="AL323" s="9">
        <f>IF(P323="completed",((U323-K323)*24*60),0)</f>
        <v>11.999999997206032</v>
      </c>
      <c r="AM323" s="9" t="str">
        <f t="shared" si="8"/>
        <v>OTP Breached</v>
      </c>
      <c r="AN323" s="9" t="str">
        <f t="shared" si="9"/>
        <v>OTP Achieved</v>
      </c>
    </row>
    <row r="324" spans="1:40" ht="16">
      <c r="A324" s="3" t="s">
        <v>77</v>
      </c>
      <c r="B324" s="12">
        <v>46313.744444444441</v>
      </c>
      <c r="C324" s="5">
        <v>1785</v>
      </c>
      <c r="D324" s="1" t="s">
        <v>41</v>
      </c>
      <c r="E324" s="5">
        <v>4</v>
      </c>
      <c r="F324" s="1" t="s">
        <v>41</v>
      </c>
      <c r="G324" s="1" t="s">
        <v>41</v>
      </c>
      <c r="H324" s="1" t="s">
        <v>1048</v>
      </c>
      <c r="I324" s="12">
        <v>46313.745138888888</v>
      </c>
      <c r="J324" s="1" t="s">
        <v>41</v>
      </c>
      <c r="K324" s="12">
        <v>46313.743750000001</v>
      </c>
      <c r="L324" s="5">
        <v>30</v>
      </c>
      <c r="M324" s="1"/>
      <c r="N324" s="1"/>
      <c r="O324" s="12">
        <v>46313.742361111108</v>
      </c>
      <c r="P324" s="1" t="s">
        <v>43</v>
      </c>
      <c r="Q324" s="1" t="s">
        <v>79</v>
      </c>
      <c r="R324" s="1" t="s">
        <v>1060</v>
      </c>
      <c r="S324" s="5">
        <v>4247</v>
      </c>
      <c r="T324" s="1" t="s">
        <v>41</v>
      </c>
      <c r="U324" s="12">
        <v>46313.749305555553</v>
      </c>
      <c r="V324" s="12">
        <v>46313.74722222222</v>
      </c>
      <c r="W324" s="7" t="s">
        <v>1061</v>
      </c>
      <c r="X324" s="5">
        <v>22411</v>
      </c>
      <c r="Y324" s="4"/>
      <c r="Z324" s="5">
        <v>0</v>
      </c>
      <c r="AA324" s="8">
        <v>0.74444444444444446</v>
      </c>
      <c r="AB324" s="5">
        <v>3</v>
      </c>
      <c r="AC324" s="1" t="s">
        <v>41</v>
      </c>
      <c r="AD324" s="9" t="str">
        <f t="shared" si="5"/>
        <v>Actual</v>
      </c>
      <c r="AE324" s="9" t="str">
        <f t="shared" si="6"/>
        <v>TMK7</v>
      </c>
      <c r="AF324" s="9">
        <f>HOUR(O324)</f>
        <v>17</v>
      </c>
      <c r="AG324" s="9">
        <f>DAY(O324)</f>
        <v>18</v>
      </c>
      <c r="AH324" s="9">
        <f>IFERROR((I324-K324)*24*60,0)</f>
        <v>1.9999999960418791</v>
      </c>
      <c r="AI324" s="9">
        <f t="shared" si="7"/>
        <v>1.9999999960418791</v>
      </c>
      <c r="AJ324" s="9">
        <f>C324</f>
        <v>1785</v>
      </c>
      <c r="AK324" s="9">
        <f>IF(P324="completed",((V324-K324)*24*60),0)</f>
        <v>4.9999999953433871</v>
      </c>
      <c r="AL324" s="9">
        <f>IF(P324="completed",((U324-K324)*24*60),0)</f>
        <v>7.9999999946448952</v>
      </c>
      <c r="AM324" s="9" t="str">
        <f t="shared" si="8"/>
        <v>OTP Achieved</v>
      </c>
      <c r="AN324" s="9" t="str">
        <f t="shared" si="9"/>
        <v>OTP Achieved</v>
      </c>
    </row>
    <row r="325" spans="1:40" ht="16">
      <c r="A325" s="3" t="s">
        <v>347</v>
      </c>
      <c r="B325" s="12">
        <v>46313.744444444441</v>
      </c>
      <c r="C325" s="5">
        <v>1338</v>
      </c>
      <c r="D325" s="1" t="s">
        <v>41</v>
      </c>
      <c r="E325" s="5">
        <v>5</v>
      </c>
      <c r="F325" s="1" t="s">
        <v>41</v>
      </c>
      <c r="G325" s="1" t="s">
        <v>41</v>
      </c>
      <c r="H325" s="1" t="s">
        <v>1062</v>
      </c>
      <c r="I325" s="12">
        <v>46313.744444444441</v>
      </c>
      <c r="J325" s="1" t="s">
        <v>41</v>
      </c>
      <c r="K325" s="12">
        <v>46313.743055555555</v>
      </c>
      <c r="L325" s="5">
        <v>21</v>
      </c>
      <c r="M325" s="1"/>
      <c r="N325" s="1"/>
      <c r="O325" s="12">
        <v>46313.742361111108</v>
      </c>
      <c r="P325" s="1" t="s">
        <v>43</v>
      </c>
      <c r="Q325" s="1" t="s">
        <v>349</v>
      </c>
      <c r="R325" s="1" t="s">
        <v>1063</v>
      </c>
      <c r="S325" s="5">
        <v>4247</v>
      </c>
      <c r="T325" s="1" t="s">
        <v>41</v>
      </c>
      <c r="U325" s="12">
        <v>46313.748611111114</v>
      </c>
      <c r="V325" s="12">
        <v>46313.74722222222</v>
      </c>
      <c r="W325" s="7" t="s">
        <v>1064</v>
      </c>
      <c r="X325" s="5">
        <v>22411</v>
      </c>
      <c r="Y325" s="4"/>
      <c r="Z325" s="5">
        <v>0</v>
      </c>
      <c r="AA325" s="8">
        <v>0.74444444444444446</v>
      </c>
      <c r="AB325" s="5">
        <v>4</v>
      </c>
      <c r="AC325" s="1" t="s">
        <v>41</v>
      </c>
      <c r="AD325" s="9" t="str">
        <f t="shared" si="5"/>
        <v>Actual</v>
      </c>
      <c r="AE325" s="9" t="str">
        <f t="shared" si="6"/>
        <v>TMK7</v>
      </c>
      <c r="AF325" s="9">
        <f>HOUR(O325)</f>
        <v>17</v>
      </c>
      <c r="AG325" s="9">
        <f>DAY(O325)</f>
        <v>18</v>
      </c>
      <c r="AH325" s="9">
        <f>IFERROR((I325-K325)*24*60,0)</f>
        <v>1.9999999960418791</v>
      </c>
      <c r="AI325" s="9">
        <f t="shared" si="7"/>
        <v>1.9999999960418791</v>
      </c>
      <c r="AJ325" s="9">
        <f>C325</f>
        <v>1338</v>
      </c>
      <c r="AK325" s="9">
        <f>IF(P325="completed",((V325-K325)*24*60),0)</f>
        <v>5.9999999986030161</v>
      </c>
      <c r="AL325" s="9">
        <f>IF(P325="completed",((U325-K325)*24*60),0)</f>
        <v>8.0000000051222742</v>
      </c>
      <c r="AM325" s="9" t="str">
        <f t="shared" si="8"/>
        <v>OTP Achieved</v>
      </c>
      <c r="AN325" s="9" t="str">
        <f t="shared" si="9"/>
        <v>OTP Achieved</v>
      </c>
    </row>
    <row r="326" spans="1:40" ht="16">
      <c r="A326" s="3" t="s">
        <v>52</v>
      </c>
      <c r="B326" s="12">
        <v>46313.743750000001</v>
      </c>
      <c r="C326" s="5">
        <v>3788</v>
      </c>
      <c r="D326" s="1" t="s">
        <v>41</v>
      </c>
      <c r="E326" s="5">
        <v>9</v>
      </c>
      <c r="F326" s="1" t="s">
        <v>41</v>
      </c>
      <c r="G326" s="1" t="s">
        <v>41</v>
      </c>
      <c r="H326" s="1" t="s">
        <v>1065</v>
      </c>
      <c r="I326" s="12">
        <v>46313.743750000001</v>
      </c>
      <c r="J326" s="1" t="s">
        <v>41</v>
      </c>
      <c r="K326" s="12">
        <v>46313.742361111108</v>
      </c>
      <c r="L326" s="5">
        <v>29</v>
      </c>
      <c r="M326" s="1"/>
      <c r="N326" s="1"/>
      <c r="O326" s="12">
        <v>46313.741666666669</v>
      </c>
      <c r="P326" s="1" t="s">
        <v>43</v>
      </c>
      <c r="Q326" s="1" t="s">
        <v>54</v>
      </c>
      <c r="R326" s="1" t="s">
        <v>1066</v>
      </c>
      <c r="S326" s="5">
        <v>4247</v>
      </c>
      <c r="T326" s="1" t="s">
        <v>41</v>
      </c>
      <c r="U326" s="12">
        <v>46313.75277777778</v>
      </c>
      <c r="V326" s="12">
        <v>46313.75</v>
      </c>
      <c r="W326" s="7" t="s">
        <v>1067</v>
      </c>
      <c r="X326" s="5">
        <v>22411</v>
      </c>
      <c r="Y326" s="4"/>
      <c r="Z326" s="5">
        <v>0</v>
      </c>
      <c r="AA326" s="8">
        <v>0.74375000000000002</v>
      </c>
      <c r="AB326" s="5">
        <v>9</v>
      </c>
      <c r="AC326" s="1" t="s">
        <v>41</v>
      </c>
      <c r="AD326" s="9" t="str">
        <f t="shared" si="5"/>
        <v>Actual</v>
      </c>
      <c r="AE326" s="9" t="str">
        <f t="shared" si="6"/>
        <v>TMK7</v>
      </c>
      <c r="AF326" s="9">
        <f>HOUR(O326)</f>
        <v>17</v>
      </c>
      <c r="AG326" s="9">
        <f>DAY(O326)</f>
        <v>18</v>
      </c>
      <c r="AH326" s="9">
        <f>IFERROR((I326-K326)*24*60,0)</f>
        <v>2.000000006519258</v>
      </c>
      <c r="AI326" s="9">
        <f t="shared" si="7"/>
        <v>2.000000006519258</v>
      </c>
      <c r="AJ326" s="9">
        <f>C326</f>
        <v>3788</v>
      </c>
      <c r="AK326" s="9">
        <f>IF(P326="completed",((V326-K326)*24*60),0)</f>
        <v>11.000000004423782</v>
      </c>
      <c r="AL326" s="9">
        <f>IF(P326="completed",((U326-K326)*24*60),0)</f>
        <v>15.000000006984919</v>
      </c>
      <c r="AM326" s="9" t="str">
        <f t="shared" si="8"/>
        <v>OTP Achieved</v>
      </c>
      <c r="AN326" s="9" t="str">
        <f t="shared" si="9"/>
        <v>OTP Achieved</v>
      </c>
    </row>
    <row r="327" spans="1:40" ht="16">
      <c r="A327" s="3" t="s">
        <v>125</v>
      </c>
      <c r="B327" s="12">
        <v>46313.742361111108</v>
      </c>
      <c r="C327" s="5">
        <v>1600</v>
      </c>
      <c r="D327" s="1" t="s">
        <v>41</v>
      </c>
      <c r="E327" s="5">
        <v>7</v>
      </c>
      <c r="F327" s="1" t="s">
        <v>41</v>
      </c>
      <c r="G327" s="1" t="s">
        <v>41</v>
      </c>
      <c r="H327" s="1" t="s">
        <v>1068</v>
      </c>
      <c r="I327" s="12">
        <v>46313.742361111108</v>
      </c>
      <c r="J327" s="1" t="s">
        <v>41</v>
      </c>
      <c r="K327" s="12">
        <v>46313.740277777775</v>
      </c>
      <c r="L327" s="5">
        <v>19</v>
      </c>
      <c r="M327" s="1"/>
      <c r="N327" s="1"/>
      <c r="O327" s="12">
        <v>46313.739583333336</v>
      </c>
      <c r="P327" s="1" t="s">
        <v>43</v>
      </c>
      <c r="Q327" s="1" t="s">
        <v>127</v>
      </c>
      <c r="R327" s="1" t="s">
        <v>1069</v>
      </c>
      <c r="S327" s="5">
        <v>4247</v>
      </c>
      <c r="T327" s="1" t="s">
        <v>41</v>
      </c>
      <c r="U327" s="12">
        <v>46313.74722222222</v>
      </c>
      <c r="V327" s="12">
        <v>46313.74722222222</v>
      </c>
      <c r="W327" s="7" t="s">
        <v>1070</v>
      </c>
      <c r="X327" s="5">
        <v>22411</v>
      </c>
      <c r="Y327" s="4"/>
      <c r="Z327" s="5">
        <v>0</v>
      </c>
      <c r="AA327" s="8">
        <v>0.74236111111111114</v>
      </c>
      <c r="AB327" s="5">
        <v>7</v>
      </c>
      <c r="AC327" s="1" t="s">
        <v>41</v>
      </c>
      <c r="AD327" s="9" t="str">
        <f t="shared" si="5"/>
        <v>Actual</v>
      </c>
      <c r="AE327" s="9" t="str">
        <f t="shared" si="6"/>
        <v>TMK7</v>
      </c>
      <c r="AF327" s="9">
        <f>HOUR(O327)</f>
        <v>17</v>
      </c>
      <c r="AG327" s="9">
        <f>DAY(O327)</f>
        <v>18</v>
      </c>
      <c r="AH327" s="9">
        <f>IFERROR((I327-K327)*24*60,0)</f>
        <v>2.9999999993015081</v>
      </c>
      <c r="AI327" s="9">
        <f t="shared" si="7"/>
        <v>2.9999999993015081</v>
      </c>
      <c r="AJ327" s="9">
        <f>C327</f>
        <v>1600</v>
      </c>
      <c r="AK327" s="9">
        <f>IF(P327="completed",((V327-K327)*24*60),0)</f>
        <v>10.000000001164153</v>
      </c>
      <c r="AL327" s="9">
        <f>IF(P327="completed",((U327-K327)*24*60),0)</f>
        <v>10.000000001164153</v>
      </c>
      <c r="AM327" s="9" t="str">
        <f t="shared" si="8"/>
        <v>OTP Breached</v>
      </c>
      <c r="AN327" s="9" t="str">
        <f t="shared" si="9"/>
        <v>OTP Achieved</v>
      </c>
    </row>
    <row r="328" spans="1:40" ht="16">
      <c r="A328" s="3" t="s">
        <v>72</v>
      </c>
      <c r="B328" s="12">
        <v>46313.742361111108</v>
      </c>
      <c r="C328" s="5">
        <v>1233</v>
      </c>
      <c r="D328" s="1" t="s">
        <v>41</v>
      </c>
      <c r="E328" s="5">
        <v>8</v>
      </c>
      <c r="F328" s="1" t="s">
        <v>41</v>
      </c>
      <c r="G328" s="1" t="s">
        <v>41</v>
      </c>
      <c r="H328" s="1" t="s">
        <v>1071</v>
      </c>
      <c r="I328" s="12">
        <v>46313.742361111108</v>
      </c>
      <c r="J328" s="1" t="s">
        <v>41</v>
      </c>
      <c r="K328" s="12">
        <v>46313.741666666669</v>
      </c>
      <c r="L328" s="5">
        <v>23</v>
      </c>
      <c r="M328" s="1"/>
      <c r="N328" s="1"/>
      <c r="O328" s="12">
        <v>46313.739583333336</v>
      </c>
      <c r="P328" s="1" t="s">
        <v>43</v>
      </c>
      <c r="Q328" s="1" t="s">
        <v>74</v>
      </c>
      <c r="R328" s="1" t="s">
        <v>1072</v>
      </c>
      <c r="S328" s="5">
        <v>4247</v>
      </c>
      <c r="T328" s="1" t="s">
        <v>41</v>
      </c>
      <c r="U328" s="12">
        <v>46313.74722222222</v>
      </c>
      <c r="V328" s="12">
        <v>46313.74722222222</v>
      </c>
      <c r="W328" s="7" t="s">
        <v>1073</v>
      </c>
      <c r="X328" s="5">
        <v>22411</v>
      </c>
      <c r="Y328" s="1"/>
      <c r="Z328" s="5">
        <v>0</v>
      </c>
      <c r="AA328" s="8">
        <v>0.74236111111111114</v>
      </c>
      <c r="AB328" s="5">
        <v>7</v>
      </c>
      <c r="AC328" s="1" t="s">
        <v>41</v>
      </c>
      <c r="AD328" s="9" t="str">
        <f t="shared" si="5"/>
        <v>Actual</v>
      </c>
      <c r="AE328" s="9" t="str">
        <f t="shared" si="6"/>
        <v>TMK7</v>
      </c>
      <c r="AF328" s="9">
        <f>HOUR(O328)</f>
        <v>17</v>
      </c>
      <c r="AG328" s="9">
        <f>DAY(O328)</f>
        <v>18</v>
      </c>
      <c r="AH328" s="9">
        <f>IFERROR((I328-K328)*24*60,0)</f>
        <v>0.99999999278225005</v>
      </c>
      <c r="AI328" s="9">
        <f t="shared" si="7"/>
        <v>0.99999999278225005</v>
      </c>
      <c r="AJ328" s="9">
        <f>C328</f>
        <v>1233</v>
      </c>
      <c r="AK328" s="9">
        <f>IF(P328="completed",((V328-K328)*24*60),0)</f>
        <v>7.9999999946448952</v>
      </c>
      <c r="AL328" s="9">
        <f>IF(P328="completed",((U328-K328)*24*60),0)</f>
        <v>7.9999999946448952</v>
      </c>
      <c r="AM328" s="9" t="str">
        <f t="shared" si="8"/>
        <v>OTP Breached</v>
      </c>
      <c r="AN328" s="9" t="str">
        <f t="shared" si="9"/>
        <v>OTP Achieved</v>
      </c>
    </row>
    <row r="329" spans="1:40" ht="16">
      <c r="A329" s="3" t="s">
        <v>734</v>
      </c>
      <c r="B329" s="12">
        <v>46313.740277777775</v>
      </c>
      <c r="C329" s="5">
        <v>2062</v>
      </c>
      <c r="D329" s="1" t="s">
        <v>41</v>
      </c>
      <c r="E329" s="5">
        <v>5</v>
      </c>
      <c r="F329" s="1" t="s">
        <v>41</v>
      </c>
      <c r="G329" s="1" t="s">
        <v>41</v>
      </c>
      <c r="H329" s="1" t="s">
        <v>1074</v>
      </c>
      <c r="I329" s="12">
        <v>46313.740972222222</v>
      </c>
      <c r="J329" s="1" t="s">
        <v>41</v>
      </c>
      <c r="K329" s="12">
        <v>46313.740972222222</v>
      </c>
      <c r="L329" s="5">
        <v>30</v>
      </c>
      <c r="M329" s="1"/>
      <c r="N329" s="1"/>
      <c r="O329" s="12">
        <v>46313.738194444442</v>
      </c>
      <c r="P329" s="1" t="s">
        <v>43</v>
      </c>
      <c r="Q329" s="1" t="s">
        <v>736</v>
      </c>
      <c r="R329" s="1" t="s">
        <v>1075</v>
      </c>
      <c r="S329" s="5">
        <v>4247</v>
      </c>
      <c r="T329" s="1" t="s">
        <v>41</v>
      </c>
      <c r="U329" s="12">
        <v>46313.746527777781</v>
      </c>
      <c r="V329" s="12">
        <v>46313.744444444441</v>
      </c>
      <c r="W329" s="7" t="s">
        <v>1076</v>
      </c>
      <c r="X329" s="5">
        <v>22411</v>
      </c>
      <c r="Y329" s="4"/>
      <c r="Z329" s="5">
        <v>0</v>
      </c>
      <c r="AA329" s="8">
        <v>0.74027777777777781</v>
      </c>
      <c r="AB329" s="5">
        <v>5</v>
      </c>
      <c r="AC329" s="1" t="s">
        <v>41</v>
      </c>
      <c r="AD329" s="9" t="str">
        <f t="shared" si="5"/>
        <v>Actual</v>
      </c>
      <c r="AE329" s="9" t="str">
        <f t="shared" si="6"/>
        <v>TMK7</v>
      </c>
      <c r="AF329" s="9">
        <f>HOUR(O329)</f>
        <v>17</v>
      </c>
      <c r="AG329" s="9">
        <f>DAY(O329)</f>
        <v>18</v>
      </c>
      <c r="AH329" s="9">
        <f>IFERROR((I329-K329)*24*60,0)</f>
        <v>0</v>
      </c>
      <c r="AI329" s="9">
        <f t="shared" si="7"/>
        <v>0</v>
      </c>
      <c r="AJ329" s="9">
        <f>C329</f>
        <v>2062</v>
      </c>
      <c r="AK329" s="9">
        <f>IF(P329="completed",((V329-K329)*24*60),0)</f>
        <v>4.9999999953433871</v>
      </c>
      <c r="AL329" s="9">
        <f>IF(P329="completed",((U329-K329)*24*60),0)</f>
        <v>8.0000000051222742</v>
      </c>
      <c r="AM329" s="9" t="str">
        <f t="shared" si="8"/>
        <v>OTP Achieved</v>
      </c>
      <c r="AN329" s="9" t="str">
        <f t="shared" si="9"/>
        <v>OTP Achieved</v>
      </c>
    </row>
    <row r="330" spans="1:40" ht="16">
      <c r="A330" s="3" t="s">
        <v>1077</v>
      </c>
      <c r="B330" s="12">
        <v>46313.740277777775</v>
      </c>
      <c r="C330" s="5">
        <v>1965</v>
      </c>
      <c r="D330" s="1" t="s">
        <v>41</v>
      </c>
      <c r="E330" s="5">
        <v>10</v>
      </c>
      <c r="F330" s="1" t="s">
        <v>41</v>
      </c>
      <c r="G330" s="1" t="s">
        <v>41</v>
      </c>
      <c r="H330" s="1" t="s">
        <v>1078</v>
      </c>
      <c r="I330" s="12">
        <v>46313.740277777775</v>
      </c>
      <c r="J330" s="1" t="s">
        <v>41</v>
      </c>
      <c r="K330" s="12">
        <v>46313.739583333336</v>
      </c>
      <c r="L330" s="5">
        <v>19</v>
      </c>
      <c r="M330" s="4"/>
      <c r="N330" s="1"/>
      <c r="O330" s="12">
        <v>46313.738194444442</v>
      </c>
      <c r="P330" s="1" t="s">
        <v>43</v>
      </c>
      <c r="Q330" s="1" t="s">
        <v>1079</v>
      </c>
      <c r="R330" s="1" t="s">
        <v>1080</v>
      </c>
      <c r="S330" s="5">
        <v>4247</v>
      </c>
      <c r="T330" s="1" t="s">
        <v>41</v>
      </c>
      <c r="U330" s="12">
        <v>46313.74722222222</v>
      </c>
      <c r="V330" s="12">
        <v>46313.74722222222</v>
      </c>
      <c r="W330" s="7" t="s">
        <v>1081</v>
      </c>
      <c r="X330" s="5">
        <v>22411</v>
      </c>
      <c r="Y330" s="4"/>
      <c r="Z330" s="5">
        <v>0</v>
      </c>
      <c r="AA330" s="8">
        <v>0.74027777777777781</v>
      </c>
      <c r="AB330" s="5">
        <v>9</v>
      </c>
      <c r="AC330" s="1" t="s">
        <v>41</v>
      </c>
      <c r="AD330" s="9" t="str">
        <f t="shared" si="5"/>
        <v>Actual</v>
      </c>
      <c r="AE330" s="9" t="str">
        <f t="shared" si="6"/>
        <v>TMK7</v>
      </c>
      <c r="AF330" s="9">
        <f>HOUR(O330)</f>
        <v>17</v>
      </c>
      <c r="AG330" s="9">
        <f>DAY(O330)</f>
        <v>18</v>
      </c>
      <c r="AH330" s="9">
        <f>IFERROR((I330-K330)*24*60,0)</f>
        <v>0.99999999278225005</v>
      </c>
      <c r="AI330" s="9">
        <f t="shared" si="7"/>
        <v>0.99999999278225005</v>
      </c>
      <c r="AJ330" s="9">
        <f>C330</f>
        <v>1965</v>
      </c>
      <c r="AK330" s="9">
        <f>IF(P330="completed",((V330-K330)*24*60),0)</f>
        <v>10.999999993946403</v>
      </c>
      <c r="AL330" s="9">
        <f>IF(P330="completed",((U330-K330)*24*60),0)</f>
        <v>10.999999993946403</v>
      </c>
      <c r="AM330" s="9" t="str">
        <f t="shared" si="8"/>
        <v>OTP Breached</v>
      </c>
      <c r="AN330" s="9" t="str">
        <f t="shared" si="9"/>
        <v>OTP Achieved</v>
      </c>
    </row>
    <row r="331" spans="1:40" ht="16">
      <c r="A331" s="3" t="s">
        <v>177</v>
      </c>
      <c r="B331" s="12">
        <v>46313.739583333336</v>
      </c>
      <c r="C331" s="5">
        <v>2614</v>
      </c>
      <c r="D331" s="1" t="s">
        <v>41</v>
      </c>
      <c r="E331" s="5">
        <v>8</v>
      </c>
      <c r="F331" s="1" t="s">
        <v>41</v>
      </c>
      <c r="G331" s="1" t="s">
        <v>41</v>
      </c>
      <c r="H331" s="1" t="s">
        <v>1082</v>
      </c>
      <c r="I331" s="12">
        <v>46313.739583333336</v>
      </c>
      <c r="J331" s="1" t="s">
        <v>41</v>
      </c>
      <c r="K331" s="12">
        <v>46313.738888888889</v>
      </c>
      <c r="L331" s="5">
        <v>23</v>
      </c>
      <c r="M331" s="1"/>
      <c r="N331" s="1"/>
      <c r="O331" s="12">
        <v>46313.738194444442</v>
      </c>
      <c r="P331" s="1" t="s">
        <v>43</v>
      </c>
      <c r="Q331" s="1" t="s">
        <v>179</v>
      </c>
      <c r="R331" s="1" t="s">
        <v>1083</v>
      </c>
      <c r="S331" s="5">
        <v>4247</v>
      </c>
      <c r="T331" s="1" t="s">
        <v>41</v>
      </c>
      <c r="U331" s="12">
        <v>46313.746527777781</v>
      </c>
      <c r="V331" s="12">
        <v>46313.745138888888</v>
      </c>
      <c r="W331" s="7" t="s">
        <v>1084</v>
      </c>
      <c r="X331" s="5">
        <v>22411</v>
      </c>
      <c r="Y331" s="4"/>
      <c r="Z331" s="5">
        <v>0</v>
      </c>
      <c r="AA331" s="8">
        <v>0.73958333333333337</v>
      </c>
      <c r="AB331" s="5">
        <v>8</v>
      </c>
      <c r="AC331" s="1" t="s">
        <v>41</v>
      </c>
      <c r="AD331" s="9" t="str">
        <f t="shared" si="5"/>
        <v>Actual</v>
      </c>
      <c r="AE331" s="9" t="str">
        <f t="shared" si="6"/>
        <v>TMK7</v>
      </c>
      <c r="AF331" s="9">
        <f>HOUR(O331)</f>
        <v>17</v>
      </c>
      <c r="AG331" s="9">
        <f>DAY(O331)</f>
        <v>18</v>
      </c>
      <c r="AH331" s="9">
        <f>IFERROR((I331-K331)*24*60,0)</f>
        <v>1.000000003259629</v>
      </c>
      <c r="AI331" s="9">
        <f t="shared" si="7"/>
        <v>1.000000003259629</v>
      </c>
      <c r="AJ331" s="9">
        <f>C331</f>
        <v>2614</v>
      </c>
      <c r="AK331" s="9">
        <f>IF(P331="completed",((V331-K331)*24*60),0)</f>
        <v>8.9999999979045242</v>
      </c>
      <c r="AL331" s="9">
        <f>IF(P331="completed",((U331-K331)*24*60),0)</f>
        <v>11.000000004423782</v>
      </c>
      <c r="AM331" s="9" t="str">
        <f t="shared" si="8"/>
        <v>OTP Achieved</v>
      </c>
      <c r="AN331" s="9" t="str">
        <f t="shared" si="9"/>
        <v>OTP Achieved</v>
      </c>
    </row>
    <row r="332" spans="1:40" ht="16">
      <c r="A332" s="3" t="s">
        <v>106</v>
      </c>
      <c r="B332" s="12">
        <v>46313.738888888889</v>
      </c>
      <c r="C332" s="5">
        <v>2483</v>
      </c>
      <c r="D332" s="1" t="s">
        <v>41</v>
      </c>
      <c r="E332" s="5">
        <v>9</v>
      </c>
      <c r="F332" s="1" t="s">
        <v>41</v>
      </c>
      <c r="G332" s="1" t="s">
        <v>41</v>
      </c>
      <c r="H332" s="1" t="s">
        <v>1085</v>
      </c>
      <c r="I332" s="12">
        <v>46313.739583333336</v>
      </c>
      <c r="J332" s="1" t="s">
        <v>41</v>
      </c>
      <c r="K332" s="12">
        <v>46313.738194444442</v>
      </c>
      <c r="L332" s="5">
        <v>32</v>
      </c>
      <c r="M332" s="1"/>
      <c r="N332" s="1"/>
      <c r="O332" s="12">
        <v>46313.736805555556</v>
      </c>
      <c r="P332" s="1" t="s">
        <v>43</v>
      </c>
      <c r="Q332" s="1" t="s">
        <v>108</v>
      </c>
      <c r="R332" s="1" t="s">
        <v>1086</v>
      </c>
      <c r="S332" s="5">
        <v>4247</v>
      </c>
      <c r="T332" s="1" t="s">
        <v>41</v>
      </c>
      <c r="U332" s="12">
        <v>46313.745138888888</v>
      </c>
      <c r="V332" s="12">
        <v>46313.745138888888</v>
      </c>
      <c r="W332" s="7" t="s">
        <v>1087</v>
      </c>
      <c r="X332" s="5">
        <v>22411</v>
      </c>
      <c r="Y332" s="4"/>
      <c r="Z332" s="5">
        <v>0</v>
      </c>
      <c r="AA332" s="8">
        <v>0.73888888888888893</v>
      </c>
      <c r="AB332" s="5">
        <v>9</v>
      </c>
      <c r="AC332" s="1" t="s">
        <v>41</v>
      </c>
      <c r="AD332" s="9" t="str">
        <f t="shared" si="5"/>
        <v>Actual</v>
      </c>
      <c r="AE332" s="9" t="str">
        <f t="shared" si="6"/>
        <v>TMK7</v>
      </c>
      <c r="AF332" s="9">
        <f>HOUR(O332)</f>
        <v>17</v>
      </c>
      <c r="AG332" s="9">
        <f>DAY(O332)</f>
        <v>18</v>
      </c>
      <c r="AH332" s="9">
        <f>IFERROR((I332-K332)*24*60,0)</f>
        <v>2.000000006519258</v>
      </c>
      <c r="AI332" s="9">
        <f t="shared" si="7"/>
        <v>2.000000006519258</v>
      </c>
      <c r="AJ332" s="9">
        <f>C332</f>
        <v>2483</v>
      </c>
      <c r="AK332" s="9">
        <f>IF(P332="completed",((V332-K332)*24*60),0)</f>
        <v>10.000000001164153</v>
      </c>
      <c r="AL332" s="9">
        <f>IF(P332="completed",((U332-K332)*24*60),0)</f>
        <v>10.000000001164153</v>
      </c>
      <c r="AM332" s="9" t="str">
        <f t="shared" si="8"/>
        <v>OTP Breached</v>
      </c>
      <c r="AN332" s="9" t="str">
        <f t="shared" si="9"/>
        <v>OTP Achieved</v>
      </c>
    </row>
    <row r="333" spans="1:40" ht="16">
      <c r="A333" s="3" t="s">
        <v>339</v>
      </c>
      <c r="B333" s="12">
        <v>46313.738194444442</v>
      </c>
      <c r="C333" s="5">
        <v>2177</v>
      </c>
      <c r="D333" s="1" t="s">
        <v>41</v>
      </c>
      <c r="E333" s="5">
        <v>9</v>
      </c>
      <c r="F333" s="1" t="s">
        <v>41</v>
      </c>
      <c r="G333" s="1" t="s">
        <v>41</v>
      </c>
      <c r="H333" s="1" t="s">
        <v>1088</v>
      </c>
      <c r="I333" s="12">
        <v>46313.738888888889</v>
      </c>
      <c r="J333" s="1" t="s">
        <v>41</v>
      </c>
      <c r="K333" s="12">
        <v>46313.737500000003</v>
      </c>
      <c r="L333" s="5">
        <v>18</v>
      </c>
      <c r="M333" s="1"/>
      <c r="N333" s="1"/>
      <c r="O333" s="12">
        <v>46313.736805555556</v>
      </c>
      <c r="P333" s="1" t="s">
        <v>43</v>
      </c>
      <c r="Q333" s="1" t="s">
        <v>341</v>
      </c>
      <c r="R333" s="1" t="s">
        <v>1089</v>
      </c>
      <c r="S333" s="5">
        <v>4247</v>
      </c>
      <c r="T333" s="1" t="s">
        <v>41</v>
      </c>
      <c r="U333" s="12">
        <v>46313.745138888888</v>
      </c>
      <c r="V333" s="12">
        <v>46313.744444444441</v>
      </c>
      <c r="W333" s="7" t="s">
        <v>1090</v>
      </c>
      <c r="X333" s="5">
        <v>22411</v>
      </c>
      <c r="Y333" s="4"/>
      <c r="Z333" s="5">
        <v>0</v>
      </c>
      <c r="AA333" s="8">
        <v>0.73819444444444449</v>
      </c>
      <c r="AB333" s="5">
        <v>8</v>
      </c>
      <c r="AC333" s="1" t="s">
        <v>41</v>
      </c>
      <c r="AD333" s="9" t="str">
        <f t="shared" si="5"/>
        <v>Actual</v>
      </c>
      <c r="AE333" s="9" t="str">
        <f t="shared" si="6"/>
        <v>TMK7</v>
      </c>
      <c r="AF333" s="9">
        <f>HOUR(O333)</f>
        <v>17</v>
      </c>
      <c r="AG333" s="9">
        <f>DAY(O333)</f>
        <v>18</v>
      </c>
      <c r="AH333" s="9">
        <f>IFERROR((I333-K333)*24*60,0)</f>
        <v>1.9999999960418791</v>
      </c>
      <c r="AI333" s="9">
        <f t="shared" si="7"/>
        <v>1.9999999960418791</v>
      </c>
      <c r="AJ333" s="9">
        <f>C333</f>
        <v>2177</v>
      </c>
      <c r="AK333" s="9">
        <f>IF(P333="completed",((V333-K333)*24*60),0)</f>
        <v>9.9999999906867743</v>
      </c>
      <c r="AL333" s="9">
        <f>IF(P333="completed",((U333-K333)*24*60),0)</f>
        <v>10.999999993946403</v>
      </c>
      <c r="AM333" s="9" t="str">
        <f t="shared" si="8"/>
        <v>OTP Achieved</v>
      </c>
      <c r="AN333" s="9" t="str">
        <f t="shared" si="9"/>
        <v>OTP Achieved</v>
      </c>
    </row>
    <row r="334" spans="1:40" ht="16">
      <c r="A334" s="3" t="s">
        <v>62</v>
      </c>
      <c r="B334" s="12">
        <v>46313.738888888889</v>
      </c>
      <c r="C334" s="5">
        <v>1521</v>
      </c>
      <c r="D334" s="1" t="s">
        <v>41</v>
      </c>
      <c r="E334" s="5">
        <v>5</v>
      </c>
      <c r="F334" s="1" t="s">
        <v>41</v>
      </c>
      <c r="G334" s="1" t="s">
        <v>41</v>
      </c>
      <c r="H334" s="1" t="s">
        <v>1091</v>
      </c>
      <c r="I334" s="12">
        <v>46313.738888888889</v>
      </c>
      <c r="J334" s="1" t="s">
        <v>41</v>
      </c>
      <c r="K334" s="12">
        <v>46313.736111111109</v>
      </c>
      <c r="L334" s="5">
        <v>40</v>
      </c>
      <c r="M334" s="1"/>
      <c r="N334" s="1"/>
      <c r="O334" s="12">
        <v>46313.736111111109</v>
      </c>
      <c r="P334" s="1" t="s">
        <v>43</v>
      </c>
      <c r="Q334" s="1" t="s">
        <v>64</v>
      </c>
      <c r="R334" s="1" t="s">
        <v>1092</v>
      </c>
      <c r="S334" s="5">
        <v>4247</v>
      </c>
      <c r="T334" s="1" t="s">
        <v>41</v>
      </c>
      <c r="U334" s="12">
        <v>46313.743750000001</v>
      </c>
      <c r="V334" s="12">
        <v>46313.742361111108</v>
      </c>
      <c r="W334" s="7" t="s">
        <v>1093</v>
      </c>
      <c r="X334" s="5">
        <v>22411</v>
      </c>
      <c r="Y334" s="4"/>
      <c r="Z334" s="5">
        <v>0</v>
      </c>
      <c r="AA334" s="8">
        <v>0.73888888888888893</v>
      </c>
      <c r="AB334" s="5">
        <v>5</v>
      </c>
      <c r="AC334" s="1" t="s">
        <v>41</v>
      </c>
      <c r="AD334" s="9" t="str">
        <f t="shared" si="5"/>
        <v>Actual</v>
      </c>
      <c r="AE334" s="9" t="str">
        <f t="shared" si="6"/>
        <v>TMK7</v>
      </c>
      <c r="AF334" s="9">
        <f>HOUR(O334)</f>
        <v>17</v>
      </c>
      <c r="AG334" s="9">
        <f>DAY(O334)</f>
        <v>18</v>
      </c>
      <c r="AH334" s="9">
        <f>IFERROR((I334-K334)*24*60,0)</f>
        <v>4.0000000025611371</v>
      </c>
      <c r="AI334" s="9">
        <f t="shared" si="7"/>
        <v>4.0000000025611371</v>
      </c>
      <c r="AJ334" s="9">
        <f>C334</f>
        <v>1521</v>
      </c>
      <c r="AK334" s="9">
        <f>IF(P334="completed",((V334-K334)*24*60),0)</f>
        <v>8.9999999979045242</v>
      </c>
      <c r="AL334" s="9">
        <f>IF(P334="completed",((U334-K334)*24*60),0)</f>
        <v>11.000000004423782</v>
      </c>
      <c r="AM334" s="9" t="str">
        <f t="shared" si="8"/>
        <v>OTP Achieved</v>
      </c>
      <c r="AN334" s="9" t="str">
        <f t="shared" si="9"/>
        <v>OTP Achieved</v>
      </c>
    </row>
    <row r="335" spans="1:40" ht="16">
      <c r="A335" s="3" t="s">
        <v>655</v>
      </c>
      <c r="B335" s="12">
        <v>46313.736805555556</v>
      </c>
      <c r="C335" s="5">
        <v>1596</v>
      </c>
      <c r="D335" s="1" t="s">
        <v>41</v>
      </c>
      <c r="E335" s="5">
        <v>4</v>
      </c>
      <c r="F335" s="1" t="s">
        <v>41</v>
      </c>
      <c r="G335" s="1" t="s">
        <v>41</v>
      </c>
      <c r="H335" s="1" t="s">
        <v>1094</v>
      </c>
      <c r="I335" s="12">
        <v>46313.736805555556</v>
      </c>
      <c r="J335" s="1" t="s">
        <v>41</v>
      </c>
      <c r="K335" s="12">
        <v>46313.734027777777</v>
      </c>
      <c r="L335" s="5">
        <v>19</v>
      </c>
      <c r="M335" s="1"/>
      <c r="N335" s="1"/>
      <c r="O335" s="12">
        <v>46313.73333333333</v>
      </c>
      <c r="P335" s="1" t="s">
        <v>43</v>
      </c>
      <c r="Q335" s="1" t="s">
        <v>657</v>
      </c>
      <c r="R335" s="1" t="s">
        <v>1095</v>
      </c>
      <c r="S335" s="5">
        <v>4247</v>
      </c>
      <c r="T335" s="1" t="s">
        <v>41</v>
      </c>
      <c r="U335" s="12">
        <v>46313.742361111108</v>
      </c>
      <c r="V335" s="12">
        <v>46313.739583333336</v>
      </c>
      <c r="W335" s="7" t="s">
        <v>1096</v>
      </c>
      <c r="X335" s="5">
        <v>22411</v>
      </c>
      <c r="Y335" s="4"/>
      <c r="Z335" s="5">
        <v>0</v>
      </c>
      <c r="AA335" s="8">
        <v>0.7368055555555556</v>
      </c>
      <c r="AB335" s="5">
        <v>4</v>
      </c>
      <c r="AC335" s="1" t="s">
        <v>41</v>
      </c>
      <c r="AD335" s="9" t="str">
        <f t="shared" si="5"/>
        <v>Actual</v>
      </c>
      <c r="AE335" s="9" t="str">
        <f t="shared" si="6"/>
        <v>TMK7</v>
      </c>
      <c r="AF335" s="9">
        <f>HOUR(O335)</f>
        <v>17</v>
      </c>
      <c r="AG335" s="9">
        <f>DAY(O335)</f>
        <v>18</v>
      </c>
      <c r="AH335" s="9">
        <f>IFERROR((I335-K335)*24*60,0)</f>
        <v>4.0000000025611371</v>
      </c>
      <c r="AI335" s="9">
        <f t="shared" si="7"/>
        <v>4.0000000025611371</v>
      </c>
      <c r="AJ335" s="9">
        <f>C335</f>
        <v>1596</v>
      </c>
      <c r="AK335" s="9">
        <f>IF(P335="completed",((V335-K335)*24*60),0)</f>
        <v>8.0000000051222742</v>
      </c>
      <c r="AL335" s="9">
        <f>IF(P335="completed",((U335-K335)*24*60),0)</f>
        <v>11.999999997206032</v>
      </c>
      <c r="AM335" s="9" t="str">
        <f t="shared" si="8"/>
        <v>OTP Achieved</v>
      </c>
      <c r="AN335" s="9" t="str">
        <f t="shared" si="9"/>
        <v>OTP Achieved</v>
      </c>
    </row>
    <row r="336" spans="1:40" ht="16">
      <c r="A336" s="3" t="s">
        <v>52</v>
      </c>
      <c r="B336" s="12">
        <v>46313.734027777777</v>
      </c>
      <c r="C336" s="5">
        <v>1223</v>
      </c>
      <c r="D336" s="1" t="s">
        <v>41</v>
      </c>
      <c r="E336" s="5">
        <v>5</v>
      </c>
      <c r="F336" s="1" t="s">
        <v>41</v>
      </c>
      <c r="G336" s="1" t="s">
        <v>41</v>
      </c>
      <c r="H336" s="1" t="s">
        <v>1097</v>
      </c>
      <c r="I336" s="12">
        <v>46313.734027777777</v>
      </c>
      <c r="J336" s="1" t="s">
        <v>41</v>
      </c>
      <c r="K336" s="12">
        <v>46313.73333333333</v>
      </c>
      <c r="L336" s="5">
        <v>39</v>
      </c>
      <c r="M336" s="1"/>
      <c r="N336" s="1"/>
      <c r="O336" s="12">
        <v>46313.732638888891</v>
      </c>
      <c r="P336" s="1" t="s">
        <v>43</v>
      </c>
      <c r="Q336" s="1" t="s">
        <v>54</v>
      </c>
      <c r="R336" s="1" t="s">
        <v>1098</v>
      </c>
      <c r="S336" s="5">
        <v>4247</v>
      </c>
      <c r="T336" s="1" t="s">
        <v>41</v>
      </c>
      <c r="U336" s="12">
        <v>46313.738888888889</v>
      </c>
      <c r="V336" s="12">
        <v>46313.737500000003</v>
      </c>
      <c r="W336" s="7" t="s">
        <v>1099</v>
      </c>
      <c r="X336" s="5">
        <v>22411</v>
      </c>
      <c r="Y336" s="4"/>
      <c r="Z336" s="5">
        <v>0</v>
      </c>
      <c r="AA336" s="8">
        <v>0.73402777777777772</v>
      </c>
      <c r="AB336" s="5">
        <v>4</v>
      </c>
      <c r="AC336" s="1" t="s">
        <v>41</v>
      </c>
      <c r="AD336" s="9" t="str">
        <f t="shared" si="5"/>
        <v>Actual</v>
      </c>
      <c r="AE336" s="9" t="str">
        <f t="shared" si="6"/>
        <v>TMK7</v>
      </c>
      <c r="AF336" s="9">
        <f>HOUR(O336)</f>
        <v>17</v>
      </c>
      <c r="AG336" s="9">
        <f>DAY(O336)</f>
        <v>18</v>
      </c>
      <c r="AH336" s="9">
        <f>IFERROR((I336-K336)*24*60,0)</f>
        <v>1.000000003259629</v>
      </c>
      <c r="AI336" s="9">
        <f t="shared" si="7"/>
        <v>1.000000003259629</v>
      </c>
      <c r="AJ336" s="9">
        <f>C336</f>
        <v>1223</v>
      </c>
      <c r="AK336" s="9">
        <f>IF(P336="completed",((V336-K336)*24*60),0)</f>
        <v>6.0000000090803951</v>
      </c>
      <c r="AL336" s="9">
        <f>IF(P336="completed",((U336-K336)*24*60),0)</f>
        <v>8.0000000051222742</v>
      </c>
      <c r="AM336" s="9" t="str">
        <f t="shared" si="8"/>
        <v>OTP Achieved</v>
      </c>
      <c r="AN336" s="9" t="str">
        <f t="shared" si="9"/>
        <v>OTP Achieved</v>
      </c>
    </row>
    <row r="337" spans="1:40" ht="16">
      <c r="A337" s="3" t="s">
        <v>77</v>
      </c>
      <c r="B337" s="12">
        <v>46313.73333333333</v>
      </c>
      <c r="C337" s="5">
        <v>1543</v>
      </c>
      <c r="D337" s="1" t="s">
        <v>41</v>
      </c>
      <c r="E337" s="5">
        <v>4</v>
      </c>
      <c r="F337" s="1" t="s">
        <v>41</v>
      </c>
      <c r="G337" s="1" t="s">
        <v>41</v>
      </c>
      <c r="H337" s="1" t="s">
        <v>1100</v>
      </c>
      <c r="I337" s="12">
        <v>46313.734722222223</v>
      </c>
      <c r="J337" s="1" t="s">
        <v>41</v>
      </c>
      <c r="K337" s="12">
        <v>46313.734722222223</v>
      </c>
      <c r="L337" s="5">
        <v>22</v>
      </c>
      <c r="M337" s="1"/>
      <c r="N337" s="1"/>
      <c r="O337" s="12">
        <v>46313.732638888891</v>
      </c>
      <c r="P337" s="1" t="s">
        <v>43</v>
      </c>
      <c r="Q337" s="1" t="s">
        <v>79</v>
      </c>
      <c r="R337" s="1" t="s">
        <v>1101</v>
      </c>
      <c r="S337" s="5">
        <v>4247</v>
      </c>
      <c r="T337" s="1" t="s">
        <v>41</v>
      </c>
      <c r="U337" s="12">
        <v>46313.739583333336</v>
      </c>
      <c r="V337" s="12">
        <v>46313.737500000003</v>
      </c>
      <c r="W337" s="7" t="s">
        <v>1102</v>
      </c>
      <c r="X337" s="5">
        <v>22411</v>
      </c>
      <c r="Y337" s="4"/>
      <c r="Z337" s="5">
        <v>0</v>
      </c>
      <c r="AA337" s="8">
        <v>0.73333333333333328</v>
      </c>
      <c r="AB337" s="5">
        <v>3</v>
      </c>
      <c r="AC337" s="1" t="s">
        <v>41</v>
      </c>
      <c r="AD337" s="9" t="str">
        <f t="shared" si="5"/>
        <v>Actual</v>
      </c>
      <c r="AE337" s="9" t="str">
        <f t="shared" si="6"/>
        <v>TMK7</v>
      </c>
      <c r="AF337" s="9">
        <f>HOUR(O337)</f>
        <v>17</v>
      </c>
      <c r="AG337" s="9">
        <f>DAY(O337)</f>
        <v>18</v>
      </c>
      <c r="AH337" s="9">
        <f>IFERROR((I337-K337)*24*60,0)</f>
        <v>0</v>
      </c>
      <c r="AI337" s="9">
        <f t="shared" si="7"/>
        <v>0</v>
      </c>
      <c r="AJ337" s="9">
        <f>C337</f>
        <v>1543</v>
      </c>
      <c r="AK337" s="9">
        <f>IF(P337="completed",((V337-K337)*24*60),0)</f>
        <v>4.0000000025611371</v>
      </c>
      <c r="AL337" s="9">
        <f>IF(P337="completed",((U337-K337)*24*60),0)</f>
        <v>7.0000000018626451</v>
      </c>
      <c r="AM337" s="9" t="str">
        <f t="shared" si="8"/>
        <v>OTP Achieved</v>
      </c>
      <c r="AN337" s="9" t="str">
        <f t="shared" si="9"/>
        <v>OTP Achieved</v>
      </c>
    </row>
    <row r="338" spans="1:40" ht="16">
      <c r="A338" s="3" t="s">
        <v>198</v>
      </c>
      <c r="B338" s="12">
        <v>46313.73333333333</v>
      </c>
      <c r="C338" s="5">
        <v>2135</v>
      </c>
      <c r="D338" s="1" t="s">
        <v>41</v>
      </c>
      <c r="E338" s="5">
        <v>8</v>
      </c>
      <c r="F338" s="1" t="s">
        <v>41</v>
      </c>
      <c r="G338" s="1" t="s">
        <v>41</v>
      </c>
      <c r="H338" s="1" t="s">
        <v>1103</v>
      </c>
      <c r="I338" s="12">
        <v>46313.73333333333</v>
      </c>
      <c r="J338" s="1" t="s">
        <v>41</v>
      </c>
      <c r="K338" s="12">
        <v>46313.731944444444</v>
      </c>
      <c r="L338" s="5">
        <v>31</v>
      </c>
      <c r="M338" s="1"/>
      <c r="N338" s="1"/>
      <c r="O338" s="12">
        <v>46313.731249999997</v>
      </c>
      <c r="P338" s="1" t="s">
        <v>43</v>
      </c>
      <c r="Q338" s="1" t="s">
        <v>200</v>
      </c>
      <c r="R338" s="1" t="s">
        <v>1104</v>
      </c>
      <c r="S338" s="5">
        <v>4247</v>
      </c>
      <c r="T338" s="1" t="s">
        <v>41</v>
      </c>
      <c r="U338" s="12">
        <v>46313.738888888889</v>
      </c>
      <c r="V338" s="12">
        <v>46313.738888888889</v>
      </c>
      <c r="W338" s="7" t="s">
        <v>1105</v>
      </c>
      <c r="X338" s="5">
        <v>22411</v>
      </c>
      <c r="Y338" s="4"/>
      <c r="Z338" s="5">
        <v>0</v>
      </c>
      <c r="AA338" s="8">
        <v>0.73333333333333328</v>
      </c>
      <c r="AB338" s="5">
        <v>8</v>
      </c>
      <c r="AC338" s="1" t="s">
        <v>41</v>
      </c>
      <c r="AD338" s="9" t="str">
        <f t="shared" si="5"/>
        <v>Actual</v>
      </c>
      <c r="AE338" s="9" t="str">
        <f t="shared" si="6"/>
        <v>TMK7</v>
      </c>
      <c r="AF338" s="9">
        <f>HOUR(O338)</f>
        <v>17</v>
      </c>
      <c r="AG338" s="9">
        <f>DAY(O338)</f>
        <v>18</v>
      </c>
      <c r="AH338" s="9">
        <f>IFERROR((I338-K338)*24*60,0)</f>
        <v>1.9999999960418791</v>
      </c>
      <c r="AI338" s="9">
        <f t="shared" si="7"/>
        <v>1.9999999960418791</v>
      </c>
      <c r="AJ338" s="9">
        <f>C338</f>
        <v>2135</v>
      </c>
      <c r="AK338" s="9">
        <f>IF(P338="completed",((V338-K338)*24*60),0)</f>
        <v>10.000000001164153</v>
      </c>
      <c r="AL338" s="9">
        <f>IF(P338="completed",((U338-K338)*24*60),0)</f>
        <v>10.000000001164153</v>
      </c>
      <c r="AM338" s="9" t="str">
        <f t="shared" si="8"/>
        <v>OTP Breached</v>
      </c>
      <c r="AN338" s="9" t="str">
        <f t="shared" si="9"/>
        <v>OTP Achieved</v>
      </c>
    </row>
    <row r="339" spans="1:40" ht="16">
      <c r="A339" s="3" t="s">
        <v>303</v>
      </c>
      <c r="B339" s="12">
        <v>46313.732638888891</v>
      </c>
      <c r="C339" s="5">
        <v>1289</v>
      </c>
      <c r="D339" s="1" t="s">
        <v>41</v>
      </c>
      <c r="E339" s="5">
        <v>6</v>
      </c>
      <c r="F339" s="1" t="s">
        <v>41</v>
      </c>
      <c r="G339" s="1" t="s">
        <v>41</v>
      </c>
      <c r="H339" s="1" t="s">
        <v>1106</v>
      </c>
      <c r="I339" s="12">
        <v>46313.732638888891</v>
      </c>
      <c r="J339" s="1" t="s">
        <v>41</v>
      </c>
      <c r="K339" s="12">
        <v>46313.731944444444</v>
      </c>
      <c r="L339" s="5">
        <v>18</v>
      </c>
      <c r="M339" s="1"/>
      <c r="N339" s="1"/>
      <c r="O339" s="12">
        <v>46313.730555555558</v>
      </c>
      <c r="P339" s="1" t="s">
        <v>43</v>
      </c>
      <c r="Q339" s="1" t="s">
        <v>305</v>
      </c>
      <c r="R339" s="1" t="s">
        <v>1107</v>
      </c>
      <c r="S339" s="5">
        <v>4247</v>
      </c>
      <c r="T339" s="1" t="s">
        <v>41</v>
      </c>
      <c r="U339" s="12">
        <v>46313.737500000003</v>
      </c>
      <c r="V339" s="12">
        <v>46313.736805555556</v>
      </c>
      <c r="W339" s="7" t="s">
        <v>1108</v>
      </c>
      <c r="X339" s="5">
        <v>22411</v>
      </c>
      <c r="Y339" s="4"/>
      <c r="Z339" s="5">
        <v>0</v>
      </c>
      <c r="AA339" s="8">
        <v>0.73263888888888884</v>
      </c>
      <c r="AB339" s="5">
        <v>5</v>
      </c>
      <c r="AC339" s="1" t="s">
        <v>41</v>
      </c>
      <c r="AD339" s="9" t="str">
        <f t="shared" si="5"/>
        <v>Actual</v>
      </c>
      <c r="AE339" s="9" t="str">
        <f t="shared" si="6"/>
        <v>TMK7</v>
      </c>
      <c r="AF339" s="9">
        <f>HOUR(O339)</f>
        <v>17</v>
      </c>
      <c r="AG339" s="9">
        <f>DAY(O339)</f>
        <v>18</v>
      </c>
      <c r="AH339" s="9">
        <f>IFERROR((I339-K339)*24*60,0)</f>
        <v>1.000000003259629</v>
      </c>
      <c r="AI339" s="9">
        <f t="shared" si="7"/>
        <v>1.000000003259629</v>
      </c>
      <c r="AJ339" s="9">
        <f>C339</f>
        <v>1289</v>
      </c>
      <c r="AK339" s="9">
        <f>IF(P339="completed",((V339-K339)*24*60),0)</f>
        <v>7.0000000018626451</v>
      </c>
      <c r="AL339" s="9">
        <f>IF(P339="completed",((U339-K339)*24*60),0)</f>
        <v>8.0000000051222742</v>
      </c>
      <c r="AM339" s="9" t="str">
        <f t="shared" si="8"/>
        <v>OTP Achieved</v>
      </c>
      <c r="AN339" s="9" t="str">
        <f t="shared" si="9"/>
        <v>OTP Achieved</v>
      </c>
    </row>
    <row r="340" spans="1:40" ht="16">
      <c r="A340" s="3" t="s">
        <v>347</v>
      </c>
      <c r="B340" s="12">
        <v>46313.731249999997</v>
      </c>
      <c r="C340" s="5">
        <v>2798</v>
      </c>
      <c r="D340" s="1" t="s">
        <v>41</v>
      </c>
      <c r="E340" s="5">
        <v>7</v>
      </c>
      <c r="F340" s="1" t="s">
        <v>41</v>
      </c>
      <c r="G340" s="1" t="s">
        <v>41</v>
      </c>
      <c r="H340" s="1" t="s">
        <v>1109</v>
      </c>
      <c r="I340" s="12">
        <v>46313.731249999997</v>
      </c>
      <c r="J340" s="1" t="s">
        <v>41</v>
      </c>
      <c r="K340" s="12">
        <v>46313.731249999997</v>
      </c>
      <c r="L340" s="5">
        <v>22</v>
      </c>
      <c r="M340" s="1"/>
      <c r="N340" s="1"/>
      <c r="O340" s="12">
        <v>46313.730555555558</v>
      </c>
      <c r="P340" s="1" t="s">
        <v>43</v>
      </c>
      <c r="Q340" s="1" t="s">
        <v>349</v>
      </c>
      <c r="R340" s="1" t="s">
        <v>1110</v>
      </c>
      <c r="S340" s="5">
        <v>4247</v>
      </c>
      <c r="T340" s="1" t="s">
        <v>41</v>
      </c>
      <c r="U340" s="12">
        <v>46313.738888888889</v>
      </c>
      <c r="V340" s="12">
        <v>46313.736111111109</v>
      </c>
      <c r="W340" s="7" t="s">
        <v>1111</v>
      </c>
      <c r="X340" s="5">
        <v>22411</v>
      </c>
      <c r="Y340" s="4"/>
      <c r="Z340" s="5">
        <v>0</v>
      </c>
      <c r="AA340" s="8">
        <v>0.73124999999999996</v>
      </c>
      <c r="AB340" s="5">
        <v>7</v>
      </c>
      <c r="AC340" s="1" t="s">
        <v>41</v>
      </c>
      <c r="AD340" s="9" t="str">
        <f t="shared" si="5"/>
        <v>Actual</v>
      </c>
      <c r="AE340" s="9" t="str">
        <f t="shared" si="6"/>
        <v>TMK7</v>
      </c>
      <c r="AF340" s="9">
        <f>HOUR(O340)</f>
        <v>17</v>
      </c>
      <c r="AG340" s="9">
        <f>DAY(O340)</f>
        <v>18</v>
      </c>
      <c r="AH340" s="9">
        <f>IFERROR((I340-K340)*24*60,0)</f>
        <v>0</v>
      </c>
      <c r="AI340" s="9">
        <f t="shared" si="7"/>
        <v>0</v>
      </c>
      <c r="AJ340" s="9">
        <f>C340</f>
        <v>2798</v>
      </c>
      <c r="AK340" s="9">
        <f>IF(P340="completed",((V340-K340)*24*60),0)</f>
        <v>7.0000000018626451</v>
      </c>
      <c r="AL340" s="9">
        <f>IF(P340="completed",((U340-K340)*24*60),0)</f>
        <v>11.000000004423782</v>
      </c>
      <c r="AM340" s="9" t="str">
        <f t="shared" si="8"/>
        <v>OTP Achieved</v>
      </c>
      <c r="AN340" s="9" t="str">
        <f t="shared" si="9"/>
        <v>OTP Achieved</v>
      </c>
    </row>
    <row r="341" spans="1:40" ht="16">
      <c r="A341" s="3" t="s">
        <v>98</v>
      </c>
      <c r="B341" s="12">
        <v>46313.730555555558</v>
      </c>
      <c r="C341" s="5">
        <v>3661</v>
      </c>
      <c r="D341" s="1" t="s">
        <v>41</v>
      </c>
      <c r="E341" s="5">
        <v>10</v>
      </c>
      <c r="F341" s="1" t="s">
        <v>41</v>
      </c>
      <c r="G341" s="1" t="s">
        <v>41</v>
      </c>
      <c r="H341" s="1" t="s">
        <v>1112</v>
      </c>
      <c r="I341" s="12">
        <v>46313.731249999997</v>
      </c>
      <c r="J341" s="1" t="s">
        <v>41</v>
      </c>
      <c r="K341" s="12">
        <v>46313.731249999997</v>
      </c>
      <c r="L341" s="5">
        <v>21</v>
      </c>
      <c r="M341" s="1"/>
      <c r="N341" s="1"/>
      <c r="O341" s="12">
        <v>46313.729861111111</v>
      </c>
      <c r="P341" s="1" t="s">
        <v>43</v>
      </c>
      <c r="Q341" s="1" t="s">
        <v>100</v>
      </c>
      <c r="R341" s="1" t="s">
        <v>1113</v>
      </c>
      <c r="S341" s="5">
        <v>4247</v>
      </c>
      <c r="T341" s="1" t="s">
        <v>41</v>
      </c>
      <c r="U341" s="12">
        <v>46313.740277777775</v>
      </c>
      <c r="V341" s="12">
        <v>46313.737500000003</v>
      </c>
      <c r="W341" s="7" t="s">
        <v>1114</v>
      </c>
      <c r="X341" s="5">
        <v>22411</v>
      </c>
      <c r="Y341" s="4"/>
      <c r="Z341" s="5">
        <v>0</v>
      </c>
      <c r="AA341" s="8">
        <v>0.73055555555555551</v>
      </c>
      <c r="AB341" s="5">
        <v>9</v>
      </c>
      <c r="AC341" s="1" t="s">
        <v>41</v>
      </c>
      <c r="AD341" s="9" t="str">
        <f t="shared" si="5"/>
        <v>Actual</v>
      </c>
      <c r="AE341" s="9" t="str">
        <f t="shared" si="6"/>
        <v>TMK7</v>
      </c>
      <c r="AF341" s="9">
        <f>HOUR(O341)</f>
        <v>17</v>
      </c>
      <c r="AG341" s="9">
        <f>DAY(O341)</f>
        <v>18</v>
      </c>
      <c r="AH341" s="9">
        <f>IFERROR((I341-K341)*24*60,0)</f>
        <v>0</v>
      </c>
      <c r="AI341" s="9">
        <f t="shared" si="7"/>
        <v>0</v>
      </c>
      <c r="AJ341" s="9">
        <f>C341</f>
        <v>3661</v>
      </c>
      <c r="AK341" s="9">
        <f>IF(P341="completed",((V341-K341)*24*60),0)</f>
        <v>9.0000000083819032</v>
      </c>
      <c r="AL341" s="9">
        <f>IF(P341="completed",((U341-K341)*24*60),0)</f>
        <v>13.000000000465661</v>
      </c>
      <c r="AM341" s="9" t="str">
        <f t="shared" si="8"/>
        <v>OTP Achieved</v>
      </c>
      <c r="AN341" s="9" t="str">
        <f t="shared" si="9"/>
        <v>OTP Achieved</v>
      </c>
    </row>
    <row r="342" spans="1:40" ht="16">
      <c r="A342" s="3" t="s">
        <v>177</v>
      </c>
      <c r="B342" s="12">
        <v>46313.729861111111</v>
      </c>
      <c r="C342" s="5">
        <v>1254</v>
      </c>
      <c r="D342" s="1" t="s">
        <v>41</v>
      </c>
      <c r="E342" s="5">
        <v>4</v>
      </c>
      <c r="F342" s="1" t="s">
        <v>41</v>
      </c>
      <c r="G342" s="1" t="s">
        <v>41</v>
      </c>
      <c r="H342" s="1" t="s">
        <v>1115</v>
      </c>
      <c r="I342" s="12">
        <v>46313.730555555558</v>
      </c>
      <c r="J342" s="1" t="s">
        <v>41</v>
      </c>
      <c r="K342" s="12">
        <v>46313.730555555558</v>
      </c>
      <c r="L342" s="5">
        <v>29</v>
      </c>
      <c r="M342" s="1"/>
      <c r="N342" s="1"/>
      <c r="O342" s="12">
        <v>46313.729861111111</v>
      </c>
      <c r="P342" s="1" t="s">
        <v>43</v>
      </c>
      <c r="Q342" s="1" t="s">
        <v>179</v>
      </c>
      <c r="R342" s="1" t="s">
        <v>1116</v>
      </c>
      <c r="S342" s="5">
        <v>4247</v>
      </c>
      <c r="T342" s="1" t="s">
        <v>41</v>
      </c>
      <c r="U342" s="12">
        <v>46313.73541666667</v>
      </c>
      <c r="V342" s="12">
        <v>46313.73333333333</v>
      </c>
      <c r="W342" s="7" t="s">
        <v>1117</v>
      </c>
      <c r="X342" s="5">
        <v>22411</v>
      </c>
      <c r="Y342" s="4"/>
      <c r="Z342" s="5">
        <v>0</v>
      </c>
      <c r="AA342" s="8">
        <v>0.72986111111111107</v>
      </c>
      <c r="AB342" s="5">
        <v>4</v>
      </c>
      <c r="AC342" s="1" t="s">
        <v>41</v>
      </c>
      <c r="AD342" s="9" t="str">
        <f t="shared" si="5"/>
        <v>Actual</v>
      </c>
      <c r="AE342" s="9" t="str">
        <f t="shared" si="6"/>
        <v>TMK7</v>
      </c>
      <c r="AF342" s="9">
        <f>HOUR(O342)</f>
        <v>17</v>
      </c>
      <c r="AG342" s="9">
        <f>DAY(O342)</f>
        <v>18</v>
      </c>
      <c r="AH342" s="9">
        <f>IFERROR((I342-K342)*24*60,0)</f>
        <v>0</v>
      </c>
      <c r="AI342" s="9">
        <f t="shared" si="7"/>
        <v>0</v>
      </c>
      <c r="AJ342" s="9">
        <f>C342</f>
        <v>1254</v>
      </c>
      <c r="AK342" s="9">
        <f>IF(P342="completed",((V342-K342)*24*60),0)</f>
        <v>3.9999999920837581</v>
      </c>
      <c r="AL342" s="9">
        <f>IF(P342="completed",((U342-K342)*24*60),0)</f>
        <v>7.0000000018626451</v>
      </c>
      <c r="AM342" s="9" t="str">
        <f t="shared" si="8"/>
        <v>OTP Achieved</v>
      </c>
      <c r="AN342" s="9" t="str">
        <f t="shared" si="9"/>
        <v>OTP Achieved</v>
      </c>
    </row>
    <row r="343" spans="1:40" ht="16">
      <c r="A343" s="3" t="s">
        <v>125</v>
      </c>
      <c r="B343" s="12">
        <v>46313.729166666664</v>
      </c>
      <c r="C343" s="5">
        <v>1800</v>
      </c>
      <c r="D343" s="1" t="s">
        <v>41</v>
      </c>
      <c r="E343" s="5">
        <v>8</v>
      </c>
      <c r="F343" s="1" t="s">
        <v>41</v>
      </c>
      <c r="G343" s="1" t="s">
        <v>41</v>
      </c>
      <c r="H343" s="1" t="s">
        <v>1118</v>
      </c>
      <c r="I343" s="12">
        <v>46313.731249999997</v>
      </c>
      <c r="J343" s="1" t="s">
        <v>41</v>
      </c>
      <c r="K343" s="12">
        <v>46313.730555555558</v>
      </c>
      <c r="L343" s="5">
        <v>26</v>
      </c>
      <c r="M343" s="1"/>
      <c r="N343" s="1"/>
      <c r="O343" s="12">
        <v>46313.728472222225</v>
      </c>
      <c r="P343" s="1" t="s">
        <v>43</v>
      </c>
      <c r="Q343" s="1" t="s">
        <v>127</v>
      </c>
      <c r="R343" s="1" t="s">
        <v>1119</v>
      </c>
      <c r="S343" s="5">
        <v>4247</v>
      </c>
      <c r="T343" s="1" t="s">
        <v>41</v>
      </c>
      <c r="U343" s="12">
        <v>46313.73541666667</v>
      </c>
      <c r="V343" s="12">
        <v>46313.736111111109</v>
      </c>
      <c r="W343" s="7" t="s">
        <v>1120</v>
      </c>
      <c r="X343" s="5">
        <v>22411</v>
      </c>
      <c r="Y343" s="4"/>
      <c r="Z343" s="5">
        <v>0</v>
      </c>
      <c r="AA343" s="8">
        <v>0.72916666666666663</v>
      </c>
      <c r="AB343" s="5">
        <v>8</v>
      </c>
      <c r="AC343" s="1" t="s">
        <v>41</v>
      </c>
      <c r="AD343" s="9" t="str">
        <f t="shared" si="5"/>
        <v>Actual</v>
      </c>
      <c r="AE343" s="9" t="str">
        <f t="shared" si="6"/>
        <v>TMK7</v>
      </c>
      <c r="AF343" s="9">
        <f>HOUR(O343)</f>
        <v>17</v>
      </c>
      <c r="AG343" s="9">
        <f>DAY(O343)</f>
        <v>18</v>
      </c>
      <c r="AH343" s="9">
        <f>IFERROR((I343-K343)*24*60,0)</f>
        <v>0.99999999278225005</v>
      </c>
      <c r="AI343" s="9">
        <f t="shared" si="7"/>
        <v>0.99999999278225005</v>
      </c>
      <c r="AJ343" s="9">
        <f>C343</f>
        <v>1800</v>
      </c>
      <c r="AK343" s="9">
        <f>IF(P343="completed",((V343-K343)*24*60),0)</f>
        <v>7.9999999946448952</v>
      </c>
      <c r="AL343" s="9">
        <f>IF(P343="completed",((U343-K343)*24*60),0)</f>
        <v>7.0000000018626451</v>
      </c>
      <c r="AM343" s="9" t="str">
        <f t="shared" si="8"/>
        <v>OTP Breached</v>
      </c>
      <c r="AN343" s="9" t="str">
        <f t="shared" si="9"/>
        <v>OTP Achieved</v>
      </c>
    </row>
    <row r="344" spans="1:40" ht="16">
      <c r="A344" s="3" t="s">
        <v>734</v>
      </c>
      <c r="B344" s="12">
        <v>46313.729166666664</v>
      </c>
      <c r="C344" s="5">
        <v>1600</v>
      </c>
      <c r="D344" s="1" t="s">
        <v>41</v>
      </c>
      <c r="E344" s="5">
        <v>7</v>
      </c>
      <c r="F344" s="1" t="s">
        <v>41</v>
      </c>
      <c r="G344" s="1" t="s">
        <v>41</v>
      </c>
      <c r="H344" s="1" t="s">
        <v>1121</v>
      </c>
      <c r="I344" s="12">
        <v>46313.729861111111</v>
      </c>
      <c r="J344" s="1" t="s">
        <v>41</v>
      </c>
      <c r="K344" s="12">
        <v>46313.729166666664</v>
      </c>
      <c r="L344" s="5">
        <v>31</v>
      </c>
      <c r="M344" s="1"/>
      <c r="N344" s="1"/>
      <c r="O344" s="12">
        <v>46313.728472222225</v>
      </c>
      <c r="P344" s="1" t="s">
        <v>43</v>
      </c>
      <c r="Q344" s="1" t="s">
        <v>736</v>
      </c>
      <c r="R344" s="1" t="s">
        <v>1122</v>
      </c>
      <c r="S344" s="5">
        <v>4247</v>
      </c>
      <c r="T344" s="1" t="s">
        <v>41</v>
      </c>
      <c r="U344" s="12">
        <v>46313.734722222223</v>
      </c>
      <c r="V344" s="12">
        <v>46313.734027777777</v>
      </c>
      <c r="W344" s="7" t="s">
        <v>1123</v>
      </c>
      <c r="X344" s="5">
        <v>22411</v>
      </c>
      <c r="Y344" s="4"/>
      <c r="Z344" s="5">
        <v>0</v>
      </c>
      <c r="AA344" s="8">
        <v>0.72916666666666663</v>
      </c>
      <c r="AB344" s="5">
        <v>6</v>
      </c>
      <c r="AC344" s="1" t="s">
        <v>41</v>
      </c>
      <c r="AD344" s="9" t="str">
        <f t="shared" si="5"/>
        <v>Actual</v>
      </c>
      <c r="AE344" s="9" t="str">
        <f t="shared" si="6"/>
        <v>TMK7</v>
      </c>
      <c r="AF344" s="9">
        <f>HOUR(O344)</f>
        <v>17</v>
      </c>
      <c r="AG344" s="9">
        <f>DAY(O344)</f>
        <v>18</v>
      </c>
      <c r="AH344" s="9">
        <f>IFERROR((I344-K344)*24*60,0)</f>
        <v>1.000000003259629</v>
      </c>
      <c r="AI344" s="9">
        <f t="shared" si="7"/>
        <v>1.000000003259629</v>
      </c>
      <c r="AJ344" s="9">
        <f>C344</f>
        <v>1600</v>
      </c>
      <c r="AK344" s="9">
        <f>IF(P344="completed",((V344-K344)*24*60),0)</f>
        <v>7.0000000018626451</v>
      </c>
      <c r="AL344" s="9">
        <f>IF(P344="completed",((U344-K344)*24*60),0)</f>
        <v>8.0000000051222742</v>
      </c>
      <c r="AM344" s="9" t="str">
        <f t="shared" si="8"/>
        <v>OTP Achieved</v>
      </c>
      <c r="AN344" s="9" t="str">
        <f t="shared" si="9"/>
        <v>OTP Achieved</v>
      </c>
    </row>
    <row r="345" spans="1:40" ht="16">
      <c r="A345" s="3" t="s">
        <v>72</v>
      </c>
      <c r="B345" s="12">
        <v>46313.729166666664</v>
      </c>
      <c r="C345" s="5">
        <v>719</v>
      </c>
      <c r="D345" s="1" t="s">
        <v>41</v>
      </c>
      <c r="E345" s="5">
        <v>2</v>
      </c>
      <c r="F345" s="1" t="s">
        <v>41</v>
      </c>
      <c r="G345" s="1" t="s">
        <v>41</v>
      </c>
      <c r="H345" s="1" t="s">
        <v>1124</v>
      </c>
      <c r="I345" s="12">
        <v>46313.729861111111</v>
      </c>
      <c r="J345" s="1" t="s">
        <v>41</v>
      </c>
      <c r="K345" s="12">
        <v>46313.729861111111</v>
      </c>
      <c r="L345" s="5">
        <v>23</v>
      </c>
      <c r="M345" s="1"/>
      <c r="N345" s="1"/>
      <c r="O345" s="12">
        <v>46313.728472222225</v>
      </c>
      <c r="P345" s="1" t="s">
        <v>43</v>
      </c>
      <c r="Q345" s="1" t="s">
        <v>74</v>
      </c>
      <c r="R345" s="1" t="s">
        <v>1125</v>
      </c>
      <c r="S345" s="5">
        <v>4247</v>
      </c>
      <c r="T345" s="1" t="s">
        <v>41</v>
      </c>
      <c r="U345" s="12">
        <v>46313.731944444444</v>
      </c>
      <c r="V345" s="12">
        <v>46313.731249999997</v>
      </c>
      <c r="W345" s="7" t="s">
        <v>1126</v>
      </c>
      <c r="X345" s="5">
        <v>22411</v>
      </c>
      <c r="Y345" s="4"/>
      <c r="Z345" s="5">
        <v>0</v>
      </c>
      <c r="AA345" s="8">
        <v>0.72916666666666663</v>
      </c>
      <c r="AB345" s="5">
        <v>2</v>
      </c>
      <c r="AC345" s="1" t="s">
        <v>41</v>
      </c>
      <c r="AD345" s="9" t="str">
        <f t="shared" si="5"/>
        <v>Actual</v>
      </c>
      <c r="AE345" s="9" t="str">
        <f t="shared" si="6"/>
        <v>TMK7</v>
      </c>
      <c r="AF345" s="9">
        <f>HOUR(O345)</f>
        <v>17</v>
      </c>
      <c r="AG345" s="9">
        <f>DAY(O345)</f>
        <v>18</v>
      </c>
      <c r="AH345" s="9">
        <f>IFERROR((I345-K345)*24*60,0)</f>
        <v>0</v>
      </c>
      <c r="AI345" s="9">
        <f t="shared" si="7"/>
        <v>0</v>
      </c>
      <c r="AJ345" s="9">
        <f>C345</f>
        <v>719</v>
      </c>
      <c r="AK345" s="9">
        <f>IF(P345="completed",((V345-K345)*24*60),0)</f>
        <v>1.9999999960418791</v>
      </c>
      <c r="AL345" s="9">
        <f>IF(P345="completed",((U345-K345)*24*60),0)</f>
        <v>2.9999999993015081</v>
      </c>
      <c r="AM345" s="9" t="str">
        <f t="shared" si="8"/>
        <v>OTP Achieved</v>
      </c>
      <c r="AN345" s="9" t="str">
        <f t="shared" si="9"/>
        <v>OTP Achieved</v>
      </c>
    </row>
    <row r="346" spans="1:40" ht="16">
      <c r="A346" s="3" t="s">
        <v>339</v>
      </c>
      <c r="B346" s="12">
        <v>46313.727777777778</v>
      </c>
      <c r="C346" s="5">
        <v>1304</v>
      </c>
      <c r="D346" s="1" t="s">
        <v>41</v>
      </c>
      <c r="E346" s="5">
        <v>5</v>
      </c>
      <c r="F346" s="1" t="s">
        <v>41</v>
      </c>
      <c r="G346" s="1" t="s">
        <v>41</v>
      </c>
      <c r="H346" s="1" t="s">
        <v>1127</v>
      </c>
      <c r="I346" s="12">
        <v>46313.728472222225</v>
      </c>
      <c r="J346" s="1" t="s">
        <v>41</v>
      </c>
      <c r="K346" s="12">
        <v>46313.727777777778</v>
      </c>
      <c r="L346" s="5">
        <v>22</v>
      </c>
      <c r="M346" s="1"/>
      <c r="N346" s="1"/>
      <c r="O346" s="12">
        <v>46313.727777777778</v>
      </c>
      <c r="P346" s="1" t="s">
        <v>43</v>
      </c>
      <c r="Q346" s="1" t="s">
        <v>341</v>
      </c>
      <c r="R346" s="1" t="s">
        <v>1128</v>
      </c>
      <c r="S346" s="5">
        <v>4247</v>
      </c>
      <c r="T346" s="1" t="s">
        <v>41</v>
      </c>
      <c r="U346" s="12">
        <v>46313.732638888891</v>
      </c>
      <c r="V346" s="12">
        <v>46313.731249999997</v>
      </c>
      <c r="W346" s="7" t="s">
        <v>1129</v>
      </c>
      <c r="X346" s="5">
        <v>22411</v>
      </c>
      <c r="Y346" s="4"/>
      <c r="Z346" s="5">
        <v>0</v>
      </c>
      <c r="AA346" s="8">
        <v>0.72777777777777775</v>
      </c>
      <c r="AB346" s="5">
        <v>4</v>
      </c>
      <c r="AC346" s="1" t="s">
        <v>41</v>
      </c>
      <c r="AD346" s="9" t="str">
        <f t="shared" si="5"/>
        <v>Actual</v>
      </c>
      <c r="AE346" s="9" t="str">
        <f t="shared" si="6"/>
        <v>TMK7</v>
      </c>
      <c r="AF346" s="9">
        <f>HOUR(O346)</f>
        <v>17</v>
      </c>
      <c r="AG346" s="9">
        <f>DAY(O346)</f>
        <v>18</v>
      </c>
      <c r="AH346" s="9">
        <f>IFERROR((I346-K346)*24*60,0)</f>
        <v>1.000000003259629</v>
      </c>
      <c r="AI346" s="9">
        <f t="shared" si="7"/>
        <v>1.000000003259629</v>
      </c>
      <c r="AJ346" s="9">
        <f>C346</f>
        <v>1304</v>
      </c>
      <c r="AK346" s="9">
        <f>IF(P346="completed",((V346-K346)*24*60),0)</f>
        <v>4.9999999953433871</v>
      </c>
      <c r="AL346" s="9">
        <f>IF(P346="completed",((U346-K346)*24*60),0)</f>
        <v>7.0000000018626451</v>
      </c>
      <c r="AM346" s="9" t="str">
        <f t="shared" si="8"/>
        <v>OTP Achieved</v>
      </c>
      <c r="AN346" s="9" t="str">
        <f t="shared" si="9"/>
        <v>OTP Achieved</v>
      </c>
    </row>
    <row r="347" spans="1:40" ht="16">
      <c r="A347" s="3" t="s">
        <v>1077</v>
      </c>
      <c r="B347" s="12">
        <v>46313.726388888892</v>
      </c>
      <c r="C347" s="5">
        <v>2097</v>
      </c>
      <c r="D347" s="1" t="s">
        <v>41</v>
      </c>
      <c r="E347" s="5">
        <v>8</v>
      </c>
      <c r="F347" s="1" t="s">
        <v>41</v>
      </c>
      <c r="G347" s="1" t="s">
        <v>41</v>
      </c>
      <c r="H347" s="1" t="s">
        <v>1130</v>
      </c>
      <c r="I347" s="12">
        <v>46313.727083333331</v>
      </c>
      <c r="J347" s="1" t="s">
        <v>41</v>
      </c>
      <c r="K347" s="12">
        <v>46313.727083333331</v>
      </c>
      <c r="L347" s="5">
        <v>24</v>
      </c>
      <c r="M347" s="1"/>
      <c r="N347" s="1"/>
      <c r="O347" s="12">
        <v>46313.726388888892</v>
      </c>
      <c r="P347" s="1" t="s">
        <v>43</v>
      </c>
      <c r="Q347" s="1" t="s">
        <v>1079</v>
      </c>
      <c r="R347" s="1" t="s">
        <v>1131</v>
      </c>
      <c r="S347" s="5">
        <v>4247</v>
      </c>
      <c r="T347" s="1" t="s">
        <v>41</v>
      </c>
      <c r="U347" s="12">
        <v>46313.734027777777</v>
      </c>
      <c r="V347" s="12">
        <v>46313.732638888891</v>
      </c>
      <c r="W347" s="7" t="s">
        <v>1132</v>
      </c>
      <c r="X347" s="5">
        <v>22411</v>
      </c>
      <c r="Y347" s="4"/>
      <c r="Z347" s="5">
        <v>0</v>
      </c>
      <c r="AA347" s="8">
        <v>0.72638888888888886</v>
      </c>
      <c r="AB347" s="5">
        <v>7</v>
      </c>
      <c r="AC347" s="1" t="s">
        <v>41</v>
      </c>
      <c r="AD347" s="9" t="str">
        <f t="shared" si="5"/>
        <v>Actual</v>
      </c>
      <c r="AE347" s="9" t="str">
        <f t="shared" si="6"/>
        <v>TMK7</v>
      </c>
      <c r="AF347" s="9">
        <f>HOUR(O347)</f>
        <v>17</v>
      </c>
      <c r="AG347" s="9">
        <f>DAY(O347)</f>
        <v>18</v>
      </c>
      <c r="AH347" s="9">
        <f>IFERROR((I347-K347)*24*60,0)</f>
        <v>0</v>
      </c>
      <c r="AI347" s="9">
        <f t="shared" si="7"/>
        <v>0</v>
      </c>
      <c r="AJ347" s="9">
        <f>C347</f>
        <v>2097</v>
      </c>
      <c r="AK347" s="9">
        <f>IF(P347="completed",((V347-K347)*24*60),0)</f>
        <v>8.0000000051222742</v>
      </c>
      <c r="AL347" s="9">
        <f>IF(P347="completed",((U347-K347)*24*60),0)</f>
        <v>10.000000001164153</v>
      </c>
      <c r="AM347" s="9" t="str">
        <f t="shared" si="8"/>
        <v>OTP Achieved</v>
      </c>
      <c r="AN347" s="9" t="str">
        <f t="shared" si="9"/>
        <v>OTP Achieved</v>
      </c>
    </row>
    <row r="348" spans="1:40" ht="16">
      <c r="A348" s="3" t="s">
        <v>198</v>
      </c>
      <c r="B348" s="12">
        <v>46313.724305555559</v>
      </c>
      <c r="C348" s="5">
        <v>1516</v>
      </c>
      <c r="D348" s="1" t="s">
        <v>41</v>
      </c>
      <c r="E348" s="5">
        <v>5</v>
      </c>
      <c r="F348" s="1" t="s">
        <v>41</v>
      </c>
      <c r="G348" s="1" t="s">
        <v>41</v>
      </c>
      <c r="H348" s="1" t="s">
        <v>1133</v>
      </c>
      <c r="I348" s="12">
        <v>46313.724999999999</v>
      </c>
      <c r="J348" s="1" t="s">
        <v>41</v>
      </c>
      <c r="K348" s="12">
        <v>46313.724999999999</v>
      </c>
      <c r="L348" s="5">
        <v>22</v>
      </c>
      <c r="M348" s="1"/>
      <c r="N348" s="1"/>
      <c r="O348" s="12">
        <v>46313.724305555559</v>
      </c>
      <c r="P348" s="1" t="s">
        <v>43</v>
      </c>
      <c r="Q348" s="1" t="s">
        <v>200</v>
      </c>
      <c r="R348" s="1" t="s">
        <v>1134</v>
      </c>
      <c r="S348" s="5">
        <v>4247</v>
      </c>
      <c r="T348" s="1" t="s">
        <v>41</v>
      </c>
      <c r="U348" s="12">
        <v>46313.729861111111</v>
      </c>
      <c r="V348" s="12">
        <v>46313.728472222225</v>
      </c>
      <c r="W348" s="7" t="s">
        <v>1135</v>
      </c>
      <c r="X348" s="5">
        <v>22411</v>
      </c>
      <c r="Y348" s="10"/>
      <c r="Z348" s="5">
        <v>0</v>
      </c>
      <c r="AA348" s="8">
        <v>0.72430555555555554</v>
      </c>
      <c r="AB348" s="5">
        <v>5</v>
      </c>
      <c r="AC348" s="1" t="s">
        <v>41</v>
      </c>
      <c r="AD348" s="9" t="str">
        <f t="shared" si="5"/>
        <v>Actual</v>
      </c>
      <c r="AE348" s="9" t="str">
        <f t="shared" si="6"/>
        <v>TMK7</v>
      </c>
      <c r="AF348" s="9">
        <f>HOUR(O348)</f>
        <v>17</v>
      </c>
      <c r="AG348" s="9">
        <f>DAY(O348)</f>
        <v>18</v>
      </c>
      <c r="AH348" s="9">
        <f>IFERROR((I348-K348)*24*60,0)</f>
        <v>0</v>
      </c>
      <c r="AI348" s="9">
        <f t="shared" si="7"/>
        <v>0</v>
      </c>
      <c r="AJ348" s="9">
        <f>C348</f>
        <v>1516</v>
      </c>
      <c r="AK348" s="9">
        <f>IF(P348="completed",((V348-K348)*24*60),0)</f>
        <v>5.0000000058207661</v>
      </c>
      <c r="AL348" s="9">
        <f>IF(P348="completed",((U348-K348)*24*60),0)</f>
        <v>7.0000000018626451</v>
      </c>
      <c r="AM348" s="9" t="str">
        <f t="shared" si="8"/>
        <v>OTP Achieved</v>
      </c>
      <c r="AN348" s="9" t="str">
        <f t="shared" si="9"/>
        <v>OTP Achieved</v>
      </c>
    </row>
    <row r="349" spans="1:40" ht="16">
      <c r="A349" s="3" t="s">
        <v>1136</v>
      </c>
      <c r="B349" s="12">
        <v>46313.724305555559</v>
      </c>
      <c r="C349" s="5">
        <v>3665</v>
      </c>
      <c r="D349" s="1" t="s">
        <v>41</v>
      </c>
      <c r="E349" s="5">
        <v>11</v>
      </c>
      <c r="F349" s="1" t="s">
        <v>41</v>
      </c>
      <c r="G349" s="1" t="s">
        <v>41</v>
      </c>
      <c r="H349" s="1" t="s">
        <v>1137</v>
      </c>
      <c r="I349" s="12">
        <v>46313.724999999999</v>
      </c>
      <c r="J349" s="1" t="s">
        <v>41</v>
      </c>
      <c r="K349" s="12">
        <v>46313.724999999999</v>
      </c>
      <c r="L349" s="5">
        <v>18</v>
      </c>
      <c r="M349" s="1"/>
      <c r="N349" s="1"/>
      <c r="O349" s="12">
        <v>46313.723611111112</v>
      </c>
      <c r="P349" s="1" t="s">
        <v>43</v>
      </c>
      <c r="Q349" s="1" t="s">
        <v>1138</v>
      </c>
      <c r="R349" s="1" t="s">
        <v>1139</v>
      </c>
      <c r="S349" s="5">
        <v>4247</v>
      </c>
      <c r="T349" s="1" t="s">
        <v>41</v>
      </c>
      <c r="U349" s="12">
        <v>46313.734027777777</v>
      </c>
      <c r="V349" s="12">
        <v>46313.731944444444</v>
      </c>
      <c r="W349" s="7" t="s">
        <v>1140</v>
      </c>
      <c r="X349" s="5">
        <v>22411</v>
      </c>
      <c r="Y349" s="4"/>
      <c r="Z349" s="5">
        <v>0</v>
      </c>
      <c r="AA349" s="8">
        <v>0.72430555555555554</v>
      </c>
      <c r="AB349" s="5">
        <v>10</v>
      </c>
      <c r="AC349" s="1" t="s">
        <v>41</v>
      </c>
      <c r="AD349" s="9" t="str">
        <f t="shared" si="5"/>
        <v>Actual</v>
      </c>
      <c r="AE349" s="9" t="str">
        <f t="shared" si="6"/>
        <v>TMK7</v>
      </c>
      <c r="AF349" s="9">
        <f>HOUR(O349)</f>
        <v>17</v>
      </c>
      <c r="AG349" s="9">
        <f>DAY(O349)</f>
        <v>18</v>
      </c>
      <c r="AH349" s="9">
        <f>IFERROR((I349-K349)*24*60,0)</f>
        <v>0</v>
      </c>
      <c r="AI349" s="9">
        <f t="shared" si="7"/>
        <v>0</v>
      </c>
      <c r="AJ349" s="9">
        <f>C349</f>
        <v>3665</v>
      </c>
      <c r="AK349" s="9">
        <f>IF(P349="completed",((V349-K349)*24*60),0)</f>
        <v>10.000000001164153</v>
      </c>
      <c r="AL349" s="9">
        <f>IF(P349="completed",((U349-K349)*24*60),0)</f>
        <v>13.000000000465661</v>
      </c>
      <c r="AM349" s="9" t="str">
        <f t="shared" si="8"/>
        <v>OTP Achieved</v>
      </c>
      <c r="AN349" s="9" t="str">
        <f t="shared" si="9"/>
        <v>OTP Achieved</v>
      </c>
    </row>
    <row r="350" spans="1:40" ht="16">
      <c r="A350" s="3" t="s">
        <v>98</v>
      </c>
      <c r="B350" s="12">
        <v>46313.723611111112</v>
      </c>
      <c r="C350" s="5">
        <v>1271</v>
      </c>
      <c r="D350" s="1" t="s">
        <v>41</v>
      </c>
      <c r="E350" s="5">
        <v>3</v>
      </c>
      <c r="F350" s="1" t="s">
        <v>41</v>
      </c>
      <c r="G350" s="1" t="s">
        <v>41</v>
      </c>
      <c r="H350" s="1" t="s">
        <v>1141</v>
      </c>
      <c r="I350" s="12">
        <v>46313.724305555559</v>
      </c>
      <c r="J350" s="1" t="s">
        <v>41</v>
      </c>
      <c r="K350" s="12">
        <v>46313.724305555559</v>
      </c>
      <c r="L350" s="5">
        <v>16</v>
      </c>
      <c r="M350" s="1"/>
      <c r="N350" s="1"/>
      <c r="O350" s="12">
        <v>46313.723611111112</v>
      </c>
      <c r="P350" s="1" t="s">
        <v>43</v>
      </c>
      <c r="Q350" s="1" t="s">
        <v>100</v>
      </c>
      <c r="R350" s="1" t="s">
        <v>1142</v>
      </c>
      <c r="S350" s="5">
        <v>4247</v>
      </c>
      <c r="T350" s="1" t="s">
        <v>41</v>
      </c>
      <c r="U350" s="12">
        <v>46313.727777777778</v>
      </c>
      <c r="V350" s="12">
        <v>46313.726388888892</v>
      </c>
      <c r="W350" s="7" t="s">
        <v>1143</v>
      </c>
      <c r="X350" s="5">
        <v>22411</v>
      </c>
      <c r="Y350" s="4"/>
      <c r="Z350" s="5">
        <v>0</v>
      </c>
      <c r="AA350" s="8">
        <v>0.72361111111111109</v>
      </c>
      <c r="AB350" s="5">
        <v>3</v>
      </c>
      <c r="AC350" s="1" t="s">
        <v>41</v>
      </c>
      <c r="AD350" s="9" t="str">
        <f t="shared" si="5"/>
        <v>Actual</v>
      </c>
      <c r="AE350" s="9" t="str">
        <f t="shared" si="6"/>
        <v>TMK7</v>
      </c>
      <c r="AF350" s="9">
        <f>HOUR(O350)</f>
        <v>17</v>
      </c>
      <c r="AG350" s="9">
        <f>DAY(O350)</f>
        <v>18</v>
      </c>
      <c r="AH350" s="9">
        <f>IFERROR((I350-K350)*24*60,0)</f>
        <v>0</v>
      </c>
      <c r="AI350" s="9">
        <f t="shared" si="7"/>
        <v>0</v>
      </c>
      <c r="AJ350" s="9">
        <f>C350</f>
        <v>1271</v>
      </c>
      <c r="AK350" s="9">
        <f>IF(P350="completed",((V350-K350)*24*60),0)</f>
        <v>2.9999999993015081</v>
      </c>
      <c r="AL350" s="9">
        <f>IF(P350="completed",((U350-K350)*24*60),0)</f>
        <v>4.9999999953433871</v>
      </c>
      <c r="AM350" s="9" t="str">
        <f t="shared" si="8"/>
        <v>OTP Achieved</v>
      </c>
      <c r="AN350" s="9" t="str">
        <f t="shared" si="9"/>
        <v>OTP Achieved</v>
      </c>
    </row>
    <row r="351" spans="1:40" ht="16">
      <c r="A351" s="3" t="s">
        <v>347</v>
      </c>
      <c r="B351" s="12">
        <v>46313.722916666666</v>
      </c>
      <c r="C351" s="5">
        <v>214</v>
      </c>
      <c r="D351" s="1" t="s">
        <v>41</v>
      </c>
      <c r="E351" s="5">
        <v>0</v>
      </c>
      <c r="F351" s="1" t="s">
        <v>41</v>
      </c>
      <c r="G351" s="1" t="s">
        <v>41</v>
      </c>
      <c r="H351" s="1" t="s">
        <v>1144</v>
      </c>
      <c r="I351" s="12">
        <v>46313.724305555559</v>
      </c>
      <c r="J351" s="1" t="s">
        <v>41</v>
      </c>
      <c r="K351" s="12">
        <v>46313.724305555559</v>
      </c>
      <c r="L351" s="5">
        <v>14</v>
      </c>
      <c r="M351" s="1"/>
      <c r="N351" s="1"/>
      <c r="O351" s="12">
        <v>46313.722916666666</v>
      </c>
      <c r="P351" s="1" t="s">
        <v>43</v>
      </c>
      <c r="Q351" s="1" t="s">
        <v>349</v>
      </c>
      <c r="R351" s="1" t="s">
        <v>1145</v>
      </c>
      <c r="S351" s="5">
        <v>4247</v>
      </c>
      <c r="T351" s="1" t="s">
        <v>41</v>
      </c>
      <c r="U351" s="12">
        <v>46313.725694444445</v>
      </c>
      <c r="V351" s="12">
        <v>46313.724305555559</v>
      </c>
      <c r="W351" s="7" t="s">
        <v>1146</v>
      </c>
      <c r="X351" s="5">
        <v>22411</v>
      </c>
      <c r="Y351" s="4"/>
      <c r="Z351" s="5">
        <v>0</v>
      </c>
      <c r="AA351" s="8">
        <v>0.72291666666666665</v>
      </c>
      <c r="AB351" s="5">
        <v>0</v>
      </c>
      <c r="AC351" s="1" t="s">
        <v>41</v>
      </c>
      <c r="AD351" s="9" t="str">
        <f t="shared" si="5"/>
        <v>Actual</v>
      </c>
      <c r="AE351" s="9" t="str">
        <f t="shared" si="6"/>
        <v>TMK7</v>
      </c>
      <c r="AF351" s="9">
        <f>HOUR(O351)</f>
        <v>17</v>
      </c>
      <c r="AG351" s="9">
        <f>DAY(O351)</f>
        <v>18</v>
      </c>
      <c r="AH351" s="9">
        <f>IFERROR((I351-K351)*24*60,0)</f>
        <v>0</v>
      </c>
      <c r="AI351" s="9">
        <f t="shared" si="7"/>
        <v>0</v>
      </c>
      <c r="AJ351" s="9">
        <f>C351</f>
        <v>214</v>
      </c>
      <c r="AK351" s="9">
        <f>IF(P351="completed",((V351-K351)*24*60),0)</f>
        <v>0</v>
      </c>
      <c r="AL351" s="9">
        <f>IF(P351="completed",((U351-K351)*24*60),0)</f>
        <v>1.9999999960418791</v>
      </c>
      <c r="AM351" s="9" t="str">
        <f t="shared" si="8"/>
        <v>OTP Achieved</v>
      </c>
      <c r="AN351" s="9" t="str">
        <f t="shared" si="9"/>
        <v>OTP Achieved</v>
      </c>
    </row>
    <row r="352" spans="1:40" ht="16">
      <c r="A352" s="3" t="s">
        <v>62</v>
      </c>
      <c r="B352" s="12">
        <v>46313.722916666666</v>
      </c>
      <c r="C352" s="5">
        <v>1976</v>
      </c>
      <c r="D352" s="1" t="s">
        <v>41</v>
      </c>
      <c r="E352" s="5">
        <v>9</v>
      </c>
      <c r="F352" s="1" t="s">
        <v>41</v>
      </c>
      <c r="G352" s="1" t="s">
        <v>41</v>
      </c>
      <c r="H352" s="1" t="s">
        <v>1147</v>
      </c>
      <c r="I352" s="12">
        <v>46313.724305555559</v>
      </c>
      <c r="J352" s="1" t="s">
        <v>41</v>
      </c>
      <c r="K352" s="12">
        <v>46313.723611111112</v>
      </c>
      <c r="L352" s="5">
        <v>18</v>
      </c>
      <c r="M352" s="1"/>
      <c r="N352" s="1"/>
      <c r="O352" s="12">
        <v>46313.722916666666</v>
      </c>
      <c r="P352" s="1" t="s">
        <v>43</v>
      </c>
      <c r="Q352" s="1" t="s">
        <v>64</v>
      </c>
      <c r="R352" s="1" t="s">
        <v>1148</v>
      </c>
      <c r="S352" s="5">
        <v>4247</v>
      </c>
      <c r="T352" s="1" t="s">
        <v>41</v>
      </c>
      <c r="U352" s="12">
        <v>46313.729861111111</v>
      </c>
      <c r="V352" s="12">
        <v>46313.729861111111</v>
      </c>
      <c r="W352" s="7" t="s">
        <v>1149</v>
      </c>
      <c r="X352" s="5">
        <v>22411</v>
      </c>
      <c r="Y352" s="4"/>
      <c r="Z352" s="5">
        <v>0</v>
      </c>
      <c r="AA352" s="8">
        <v>0.72291666666666665</v>
      </c>
      <c r="AB352" s="5">
        <v>8</v>
      </c>
      <c r="AC352" s="1" t="s">
        <v>41</v>
      </c>
      <c r="AD352" s="9" t="str">
        <f t="shared" si="5"/>
        <v>Actual</v>
      </c>
      <c r="AE352" s="9" t="str">
        <f t="shared" si="6"/>
        <v>TMK7</v>
      </c>
      <c r="AF352" s="9">
        <f>HOUR(O352)</f>
        <v>17</v>
      </c>
      <c r="AG352" s="9">
        <f>DAY(O352)</f>
        <v>18</v>
      </c>
      <c r="AH352" s="9">
        <f>IFERROR((I352-K352)*24*60,0)</f>
        <v>1.000000003259629</v>
      </c>
      <c r="AI352" s="9">
        <f t="shared" si="7"/>
        <v>1.000000003259629</v>
      </c>
      <c r="AJ352" s="9">
        <f>C352</f>
        <v>1976</v>
      </c>
      <c r="AK352" s="9">
        <f>IF(P352="completed",((V352-K352)*24*60),0)</f>
        <v>8.9999999979045242</v>
      </c>
      <c r="AL352" s="9">
        <f>IF(P352="completed",((U352-K352)*24*60),0)</f>
        <v>8.9999999979045242</v>
      </c>
      <c r="AM352" s="9" t="str">
        <f t="shared" si="8"/>
        <v>OTP Breached</v>
      </c>
      <c r="AN352" s="9" t="str">
        <f t="shared" si="9"/>
        <v>OTP Achieved</v>
      </c>
    </row>
    <row r="353" spans="1:40" ht="16">
      <c r="A353" s="3" t="s">
        <v>106</v>
      </c>
      <c r="B353" s="12">
        <v>46313.722222222219</v>
      </c>
      <c r="C353" s="5">
        <v>1861</v>
      </c>
      <c r="D353" s="1" t="s">
        <v>41</v>
      </c>
      <c r="E353" s="5">
        <v>8</v>
      </c>
      <c r="F353" s="1" t="s">
        <v>41</v>
      </c>
      <c r="G353" s="1" t="s">
        <v>41</v>
      </c>
      <c r="H353" s="1" t="s">
        <v>1150</v>
      </c>
      <c r="I353" s="12">
        <v>46313.722916666666</v>
      </c>
      <c r="J353" s="1" t="s">
        <v>41</v>
      </c>
      <c r="K353" s="12">
        <v>46313.722222222219</v>
      </c>
      <c r="L353" s="5">
        <v>36</v>
      </c>
      <c r="M353" s="1"/>
      <c r="N353" s="1"/>
      <c r="O353" s="12">
        <v>46313.722222222219</v>
      </c>
      <c r="P353" s="1" t="s">
        <v>43</v>
      </c>
      <c r="Q353" s="1" t="s">
        <v>108</v>
      </c>
      <c r="R353" s="1" t="s">
        <v>1151</v>
      </c>
      <c r="S353" s="5">
        <v>4247</v>
      </c>
      <c r="T353" s="1" t="s">
        <v>41</v>
      </c>
      <c r="U353" s="12">
        <v>46313.728472222225</v>
      </c>
      <c r="V353" s="12">
        <v>46313.727777777778</v>
      </c>
      <c r="W353" s="7" t="s">
        <v>1152</v>
      </c>
      <c r="X353" s="5">
        <v>22411</v>
      </c>
      <c r="Y353" s="4"/>
      <c r="Z353" s="5">
        <v>0</v>
      </c>
      <c r="AA353" s="8">
        <v>0.72222222222222221</v>
      </c>
      <c r="AB353" s="5">
        <v>7</v>
      </c>
      <c r="AC353" s="1" t="s">
        <v>41</v>
      </c>
      <c r="AD353" s="9" t="str">
        <f t="shared" si="5"/>
        <v>Actual</v>
      </c>
      <c r="AE353" s="9" t="str">
        <f t="shared" si="6"/>
        <v>TMK7</v>
      </c>
      <c r="AF353" s="9">
        <f>HOUR(O353)</f>
        <v>17</v>
      </c>
      <c r="AG353" s="9">
        <f>DAY(O353)</f>
        <v>18</v>
      </c>
      <c r="AH353" s="9">
        <f>IFERROR((I353-K353)*24*60,0)</f>
        <v>1.000000003259629</v>
      </c>
      <c r="AI353" s="9">
        <f t="shared" si="7"/>
        <v>1.000000003259629</v>
      </c>
      <c r="AJ353" s="9">
        <f>C353</f>
        <v>1861</v>
      </c>
      <c r="AK353" s="9">
        <f>IF(P353="completed",((V353-K353)*24*60),0)</f>
        <v>8.0000000051222742</v>
      </c>
      <c r="AL353" s="9">
        <f>IF(P353="completed",((U353-K353)*24*60),0)</f>
        <v>9.0000000083819032</v>
      </c>
      <c r="AM353" s="9" t="str">
        <f t="shared" si="8"/>
        <v>OTP Achieved</v>
      </c>
      <c r="AN353" s="9" t="str">
        <f t="shared" si="9"/>
        <v>OTP Achieved</v>
      </c>
    </row>
    <row r="354" spans="1:40" ht="16">
      <c r="A354" s="3" t="s">
        <v>655</v>
      </c>
      <c r="B354" s="12">
        <v>46313.722222222219</v>
      </c>
      <c r="C354" s="5">
        <v>3963</v>
      </c>
      <c r="D354" s="1" t="s">
        <v>41</v>
      </c>
      <c r="E354" s="5">
        <v>9</v>
      </c>
      <c r="F354" s="1" t="s">
        <v>41</v>
      </c>
      <c r="G354" s="1" t="s">
        <v>41</v>
      </c>
      <c r="H354" s="1" t="s">
        <v>1153</v>
      </c>
      <c r="I354" s="12">
        <v>46313.722916666666</v>
      </c>
      <c r="J354" s="1" t="s">
        <v>41</v>
      </c>
      <c r="K354" s="12">
        <v>46313.722222222219</v>
      </c>
      <c r="L354" s="5">
        <v>11</v>
      </c>
      <c r="M354" s="1"/>
      <c r="N354" s="1"/>
      <c r="O354" s="12">
        <v>46313.722222222219</v>
      </c>
      <c r="P354" s="1" t="s">
        <v>43</v>
      </c>
      <c r="Q354" s="1" t="s">
        <v>657</v>
      </c>
      <c r="R354" s="1" t="s">
        <v>1154</v>
      </c>
      <c r="S354" s="5">
        <v>4247</v>
      </c>
      <c r="T354" s="1" t="s">
        <v>41</v>
      </c>
      <c r="U354" s="12">
        <v>46313.732638888891</v>
      </c>
      <c r="V354" s="12">
        <v>46313.728472222225</v>
      </c>
      <c r="W354" s="7" t="s">
        <v>1155</v>
      </c>
      <c r="X354" s="5">
        <v>22411</v>
      </c>
      <c r="Y354" s="4"/>
      <c r="Z354" s="5">
        <v>0</v>
      </c>
      <c r="AA354" s="8">
        <v>0.72222222222222221</v>
      </c>
      <c r="AB354" s="5">
        <v>8</v>
      </c>
      <c r="AC354" s="1" t="s">
        <v>41</v>
      </c>
      <c r="AD354" s="9" t="str">
        <f t="shared" si="5"/>
        <v>Actual</v>
      </c>
      <c r="AE354" s="9" t="str">
        <f t="shared" si="6"/>
        <v>TMK7</v>
      </c>
      <c r="AF354" s="9">
        <f>HOUR(O354)</f>
        <v>17</v>
      </c>
      <c r="AG354" s="9">
        <f>DAY(O354)</f>
        <v>18</v>
      </c>
      <c r="AH354" s="9">
        <f>IFERROR((I354-K354)*24*60,0)</f>
        <v>1.000000003259629</v>
      </c>
      <c r="AI354" s="9">
        <f t="shared" si="7"/>
        <v>1.000000003259629</v>
      </c>
      <c r="AJ354" s="9">
        <f>C354</f>
        <v>3963</v>
      </c>
      <c r="AK354" s="9">
        <f>IF(P354="completed",((V354-K354)*24*60),0)</f>
        <v>9.0000000083819032</v>
      </c>
      <c r="AL354" s="9">
        <f>IF(P354="completed",((U354-K354)*24*60),0)</f>
        <v>15.000000006984919</v>
      </c>
      <c r="AM354" s="9" t="str">
        <f t="shared" si="8"/>
        <v>OTP Achieved</v>
      </c>
      <c r="AN354" s="9" t="str">
        <f t="shared" si="9"/>
        <v>OTP Achieved</v>
      </c>
    </row>
    <row r="355" spans="1:40" ht="16">
      <c r="A355" s="3" t="s">
        <v>77</v>
      </c>
      <c r="B355" s="12">
        <v>46313.720138888886</v>
      </c>
      <c r="C355" s="5">
        <v>1853</v>
      </c>
      <c r="D355" s="1" t="s">
        <v>41</v>
      </c>
      <c r="E355" s="5">
        <v>4</v>
      </c>
      <c r="F355" s="1" t="s">
        <v>41</v>
      </c>
      <c r="G355" s="1" t="s">
        <v>41</v>
      </c>
      <c r="H355" s="1" t="s">
        <v>1156</v>
      </c>
      <c r="I355" s="12">
        <v>46313.72152777778</v>
      </c>
      <c r="J355" s="1" t="s">
        <v>41</v>
      </c>
      <c r="K355" s="12">
        <v>46313.72152777778</v>
      </c>
      <c r="L355" s="5">
        <v>20</v>
      </c>
      <c r="M355" s="1"/>
      <c r="N355" s="1"/>
      <c r="O355" s="12">
        <v>46313.720138888886</v>
      </c>
      <c r="P355" s="1" t="s">
        <v>43</v>
      </c>
      <c r="Q355" s="1" t="s">
        <v>79</v>
      </c>
      <c r="R355" s="1" t="s">
        <v>1157</v>
      </c>
      <c r="S355" s="5">
        <v>4247</v>
      </c>
      <c r="T355" s="1" t="s">
        <v>41</v>
      </c>
      <c r="U355" s="12">
        <v>46313.726388888892</v>
      </c>
      <c r="V355" s="12">
        <v>46313.724305555559</v>
      </c>
      <c r="W355" s="7" t="s">
        <v>1158</v>
      </c>
      <c r="X355" s="5">
        <v>22411</v>
      </c>
      <c r="Y355" s="4"/>
      <c r="Z355" s="5">
        <v>0</v>
      </c>
      <c r="AA355" s="8">
        <v>0.72013888888888888</v>
      </c>
      <c r="AB355" s="5">
        <v>4</v>
      </c>
      <c r="AC355" s="1" t="s">
        <v>41</v>
      </c>
      <c r="AD355" s="9" t="str">
        <f t="shared" si="5"/>
        <v>Actual</v>
      </c>
      <c r="AE355" s="9" t="str">
        <f t="shared" si="6"/>
        <v>TMK7</v>
      </c>
      <c r="AF355" s="9">
        <f>HOUR(O355)</f>
        <v>17</v>
      </c>
      <c r="AG355" s="9">
        <f>DAY(O355)</f>
        <v>18</v>
      </c>
      <c r="AH355" s="9">
        <f>IFERROR((I355-K355)*24*60,0)</f>
        <v>0</v>
      </c>
      <c r="AI355" s="9">
        <f t="shared" si="7"/>
        <v>0</v>
      </c>
      <c r="AJ355" s="9">
        <f>C355</f>
        <v>1853</v>
      </c>
      <c r="AK355" s="9">
        <f>IF(P355="completed",((V355-K355)*24*60),0)</f>
        <v>4.0000000025611371</v>
      </c>
      <c r="AL355" s="9">
        <f>IF(P355="completed",((U355-K355)*24*60),0)</f>
        <v>7.0000000018626451</v>
      </c>
      <c r="AM355" s="9" t="str">
        <f t="shared" si="8"/>
        <v>OTP Achieved</v>
      </c>
      <c r="AN355" s="9" t="str">
        <f t="shared" si="9"/>
        <v>OTP Achieved</v>
      </c>
    </row>
    <row r="356" spans="1:40" ht="16">
      <c r="A356" s="3" t="s">
        <v>379</v>
      </c>
      <c r="B356" s="12">
        <v>46313.719444444447</v>
      </c>
      <c r="C356" s="5">
        <v>3727</v>
      </c>
      <c r="D356" s="1" t="s">
        <v>41</v>
      </c>
      <c r="E356" s="5">
        <v>12</v>
      </c>
      <c r="F356" s="1" t="s">
        <v>41</v>
      </c>
      <c r="G356" s="1" t="s">
        <v>41</v>
      </c>
      <c r="H356" s="1" t="s">
        <v>1159</v>
      </c>
      <c r="I356" s="12">
        <v>46313.72152777778</v>
      </c>
      <c r="J356" s="1" t="s">
        <v>41</v>
      </c>
      <c r="K356" s="12">
        <v>46313.720833333333</v>
      </c>
      <c r="L356" s="5">
        <v>24</v>
      </c>
      <c r="M356" s="1"/>
      <c r="N356" s="1"/>
      <c r="O356" s="12">
        <v>46313.719444444447</v>
      </c>
      <c r="P356" s="1" t="s">
        <v>43</v>
      </c>
      <c r="Q356" s="1" t="s">
        <v>381</v>
      </c>
      <c r="R356" s="1" t="s">
        <v>1160</v>
      </c>
      <c r="S356" s="5">
        <v>4247</v>
      </c>
      <c r="T356" s="1" t="s">
        <v>41</v>
      </c>
      <c r="U356" s="12">
        <v>46313.730555555558</v>
      </c>
      <c r="V356" s="12">
        <v>46313.729166666664</v>
      </c>
      <c r="W356" s="7" t="s">
        <v>1161</v>
      </c>
      <c r="X356" s="5">
        <v>22411</v>
      </c>
      <c r="Y356" s="4"/>
      <c r="Z356" s="5">
        <v>0</v>
      </c>
      <c r="AA356" s="8">
        <v>0.71944444444444444</v>
      </c>
      <c r="AB356" s="5">
        <v>12</v>
      </c>
      <c r="AC356" s="1" t="s">
        <v>41</v>
      </c>
      <c r="AD356" s="9" t="str">
        <f t="shared" si="5"/>
        <v>Actual</v>
      </c>
      <c r="AE356" s="9" t="str">
        <f t="shared" si="6"/>
        <v>TMK7</v>
      </c>
      <c r="AF356" s="9">
        <f>HOUR(O356)</f>
        <v>17</v>
      </c>
      <c r="AG356" s="9">
        <f>DAY(O356)</f>
        <v>18</v>
      </c>
      <c r="AH356" s="9">
        <f>IFERROR((I356-K356)*24*60,0)</f>
        <v>1.000000003259629</v>
      </c>
      <c r="AI356" s="9">
        <f t="shared" si="7"/>
        <v>1.000000003259629</v>
      </c>
      <c r="AJ356" s="9">
        <f>C356</f>
        <v>3727</v>
      </c>
      <c r="AK356" s="9">
        <f>IF(P356="completed",((V356-K356)*24*60),0)</f>
        <v>11.999999997206032</v>
      </c>
      <c r="AL356" s="9">
        <f>IF(P356="completed",((U356-K356)*24*60),0)</f>
        <v>14.00000000372529</v>
      </c>
      <c r="AM356" s="9" t="str">
        <f t="shared" si="8"/>
        <v>OTP Achieved</v>
      </c>
      <c r="AN356" s="9" t="str">
        <f t="shared" si="9"/>
        <v>OTP Achieved</v>
      </c>
    </row>
    <row r="357" spans="1:40" ht="16">
      <c r="A357" s="3" t="s">
        <v>339</v>
      </c>
      <c r="B357" s="12">
        <v>46313.71875</v>
      </c>
      <c r="C357" s="5">
        <v>621</v>
      </c>
      <c r="D357" s="1" t="s">
        <v>41</v>
      </c>
      <c r="E357" s="5">
        <v>2</v>
      </c>
      <c r="F357" s="1" t="s">
        <v>41</v>
      </c>
      <c r="G357" s="1" t="s">
        <v>41</v>
      </c>
      <c r="H357" s="1" t="s">
        <v>1162</v>
      </c>
      <c r="I357" s="12">
        <v>46313.719444444447</v>
      </c>
      <c r="J357" s="1" t="s">
        <v>41</v>
      </c>
      <c r="K357" s="12">
        <v>46313.719444444447</v>
      </c>
      <c r="L357" s="5">
        <v>33</v>
      </c>
      <c r="M357" s="1"/>
      <c r="N357" s="1"/>
      <c r="O357" s="12">
        <v>46313.718055555553</v>
      </c>
      <c r="P357" s="1" t="s">
        <v>43</v>
      </c>
      <c r="Q357" s="1" t="s">
        <v>341</v>
      </c>
      <c r="R357" s="1" t="s">
        <v>1163</v>
      </c>
      <c r="S357" s="5">
        <v>4247</v>
      </c>
      <c r="T357" s="1" t="s">
        <v>41</v>
      </c>
      <c r="U357" s="12">
        <v>46313.722222222219</v>
      </c>
      <c r="V357" s="12">
        <v>46313.720833333333</v>
      </c>
      <c r="W357" s="7" t="s">
        <v>1164</v>
      </c>
      <c r="X357" s="5">
        <v>22411</v>
      </c>
      <c r="Y357" s="4"/>
      <c r="Z357" s="5">
        <v>0</v>
      </c>
      <c r="AA357" s="8">
        <v>0.71875</v>
      </c>
      <c r="AB357" s="5">
        <v>2</v>
      </c>
      <c r="AC357" s="1" t="s">
        <v>41</v>
      </c>
      <c r="AD357" s="9" t="str">
        <f t="shared" si="5"/>
        <v>Actual</v>
      </c>
      <c r="AE357" s="9" t="str">
        <f t="shared" si="6"/>
        <v>TMK7</v>
      </c>
      <c r="AF357" s="9">
        <f>HOUR(O357)</f>
        <v>17</v>
      </c>
      <c r="AG357" s="9">
        <f>DAY(O357)</f>
        <v>18</v>
      </c>
      <c r="AH357" s="9">
        <f>IFERROR((I357-K357)*24*60,0)</f>
        <v>0</v>
      </c>
      <c r="AI357" s="9">
        <f t="shared" si="7"/>
        <v>0</v>
      </c>
      <c r="AJ357" s="9">
        <f>C357</f>
        <v>621</v>
      </c>
      <c r="AK357" s="9">
        <f>IF(P357="completed",((V357-K357)*24*60),0)</f>
        <v>1.9999999960418791</v>
      </c>
      <c r="AL357" s="9">
        <f>IF(P357="completed",((U357-K357)*24*60),0)</f>
        <v>3.9999999920837581</v>
      </c>
      <c r="AM357" s="9" t="str">
        <f t="shared" si="8"/>
        <v>OTP Achieved</v>
      </c>
      <c r="AN357" s="9" t="str">
        <f t="shared" si="9"/>
        <v>OTP Achieved</v>
      </c>
    </row>
    <row r="358" spans="1:40" ht="16">
      <c r="A358" s="3" t="s">
        <v>57</v>
      </c>
      <c r="B358" s="12">
        <v>46313.717361111114</v>
      </c>
      <c r="C358" s="5">
        <v>1497</v>
      </c>
      <c r="D358" s="1" t="s">
        <v>41</v>
      </c>
      <c r="E358" s="5">
        <v>5</v>
      </c>
      <c r="F358" s="1" t="s">
        <v>41</v>
      </c>
      <c r="G358" s="1" t="s">
        <v>41</v>
      </c>
      <c r="H358" s="1" t="s">
        <v>1165</v>
      </c>
      <c r="I358" s="12">
        <v>46313.718055555553</v>
      </c>
      <c r="J358" s="1" t="s">
        <v>41</v>
      </c>
      <c r="K358" s="12">
        <v>46313.718055555553</v>
      </c>
      <c r="L358" s="5">
        <v>20</v>
      </c>
      <c r="M358" s="1"/>
      <c r="N358" s="1"/>
      <c r="O358" s="12">
        <v>46313.717361111114</v>
      </c>
      <c r="P358" s="1" t="s">
        <v>43</v>
      </c>
      <c r="Q358" s="1" t="s">
        <v>59</v>
      </c>
      <c r="R358" s="1" t="s">
        <v>1166</v>
      </c>
      <c r="S358" s="5">
        <v>4247</v>
      </c>
      <c r="T358" s="1" t="s">
        <v>41</v>
      </c>
      <c r="U358" s="12">
        <v>46313.722222222219</v>
      </c>
      <c r="V358" s="12">
        <v>46313.72152777778</v>
      </c>
      <c r="W358" s="7" t="s">
        <v>1167</v>
      </c>
      <c r="X358" s="5">
        <v>22411</v>
      </c>
      <c r="Y358" s="4"/>
      <c r="Z358" s="5">
        <v>0</v>
      </c>
      <c r="AA358" s="8">
        <v>0.71736111111111112</v>
      </c>
      <c r="AB358" s="5">
        <v>5</v>
      </c>
      <c r="AC358" s="1" t="s">
        <v>41</v>
      </c>
      <c r="AD358" s="9" t="str">
        <f t="shared" si="5"/>
        <v>Actual</v>
      </c>
      <c r="AE358" s="9" t="str">
        <f t="shared" si="6"/>
        <v>TMK7</v>
      </c>
      <c r="AF358" s="9">
        <f>HOUR(O358)</f>
        <v>17</v>
      </c>
      <c r="AG358" s="9">
        <f>DAY(O358)</f>
        <v>18</v>
      </c>
      <c r="AH358" s="9">
        <f>IFERROR((I358-K358)*24*60,0)</f>
        <v>0</v>
      </c>
      <c r="AI358" s="9">
        <f t="shared" si="7"/>
        <v>0</v>
      </c>
      <c r="AJ358" s="9">
        <f>C358</f>
        <v>1497</v>
      </c>
      <c r="AK358" s="9">
        <f>IF(P358="completed",((V358-K358)*24*60),0)</f>
        <v>5.0000000058207661</v>
      </c>
      <c r="AL358" s="9">
        <f>IF(P358="completed",((U358-K358)*24*60),0)</f>
        <v>5.9999999986030161</v>
      </c>
      <c r="AM358" s="9" t="str">
        <f t="shared" si="8"/>
        <v>OTP Achieved</v>
      </c>
      <c r="AN358" s="9" t="str">
        <f t="shared" si="9"/>
        <v>OTP Achieved</v>
      </c>
    </row>
    <row r="359" spans="1:40" ht="16">
      <c r="A359" s="3" t="s">
        <v>125</v>
      </c>
      <c r="B359" s="12">
        <v>46313.716666666667</v>
      </c>
      <c r="C359" s="5">
        <v>1148</v>
      </c>
      <c r="D359" s="1" t="s">
        <v>41</v>
      </c>
      <c r="E359" s="5">
        <v>4</v>
      </c>
      <c r="F359" s="1" t="s">
        <v>41</v>
      </c>
      <c r="G359" s="1" t="s">
        <v>41</v>
      </c>
      <c r="H359" s="1" t="s">
        <v>1168</v>
      </c>
      <c r="I359" s="12">
        <v>46313.717361111114</v>
      </c>
      <c r="J359" s="1" t="s">
        <v>41</v>
      </c>
      <c r="K359" s="12">
        <v>46313.717361111114</v>
      </c>
      <c r="L359" s="5">
        <v>24</v>
      </c>
      <c r="M359" s="1"/>
      <c r="N359" s="1"/>
      <c r="O359" s="12">
        <v>46313.716666666667</v>
      </c>
      <c r="P359" s="1" t="s">
        <v>43</v>
      </c>
      <c r="Q359" s="1" t="s">
        <v>127</v>
      </c>
      <c r="R359" s="1" t="s">
        <v>1169</v>
      </c>
      <c r="S359" s="5">
        <v>4247</v>
      </c>
      <c r="T359" s="1" t="s">
        <v>41</v>
      </c>
      <c r="U359" s="12">
        <v>46313.720833333333</v>
      </c>
      <c r="V359" s="12">
        <v>46313.720138888886</v>
      </c>
      <c r="W359" s="7" t="s">
        <v>1170</v>
      </c>
      <c r="X359" s="5">
        <v>22411</v>
      </c>
      <c r="Y359" s="4"/>
      <c r="Z359" s="5">
        <v>0</v>
      </c>
      <c r="AA359" s="8">
        <v>0.71666666666666667</v>
      </c>
      <c r="AB359" s="5">
        <v>4</v>
      </c>
      <c r="AC359" s="1" t="s">
        <v>41</v>
      </c>
      <c r="AD359" s="9" t="str">
        <f t="shared" si="5"/>
        <v>Actual</v>
      </c>
      <c r="AE359" s="9" t="str">
        <f t="shared" si="6"/>
        <v>TMK7</v>
      </c>
      <c r="AF359" s="9">
        <f>HOUR(O359)</f>
        <v>17</v>
      </c>
      <c r="AG359" s="9">
        <f>DAY(O359)</f>
        <v>18</v>
      </c>
      <c r="AH359" s="9">
        <f>IFERROR((I359-K359)*24*60,0)</f>
        <v>0</v>
      </c>
      <c r="AI359" s="9">
        <f t="shared" si="7"/>
        <v>0</v>
      </c>
      <c r="AJ359" s="9">
        <f>C359</f>
        <v>1148</v>
      </c>
      <c r="AK359" s="9">
        <f>IF(P359="completed",((V359-K359)*24*60),0)</f>
        <v>3.9999999920837581</v>
      </c>
      <c r="AL359" s="9">
        <f>IF(P359="completed",((U359-K359)*24*60),0)</f>
        <v>4.9999999953433871</v>
      </c>
      <c r="AM359" s="9" t="str">
        <f t="shared" si="8"/>
        <v>OTP Achieved</v>
      </c>
      <c r="AN359" s="9" t="str">
        <f t="shared" si="9"/>
        <v>OTP Achieved</v>
      </c>
    </row>
    <row r="360" spans="1:40" ht="16">
      <c r="A360" s="3" t="s">
        <v>1171</v>
      </c>
      <c r="B360" s="12">
        <v>46313.715277777781</v>
      </c>
      <c r="C360" s="5">
        <v>2119</v>
      </c>
      <c r="D360" s="1" t="s">
        <v>41</v>
      </c>
      <c r="E360" s="5">
        <v>18</v>
      </c>
      <c r="F360" s="1" t="s">
        <v>41</v>
      </c>
      <c r="G360" s="1" t="s">
        <v>41</v>
      </c>
      <c r="H360" s="1" t="s">
        <v>1172</v>
      </c>
      <c r="I360" s="12">
        <v>46313.716666666667</v>
      </c>
      <c r="J360" s="1" t="s">
        <v>41</v>
      </c>
      <c r="K360" s="12">
        <v>46313.716666666667</v>
      </c>
      <c r="L360" s="5">
        <v>26</v>
      </c>
      <c r="M360" s="1"/>
      <c r="N360" s="1"/>
      <c r="O360" s="12">
        <v>46313.715277777781</v>
      </c>
      <c r="P360" s="1" t="s">
        <v>43</v>
      </c>
      <c r="Q360" s="1" t="s">
        <v>1173</v>
      </c>
      <c r="R360" s="1" t="s">
        <v>1174</v>
      </c>
      <c r="S360" s="5">
        <v>4247</v>
      </c>
      <c r="T360" s="1" t="s">
        <v>41</v>
      </c>
      <c r="U360" s="12">
        <v>46313.722916666666</v>
      </c>
      <c r="V360" s="12">
        <v>46313.728472222225</v>
      </c>
      <c r="W360" s="7" t="s">
        <v>1175</v>
      </c>
      <c r="X360" s="5">
        <v>22411</v>
      </c>
      <c r="Y360" s="4"/>
      <c r="Z360" s="5">
        <v>0</v>
      </c>
      <c r="AA360" s="8">
        <v>0.71527777777777779</v>
      </c>
      <c r="AB360" s="5">
        <v>17</v>
      </c>
      <c r="AC360" s="1" t="s">
        <v>41</v>
      </c>
      <c r="AD360" s="9" t="str">
        <f t="shared" si="5"/>
        <v>Actual</v>
      </c>
      <c r="AE360" s="9" t="str">
        <f t="shared" si="6"/>
        <v>TMK7</v>
      </c>
      <c r="AF360" s="9">
        <f>HOUR(O360)</f>
        <v>17</v>
      </c>
      <c r="AG360" s="9">
        <f>DAY(O360)</f>
        <v>18</v>
      </c>
      <c r="AH360" s="9">
        <f>IFERROR((I360-K360)*24*60,0)</f>
        <v>0</v>
      </c>
      <c r="AI360" s="9">
        <f t="shared" si="7"/>
        <v>0</v>
      </c>
      <c r="AJ360" s="9">
        <f>C360</f>
        <v>2119</v>
      </c>
      <c r="AK360" s="9">
        <f>IF(P360="completed",((V360-K360)*24*60),0)</f>
        <v>17.000000003026798</v>
      </c>
      <c r="AL360" s="9">
        <f>IF(P360="completed",((U360-K360)*24*60),0)</f>
        <v>8.9999999979045242</v>
      </c>
      <c r="AM360" s="9" t="str">
        <f t="shared" si="8"/>
        <v>OTP Breached</v>
      </c>
      <c r="AN360" s="9" t="str">
        <f t="shared" si="9"/>
        <v>OTP Breached</v>
      </c>
    </row>
    <row r="361" spans="1:40" ht="16">
      <c r="A361" s="3" t="s">
        <v>177</v>
      </c>
      <c r="B361" s="12">
        <v>46313.713194444441</v>
      </c>
      <c r="C361" s="5">
        <v>1590</v>
      </c>
      <c r="D361" s="1" t="s">
        <v>41</v>
      </c>
      <c r="E361" s="5">
        <v>4</v>
      </c>
      <c r="F361" s="1" t="s">
        <v>41</v>
      </c>
      <c r="G361" s="1" t="s">
        <v>41</v>
      </c>
      <c r="H361" s="1" t="s">
        <v>1176</v>
      </c>
      <c r="I361" s="12">
        <v>46313.71597222222</v>
      </c>
      <c r="J361" s="1" t="s">
        <v>41</v>
      </c>
      <c r="K361" s="12">
        <v>46313.71597222222</v>
      </c>
      <c r="L361" s="5">
        <v>30</v>
      </c>
      <c r="M361" s="1"/>
      <c r="N361" s="1"/>
      <c r="O361" s="12">
        <v>46313.713194444441</v>
      </c>
      <c r="P361" s="1" t="s">
        <v>43</v>
      </c>
      <c r="Q361" s="1" t="s">
        <v>179</v>
      </c>
      <c r="R361" s="1" t="s">
        <v>1177</v>
      </c>
      <c r="S361" s="5">
        <v>4247</v>
      </c>
      <c r="T361" s="1" t="s">
        <v>41</v>
      </c>
      <c r="U361" s="12">
        <v>46313.72152777778</v>
      </c>
      <c r="V361" s="12">
        <v>46313.71875</v>
      </c>
      <c r="W361" s="7" t="s">
        <v>1178</v>
      </c>
      <c r="X361" s="5">
        <v>22411</v>
      </c>
      <c r="Y361" s="1"/>
      <c r="Z361" s="5">
        <v>0</v>
      </c>
      <c r="AA361" s="8">
        <v>0.71319444444444446</v>
      </c>
      <c r="AB361" s="5">
        <v>4</v>
      </c>
      <c r="AC361" s="1" t="s">
        <v>41</v>
      </c>
      <c r="AD361" s="9" t="str">
        <f t="shared" si="5"/>
        <v>Actual</v>
      </c>
      <c r="AE361" s="9" t="str">
        <f t="shared" si="6"/>
        <v>TMK7</v>
      </c>
      <c r="AF361" s="9">
        <f>HOUR(O361)</f>
        <v>17</v>
      </c>
      <c r="AG361" s="9">
        <f>DAY(O361)</f>
        <v>18</v>
      </c>
      <c r="AH361" s="9">
        <f>IFERROR((I361-K361)*24*60,0)</f>
        <v>0</v>
      </c>
      <c r="AI361" s="9">
        <f t="shared" si="7"/>
        <v>0</v>
      </c>
      <c r="AJ361" s="9">
        <f>C361</f>
        <v>1590</v>
      </c>
      <c r="AK361" s="9">
        <f>IF(P361="completed",((V361-K361)*24*60),0)</f>
        <v>4.0000000025611371</v>
      </c>
      <c r="AL361" s="9">
        <f>IF(P361="completed",((U361-K361)*24*60),0)</f>
        <v>8.0000000051222742</v>
      </c>
      <c r="AM361" s="9" t="str">
        <f t="shared" si="8"/>
        <v>OTP Achieved</v>
      </c>
      <c r="AN361" s="9" t="str">
        <f t="shared" si="9"/>
        <v>OTP Achieved</v>
      </c>
    </row>
    <row r="362" spans="1:40" ht="16">
      <c r="A362" s="3" t="s">
        <v>52</v>
      </c>
      <c r="B362" s="12">
        <v>46313.713194444441</v>
      </c>
      <c r="C362" s="5">
        <v>2978</v>
      </c>
      <c r="D362" s="1" t="s">
        <v>41</v>
      </c>
      <c r="E362" s="5">
        <v>7</v>
      </c>
      <c r="F362" s="1" t="s">
        <v>41</v>
      </c>
      <c r="G362" s="1" t="s">
        <v>41</v>
      </c>
      <c r="H362" s="1" t="s">
        <v>1179</v>
      </c>
      <c r="I362" s="12">
        <v>46313.714583333334</v>
      </c>
      <c r="J362" s="1" t="s">
        <v>41</v>
      </c>
      <c r="K362" s="12">
        <v>46313.713888888888</v>
      </c>
      <c r="L362" s="5">
        <v>39</v>
      </c>
      <c r="M362" s="1"/>
      <c r="N362" s="1"/>
      <c r="O362" s="12">
        <v>46313.713194444441</v>
      </c>
      <c r="P362" s="1" t="s">
        <v>43</v>
      </c>
      <c r="Q362" s="1" t="s">
        <v>54</v>
      </c>
      <c r="R362" s="1" t="s">
        <v>1180</v>
      </c>
      <c r="S362" s="5">
        <v>4247</v>
      </c>
      <c r="T362" s="1" t="s">
        <v>41</v>
      </c>
      <c r="U362" s="12">
        <v>46313.72152777778</v>
      </c>
      <c r="V362" s="12">
        <v>46313.71875</v>
      </c>
      <c r="W362" s="7" t="s">
        <v>1181</v>
      </c>
      <c r="X362" s="5">
        <v>22411</v>
      </c>
      <c r="Y362" s="4"/>
      <c r="Z362" s="5">
        <v>0</v>
      </c>
      <c r="AA362" s="8">
        <v>0.71319444444444446</v>
      </c>
      <c r="AB362" s="5">
        <v>7</v>
      </c>
      <c r="AC362" s="1" t="s">
        <v>41</v>
      </c>
      <c r="AD362" s="9" t="str">
        <f t="shared" si="5"/>
        <v>Actual</v>
      </c>
      <c r="AE362" s="9" t="str">
        <f t="shared" si="6"/>
        <v>TMK7</v>
      </c>
      <c r="AF362" s="9">
        <f>HOUR(O362)</f>
        <v>17</v>
      </c>
      <c r="AG362" s="9">
        <f>DAY(O362)</f>
        <v>18</v>
      </c>
      <c r="AH362" s="9">
        <f>IFERROR((I362-K362)*24*60,0)</f>
        <v>1.000000003259629</v>
      </c>
      <c r="AI362" s="9">
        <f t="shared" si="7"/>
        <v>1.000000003259629</v>
      </c>
      <c r="AJ362" s="9">
        <f>C362</f>
        <v>2978</v>
      </c>
      <c r="AK362" s="9">
        <f>IF(P362="completed",((V362-K362)*24*60),0)</f>
        <v>7.0000000018626451</v>
      </c>
      <c r="AL362" s="9">
        <f>IF(P362="completed",((U362-K362)*24*60),0)</f>
        <v>11.000000004423782</v>
      </c>
      <c r="AM362" s="9" t="str">
        <f t="shared" si="8"/>
        <v>OTP Achieved</v>
      </c>
      <c r="AN362" s="9" t="str">
        <f t="shared" si="9"/>
        <v>OTP Achieved</v>
      </c>
    </row>
    <row r="363" spans="1:40" ht="16">
      <c r="A363" s="3" t="s">
        <v>1077</v>
      </c>
      <c r="B363" s="12">
        <v>46313.713194444441</v>
      </c>
      <c r="C363" s="5">
        <v>825</v>
      </c>
      <c r="D363" s="1" t="s">
        <v>41</v>
      </c>
      <c r="E363" s="5">
        <v>3</v>
      </c>
      <c r="F363" s="1" t="s">
        <v>41</v>
      </c>
      <c r="G363" s="1" t="s">
        <v>41</v>
      </c>
      <c r="H363" s="1" t="s">
        <v>1182</v>
      </c>
      <c r="I363" s="12">
        <v>46313.713888888888</v>
      </c>
      <c r="J363" s="1" t="s">
        <v>41</v>
      </c>
      <c r="K363" s="12">
        <v>46313.713194444441</v>
      </c>
      <c r="L363" s="5">
        <v>17</v>
      </c>
      <c r="M363" s="1"/>
      <c r="N363" s="1"/>
      <c r="O363" s="12">
        <v>46313.712500000001</v>
      </c>
      <c r="P363" s="1" t="s">
        <v>43</v>
      </c>
      <c r="Q363" s="1" t="s">
        <v>1079</v>
      </c>
      <c r="R363" s="1" t="s">
        <v>1183</v>
      </c>
      <c r="S363" s="5">
        <v>4247</v>
      </c>
      <c r="T363" s="1" t="s">
        <v>41</v>
      </c>
      <c r="U363" s="12">
        <v>46313.71597222222</v>
      </c>
      <c r="V363" s="12">
        <v>46313.715277777781</v>
      </c>
      <c r="W363" s="7" t="s">
        <v>1184</v>
      </c>
      <c r="X363" s="5">
        <v>22411</v>
      </c>
      <c r="Y363" s="4"/>
      <c r="Z363" s="5">
        <v>0</v>
      </c>
      <c r="AA363" s="8">
        <v>0.71319444444444446</v>
      </c>
      <c r="AB363" s="5">
        <v>2</v>
      </c>
      <c r="AC363" s="1" t="s">
        <v>41</v>
      </c>
      <c r="AD363" s="9" t="str">
        <f t="shared" si="5"/>
        <v>Actual</v>
      </c>
      <c r="AE363" s="9" t="str">
        <f t="shared" si="6"/>
        <v>TMK7</v>
      </c>
      <c r="AF363" s="9">
        <f>HOUR(O363)</f>
        <v>17</v>
      </c>
      <c r="AG363" s="9">
        <f>DAY(O363)</f>
        <v>18</v>
      </c>
      <c r="AH363" s="9">
        <f>IFERROR((I363-K363)*24*60,0)</f>
        <v>1.000000003259629</v>
      </c>
      <c r="AI363" s="9">
        <f t="shared" si="7"/>
        <v>1.000000003259629</v>
      </c>
      <c r="AJ363" s="9">
        <f>C363</f>
        <v>825</v>
      </c>
      <c r="AK363" s="9">
        <f>IF(P363="completed",((V363-K363)*24*60),0)</f>
        <v>3.000000009778887</v>
      </c>
      <c r="AL363" s="9">
        <f>IF(P363="completed",((U363-K363)*24*60),0)</f>
        <v>4.0000000025611371</v>
      </c>
      <c r="AM363" s="9" t="str">
        <f t="shared" si="8"/>
        <v>OTP Achieved</v>
      </c>
      <c r="AN363" s="9" t="str">
        <f t="shared" si="9"/>
        <v>OTP Achieved</v>
      </c>
    </row>
    <row r="364" spans="1:40" ht="16">
      <c r="A364" s="3" t="s">
        <v>655</v>
      </c>
      <c r="B364" s="12">
        <v>46313.711111111108</v>
      </c>
      <c r="C364" s="5">
        <v>623</v>
      </c>
      <c r="D364" s="1" t="s">
        <v>41</v>
      </c>
      <c r="E364" s="5">
        <v>1</v>
      </c>
      <c r="F364" s="1" t="s">
        <v>41</v>
      </c>
      <c r="G364" s="1" t="s">
        <v>41</v>
      </c>
      <c r="H364" s="1" t="s">
        <v>1185</v>
      </c>
      <c r="I364" s="12">
        <v>46313.711805555555</v>
      </c>
      <c r="J364" s="1" t="s">
        <v>41</v>
      </c>
      <c r="K364" s="12">
        <v>46313.711805555555</v>
      </c>
      <c r="L364" s="5">
        <v>16</v>
      </c>
      <c r="M364" s="1"/>
      <c r="N364" s="1"/>
      <c r="O364" s="12">
        <v>46313.711111111108</v>
      </c>
      <c r="P364" s="1" t="s">
        <v>43</v>
      </c>
      <c r="Q364" s="1" t="s">
        <v>657</v>
      </c>
      <c r="R364" s="1" t="s">
        <v>1186</v>
      </c>
      <c r="S364" s="5">
        <v>4247</v>
      </c>
      <c r="T364" s="1" t="s">
        <v>41</v>
      </c>
      <c r="U364" s="12">
        <v>46313.713888888888</v>
      </c>
      <c r="V364" s="12">
        <v>46313.712500000001</v>
      </c>
      <c r="W364" s="7" t="s">
        <v>1187</v>
      </c>
      <c r="X364" s="5">
        <v>22411</v>
      </c>
      <c r="Y364" s="4"/>
      <c r="Z364" s="5">
        <v>0</v>
      </c>
      <c r="AA364" s="8">
        <v>0.71111111111111114</v>
      </c>
      <c r="AB364" s="5">
        <v>1</v>
      </c>
      <c r="AC364" s="1" t="s">
        <v>41</v>
      </c>
      <c r="AD364" s="9" t="str">
        <f t="shared" si="5"/>
        <v>Actual</v>
      </c>
      <c r="AE364" s="9" t="str">
        <f t="shared" si="6"/>
        <v>TMK7</v>
      </c>
      <c r="AF364" s="9">
        <f>HOUR(O364)</f>
        <v>17</v>
      </c>
      <c r="AG364" s="9">
        <f>DAY(O364)</f>
        <v>18</v>
      </c>
      <c r="AH364" s="9">
        <f>IFERROR((I364-K364)*24*60,0)</f>
        <v>0</v>
      </c>
      <c r="AI364" s="9">
        <f t="shared" si="7"/>
        <v>0</v>
      </c>
      <c r="AJ364" s="9">
        <f>C364</f>
        <v>623</v>
      </c>
      <c r="AK364" s="9">
        <f>IF(P364="completed",((V364-K364)*24*60),0)</f>
        <v>1.000000003259629</v>
      </c>
      <c r="AL364" s="9">
        <f>IF(P364="completed",((U364-K364)*24*60),0)</f>
        <v>2.9999999993015081</v>
      </c>
      <c r="AM364" s="9" t="str">
        <f t="shared" si="8"/>
        <v>OTP Achieved</v>
      </c>
      <c r="AN364" s="9" t="str">
        <f t="shared" si="9"/>
        <v>OTP Achieved</v>
      </c>
    </row>
    <row r="365" spans="1:40" ht="16">
      <c r="A365" s="3" t="s">
        <v>198</v>
      </c>
      <c r="B365" s="12">
        <v>46313.709722222222</v>
      </c>
      <c r="C365" s="5">
        <v>2423</v>
      </c>
      <c r="D365" s="1" t="s">
        <v>41</v>
      </c>
      <c r="E365" s="5">
        <v>8</v>
      </c>
      <c r="F365" s="1" t="s">
        <v>41</v>
      </c>
      <c r="G365" s="1" t="s">
        <v>41</v>
      </c>
      <c r="H365" s="1" t="s">
        <v>1188</v>
      </c>
      <c r="I365" s="12">
        <v>46313.710416666669</v>
      </c>
      <c r="J365" s="1" t="s">
        <v>41</v>
      </c>
      <c r="K365" s="12">
        <v>46313.709722222222</v>
      </c>
      <c r="L365" s="5">
        <v>25</v>
      </c>
      <c r="M365" s="1"/>
      <c r="N365" s="1"/>
      <c r="O365" s="12">
        <v>46313.709027777775</v>
      </c>
      <c r="P365" s="1" t="s">
        <v>43</v>
      </c>
      <c r="Q365" s="1" t="s">
        <v>200</v>
      </c>
      <c r="R365" s="1" t="s">
        <v>1189</v>
      </c>
      <c r="S365" s="5">
        <v>4247</v>
      </c>
      <c r="T365" s="1" t="s">
        <v>41</v>
      </c>
      <c r="U365" s="12">
        <v>46313.71597222222</v>
      </c>
      <c r="V365" s="12">
        <v>46313.715277777781</v>
      </c>
      <c r="W365" s="7" t="s">
        <v>1190</v>
      </c>
      <c r="X365" s="5">
        <v>22411</v>
      </c>
      <c r="Y365" s="4"/>
      <c r="Z365" s="5">
        <v>0</v>
      </c>
      <c r="AA365" s="8">
        <v>0.70972222222222225</v>
      </c>
      <c r="AB365" s="5">
        <v>7</v>
      </c>
      <c r="AC365" s="1" t="s">
        <v>41</v>
      </c>
      <c r="AD365" s="9" t="str">
        <f t="shared" si="5"/>
        <v>Actual</v>
      </c>
      <c r="AE365" s="9" t="str">
        <f t="shared" si="6"/>
        <v>TMK7</v>
      </c>
      <c r="AF365" s="9">
        <f>HOUR(O365)</f>
        <v>17</v>
      </c>
      <c r="AG365" s="9">
        <f>DAY(O365)</f>
        <v>18</v>
      </c>
      <c r="AH365" s="9">
        <f>IFERROR((I365-K365)*24*60,0)</f>
        <v>1.000000003259629</v>
      </c>
      <c r="AI365" s="9">
        <f t="shared" si="7"/>
        <v>1.000000003259629</v>
      </c>
      <c r="AJ365" s="9">
        <f>C365</f>
        <v>2423</v>
      </c>
      <c r="AK365" s="9">
        <f>IF(P365="completed",((V365-K365)*24*60),0)</f>
        <v>8.0000000051222742</v>
      </c>
      <c r="AL365" s="9">
        <f>IF(P365="completed",((U365-K365)*24*60),0)</f>
        <v>8.9999999979045242</v>
      </c>
      <c r="AM365" s="9" t="str">
        <f t="shared" si="8"/>
        <v>OTP Achieved</v>
      </c>
      <c r="AN365" s="9" t="str">
        <f t="shared" si="9"/>
        <v>OTP Achieved</v>
      </c>
    </row>
    <row r="366" spans="1:40" ht="16">
      <c r="A366" s="3" t="s">
        <v>1136</v>
      </c>
      <c r="B366" s="12">
        <v>46313.709027777775</v>
      </c>
      <c r="C366" s="5">
        <v>1890</v>
      </c>
      <c r="D366" s="1" t="s">
        <v>41</v>
      </c>
      <c r="E366" s="5">
        <v>6</v>
      </c>
      <c r="F366" s="1" t="s">
        <v>41</v>
      </c>
      <c r="G366" s="1" t="s">
        <v>41</v>
      </c>
      <c r="H366" s="1" t="s">
        <v>1191</v>
      </c>
      <c r="I366" s="12">
        <v>46313.710416666669</v>
      </c>
      <c r="J366" s="1" t="s">
        <v>41</v>
      </c>
      <c r="K366" s="12">
        <v>46313.709722222222</v>
      </c>
      <c r="L366" s="5">
        <v>27</v>
      </c>
      <c r="M366" s="1"/>
      <c r="N366" s="1"/>
      <c r="O366" s="12">
        <v>46313.709027777775</v>
      </c>
      <c r="P366" s="1" t="s">
        <v>43</v>
      </c>
      <c r="Q366" s="1" t="s">
        <v>1138</v>
      </c>
      <c r="R366" s="1" t="s">
        <v>1192</v>
      </c>
      <c r="S366" s="5">
        <v>4247</v>
      </c>
      <c r="T366" s="1" t="s">
        <v>41</v>
      </c>
      <c r="U366" s="12">
        <v>46313.714583333334</v>
      </c>
      <c r="V366" s="12">
        <v>46313.713888888888</v>
      </c>
      <c r="W366" s="7" t="s">
        <v>1193</v>
      </c>
      <c r="X366" s="5">
        <v>22411</v>
      </c>
      <c r="Y366" s="4"/>
      <c r="Z366" s="5">
        <v>0</v>
      </c>
      <c r="AA366" s="8">
        <v>0.70902777777777781</v>
      </c>
      <c r="AB366" s="5">
        <v>6</v>
      </c>
      <c r="AC366" s="1" t="s">
        <v>41</v>
      </c>
      <c r="AD366" s="9" t="str">
        <f t="shared" si="5"/>
        <v>Actual</v>
      </c>
      <c r="AE366" s="9" t="str">
        <f t="shared" si="6"/>
        <v>TMK7</v>
      </c>
      <c r="AF366" s="9">
        <f>HOUR(O366)</f>
        <v>17</v>
      </c>
      <c r="AG366" s="9">
        <f>DAY(O366)</f>
        <v>18</v>
      </c>
      <c r="AH366" s="9">
        <f>IFERROR((I366-K366)*24*60,0)</f>
        <v>1.000000003259629</v>
      </c>
      <c r="AI366" s="9">
        <f t="shared" si="7"/>
        <v>1.000000003259629</v>
      </c>
      <c r="AJ366" s="9">
        <f>C366</f>
        <v>1890</v>
      </c>
      <c r="AK366" s="9">
        <f>IF(P366="completed",((V366-K366)*24*60),0)</f>
        <v>5.9999999986030161</v>
      </c>
      <c r="AL366" s="9">
        <f>IF(P366="completed",((U366-K366)*24*60),0)</f>
        <v>7.0000000018626451</v>
      </c>
      <c r="AM366" s="9" t="str">
        <f t="shared" si="8"/>
        <v>OTP Achieved</v>
      </c>
      <c r="AN366" s="9" t="str">
        <f t="shared" si="9"/>
        <v>OTP Achieved</v>
      </c>
    </row>
    <row r="367" spans="1:40" ht="16">
      <c r="A367" s="3" t="s">
        <v>72</v>
      </c>
      <c r="B367" s="12">
        <v>46313.708333333336</v>
      </c>
      <c r="C367" s="5">
        <v>3985</v>
      </c>
      <c r="D367" s="1" t="s">
        <v>41</v>
      </c>
      <c r="E367" s="5">
        <v>10</v>
      </c>
      <c r="F367" s="1" t="s">
        <v>41</v>
      </c>
      <c r="G367" s="1" t="s">
        <v>41</v>
      </c>
      <c r="H367" s="1" t="s">
        <v>1194</v>
      </c>
      <c r="I367" s="12">
        <v>46313.709027777775</v>
      </c>
      <c r="J367" s="1" t="s">
        <v>41</v>
      </c>
      <c r="K367" s="12">
        <v>46313.709027777775</v>
      </c>
      <c r="L367" s="5">
        <v>18</v>
      </c>
      <c r="M367" s="1"/>
      <c r="N367" s="1"/>
      <c r="O367" s="12">
        <v>46313.708333333336</v>
      </c>
      <c r="P367" s="1" t="s">
        <v>43</v>
      </c>
      <c r="Q367" s="1" t="s">
        <v>74</v>
      </c>
      <c r="R367" s="1" t="s">
        <v>1195</v>
      </c>
      <c r="S367" s="5">
        <v>4247</v>
      </c>
      <c r="T367" s="1" t="s">
        <v>41</v>
      </c>
      <c r="U367" s="12">
        <v>46313.71875</v>
      </c>
      <c r="V367" s="12">
        <v>46313.71597222222</v>
      </c>
      <c r="W367" s="7" t="s">
        <v>1196</v>
      </c>
      <c r="X367" s="5">
        <v>22411</v>
      </c>
      <c r="Y367" s="4"/>
      <c r="Z367" s="5">
        <v>0</v>
      </c>
      <c r="AA367" s="8">
        <v>0.70833333333333337</v>
      </c>
      <c r="AB367" s="5">
        <v>9</v>
      </c>
      <c r="AC367" s="1" t="s">
        <v>41</v>
      </c>
      <c r="AD367" s="9" t="str">
        <f t="shared" si="5"/>
        <v>Actual</v>
      </c>
      <c r="AE367" s="9" t="str">
        <f t="shared" si="6"/>
        <v>TMK7</v>
      </c>
      <c r="AF367" s="9">
        <f>HOUR(O367)</f>
        <v>17</v>
      </c>
      <c r="AG367" s="9">
        <f>DAY(O367)</f>
        <v>18</v>
      </c>
      <c r="AH367" s="9">
        <f>IFERROR((I367-K367)*24*60,0)</f>
        <v>0</v>
      </c>
      <c r="AI367" s="9">
        <f t="shared" si="7"/>
        <v>0</v>
      </c>
      <c r="AJ367" s="9">
        <f>C367</f>
        <v>3985</v>
      </c>
      <c r="AK367" s="9">
        <f>IF(P367="completed",((V367-K367)*24*60),0)</f>
        <v>10.000000001164153</v>
      </c>
      <c r="AL367" s="9">
        <f>IF(P367="completed",((U367-K367)*24*60),0)</f>
        <v>14.00000000372529</v>
      </c>
      <c r="AM367" s="9" t="str">
        <f t="shared" si="8"/>
        <v>OTP Achieved</v>
      </c>
      <c r="AN367" s="9" t="str">
        <f t="shared" si="9"/>
        <v>OTP Achieved</v>
      </c>
    </row>
    <row r="368" spans="1:40" ht="16">
      <c r="A368" s="3" t="s">
        <v>106</v>
      </c>
      <c r="B368" s="12">
        <v>46313.708333333336</v>
      </c>
      <c r="C368" s="5">
        <v>705</v>
      </c>
      <c r="D368" s="1" t="s">
        <v>41</v>
      </c>
      <c r="E368" s="5">
        <v>3</v>
      </c>
      <c r="F368" s="1" t="s">
        <v>41</v>
      </c>
      <c r="G368" s="1" t="s">
        <v>41</v>
      </c>
      <c r="H368" s="1" t="s">
        <v>1197</v>
      </c>
      <c r="I368" s="12">
        <v>46313.709027777775</v>
      </c>
      <c r="J368" s="1" t="s">
        <v>41</v>
      </c>
      <c r="K368" s="12">
        <v>46313.709027777775</v>
      </c>
      <c r="L368" s="5">
        <v>48</v>
      </c>
      <c r="M368" s="1"/>
      <c r="N368" s="1"/>
      <c r="O368" s="12">
        <v>46313.708333333336</v>
      </c>
      <c r="P368" s="1" t="s">
        <v>43</v>
      </c>
      <c r="Q368" s="1" t="s">
        <v>108</v>
      </c>
      <c r="R368" s="1" t="s">
        <v>1198</v>
      </c>
      <c r="S368" s="5">
        <v>4247</v>
      </c>
      <c r="T368" s="1" t="s">
        <v>41</v>
      </c>
      <c r="U368" s="12">
        <v>46313.711805555555</v>
      </c>
      <c r="V368" s="12">
        <v>46313.711111111108</v>
      </c>
      <c r="W368" s="7" t="s">
        <v>1199</v>
      </c>
      <c r="X368" s="5">
        <v>22411</v>
      </c>
      <c r="Y368" s="4"/>
      <c r="Z368" s="5">
        <v>0</v>
      </c>
      <c r="AA368" s="8">
        <v>0.70833333333333337</v>
      </c>
      <c r="AB368" s="5">
        <v>2</v>
      </c>
      <c r="AC368" s="1" t="s">
        <v>41</v>
      </c>
      <c r="AD368" s="9" t="str">
        <f t="shared" si="5"/>
        <v>Actual</v>
      </c>
      <c r="AE368" s="9" t="str">
        <f t="shared" si="6"/>
        <v>TMK7</v>
      </c>
      <c r="AF368" s="9">
        <f>HOUR(O368)</f>
        <v>17</v>
      </c>
      <c r="AG368" s="9">
        <f>DAY(O368)</f>
        <v>18</v>
      </c>
      <c r="AH368" s="9">
        <f>IFERROR((I368-K368)*24*60,0)</f>
        <v>0</v>
      </c>
      <c r="AI368" s="9">
        <f t="shared" si="7"/>
        <v>0</v>
      </c>
      <c r="AJ368" s="9">
        <f>C368</f>
        <v>705</v>
      </c>
      <c r="AK368" s="9">
        <f>IF(P368="completed",((V368-K368)*24*60),0)</f>
        <v>2.9999999993015081</v>
      </c>
      <c r="AL368" s="9">
        <f>IF(P368="completed",((U368-K368)*24*60),0)</f>
        <v>4.0000000025611371</v>
      </c>
      <c r="AM368" s="9" t="str">
        <f t="shared" si="8"/>
        <v>OTP Achieved</v>
      </c>
      <c r="AN368" s="9" t="str">
        <f t="shared" si="9"/>
        <v>OTP Achieved</v>
      </c>
    </row>
    <row r="369" spans="1:40" ht="16">
      <c r="A369" s="3" t="s">
        <v>347</v>
      </c>
      <c r="B369" s="12">
        <v>46313.708333333336</v>
      </c>
      <c r="C369" s="5">
        <v>1067</v>
      </c>
      <c r="D369" s="1" t="s">
        <v>41</v>
      </c>
      <c r="E369" s="5">
        <v>5</v>
      </c>
      <c r="F369" s="1" t="s">
        <v>41</v>
      </c>
      <c r="G369" s="1" t="s">
        <v>41</v>
      </c>
      <c r="H369" s="1" t="s">
        <v>1200</v>
      </c>
      <c r="I369" s="12">
        <v>46313.709722222222</v>
      </c>
      <c r="J369" s="1" t="s">
        <v>41</v>
      </c>
      <c r="K369" s="12">
        <v>46313.709027777775</v>
      </c>
      <c r="L369" s="5">
        <v>25</v>
      </c>
      <c r="M369" s="1"/>
      <c r="N369" s="1"/>
      <c r="O369" s="12">
        <v>46313.707638888889</v>
      </c>
      <c r="P369" s="1" t="s">
        <v>43</v>
      </c>
      <c r="Q369" s="1" t="s">
        <v>349</v>
      </c>
      <c r="R369" s="1" t="s">
        <v>1201</v>
      </c>
      <c r="S369" s="5">
        <v>4247</v>
      </c>
      <c r="T369" s="1" t="s">
        <v>41</v>
      </c>
      <c r="U369" s="12">
        <v>46313.712500000001</v>
      </c>
      <c r="V369" s="12">
        <v>46313.712500000001</v>
      </c>
      <c r="W369" s="7" t="s">
        <v>1202</v>
      </c>
      <c r="X369" s="5">
        <v>22411</v>
      </c>
      <c r="Y369" s="4"/>
      <c r="Z369" s="5">
        <v>0</v>
      </c>
      <c r="AA369" s="8">
        <v>0.70833333333333337</v>
      </c>
      <c r="AB369" s="5">
        <v>5</v>
      </c>
      <c r="AC369" s="1" t="s">
        <v>41</v>
      </c>
      <c r="AD369" s="9" t="str">
        <f t="shared" si="5"/>
        <v>Actual</v>
      </c>
      <c r="AE369" s="9" t="str">
        <f t="shared" si="6"/>
        <v>TMK7</v>
      </c>
      <c r="AF369" s="9">
        <f>HOUR(O369)</f>
        <v>16</v>
      </c>
      <c r="AG369" s="9">
        <f>DAY(O369)</f>
        <v>18</v>
      </c>
      <c r="AH369" s="9">
        <f>IFERROR((I369-K369)*24*60,0)</f>
        <v>1.000000003259629</v>
      </c>
      <c r="AI369" s="9">
        <f t="shared" si="7"/>
        <v>1.000000003259629</v>
      </c>
      <c r="AJ369" s="9">
        <f>C369</f>
        <v>1067</v>
      </c>
      <c r="AK369" s="9">
        <f>IF(P369="completed",((V369-K369)*24*60),0)</f>
        <v>5.0000000058207661</v>
      </c>
      <c r="AL369" s="9">
        <f>IF(P369="completed",((U369-K369)*24*60),0)</f>
        <v>5.0000000058207661</v>
      </c>
      <c r="AM369" s="9" t="str">
        <f t="shared" si="8"/>
        <v>OTP Breached</v>
      </c>
      <c r="AN369" s="9" t="str">
        <f t="shared" si="9"/>
        <v>OTP Achieved</v>
      </c>
    </row>
    <row r="370" spans="1:40" ht="16">
      <c r="A370" s="3" t="s">
        <v>98</v>
      </c>
      <c r="B370" s="12">
        <v>46313.707638888889</v>
      </c>
      <c r="C370" s="5">
        <v>1956</v>
      </c>
      <c r="D370" s="1" t="s">
        <v>41</v>
      </c>
      <c r="E370" s="5">
        <v>4</v>
      </c>
      <c r="F370" s="1" t="s">
        <v>41</v>
      </c>
      <c r="G370" s="1" t="s">
        <v>41</v>
      </c>
      <c r="H370" s="1" t="s">
        <v>1203</v>
      </c>
      <c r="I370" s="12">
        <v>46313.709027777775</v>
      </c>
      <c r="J370" s="1" t="s">
        <v>41</v>
      </c>
      <c r="K370" s="12">
        <v>46313.708333333336</v>
      </c>
      <c r="L370" s="5">
        <v>28</v>
      </c>
      <c r="M370" s="1"/>
      <c r="N370" s="1"/>
      <c r="O370" s="12">
        <v>46313.707638888889</v>
      </c>
      <c r="P370" s="1" t="s">
        <v>43</v>
      </c>
      <c r="Q370" s="1" t="s">
        <v>100</v>
      </c>
      <c r="R370" s="1" t="s">
        <v>1204</v>
      </c>
      <c r="S370" s="5">
        <v>4247</v>
      </c>
      <c r="T370" s="1" t="s">
        <v>41</v>
      </c>
      <c r="U370" s="12">
        <v>46313.713888888888</v>
      </c>
      <c r="V370" s="12">
        <v>46313.711805555555</v>
      </c>
      <c r="W370" s="7" t="s">
        <v>1205</v>
      </c>
      <c r="X370" s="5">
        <v>22411</v>
      </c>
      <c r="Y370" s="4"/>
      <c r="Z370" s="5">
        <v>0</v>
      </c>
      <c r="AA370" s="8">
        <v>0.70763888888888893</v>
      </c>
      <c r="AB370" s="5">
        <v>4</v>
      </c>
      <c r="AC370" s="1" t="s">
        <v>41</v>
      </c>
      <c r="AD370" s="9" t="str">
        <f t="shared" si="5"/>
        <v>Actual</v>
      </c>
      <c r="AE370" s="9" t="str">
        <f t="shared" si="6"/>
        <v>TMK7</v>
      </c>
      <c r="AF370" s="9">
        <f>HOUR(O370)</f>
        <v>16</v>
      </c>
      <c r="AG370" s="9">
        <f>DAY(O370)</f>
        <v>18</v>
      </c>
      <c r="AH370" s="9">
        <f>IFERROR((I370-K370)*24*60,0)</f>
        <v>0.99999999278225005</v>
      </c>
      <c r="AI370" s="9">
        <f t="shared" si="7"/>
        <v>0.99999999278225005</v>
      </c>
      <c r="AJ370" s="9">
        <f>C370</f>
        <v>1956</v>
      </c>
      <c r="AK370" s="9">
        <f>IF(P370="completed",((V370-K370)*24*60),0)</f>
        <v>4.9999999953433871</v>
      </c>
      <c r="AL370" s="9">
        <f>IF(P370="completed",((U370-K370)*24*60),0)</f>
        <v>7.9999999946448952</v>
      </c>
      <c r="AM370" s="9" t="str">
        <f t="shared" si="8"/>
        <v>OTP Achieved</v>
      </c>
      <c r="AN370" s="9" t="str">
        <f t="shared" si="9"/>
        <v>OTP Achieved</v>
      </c>
    </row>
    <row r="371" spans="1:40" ht="16">
      <c r="A371" s="3" t="s">
        <v>62</v>
      </c>
      <c r="B371" s="12">
        <v>46313.705555555556</v>
      </c>
      <c r="C371" s="5">
        <v>2231</v>
      </c>
      <c r="D371" s="1" t="s">
        <v>41</v>
      </c>
      <c r="E371" s="5">
        <v>7</v>
      </c>
      <c r="F371" s="1" t="s">
        <v>41</v>
      </c>
      <c r="G371" s="1" t="s">
        <v>41</v>
      </c>
      <c r="H371" s="1" t="s">
        <v>1206</v>
      </c>
      <c r="I371" s="12">
        <v>46313.706250000003</v>
      </c>
      <c r="J371" s="1" t="s">
        <v>41</v>
      </c>
      <c r="K371" s="12">
        <v>46313.705555555556</v>
      </c>
      <c r="L371" s="5">
        <v>43</v>
      </c>
      <c r="M371" s="1"/>
      <c r="N371" s="1"/>
      <c r="O371" s="12">
        <v>46313.704861111109</v>
      </c>
      <c r="P371" s="1" t="s">
        <v>43</v>
      </c>
      <c r="Q371" s="1" t="s">
        <v>64</v>
      </c>
      <c r="R371" s="1" t="s">
        <v>1207</v>
      </c>
      <c r="S371" s="5">
        <v>4247</v>
      </c>
      <c r="T371" s="1" t="s">
        <v>41</v>
      </c>
      <c r="U371" s="12">
        <v>46313.711805555555</v>
      </c>
      <c r="V371" s="12">
        <v>46313.710416666669</v>
      </c>
      <c r="W371" s="7" t="s">
        <v>1208</v>
      </c>
      <c r="X371" s="5">
        <v>22411</v>
      </c>
      <c r="Y371" s="4"/>
      <c r="Z371" s="5">
        <v>0</v>
      </c>
      <c r="AA371" s="8">
        <v>0.7055555555555556</v>
      </c>
      <c r="AB371" s="5">
        <v>6</v>
      </c>
      <c r="AC371" s="1" t="s">
        <v>41</v>
      </c>
      <c r="AD371" s="9" t="str">
        <f t="shared" si="5"/>
        <v>Actual</v>
      </c>
      <c r="AE371" s="9" t="str">
        <f t="shared" si="6"/>
        <v>TMK7</v>
      </c>
      <c r="AF371" s="9">
        <f>HOUR(O371)</f>
        <v>16</v>
      </c>
      <c r="AG371" s="9">
        <f>DAY(O371)</f>
        <v>18</v>
      </c>
      <c r="AH371" s="9">
        <f>IFERROR((I371-K371)*24*60,0)</f>
        <v>1.000000003259629</v>
      </c>
      <c r="AI371" s="9">
        <f t="shared" si="7"/>
        <v>1.000000003259629</v>
      </c>
      <c r="AJ371" s="9">
        <f>C371</f>
        <v>2231</v>
      </c>
      <c r="AK371" s="9">
        <f>IF(P371="completed",((V371-K371)*24*60),0)</f>
        <v>7.0000000018626451</v>
      </c>
      <c r="AL371" s="9">
        <f>IF(P371="completed",((U371-K371)*24*60),0)</f>
        <v>8.9999999979045242</v>
      </c>
      <c r="AM371" s="9" t="str">
        <f t="shared" si="8"/>
        <v>OTP Achieved</v>
      </c>
      <c r="AN371" s="9" t="str">
        <f t="shared" si="9"/>
        <v>OTP Achieved</v>
      </c>
    </row>
    <row r="372" spans="1:40" ht="16">
      <c r="A372" s="3" t="s">
        <v>77</v>
      </c>
      <c r="B372" s="12">
        <v>46313.703472222223</v>
      </c>
      <c r="C372" s="5">
        <v>853</v>
      </c>
      <c r="D372" s="1" t="s">
        <v>41</v>
      </c>
      <c r="E372" s="5">
        <v>3</v>
      </c>
      <c r="F372" s="1" t="s">
        <v>41</v>
      </c>
      <c r="G372" s="1" t="s">
        <v>41</v>
      </c>
      <c r="H372" s="1" t="s">
        <v>1209</v>
      </c>
      <c r="I372" s="12">
        <v>46313.704861111109</v>
      </c>
      <c r="J372" s="1" t="s">
        <v>41</v>
      </c>
      <c r="K372" s="12">
        <v>46313.70416666667</v>
      </c>
      <c r="L372" s="5">
        <v>27</v>
      </c>
      <c r="M372" s="1"/>
      <c r="N372" s="1"/>
      <c r="O372" s="12">
        <v>46313.703472222223</v>
      </c>
      <c r="P372" s="1" t="s">
        <v>43</v>
      </c>
      <c r="Q372" s="1" t="s">
        <v>79</v>
      </c>
      <c r="R372" s="1" t="s">
        <v>1210</v>
      </c>
      <c r="S372" s="5">
        <v>4247</v>
      </c>
      <c r="T372" s="1" t="s">
        <v>41</v>
      </c>
      <c r="U372" s="12">
        <v>46313.706944444442</v>
      </c>
      <c r="V372" s="12">
        <v>46313.706250000003</v>
      </c>
      <c r="W372" s="7" t="s">
        <v>1211</v>
      </c>
      <c r="X372" s="5">
        <v>22411</v>
      </c>
      <c r="Y372" s="4"/>
      <c r="Z372" s="5">
        <v>0</v>
      </c>
      <c r="AA372" s="8">
        <v>0.70347222222222228</v>
      </c>
      <c r="AB372" s="5">
        <v>2</v>
      </c>
      <c r="AC372" s="1" t="s">
        <v>41</v>
      </c>
      <c r="AD372" s="9" t="str">
        <f t="shared" si="5"/>
        <v>Actual</v>
      </c>
      <c r="AE372" s="9" t="str">
        <f t="shared" si="6"/>
        <v>TMK7</v>
      </c>
      <c r="AF372" s="9">
        <f>HOUR(O372)</f>
        <v>16</v>
      </c>
      <c r="AG372" s="9">
        <f>DAY(O372)</f>
        <v>18</v>
      </c>
      <c r="AH372" s="9">
        <f>IFERROR((I372-K372)*24*60,0)</f>
        <v>0.99999999278225005</v>
      </c>
      <c r="AI372" s="9">
        <f t="shared" si="7"/>
        <v>0.99999999278225005</v>
      </c>
      <c r="AJ372" s="9">
        <f>C372</f>
        <v>853</v>
      </c>
      <c r="AK372" s="9">
        <f>IF(P372="completed",((V372-K372)*24*60),0)</f>
        <v>2.9999999993015081</v>
      </c>
      <c r="AL372" s="9">
        <f>IF(P372="completed",((U372-K372)*24*60),0)</f>
        <v>3.9999999920837581</v>
      </c>
      <c r="AM372" s="9" t="str">
        <f t="shared" si="8"/>
        <v>OTP Achieved</v>
      </c>
      <c r="AN372" s="9" t="str">
        <f t="shared" si="9"/>
        <v>OTP Achieved</v>
      </c>
    </row>
    <row r="373" spans="1:40" ht="16">
      <c r="A373" s="3" t="s">
        <v>57</v>
      </c>
      <c r="B373" s="12">
        <v>46313.703472222223</v>
      </c>
      <c r="C373" s="5">
        <v>1858</v>
      </c>
      <c r="D373" s="1" t="s">
        <v>41</v>
      </c>
      <c r="E373" s="5">
        <v>5</v>
      </c>
      <c r="F373" s="1" t="s">
        <v>41</v>
      </c>
      <c r="G373" s="1" t="s">
        <v>41</v>
      </c>
      <c r="H373" s="1" t="s">
        <v>1212</v>
      </c>
      <c r="I373" s="12">
        <v>46313.704861111109</v>
      </c>
      <c r="J373" s="1" t="s">
        <v>41</v>
      </c>
      <c r="K373" s="12">
        <v>46313.704861111109</v>
      </c>
      <c r="L373" s="5">
        <v>21</v>
      </c>
      <c r="M373" s="1"/>
      <c r="N373" s="1"/>
      <c r="O373" s="12">
        <v>46313.702777777777</v>
      </c>
      <c r="P373" s="1" t="s">
        <v>43</v>
      </c>
      <c r="Q373" s="1" t="s">
        <v>59</v>
      </c>
      <c r="R373" s="1" t="s">
        <v>1213</v>
      </c>
      <c r="S373" s="5">
        <v>4247</v>
      </c>
      <c r="T373" s="1" t="s">
        <v>41</v>
      </c>
      <c r="U373" s="12">
        <v>46313.709027777775</v>
      </c>
      <c r="V373" s="12">
        <v>46313.708333333336</v>
      </c>
      <c r="W373" s="7" t="s">
        <v>1214</v>
      </c>
      <c r="X373" s="5">
        <v>22411</v>
      </c>
      <c r="Y373" s="4"/>
      <c r="Z373" s="5">
        <v>0</v>
      </c>
      <c r="AA373" s="8">
        <v>0.70347222222222228</v>
      </c>
      <c r="AB373" s="5">
        <v>5</v>
      </c>
      <c r="AC373" s="1" t="s">
        <v>41</v>
      </c>
      <c r="AD373" s="9" t="str">
        <f t="shared" si="5"/>
        <v>Actual</v>
      </c>
      <c r="AE373" s="9" t="str">
        <f t="shared" si="6"/>
        <v>TMK7</v>
      </c>
      <c r="AF373" s="9">
        <f>HOUR(O373)</f>
        <v>16</v>
      </c>
      <c r="AG373" s="9">
        <f>DAY(O373)</f>
        <v>18</v>
      </c>
      <c r="AH373" s="9">
        <f>IFERROR((I373-K373)*24*60,0)</f>
        <v>0</v>
      </c>
      <c r="AI373" s="9">
        <f t="shared" si="7"/>
        <v>0</v>
      </c>
      <c r="AJ373" s="9">
        <f>C373</f>
        <v>1858</v>
      </c>
      <c r="AK373" s="9">
        <f>IF(P373="completed",((V373-K373)*24*60),0)</f>
        <v>5.0000000058207661</v>
      </c>
      <c r="AL373" s="9">
        <f>IF(P373="completed",((U373-K373)*24*60),0)</f>
        <v>5.9999999986030161</v>
      </c>
      <c r="AM373" s="9" t="str">
        <f t="shared" si="8"/>
        <v>OTP Achieved</v>
      </c>
      <c r="AN373" s="9" t="str">
        <f t="shared" si="9"/>
        <v>OTP Achieved</v>
      </c>
    </row>
    <row r="374" spans="1:40" ht="16">
      <c r="A374" s="3" t="s">
        <v>734</v>
      </c>
      <c r="B374" s="12">
        <v>46313.70208333333</v>
      </c>
      <c r="C374" s="5">
        <v>1994</v>
      </c>
      <c r="D374" s="1" t="s">
        <v>41</v>
      </c>
      <c r="E374" s="5">
        <v>5</v>
      </c>
      <c r="F374" s="1" t="s">
        <v>41</v>
      </c>
      <c r="G374" s="1" t="s">
        <v>41</v>
      </c>
      <c r="H374" s="1" t="s">
        <v>1215</v>
      </c>
      <c r="I374" s="12">
        <v>46313.703472222223</v>
      </c>
      <c r="J374" s="1" t="s">
        <v>41</v>
      </c>
      <c r="K374" s="12">
        <v>46313.703472222223</v>
      </c>
      <c r="L374" s="5">
        <v>21</v>
      </c>
      <c r="M374" s="1"/>
      <c r="N374" s="1"/>
      <c r="O374" s="12">
        <v>46313.70208333333</v>
      </c>
      <c r="P374" s="1" t="s">
        <v>43</v>
      </c>
      <c r="Q374" s="1" t="s">
        <v>736</v>
      </c>
      <c r="R374" s="1" t="s">
        <v>1216</v>
      </c>
      <c r="S374" s="5">
        <v>4247</v>
      </c>
      <c r="T374" s="1" t="s">
        <v>41</v>
      </c>
      <c r="U374" s="12">
        <v>46313.708333333336</v>
      </c>
      <c r="V374" s="12">
        <v>46313.706944444442</v>
      </c>
      <c r="W374" s="7" t="s">
        <v>1217</v>
      </c>
      <c r="X374" s="5">
        <v>22411</v>
      </c>
      <c r="Y374" s="4"/>
      <c r="Z374" s="5">
        <v>0</v>
      </c>
      <c r="AA374" s="8">
        <v>0.70208333333333328</v>
      </c>
      <c r="AB374" s="5">
        <v>4</v>
      </c>
      <c r="AC374" s="1" t="s">
        <v>41</v>
      </c>
      <c r="AD374" s="9" t="str">
        <f t="shared" si="5"/>
        <v>Actual</v>
      </c>
      <c r="AE374" s="9" t="str">
        <f t="shared" si="6"/>
        <v>TMK7</v>
      </c>
      <c r="AF374" s="9">
        <f>HOUR(O374)</f>
        <v>16</v>
      </c>
      <c r="AG374" s="9">
        <f>DAY(O374)</f>
        <v>18</v>
      </c>
      <c r="AH374" s="9">
        <f>IFERROR((I374-K374)*24*60,0)</f>
        <v>0</v>
      </c>
      <c r="AI374" s="9">
        <f t="shared" si="7"/>
        <v>0</v>
      </c>
      <c r="AJ374" s="9">
        <f>C374</f>
        <v>1994</v>
      </c>
      <c r="AK374" s="9">
        <f>IF(P374="completed",((V374-K374)*24*60),0)</f>
        <v>4.9999999953433871</v>
      </c>
      <c r="AL374" s="9">
        <f>IF(P374="completed",((U374-K374)*24*60),0)</f>
        <v>7.0000000018626451</v>
      </c>
      <c r="AM374" s="9" t="str">
        <f t="shared" si="8"/>
        <v>OTP Achieved</v>
      </c>
      <c r="AN374" s="9" t="str">
        <f t="shared" si="9"/>
        <v>OTP Achieved</v>
      </c>
    </row>
    <row r="375" spans="1:40" ht="16">
      <c r="A375" s="3" t="s">
        <v>339</v>
      </c>
      <c r="B375" s="12">
        <v>46313.700694444444</v>
      </c>
      <c r="C375" s="5">
        <v>2169</v>
      </c>
      <c r="D375" s="1" t="s">
        <v>41</v>
      </c>
      <c r="E375" s="5">
        <v>9</v>
      </c>
      <c r="F375" s="1" t="s">
        <v>41</v>
      </c>
      <c r="G375" s="1" t="s">
        <v>41</v>
      </c>
      <c r="H375" s="1" t="s">
        <v>1218</v>
      </c>
      <c r="I375" s="12">
        <v>46313.701388888891</v>
      </c>
      <c r="J375" s="1" t="s">
        <v>41</v>
      </c>
      <c r="K375" s="12">
        <v>46313.700694444444</v>
      </c>
      <c r="L375" s="5">
        <v>20</v>
      </c>
      <c r="M375" s="1"/>
      <c r="N375" s="1"/>
      <c r="O375" s="12">
        <v>46313.7</v>
      </c>
      <c r="P375" s="1" t="s">
        <v>43</v>
      </c>
      <c r="Q375" s="1" t="s">
        <v>341</v>
      </c>
      <c r="R375" s="1" t="s">
        <v>1219</v>
      </c>
      <c r="S375" s="5">
        <v>4247</v>
      </c>
      <c r="T375" s="1" t="s">
        <v>41</v>
      </c>
      <c r="U375" s="12">
        <v>46313.707638888889</v>
      </c>
      <c r="V375" s="12">
        <v>46313.706944444442</v>
      </c>
      <c r="W375" s="7" t="s">
        <v>1220</v>
      </c>
      <c r="X375" s="5">
        <v>22411</v>
      </c>
      <c r="Y375" s="4"/>
      <c r="Z375" s="5">
        <v>0</v>
      </c>
      <c r="AA375" s="8">
        <v>0.7006944444444444</v>
      </c>
      <c r="AB375" s="5">
        <v>8</v>
      </c>
      <c r="AC375" s="1" t="s">
        <v>41</v>
      </c>
      <c r="AD375" s="9" t="str">
        <f t="shared" si="5"/>
        <v>Actual</v>
      </c>
      <c r="AE375" s="9" t="str">
        <f t="shared" si="6"/>
        <v>TMK7</v>
      </c>
      <c r="AF375" s="9">
        <f>HOUR(O375)</f>
        <v>16</v>
      </c>
      <c r="AG375" s="9">
        <f>DAY(O375)</f>
        <v>18</v>
      </c>
      <c r="AH375" s="9">
        <f>IFERROR((I375-K375)*24*60,0)</f>
        <v>1.000000003259629</v>
      </c>
      <c r="AI375" s="9">
        <f t="shared" si="7"/>
        <v>1.000000003259629</v>
      </c>
      <c r="AJ375" s="9">
        <f>C375</f>
        <v>2169</v>
      </c>
      <c r="AK375" s="9">
        <f>IF(P375="completed",((V375-K375)*24*60),0)</f>
        <v>8.9999999979045242</v>
      </c>
      <c r="AL375" s="9">
        <f>IF(P375="completed",((U375-K375)*24*60),0)</f>
        <v>10.000000001164153</v>
      </c>
      <c r="AM375" s="9" t="str">
        <f t="shared" si="8"/>
        <v>OTP Achieved</v>
      </c>
      <c r="AN375" s="9" t="str">
        <f t="shared" si="9"/>
        <v>OTP Achieved</v>
      </c>
    </row>
    <row r="376" spans="1:40" ht="16">
      <c r="A376" s="3" t="s">
        <v>1171</v>
      </c>
      <c r="B376" s="12">
        <v>46313.697916666664</v>
      </c>
      <c r="C376" s="5">
        <v>1531</v>
      </c>
      <c r="D376" s="1" t="s">
        <v>41</v>
      </c>
      <c r="E376" s="5">
        <v>5</v>
      </c>
      <c r="F376" s="1" t="s">
        <v>41</v>
      </c>
      <c r="G376" s="1" t="s">
        <v>41</v>
      </c>
      <c r="H376" s="1" t="s">
        <v>1221</v>
      </c>
      <c r="I376" s="12">
        <v>46313.7</v>
      </c>
      <c r="J376" s="1" t="s">
        <v>41</v>
      </c>
      <c r="K376" s="12">
        <v>46313.699305555558</v>
      </c>
      <c r="L376" s="5">
        <v>41</v>
      </c>
      <c r="M376" s="1"/>
      <c r="N376" s="1"/>
      <c r="O376" s="12">
        <v>46313.697916666664</v>
      </c>
      <c r="P376" s="1" t="s">
        <v>43</v>
      </c>
      <c r="Q376" s="1" t="s">
        <v>1173</v>
      </c>
      <c r="R376" s="1" t="s">
        <v>1222</v>
      </c>
      <c r="S376" s="5">
        <v>4247</v>
      </c>
      <c r="T376" s="1" t="s">
        <v>41</v>
      </c>
      <c r="U376" s="12">
        <v>46313.70416666667</v>
      </c>
      <c r="V376" s="12">
        <v>46313.702777777777</v>
      </c>
      <c r="W376" s="7" t="s">
        <v>1223</v>
      </c>
      <c r="X376" s="5">
        <v>22411</v>
      </c>
      <c r="Y376" s="4"/>
      <c r="Z376" s="5">
        <v>0</v>
      </c>
      <c r="AA376" s="8">
        <v>0.69791666666666663</v>
      </c>
      <c r="AB376" s="5">
        <v>4</v>
      </c>
      <c r="AC376" s="1" t="s">
        <v>41</v>
      </c>
      <c r="AD376" s="9" t="str">
        <f t="shared" si="5"/>
        <v>Actual</v>
      </c>
      <c r="AE376" s="9" t="str">
        <f t="shared" si="6"/>
        <v>TMK7</v>
      </c>
      <c r="AF376" s="9">
        <f>HOUR(O376)</f>
        <v>16</v>
      </c>
      <c r="AG376" s="9">
        <f>DAY(O376)</f>
        <v>18</v>
      </c>
      <c r="AH376" s="9">
        <f>IFERROR((I376-K376)*24*60,0)</f>
        <v>0.99999999278225005</v>
      </c>
      <c r="AI376" s="9">
        <f t="shared" si="7"/>
        <v>0.99999999278225005</v>
      </c>
      <c r="AJ376" s="9">
        <f>C376</f>
        <v>1531</v>
      </c>
      <c r="AK376" s="9">
        <f>IF(P376="completed",((V376-K376)*24*60),0)</f>
        <v>4.9999999953433871</v>
      </c>
      <c r="AL376" s="9">
        <f>IF(P376="completed",((U376-K376)*24*60),0)</f>
        <v>7.0000000018626451</v>
      </c>
      <c r="AM376" s="9" t="str">
        <f t="shared" si="8"/>
        <v>OTP Achieved</v>
      </c>
      <c r="AN376" s="9" t="str">
        <f t="shared" si="9"/>
        <v>OTP Achieved</v>
      </c>
    </row>
    <row r="377" spans="1:40" ht="16">
      <c r="A377" s="3" t="s">
        <v>177</v>
      </c>
      <c r="B377" s="12">
        <v>46313.697916666664</v>
      </c>
      <c r="C377" s="5">
        <v>1921</v>
      </c>
      <c r="D377" s="1" t="s">
        <v>41</v>
      </c>
      <c r="E377" s="5">
        <v>5</v>
      </c>
      <c r="F377" s="1" t="s">
        <v>41</v>
      </c>
      <c r="G377" s="1" t="s">
        <v>41</v>
      </c>
      <c r="H377" s="1" t="s">
        <v>1224</v>
      </c>
      <c r="I377" s="12">
        <v>46313.698611111111</v>
      </c>
      <c r="J377" s="1" t="s">
        <v>41</v>
      </c>
      <c r="K377" s="12">
        <v>46313.698611111111</v>
      </c>
      <c r="L377" s="5">
        <v>29</v>
      </c>
      <c r="M377" s="1"/>
      <c r="N377" s="1"/>
      <c r="O377" s="12">
        <v>46313.697916666664</v>
      </c>
      <c r="P377" s="1" t="s">
        <v>43</v>
      </c>
      <c r="Q377" s="1" t="s">
        <v>179</v>
      </c>
      <c r="R377" s="1" t="s">
        <v>1225</v>
      </c>
      <c r="S377" s="5">
        <v>4247</v>
      </c>
      <c r="T377" s="1" t="s">
        <v>41</v>
      </c>
      <c r="U377" s="12">
        <v>46313.70416666667</v>
      </c>
      <c r="V377" s="12">
        <v>46313.701388888891</v>
      </c>
      <c r="W377" s="7" t="s">
        <v>1226</v>
      </c>
      <c r="X377" s="5">
        <v>22411</v>
      </c>
      <c r="Y377" s="4"/>
      <c r="Z377" s="5">
        <v>0</v>
      </c>
      <c r="AA377" s="8">
        <v>0.69791666666666663</v>
      </c>
      <c r="AB377" s="5">
        <v>4</v>
      </c>
      <c r="AC377" s="1" t="s">
        <v>41</v>
      </c>
      <c r="AD377" s="9" t="str">
        <f t="shared" si="5"/>
        <v>Actual</v>
      </c>
      <c r="AE377" s="9" t="str">
        <f t="shared" si="6"/>
        <v>TMK7</v>
      </c>
      <c r="AF377" s="9">
        <f>HOUR(O377)</f>
        <v>16</v>
      </c>
      <c r="AG377" s="9">
        <f>DAY(O377)</f>
        <v>18</v>
      </c>
      <c r="AH377" s="9">
        <f>IFERROR((I377-K377)*24*60,0)</f>
        <v>0</v>
      </c>
      <c r="AI377" s="9">
        <f t="shared" si="7"/>
        <v>0</v>
      </c>
      <c r="AJ377" s="9">
        <f>C377</f>
        <v>1921</v>
      </c>
      <c r="AK377" s="9">
        <f>IF(P377="completed",((V377-K377)*24*60),0)</f>
        <v>4.0000000025611371</v>
      </c>
      <c r="AL377" s="9">
        <f>IF(P377="completed",((U377-K377)*24*60),0)</f>
        <v>8.0000000051222742</v>
      </c>
      <c r="AM377" s="9" t="str">
        <f t="shared" si="8"/>
        <v>OTP Achieved</v>
      </c>
      <c r="AN377" s="9" t="str">
        <f t="shared" si="9"/>
        <v>OTP Achieved</v>
      </c>
    </row>
    <row r="378" spans="1:40" ht="16">
      <c r="A378" s="3" t="s">
        <v>52</v>
      </c>
      <c r="B378" s="12">
        <v>46313.697916666664</v>
      </c>
      <c r="C378" s="5">
        <v>1030</v>
      </c>
      <c r="D378" s="1" t="s">
        <v>41</v>
      </c>
      <c r="E378" s="5">
        <v>4</v>
      </c>
      <c r="F378" s="1" t="s">
        <v>41</v>
      </c>
      <c r="G378" s="1" t="s">
        <v>41</v>
      </c>
      <c r="H378" s="1" t="s">
        <v>1227</v>
      </c>
      <c r="I378" s="12">
        <v>46313.697916666664</v>
      </c>
      <c r="J378" s="1" t="s">
        <v>41</v>
      </c>
      <c r="K378" s="12">
        <v>46313.697916666664</v>
      </c>
      <c r="L378" s="5">
        <v>29</v>
      </c>
      <c r="M378" s="1"/>
      <c r="N378" s="1"/>
      <c r="O378" s="12">
        <v>46313.696527777778</v>
      </c>
      <c r="P378" s="1" t="s">
        <v>43</v>
      </c>
      <c r="Q378" s="1" t="s">
        <v>54</v>
      </c>
      <c r="R378" s="1" t="s">
        <v>1228</v>
      </c>
      <c r="S378" s="5">
        <v>4247</v>
      </c>
      <c r="T378" s="1" t="s">
        <v>41</v>
      </c>
      <c r="U378" s="12">
        <v>46313.701388888891</v>
      </c>
      <c r="V378" s="12">
        <v>46313.700694444444</v>
      </c>
      <c r="W378" s="7" t="s">
        <v>1229</v>
      </c>
      <c r="X378" s="5">
        <v>22411</v>
      </c>
      <c r="Y378" s="4"/>
      <c r="Z378" s="5">
        <v>0</v>
      </c>
      <c r="AA378" s="8">
        <v>0.69791666666666663</v>
      </c>
      <c r="AB378" s="5">
        <v>4</v>
      </c>
      <c r="AC378" s="1" t="s">
        <v>41</v>
      </c>
      <c r="AD378" s="9" t="str">
        <f t="shared" si="5"/>
        <v>Actual</v>
      </c>
      <c r="AE378" s="9" t="str">
        <f t="shared" si="6"/>
        <v>TMK7</v>
      </c>
      <c r="AF378" s="9">
        <f>HOUR(O378)</f>
        <v>16</v>
      </c>
      <c r="AG378" s="9">
        <f>DAY(O378)</f>
        <v>18</v>
      </c>
      <c r="AH378" s="9">
        <f>IFERROR((I378-K378)*24*60,0)</f>
        <v>0</v>
      </c>
      <c r="AI378" s="9">
        <f t="shared" si="7"/>
        <v>0</v>
      </c>
      <c r="AJ378" s="9">
        <f>C378</f>
        <v>1030</v>
      </c>
      <c r="AK378" s="9">
        <f>IF(P378="completed",((V378-K378)*24*60),0)</f>
        <v>4.0000000025611371</v>
      </c>
      <c r="AL378" s="9">
        <f>IF(P378="completed",((U378-K378)*24*60),0)</f>
        <v>5.0000000058207661</v>
      </c>
      <c r="AM378" s="9" t="str">
        <f t="shared" si="8"/>
        <v>OTP Achieved</v>
      </c>
      <c r="AN378" s="9" t="str">
        <f t="shared" si="9"/>
        <v>OTP Achieved</v>
      </c>
    </row>
    <row r="379" spans="1:40" ht="16">
      <c r="A379" s="3" t="s">
        <v>72</v>
      </c>
      <c r="B379" s="12">
        <v>46313.696527777778</v>
      </c>
      <c r="C379" s="5">
        <v>1367</v>
      </c>
      <c r="D379" s="1" t="s">
        <v>41</v>
      </c>
      <c r="E379" s="5">
        <v>3</v>
      </c>
      <c r="F379" s="1" t="s">
        <v>41</v>
      </c>
      <c r="G379" s="1" t="s">
        <v>41</v>
      </c>
      <c r="H379" s="1" t="s">
        <v>1230</v>
      </c>
      <c r="I379" s="12">
        <v>46313.697222222225</v>
      </c>
      <c r="J379" s="1" t="s">
        <v>41</v>
      </c>
      <c r="K379" s="12">
        <v>46313.697222222225</v>
      </c>
      <c r="L379" s="5">
        <v>38</v>
      </c>
      <c r="M379" s="1"/>
      <c r="N379" s="1"/>
      <c r="O379" s="12">
        <v>46313.696527777778</v>
      </c>
      <c r="P379" s="1" t="s">
        <v>43</v>
      </c>
      <c r="Q379" s="1" t="s">
        <v>74</v>
      </c>
      <c r="R379" s="1" t="s">
        <v>1231</v>
      </c>
      <c r="S379" s="5">
        <v>4247</v>
      </c>
      <c r="T379" s="1" t="s">
        <v>41</v>
      </c>
      <c r="U379" s="12">
        <v>46313.701388888891</v>
      </c>
      <c r="V379" s="12">
        <v>46313.699305555558</v>
      </c>
      <c r="W379" s="7" t="s">
        <v>1232</v>
      </c>
      <c r="X379" s="5">
        <v>22411</v>
      </c>
      <c r="Y379" s="4"/>
      <c r="Z379" s="5">
        <v>0</v>
      </c>
      <c r="AA379" s="8">
        <v>0.69652777777777775</v>
      </c>
      <c r="AB379" s="5">
        <v>3</v>
      </c>
      <c r="AC379" s="1" t="s">
        <v>41</v>
      </c>
      <c r="AD379" s="9" t="str">
        <f t="shared" si="5"/>
        <v>Actual</v>
      </c>
      <c r="AE379" s="9" t="str">
        <f t="shared" si="6"/>
        <v>TMK7</v>
      </c>
      <c r="AF379" s="9">
        <f>HOUR(O379)</f>
        <v>16</v>
      </c>
      <c r="AG379" s="9">
        <f>DAY(O379)</f>
        <v>18</v>
      </c>
      <c r="AH379" s="9">
        <f>IFERROR((I379-K379)*24*60,0)</f>
        <v>0</v>
      </c>
      <c r="AI379" s="9">
        <f t="shared" si="7"/>
        <v>0</v>
      </c>
      <c r="AJ379" s="9">
        <f>C379</f>
        <v>1367</v>
      </c>
      <c r="AK379" s="9">
        <f>IF(P379="completed",((V379-K379)*24*60),0)</f>
        <v>2.9999999993015081</v>
      </c>
      <c r="AL379" s="9">
        <f>IF(P379="completed",((U379-K379)*24*60),0)</f>
        <v>5.9999999986030161</v>
      </c>
      <c r="AM379" s="9" t="str">
        <f t="shared" si="8"/>
        <v>OTP Achieved</v>
      </c>
      <c r="AN379" s="9" t="str">
        <f t="shared" si="9"/>
        <v>OTP Achieved</v>
      </c>
    </row>
    <row r="380" spans="1:40" ht="16">
      <c r="A380" s="3" t="s">
        <v>655</v>
      </c>
      <c r="B380" s="12">
        <v>46313.695138888892</v>
      </c>
      <c r="C380" s="5">
        <v>2141</v>
      </c>
      <c r="D380" s="1" t="s">
        <v>41</v>
      </c>
      <c r="E380" s="5">
        <v>6</v>
      </c>
      <c r="F380" s="1" t="s">
        <v>41</v>
      </c>
      <c r="G380" s="1" t="s">
        <v>41</v>
      </c>
      <c r="H380" s="1" t="s">
        <v>1233</v>
      </c>
      <c r="I380" s="12">
        <v>46313.695833333331</v>
      </c>
      <c r="J380" s="1" t="s">
        <v>41</v>
      </c>
      <c r="K380" s="12">
        <v>46313.694444444445</v>
      </c>
      <c r="L380" s="5">
        <v>41</v>
      </c>
      <c r="M380" s="1"/>
      <c r="N380" s="1"/>
      <c r="O380" s="12">
        <v>46313.693055555559</v>
      </c>
      <c r="P380" s="1" t="s">
        <v>43</v>
      </c>
      <c r="Q380" s="1" t="s">
        <v>657</v>
      </c>
      <c r="R380" s="1" t="s">
        <v>1234</v>
      </c>
      <c r="S380" s="5">
        <v>4247</v>
      </c>
      <c r="T380" s="1" t="s">
        <v>41</v>
      </c>
      <c r="U380" s="12">
        <v>46313.702777777777</v>
      </c>
      <c r="V380" s="12">
        <v>46313.7</v>
      </c>
      <c r="W380" s="7" t="s">
        <v>1235</v>
      </c>
      <c r="X380" s="5">
        <v>22411</v>
      </c>
      <c r="Y380" s="1"/>
      <c r="Z380" s="5">
        <v>0</v>
      </c>
      <c r="AA380" s="8">
        <v>0.69513888888888886</v>
      </c>
      <c r="AB380" s="5">
        <v>5</v>
      </c>
      <c r="AC380" s="1" t="s">
        <v>41</v>
      </c>
      <c r="AD380" s="9" t="str">
        <f t="shared" si="5"/>
        <v>Actual</v>
      </c>
      <c r="AE380" s="9" t="str">
        <f t="shared" si="6"/>
        <v>TMK7</v>
      </c>
      <c r="AF380" s="9">
        <f>HOUR(O380)</f>
        <v>16</v>
      </c>
      <c r="AG380" s="9">
        <f>DAY(O380)</f>
        <v>18</v>
      </c>
      <c r="AH380" s="9">
        <f>IFERROR((I380-K380)*24*60,0)</f>
        <v>1.9999999960418791</v>
      </c>
      <c r="AI380" s="9">
        <f t="shared" si="7"/>
        <v>1.9999999960418791</v>
      </c>
      <c r="AJ380" s="9">
        <f>C380</f>
        <v>2141</v>
      </c>
      <c r="AK380" s="9">
        <f>IF(P380="completed",((V380-K380)*24*60),0)</f>
        <v>7.9999999946448952</v>
      </c>
      <c r="AL380" s="9">
        <f>IF(P380="completed",((U380-K380)*24*60),0)</f>
        <v>11.999999997206032</v>
      </c>
      <c r="AM380" s="9" t="str">
        <f t="shared" si="8"/>
        <v>OTP Achieved</v>
      </c>
      <c r="AN380" s="9" t="str">
        <f t="shared" si="9"/>
        <v>OTP Achieved</v>
      </c>
    </row>
    <row r="381" spans="1:40" ht="16">
      <c r="A381" s="3" t="s">
        <v>125</v>
      </c>
      <c r="B381" s="12">
        <v>46313.693749999999</v>
      </c>
      <c r="C381" s="5">
        <v>2183</v>
      </c>
      <c r="D381" s="1" t="s">
        <v>41</v>
      </c>
      <c r="E381" s="5">
        <v>11</v>
      </c>
      <c r="F381" s="1" t="s">
        <v>41</v>
      </c>
      <c r="G381" s="1" t="s">
        <v>41</v>
      </c>
      <c r="H381" s="1" t="s">
        <v>1236</v>
      </c>
      <c r="I381" s="12">
        <v>46313.694444444445</v>
      </c>
      <c r="J381" s="1" t="s">
        <v>41</v>
      </c>
      <c r="K381" s="12">
        <v>46313.693055555559</v>
      </c>
      <c r="L381" s="5">
        <v>23</v>
      </c>
      <c r="M381" s="1"/>
      <c r="N381" s="1"/>
      <c r="O381" s="12">
        <v>46313.690972222219</v>
      </c>
      <c r="P381" s="1" t="s">
        <v>43</v>
      </c>
      <c r="Q381" s="1" t="s">
        <v>127</v>
      </c>
      <c r="R381" s="1" t="s">
        <v>1237</v>
      </c>
      <c r="S381" s="5">
        <v>4247</v>
      </c>
      <c r="T381" s="1" t="s">
        <v>41</v>
      </c>
      <c r="U381" s="12">
        <v>46313.7</v>
      </c>
      <c r="V381" s="12">
        <v>46313.701388888891</v>
      </c>
      <c r="W381" s="7" t="s">
        <v>1238</v>
      </c>
      <c r="X381" s="5">
        <v>22411</v>
      </c>
      <c r="Y381" s="4"/>
      <c r="Z381" s="5">
        <v>0</v>
      </c>
      <c r="AA381" s="8">
        <v>0.69374999999999998</v>
      </c>
      <c r="AB381" s="5">
        <v>11</v>
      </c>
      <c r="AC381" s="1" t="s">
        <v>41</v>
      </c>
      <c r="AD381" s="9" t="str">
        <f t="shared" si="5"/>
        <v>Actual</v>
      </c>
      <c r="AE381" s="9" t="str">
        <f t="shared" si="6"/>
        <v>TMK7</v>
      </c>
      <c r="AF381" s="9">
        <f>HOUR(O381)</f>
        <v>16</v>
      </c>
      <c r="AG381" s="9">
        <f>DAY(O381)</f>
        <v>18</v>
      </c>
      <c r="AH381" s="9">
        <f>IFERROR((I381-K381)*24*60,0)</f>
        <v>1.9999999960418791</v>
      </c>
      <c r="AI381" s="9">
        <f t="shared" si="7"/>
        <v>1.9999999960418791</v>
      </c>
      <c r="AJ381" s="9">
        <f>C381</f>
        <v>2183</v>
      </c>
      <c r="AK381" s="9">
        <f>IF(P381="completed",((V381-K381)*24*60),0)</f>
        <v>11.999999997206032</v>
      </c>
      <c r="AL381" s="9">
        <f>IF(P381="completed",((U381-K381)*24*60),0)</f>
        <v>9.9999999906867743</v>
      </c>
      <c r="AM381" s="9" t="str">
        <f t="shared" si="8"/>
        <v>OTP Breached</v>
      </c>
      <c r="AN381" s="9" t="str">
        <f t="shared" si="9"/>
        <v>OTP Achieved</v>
      </c>
    </row>
    <row r="382" spans="1:40" ht="16">
      <c r="A382" s="3" t="s">
        <v>1239</v>
      </c>
      <c r="B382" s="12">
        <v>46313.693749999999</v>
      </c>
      <c r="C382" s="5">
        <v>2785</v>
      </c>
      <c r="D382" s="1" t="s">
        <v>41</v>
      </c>
      <c r="E382" s="5">
        <v>7</v>
      </c>
      <c r="F382" s="1" t="s">
        <v>41</v>
      </c>
      <c r="G382" s="1" t="s">
        <v>41</v>
      </c>
      <c r="H382" s="1" t="s">
        <v>1240</v>
      </c>
      <c r="I382" s="12">
        <v>46313.694444444445</v>
      </c>
      <c r="J382" s="1" t="s">
        <v>41</v>
      </c>
      <c r="K382" s="12">
        <v>46313.692361111112</v>
      </c>
      <c r="L382" s="5">
        <v>42</v>
      </c>
      <c r="M382" s="1"/>
      <c r="N382" s="1"/>
      <c r="O382" s="12">
        <v>46313.690972222219</v>
      </c>
      <c r="P382" s="1" t="s">
        <v>43</v>
      </c>
      <c r="Q382" s="1" t="s">
        <v>1241</v>
      </c>
      <c r="R382" s="1" t="s">
        <v>1242</v>
      </c>
      <c r="S382" s="5">
        <v>4247</v>
      </c>
      <c r="T382" s="1" t="s">
        <v>41</v>
      </c>
      <c r="U382" s="12">
        <v>46313.701388888891</v>
      </c>
      <c r="V382" s="12">
        <v>46313.698611111111</v>
      </c>
      <c r="W382" s="7" t="s">
        <v>1243</v>
      </c>
      <c r="X382" s="5">
        <v>22411</v>
      </c>
      <c r="Y382" s="4"/>
      <c r="Z382" s="5">
        <v>0</v>
      </c>
      <c r="AA382" s="8">
        <v>0.69374999999999998</v>
      </c>
      <c r="AB382" s="5">
        <v>6</v>
      </c>
      <c r="AC382" s="1" t="s">
        <v>41</v>
      </c>
      <c r="AD382" s="9" t="str">
        <f t="shared" si="5"/>
        <v>Actual</v>
      </c>
      <c r="AE382" s="9" t="str">
        <f t="shared" si="6"/>
        <v>TMK7</v>
      </c>
      <c r="AF382" s="9">
        <f>HOUR(O382)</f>
        <v>16</v>
      </c>
      <c r="AG382" s="9">
        <f>DAY(O382)</f>
        <v>18</v>
      </c>
      <c r="AH382" s="9">
        <f>IFERROR((I382-K382)*24*60,0)</f>
        <v>2.9999999993015081</v>
      </c>
      <c r="AI382" s="9">
        <f t="shared" si="7"/>
        <v>2.9999999993015081</v>
      </c>
      <c r="AJ382" s="9">
        <f>C382</f>
        <v>2785</v>
      </c>
      <c r="AK382" s="9">
        <f>IF(P382="completed",((V382-K382)*24*60),0)</f>
        <v>8.9999999979045242</v>
      </c>
      <c r="AL382" s="9">
        <f>IF(P382="completed",((U382-K382)*24*60),0)</f>
        <v>13.000000000465661</v>
      </c>
      <c r="AM382" s="9" t="str">
        <f t="shared" si="8"/>
        <v>OTP Achieved</v>
      </c>
      <c r="AN382" s="9" t="str">
        <f t="shared" si="9"/>
        <v>OTP Achieved</v>
      </c>
    </row>
    <row r="383" spans="1:40" ht="16">
      <c r="A383" s="3" t="s">
        <v>1136</v>
      </c>
      <c r="B383" s="12">
        <v>46313.691666666666</v>
      </c>
      <c r="C383" s="5">
        <v>2341</v>
      </c>
      <c r="D383" s="1" t="s">
        <v>41</v>
      </c>
      <c r="E383" s="5">
        <v>9</v>
      </c>
      <c r="F383" s="1" t="s">
        <v>41</v>
      </c>
      <c r="G383" s="1" t="s">
        <v>41</v>
      </c>
      <c r="H383" s="1" t="s">
        <v>1244</v>
      </c>
      <c r="I383" s="12">
        <v>46313.692361111112</v>
      </c>
      <c r="J383" s="1" t="s">
        <v>41</v>
      </c>
      <c r="K383" s="12">
        <v>46313.690972222219</v>
      </c>
      <c r="L383" s="5">
        <v>25</v>
      </c>
      <c r="M383" s="1"/>
      <c r="N383" s="1"/>
      <c r="O383" s="12">
        <v>46313.69027777778</v>
      </c>
      <c r="P383" s="1" t="s">
        <v>43</v>
      </c>
      <c r="Q383" s="1" t="s">
        <v>1138</v>
      </c>
      <c r="R383" s="1" t="s">
        <v>1245</v>
      </c>
      <c r="S383" s="5">
        <v>4247</v>
      </c>
      <c r="T383" s="1" t="s">
        <v>41</v>
      </c>
      <c r="U383" s="12">
        <v>46313.698611111111</v>
      </c>
      <c r="V383" s="12">
        <v>46313.697916666664</v>
      </c>
      <c r="W383" s="7" t="s">
        <v>1246</v>
      </c>
      <c r="X383" s="5">
        <v>22411</v>
      </c>
      <c r="Y383" s="4"/>
      <c r="Z383" s="5">
        <v>0</v>
      </c>
      <c r="AA383" s="8">
        <v>0.69166666666666665</v>
      </c>
      <c r="AB383" s="5">
        <v>9</v>
      </c>
      <c r="AC383" s="1" t="s">
        <v>41</v>
      </c>
      <c r="AD383" s="9" t="str">
        <f t="shared" si="5"/>
        <v>Actual</v>
      </c>
      <c r="AE383" s="9" t="str">
        <f t="shared" si="6"/>
        <v>TMK7</v>
      </c>
      <c r="AF383" s="9">
        <f>HOUR(O383)</f>
        <v>16</v>
      </c>
      <c r="AG383" s="9">
        <f>DAY(O383)</f>
        <v>18</v>
      </c>
      <c r="AH383" s="9">
        <f>IFERROR((I383-K383)*24*60,0)</f>
        <v>2.000000006519258</v>
      </c>
      <c r="AI383" s="9">
        <f t="shared" si="7"/>
        <v>2.000000006519258</v>
      </c>
      <c r="AJ383" s="9">
        <f>C383</f>
        <v>2341</v>
      </c>
      <c r="AK383" s="9">
        <f>IF(P383="completed",((V383-K383)*24*60),0)</f>
        <v>10.000000001164153</v>
      </c>
      <c r="AL383" s="9">
        <f>IF(P383="completed",((U383-K383)*24*60),0)</f>
        <v>11.000000004423782</v>
      </c>
      <c r="AM383" s="9" t="str">
        <f t="shared" si="8"/>
        <v>OTP Achieved</v>
      </c>
      <c r="AN383" s="9" t="str">
        <f t="shared" si="9"/>
        <v>OTP Achieved</v>
      </c>
    </row>
    <row r="384" spans="1:40" ht="16">
      <c r="A384" s="3" t="s">
        <v>347</v>
      </c>
      <c r="B384" s="12">
        <v>46313.690972222219</v>
      </c>
      <c r="C384" s="5">
        <v>2559</v>
      </c>
      <c r="D384" s="1" t="s">
        <v>41</v>
      </c>
      <c r="E384" s="5">
        <v>7</v>
      </c>
      <c r="F384" s="1" t="s">
        <v>41</v>
      </c>
      <c r="G384" s="1" t="s">
        <v>41</v>
      </c>
      <c r="H384" s="1" t="s">
        <v>1247</v>
      </c>
      <c r="I384" s="12">
        <v>46313.691666666666</v>
      </c>
      <c r="J384" s="1" t="s">
        <v>41</v>
      </c>
      <c r="K384" s="12">
        <v>46313.690972222219</v>
      </c>
      <c r="L384" s="5">
        <v>18</v>
      </c>
      <c r="M384" s="1"/>
      <c r="N384" s="1"/>
      <c r="O384" s="12">
        <v>46313.689583333333</v>
      </c>
      <c r="P384" s="1" t="s">
        <v>43</v>
      </c>
      <c r="Q384" s="1" t="s">
        <v>349</v>
      </c>
      <c r="R384" s="1" t="s">
        <v>1248</v>
      </c>
      <c r="S384" s="5">
        <v>4247</v>
      </c>
      <c r="T384" s="1" t="s">
        <v>41</v>
      </c>
      <c r="U384" s="12">
        <v>46313.697222222225</v>
      </c>
      <c r="V384" s="12">
        <v>46313.695833333331</v>
      </c>
      <c r="W384" s="7" t="s">
        <v>1249</v>
      </c>
      <c r="X384" s="5">
        <v>22411</v>
      </c>
      <c r="Y384" s="4"/>
      <c r="Z384" s="5">
        <v>0</v>
      </c>
      <c r="AA384" s="8">
        <v>0.69097222222222221</v>
      </c>
      <c r="AB384" s="5">
        <v>7</v>
      </c>
      <c r="AC384" s="1" t="s">
        <v>41</v>
      </c>
      <c r="AD384" s="9" t="str">
        <f t="shared" si="5"/>
        <v>Actual</v>
      </c>
      <c r="AE384" s="9" t="str">
        <f t="shared" si="6"/>
        <v>TMK7</v>
      </c>
      <c r="AF384" s="9">
        <f>HOUR(O384)</f>
        <v>16</v>
      </c>
      <c r="AG384" s="9">
        <f>DAY(O384)</f>
        <v>18</v>
      </c>
      <c r="AH384" s="9">
        <f>IFERROR((I384-K384)*24*60,0)</f>
        <v>1.000000003259629</v>
      </c>
      <c r="AI384" s="9">
        <f t="shared" si="7"/>
        <v>1.000000003259629</v>
      </c>
      <c r="AJ384" s="9">
        <f>C384</f>
        <v>2559</v>
      </c>
      <c r="AK384" s="9">
        <f>IF(P384="completed",((V384-K384)*24*60),0)</f>
        <v>7.0000000018626451</v>
      </c>
      <c r="AL384" s="9">
        <f>IF(P384="completed",((U384-K384)*24*60),0)</f>
        <v>9.0000000083819032</v>
      </c>
      <c r="AM384" s="9" t="str">
        <f t="shared" si="8"/>
        <v>OTP Achieved</v>
      </c>
      <c r="AN384" s="9" t="str">
        <f t="shared" si="9"/>
        <v>OTP Achieved</v>
      </c>
    </row>
    <row r="385" spans="1:40" ht="15">
      <c r="A385" s="14" t="s">
        <v>57</v>
      </c>
      <c r="B385" s="15">
        <v>46313.689583333333</v>
      </c>
      <c r="C385" s="16">
        <v>1464</v>
      </c>
      <c r="D385" s="17" t="s">
        <v>41</v>
      </c>
      <c r="E385" s="16">
        <v>5</v>
      </c>
      <c r="F385" s="17" t="s">
        <v>41</v>
      </c>
      <c r="G385" s="17" t="s">
        <v>41</v>
      </c>
      <c r="H385" s="17" t="s">
        <v>1250</v>
      </c>
      <c r="I385" s="15">
        <v>46313.69027777778</v>
      </c>
      <c r="J385" s="17" t="s">
        <v>41</v>
      </c>
      <c r="K385" s="15">
        <v>46313.689583333333</v>
      </c>
      <c r="L385" s="16">
        <v>16</v>
      </c>
      <c r="M385" s="17"/>
      <c r="N385" s="17"/>
      <c r="O385" s="15">
        <v>46313.688888888886</v>
      </c>
      <c r="P385" s="17" t="s">
        <v>43</v>
      </c>
      <c r="Q385" s="17" t="s">
        <v>59</v>
      </c>
      <c r="R385" s="17" t="s">
        <v>1251</v>
      </c>
      <c r="S385" s="16">
        <v>4247</v>
      </c>
      <c r="T385" s="17" t="s">
        <v>41</v>
      </c>
      <c r="U385" s="15">
        <v>46313.695138888892</v>
      </c>
      <c r="V385" s="15">
        <v>46313.693055555559</v>
      </c>
      <c r="W385" s="18" t="s">
        <v>1252</v>
      </c>
      <c r="X385" s="16">
        <v>22411</v>
      </c>
      <c r="Y385" s="19"/>
      <c r="Z385" s="16">
        <v>0</v>
      </c>
      <c r="AA385" s="20">
        <v>0.68958333333333333</v>
      </c>
      <c r="AB385" s="16">
        <v>4</v>
      </c>
      <c r="AC385" s="17" t="s">
        <v>41</v>
      </c>
      <c r="AD385" s="9" t="str">
        <f t="shared" si="5"/>
        <v>Actual</v>
      </c>
      <c r="AE385" s="9" t="str">
        <f t="shared" si="6"/>
        <v>TMK7</v>
      </c>
      <c r="AF385" s="9">
        <f>HOUR(O385)</f>
        <v>16</v>
      </c>
      <c r="AG385" s="9">
        <f>DAY(O385)</f>
        <v>18</v>
      </c>
      <c r="AH385" s="9">
        <f>IFERROR((I385-K385)*24*60,0)</f>
        <v>1.000000003259629</v>
      </c>
      <c r="AI385" s="9">
        <f t="shared" si="7"/>
        <v>1.000000003259629</v>
      </c>
      <c r="AJ385" s="9">
        <f>C385</f>
        <v>1464</v>
      </c>
      <c r="AK385" s="9">
        <f>IF(P385="completed",((V385-K385)*24*60),0)</f>
        <v>5.0000000058207661</v>
      </c>
      <c r="AL385" s="9">
        <f>IF(P385="completed",((U385-K385)*24*60),0)</f>
        <v>8.0000000051222742</v>
      </c>
      <c r="AM385" s="9" t="str">
        <f t="shared" si="8"/>
        <v>OTP Achieved</v>
      </c>
      <c r="AN385" s="9" t="str">
        <f t="shared" si="9"/>
        <v>OTP Achieved</v>
      </c>
    </row>
    <row r="386" spans="1:40" ht="15">
      <c r="A386" s="14" t="s">
        <v>98</v>
      </c>
      <c r="B386" s="15">
        <v>46313.688888888886</v>
      </c>
      <c r="C386" s="16">
        <v>2119</v>
      </c>
      <c r="D386" s="17" t="s">
        <v>41</v>
      </c>
      <c r="E386" s="16">
        <v>5</v>
      </c>
      <c r="F386" s="17" t="s">
        <v>41</v>
      </c>
      <c r="G386" s="17" t="s">
        <v>41</v>
      </c>
      <c r="H386" s="17" t="s">
        <v>1253</v>
      </c>
      <c r="I386" s="15">
        <v>46313.688888888886</v>
      </c>
      <c r="J386" s="17" t="s">
        <v>41</v>
      </c>
      <c r="K386" s="15">
        <v>46313.688888888886</v>
      </c>
      <c r="L386" s="16">
        <v>23</v>
      </c>
      <c r="M386" s="17"/>
      <c r="N386" s="17"/>
      <c r="O386" s="15">
        <v>46313.6875</v>
      </c>
      <c r="P386" s="17" t="s">
        <v>43</v>
      </c>
      <c r="Q386" s="17" t="s">
        <v>100</v>
      </c>
      <c r="R386" s="17" t="s">
        <v>1254</v>
      </c>
      <c r="S386" s="16">
        <v>4247</v>
      </c>
      <c r="T386" s="17" t="s">
        <v>41</v>
      </c>
      <c r="U386" s="15">
        <v>46313.694444444445</v>
      </c>
      <c r="V386" s="15">
        <v>46313.692361111112</v>
      </c>
      <c r="W386" s="18" t="s">
        <v>1255</v>
      </c>
      <c r="X386" s="16">
        <v>22411</v>
      </c>
      <c r="Y386" s="19"/>
      <c r="Z386" s="16">
        <v>0</v>
      </c>
      <c r="AA386" s="20">
        <v>0.68888888888888888</v>
      </c>
      <c r="AB386" s="16">
        <v>5</v>
      </c>
      <c r="AC386" s="17" t="s">
        <v>41</v>
      </c>
      <c r="AD386" s="9" t="str">
        <f t="shared" si="5"/>
        <v>Actual</v>
      </c>
      <c r="AE386" s="9" t="str">
        <f t="shared" si="6"/>
        <v>TMK7</v>
      </c>
      <c r="AF386" s="9">
        <f>HOUR(O386)</f>
        <v>16</v>
      </c>
      <c r="AG386" s="9">
        <f>DAY(O386)</f>
        <v>18</v>
      </c>
      <c r="AH386" s="9">
        <f>IFERROR((I386-K386)*24*60,0)</f>
        <v>0</v>
      </c>
      <c r="AI386" s="9">
        <f t="shared" si="7"/>
        <v>0</v>
      </c>
      <c r="AJ386" s="9">
        <f>C386</f>
        <v>2119</v>
      </c>
      <c r="AK386" s="9">
        <f>IF(P386="completed",((V386-K386)*24*60),0)</f>
        <v>5.0000000058207661</v>
      </c>
      <c r="AL386" s="9">
        <f>IF(P386="completed",((U386-K386)*24*60),0)</f>
        <v>8.0000000051222742</v>
      </c>
      <c r="AM386" s="9" t="str">
        <f t="shared" si="8"/>
        <v>OTP Achieved</v>
      </c>
      <c r="AN386" s="9" t="str">
        <f t="shared" si="9"/>
        <v>OTP Achieved</v>
      </c>
    </row>
    <row r="387" spans="1:40" ht="15">
      <c r="A387" s="14" t="s">
        <v>62</v>
      </c>
      <c r="B387" s="15">
        <v>46313.688888888886</v>
      </c>
      <c r="C387" s="16">
        <v>1649</v>
      </c>
      <c r="D387" s="17" t="s">
        <v>41</v>
      </c>
      <c r="E387" s="16">
        <v>6</v>
      </c>
      <c r="F387" s="17" t="s">
        <v>41</v>
      </c>
      <c r="G387" s="17" t="s">
        <v>41</v>
      </c>
      <c r="H387" s="17" t="s">
        <v>1256</v>
      </c>
      <c r="I387" s="15">
        <v>46313.688888888886</v>
      </c>
      <c r="J387" s="17" t="s">
        <v>41</v>
      </c>
      <c r="K387" s="15">
        <v>46313.688194444447</v>
      </c>
      <c r="L387" s="16">
        <v>30</v>
      </c>
      <c r="M387" s="17"/>
      <c r="N387" s="17"/>
      <c r="O387" s="15">
        <v>46313.686805555553</v>
      </c>
      <c r="P387" s="17" t="s">
        <v>43</v>
      </c>
      <c r="Q387" s="17" t="s">
        <v>64</v>
      </c>
      <c r="R387" s="17" t="s">
        <v>1257</v>
      </c>
      <c r="S387" s="16">
        <v>4247</v>
      </c>
      <c r="T387" s="17" t="s">
        <v>41</v>
      </c>
      <c r="U387" s="15">
        <v>46313.693749999999</v>
      </c>
      <c r="V387" s="15">
        <v>46313.692361111112</v>
      </c>
      <c r="W387" s="18" t="s">
        <v>1258</v>
      </c>
      <c r="X387" s="16">
        <v>22411</v>
      </c>
      <c r="Y387" s="17"/>
      <c r="Z387" s="16">
        <v>0</v>
      </c>
      <c r="AA387" s="20">
        <v>0.68888888888888888</v>
      </c>
      <c r="AB387" s="16">
        <v>5</v>
      </c>
      <c r="AC387" s="17" t="s">
        <v>41</v>
      </c>
      <c r="AD387" s="9" t="str">
        <f t="shared" si="5"/>
        <v>Actual</v>
      </c>
      <c r="AE387" s="9" t="str">
        <f t="shared" si="6"/>
        <v>TMK7</v>
      </c>
      <c r="AF387" s="9">
        <f>HOUR(O387)</f>
        <v>16</v>
      </c>
      <c r="AG387" s="9">
        <f>DAY(O387)</f>
        <v>18</v>
      </c>
      <c r="AH387" s="9">
        <f>IFERROR((I387-K387)*24*60,0)</f>
        <v>0.99999999278225005</v>
      </c>
      <c r="AI387" s="9">
        <f t="shared" si="7"/>
        <v>0.99999999278225005</v>
      </c>
      <c r="AJ387" s="9">
        <f>C387</f>
        <v>1649</v>
      </c>
      <c r="AK387" s="9">
        <f>IF(P387="completed",((V387-K387)*24*60),0)</f>
        <v>5.9999999986030161</v>
      </c>
      <c r="AL387" s="9">
        <f>IF(P387="completed",((U387-K387)*24*60),0)</f>
        <v>7.9999999946448952</v>
      </c>
      <c r="AM387" s="9" t="str">
        <f t="shared" si="8"/>
        <v>OTP Achieved</v>
      </c>
      <c r="AN387" s="9" t="str">
        <f t="shared" si="9"/>
        <v>OTP Achieved</v>
      </c>
    </row>
    <row r="388" spans="1:40" ht="15">
      <c r="A388" s="14" t="s">
        <v>106</v>
      </c>
      <c r="B388" s="15">
        <v>46313.688888888886</v>
      </c>
      <c r="C388" s="16">
        <v>2092</v>
      </c>
      <c r="D388" s="17" t="s">
        <v>41</v>
      </c>
      <c r="E388" s="16">
        <v>7</v>
      </c>
      <c r="F388" s="17" t="s">
        <v>41</v>
      </c>
      <c r="G388" s="17" t="s">
        <v>41</v>
      </c>
      <c r="H388" s="17" t="s">
        <v>1259</v>
      </c>
      <c r="I388" s="15">
        <v>46313.688888888886</v>
      </c>
      <c r="J388" s="17" t="s">
        <v>41</v>
      </c>
      <c r="K388" s="15">
        <v>46313.6875</v>
      </c>
      <c r="L388" s="16">
        <v>39</v>
      </c>
      <c r="M388" s="17"/>
      <c r="N388" s="17"/>
      <c r="O388" s="15">
        <v>46313.686111111114</v>
      </c>
      <c r="P388" s="17" t="s">
        <v>43</v>
      </c>
      <c r="Q388" s="17" t="s">
        <v>108</v>
      </c>
      <c r="R388" s="17" t="s">
        <v>1260</v>
      </c>
      <c r="S388" s="16">
        <v>4247</v>
      </c>
      <c r="T388" s="17" t="s">
        <v>41</v>
      </c>
      <c r="U388" s="15">
        <v>46313.693749999999</v>
      </c>
      <c r="V388" s="15">
        <v>46313.693749999999</v>
      </c>
      <c r="W388" s="18" t="s">
        <v>1261</v>
      </c>
      <c r="X388" s="16">
        <v>22411</v>
      </c>
      <c r="Y388" s="19"/>
      <c r="Z388" s="16">
        <v>0</v>
      </c>
      <c r="AA388" s="20">
        <v>0.68888888888888888</v>
      </c>
      <c r="AB388" s="16">
        <v>6</v>
      </c>
      <c r="AC388" s="17" t="s">
        <v>41</v>
      </c>
      <c r="AD388" s="9" t="str">
        <f t="shared" si="5"/>
        <v>Actual</v>
      </c>
      <c r="AE388" s="9" t="str">
        <f t="shared" si="6"/>
        <v>TMK7</v>
      </c>
      <c r="AF388" s="9">
        <f>HOUR(O388)</f>
        <v>16</v>
      </c>
      <c r="AG388" s="9">
        <f>DAY(O388)</f>
        <v>18</v>
      </c>
      <c r="AH388" s="9">
        <f>IFERROR((I388-K388)*24*60,0)</f>
        <v>1.9999999960418791</v>
      </c>
      <c r="AI388" s="9">
        <f t="shared" si="7"/>
        <v>1.9999999960418791</v>
      </c>
      <c r="AJ388" s="9">
        <f>C388</f>
        <v>2092</v>
      </c>
      <c r="AK388" s="9">
        <f>IF(P388="completed",((V388-K388)*24*60),0)</f>
        <v>8.9999999979045242</v>
      </c>
      <c r="AL388" s="9">
        <f>IF(P388="completed",((U388-K388)*24*60),0)</f>
        <v>8.9999999979045242</v>
      </c>
      <c r="AM388" s="9" t="str">
        <f t="shared" si="8"/>
        <v>OTP Breached</v>
      </c>
      <c r="AN388" s="9" t="str">
        <f t="shared" si="9"/>
        <v>OTP Achieved</v>
      </c>
    </row>
    <row r="389" spans="1:40" ht="15">
      <c r="A389" s="14" t="s">
        <v>734</v>
      </c>
      <c r="B389" s="15">
        <v>46313.688194444447</v>
      </c>
      <c r="C389" s="16">
        <v>1465</v>
      </c>
      <c r="D389" s="17" t="s">
        <v>41</v>
      </c>
      <c r="E389" s="16">
        <v>6</v>
      </c>
      <c r="F389" s="17" t="s">
        <v>41</v>
      </c>
      <c r="G389" s="17" t="s">
        <v>41</v>
      </c>
      <c r="H389" s="17" t="s">
        <v>1262</v>
      </c>
      <c r="I389" s="15">
        <v>46313.688888888886</v>
      </c>
      <c r="J389" s="17" t="s">
        <v>41</v>
      </c>
      <c r="K389" s="15">
        <v>46313.688194444447</v>
      </c>
      <c r="L389" s="16">
        <v>43</v>
      </c>
      <c r="M389" s="17"/>
      <c r="N389" s="17"/>
      <c r="O389" s="15">
        <v>46313.686111111114</v>
      </c>
      <c r="P389" s="17" t="s">
        <v>43</v>
      </c>
      <c r="Q389" s="17" t="s">
        <v>736</v>
      </c>
      <c r="R389" s="17" t="s">
        <v>1263</v>
      </c>
      <c r="S389" s="16">
        <v>4247</v>
      </c>
      <c r="T389" s="17" t="s">
        <v>41</v>
      </c>
      <c r="U389" s="15">
        <v>46313.693055555559</v>
      </c>
      <c r="V389" s="15">
        <v>46313.692361111112</v>
      </c>
      <c r="W389" s="18" t="s">
        <v>1264</v>
      </c>
      <c r="X389" s="16">
        <v>22411</v>
      </c>
      <c r="Y389" s="19"/>
      <c r="Z389" s="16">
        <v>0</v>
      </c>
      <c r="AA389" s="20">
        <v>0.68819444444444444</v>
      </c>
      <c r="AB389" s="16">
        <v>5</v>
      </c>
      <c r="AC389" s="17" t="s">
        <v>41</v>
      </c>
      <c r="AD389" s="9" t="str">
        <f t="shared" si="5"/>
        <v>Actual</v>
      </c>
      <c r="AE389" s="9" t="str">
        <f t="shared" si="6"/>
        <v>TMK7</v>
      </c>
      <c r="AF389" s="9">
        <f>HOUR(O389)</f>
        <v>16</v>
      </c>
      <c r="AG389" s="9">
        <f>DAY(O389)</f>
        <v>18</v>
      </c>
      <c r="AH389" s="9">
        <f>IFERROR((I389-K389)*24*60,0)</f>
        <v>0.99999999278225005</v>
      </c>
      <c r="AI389" s="9">
        <f t="shared" si="7"/>
        <v>0.99999999278225005</v>
      </c>
      <c r="AJ389" s="9">
        <f>C389</f>
        <v>1465</v>
      </c>
      <c r="AK389" s="9">
        <f>IF(P389="completed",((V389-K389)*24*60),0)</f>
        <v>5.9999999986030161</v>
      </c>
      <c r="AL389" s="9">
        <f>IF(P389="completed",((U389-K389)*24*60),0)</f>
        <v>7.0000000018626451</v>
      </c>
      <c r="AM389" s="9" t="str">
        <f t="shared" si="8"/>
        <v>OTP Achieved</v>
      </c>
      <c r="AN389" s="9" t="str">
        <f t="shared" si="9"/>
        <v>OTP Achieved</v>
      </c>
    </row>
    <row r="390" spans="1:40" ht="15">
      <c r="A390" s="14" t="s">
        <v>52</v>
      </c>
      <c r="B390" s="15">
        <v>46313.688194444447</v>
      </c>
      <c r="C390" s="16">
        <v>899</v>
      </c>
      <c r="D390" s="17" t="s">
        <v>41</v>
      </c>
      <c r="E390" s="16">
        <v>4</v>
      </c>
      <c r="F390" s="17" t="s">
        <v>41</v>
      </c>
      <c r="G390" s="17" t="s">
        <v>41</v>
      </c>
      <c r="H390" s="17" t="s">
        <v>1265</v>
      </c>
      <c r="I390" s="15">
        <v>46313.688888888886</v>
      </c>
      <c r="J390" s="17" t="s">
        <v>41</v>
      </c>
      <c r="K390" s="15">
        <v>46313.688888888886</v>
      </c>
      <c r="L390" s="16">
        <v>34</v>
      </c>
      <c r="M390" s="17"/>
      <c r="N390" s="17"/>
      <c r="O390" s="15">
        <v>46313.685416666667</v>
      </c>
      <c r="P390" s="17" t="s">
        <v>43</v>
      </c>
      <c r="Q390" s="17" t="s">
        <v>54</v>
      </c>
      <c r="R390" s="17" t="s">
        <v>1266</v>
      </c>
      <c r="S390" s="16">
        <v>4247</v>
      </c>
      <c r="T390" s="17" t="s">
        <v>41</v>
      </c>
      <c r="U390" s="15">
        <v>46313.691666666666</v>
      </c>
      <c r="V390" s="15">
        <v>46313.690972222219</v>
      </c>
      <c r="W390" s="18" t="s">
        <v>1267</v>
      </c>
      <c r="X390" s="16">
        <v>22411</v>
      </c>
      <c r="Y390" s="19"/>
      <c r="Z390" s="16">
        <v>0</v>
      </c>
      <c r="AA390" s="20">
        <v>0.68819444444444444</v>
      </c>
      <c r="AB390" s="16">
        <v>3</v>
      </c>
      <c r="AC390" s="17" t="s">
        <v>41</v>
      </c>
      <c r="AD390" s="9" t="str">
        <f t="shared" si="5"/>
        <v>Actual</v>
      </c>
      <c r="AE390" s="9" t="str">
        <f t="shared" si="6"/>
        <v>TMK7</v>
      </c>
      <c r="AF390" s="9">
        <f>HOUR(O390)</f>
        <v>16</v>
      </c>
      <c r="AG390" s="9">
        <f>DAY(O390)</f>
        <v>18</v>
      </c>
      <c r="AH390" s="9">
        <f>IFERROR((I390-K390)*24*60,0)</f>
        <v>0</v>
      </c>
      <c r="AI390" s="9">
        <f t="shared" si="7"/>
        <v>0</v>
      </c>
      <c r="AJ390" s="9">
        <f>C390</f>
        <v>899</v>
      </c>
      <c r="AK390" s="9">
        <f>IF(P390="completed",((V390-K390)*24*60),0)</f>
        <v>2.9999999993015081</v>
      </c>
      <c r="AL390" s="9">
        <f>IF(P390="completed",((U390-K390)*24*60),0)</f>
        <v>4.0000000025611371</v>
      </c>
      <c r="AM390" s="9" t="str">
        <f t="shared" si="8"/>
        <v>OTP Achieved</v>
      </c>
      <c r="AN390" s="9" t="str">
        <f t="shared" si="9"/>
        <v>OTP Achieved</v>
      </c>
    </row>
    <row r="391" spans="1:40" ht="15">
      <c r="A391" s="14" t="s">
        <v>125</v>
      </c>
      <c r="B391" s="15">
        <v>46313.6875</v>
      </c>
      <c r="C391" s="16">
        <v>960</v>
      </c>
      <c r="D391" s="17" t="s">
        <v>41</v>
      </c>
      <c r="E391" s="16">
        <v>3</v>
      </c>
      <c r="F391" s="17" t="s">
        <v>41</v>
      </c>
      <c r="G391" s="17" t="s">
        <v>41</v>
      </c>
      <c r="H391" s="17" t="s">
        <v>1268</v>
      </c>
      <c r="I391" s="15">
        <v>46313.6875</v>
      </c>
      <c r="J391" s="17" t="s">
        <v>41</v>
      </c>
      <c r="K391" s="15">
        <v>46313.686111111114</v>
      </c>
      <c r="L391" s="16">
        <v>24</v>
      </c>
      <c r="M391" s="17"/>
      <c r="N391" s="17"/>
      <c r="O391" s="15">
        <v>46313.68472222222</v>
      </c>
      <c r="P391" s="17" t="s">
        <v>43</v>
      </c>
      <c r="Q391" s="17" t="s">
        <v>127</v>
      </c>
      <c r="R391" s="17" t="s">
        <v>1269</v>
      </c>
      <c r="S391" s="16">
        <v>4247</v>
      </c>
      <c r="T391" s="17" t="s">
        <v>41</v>
      </c>
      <c r="U391" s="15">
        <v>46313.69027777778</v>
      </c>
      <c r="V391" s="15">
        <v>46313.689583333333</v>
      </c>
      <c r="W391" s="18" t="s">
        <v>1270</v>
      </c>
      <c r="X391" s="16">
        <v>22411</v>
      </c>
      <c r="Y391" s="19"/>
      <c r="Z391" s="16">
        <v>0</v>
      </c>
      <c r="AA391" s="20">
        <v>0.6875</v>
      </c>
      <c r="AB391" s="16">
        <v>3</v>
      </c>
      <c r="AC391" s="17" t="s">
        <v>41</v>
      </c>
      <c r="AD391" s="9" t="str">
        <f t="shared" si="5"/>
        <v>Actual</v>
      </c>
      <c r="AE391" s="9" t="str">
        <f t="shared" si="6"/>
        <v>TMK7</v>
      </c>
      <c r="AF391" s="9">
        <f>HOUR(O391)</f>
        <v>16</v>
      </c>
      <c r="AG391" s="9">
        <f>DAY(O391)</f>
        <v>18</v>
      </c>
      <c r="AH391" s="9">
        <f>IFERROR((I391-K391)*24*60,0)</f>
        <v>1.9999999960418791</v>
      </c>
      <c r="AI391" s="9">
        <f t="shared" si="7"/>
        <v>1.9999999960418791</v>
      </c>
      <c r="AJ391" s="9">
        <f>C391</f>
        <v>960</v>
      </c>
      <c r="AK391" s="9">
        <f>IF(P391="completed",((V391-K391)*24*60),0)</f>
        <v>4.9999999953433871</v>
      </c>
      <c r="AL391" s="9">
        <f>IF(P391="completed",((U391-K391)*24*60),0)</f>
        <v>5.9999999986030161</v>
      </c>
      <c r="AM391" s="9" t="str">
        <f t="shared" si="8"/>
        <v>OTP Achieved</v>
      </c>
      <c r="AN391" s="9" t="str">
        <f t="shared" si="9"/>
        <v>OTP Achieved</v>
      </c>
    </row>
    <row r="392" spans="1:40" ht="15">
      <c r="A392" s="14" t="s">
        <v>1171</v>
      </c>
      <c r="B392" s="15">
        <v>46313.686111111114</v>
      </c>
      <c r="C392" s="16">
        <v>2234</v>
      </c>
      <c r="D392" s="17" t="s">
        <v>41</v>
      </c>
      <c r="E392" s="16">
        <v>7</v>
      </c>
      <c r="F392" s="17" t="s">
        <v>41</v>
      </c>
      <c r="G392" s="17" t="s">
        <v>41</v>
      </c>
      <c r="H392" s="17" t="s">
        <v>1271</v>
      </c>
      <c r="I392" s="15">
        <v>46313.6875</v>
      </c>
      <c r="J392" s="17" t="s">
        <v>41</v>
      </c>
      <c r="K392" s="15">
        <v>46313.686805555553</v>
      </c>
      <c r="L392" s="16">
        <v>44</v>
      </c>
      <c r="M392" s="17"/>
      <c r="N392" s="17"/>
      <c r="O392" s="15">
        <v>46313.68472222222</v>
      </c>
      <c r="P392" s="17" t="s">
        <v>43</v>
      </c>
      <c r="Q392" s="17" t="s">
        <v>1173</v>
      </c>
      <c r="R392" s="17" t="s">
        <v>1272</v>
      </c>
      <c r="S392" s="16">
        <v>4247</v>
      </c>
      <c r="T392" s="17" t="s">
        <v>41</v>
      </c>
      <c r="U392" s="15">
        <v>46313.692361111112</v>
      </c>
      <c r="V392" s="15">
        <v>46313.691666666666</v>
      </c>
      <c r="W392" s="18" t="s">
        <v>1273</v>
      </c>
      <c r="X392" s="16">
        <v>22411</v>
      </c>
      <c r="Y392" s="19"/>
      <c r="Z392" s="16">
        <v>0</v>
      </c>
      <c r="AA392" s="20">
        <v>0.68611111111111112</v>
      </c>
      <c r="AB392" s="16">
        <v>6</v>
      </c>
      <c r="AC392" s="17" t="s">
        <v>41</v>
      </c>
      <c r="AD392" s="9" t="str">
        <f t="shared" si="5"/>
        <v>Actual</v>
      </c>
      <c r="AE392" s="9" t="str">
        <f t="shared" si="6"/>
        <v>TMK7</v>
      </c>
      <c r="AF392" s="9">
        <f>HOUR(O392)</f>
        <v>16</v>
      </c>
      <c r="AG392" s="9">
        <f>DAY(O392)</f>
        <v>18</v>
      </c>
      <c r="AH392" s="9">
        <f>IFERROR((I392-K392)*24*60,0)</f>
        <v>1.000000003259629</v>
      </c>
      <c r="AI392" s="9">
        <f t="shared" si="7"/>
        <v>1.000000003259629</v>
      </c>
      <c r="AJ392" s="9">
        <f>C392</f>
        <v>2234</v>
      </c>
      <c r="AK392" s="9">
        <f>IF(P392="completed",((V392-K392)*24*60),0)</f>
        <v>7.0000000018626451</v>
      </c>
      <c r="AL392" s="9">
        <f>IF(P392="completed",((U392-K392)*24*60),0)</f>
        <v>8.0000000051222742</v>
      </c>
      <c r="AM392" s="9" t="str">
        <f t="shared" si="8"/>
        <v>OTP Achieved</v>
      </c>
      <c r="AN392" s="9" t="str">
        <f t="shared" si="9"/>
        <v>OTP Achieved</v>
      </c>
    </row>
    <row r="393" spans="1:40" ht="15">
      <c r="A393" s="14" t="s">
        <v>339</v>
      </c>
      <c r="B393" s="15">
        <v>46313.685416666667</v>
      </c>
      <c r="C393" s="16">
        <v>1649</v>
      </c>
      <c r="D393" s="17" t="s">
        <v>41</v>
      </c>
      <c r="E393" s="16">
        <v>5</v>
      </c>
      <c r="F393" s="17" t="s">
        <v>41</v>
      </c>
      <c r="G393" s="17" t="s">
        <v>41</v>
      </c>
      <c r="H393" s="17" t="s">
        <v>1274</v>
      </c>
      <c r="I393" s="15">
        <v>46313.686111111114</v>
      </c>
      <c r="J393" s="17" t="s">
        <v>41</v>
      </c>
      <c r="K393" s="15">
        <v>46313.686111111114</v>
      </c>
      <c r="L393" s="16">
        <v>34</v>
      </c>
      <c r="M393" s="17"/>
      <c r="N393" s="17"/>
      <c r="O393" s="15">
        <v>46313.68472222222</v>
      </c>
      <c r="P393" s="17" t="s">
        <v>43</v>
      </c>
      <c r="Q393" s="17" t="s">
        <v>341</v>
      </c>
      <c r="R393" s="17" t="s">
        <v>1275</v>
      </c>
      <c r="S393" s="16">
        <v>4247</v>
      </c>
      <c r="T393" s="17" t="s">
        <v>41</v>
      </c>
      <c r="U393" s="15">
        <v>46313.690972222219</v>
      </c>
      <c r="V393" s="15">
        <v>46313.689583333333</v>
      </c>
      <c r="W393" s="18" t="s">
        <v>1276</v>
      </c>
      <c r="X393" s="16">
        <v>22411</v>
      </c>
      <c r="Y393" s="17"/>
      <c r="Z393" s="16">
        <v>0</v>
      </c>
      <c r="AA393" s="20">
        <v>0.68541666666666667</v>
      </c>
      <c r="AB393" s="16">
        <v>5</v>
      </c>
      <c r="AC393" s="17" t="s">
        <v>41</v>
      </c>
      <c r="AD393" s="9" t="str">
        <f t="shared" si="5"/>
        <v>Actual</v>
      </c>
      <c r="AE393" s="9" t="str">
        <f t="shared" si="6"/>
        <v>TMK7</v>
      </c>
      <c r="AF393" s="9">
        <f>HOUR(O393)</f>
        <v>16</v>
      </c>
      <c r="AG393" s="9">
        <f>DAY(O393)</f>
        <v>18</v>
      </c>
      <c r="AH393" s="9">
        <f>IFERROR((I393-K393)*24*60,0)</f>
        <v>0</v>
      </c>
      <c r="AI393" s="9">
        <f t="shared" si="7"/>
        <v>0</v>
      </c>
      <c r="AJ393" s="9">
        <f>C393</f>
        <v>1649</v>
      </c>
      <c r="AK393" s="9">
        <f>IF(P393="completed",((V393-K393)*24*60),0)</f>
        <v>4.9999999953433871</v>
      </c>
      <c r="AL393" s="9">
        <f>IF(P393="completed",((U393-K393)*24*60),0)</f>
        <v>6.9999999913852662</v>
      </c>
      <c r="AM393" s="9" t="str">
        <f t="shared" si="8"/>
        <v>OTP Achieved</v>
      </c>
      <c r="AN393" s="9" t="str">
        <f t="shared" si="9"/>
        <v>OTP Achieved</v>
      </c>
    </row>
    <row r="394" spans="1:40" ht="15">
      <c r="A394" s="14" t="s">
        <v>1077</v>
      </c>
      <c r="B394" s="15">
        <v>46313.68472222222</v>
      </c>
      <c r="C394" s="16">
        <v>1327</v>
      </c>
      <c r="D394" s="17" t="s">
        <v>41</v>
      </c>
      <c r="E394" s="16">
        <v>4</v>
      </c>
      <c r="F394" s="17" t="s">
        <v>41</v>
      </c>
      <c r="G394" s="17" t="s">
        <v>41</v>
      </c>
      <c r="H394" s="17" t="s">
        <v>1277</v>
      </c>
      <c r="I394" s="15">
        <v>46313.688888888886</v>
      </c>
      <c r="J394" s="17" t="s">
        <v>41</v>
      </c>
      <c r="K394" s="15">
        <v>46313.688888888886</v>
      </c>
      <c r="L394" s="16">
        <v>26</v>
      </c>
      <c r="M394" s="17"/>
      <c r="N394" s="17"/>
      <c r="O394" s="15">
        <v>46313.68472222222</v>
      </c>
      <c r="P394" s="17" t="s">
        <v>43</v>
      </c>
      <c r="Q394" s="17" t="s">
        <v>1079</v>
      </c>
      <c r="R394" s="17" t="s">
        <v>1278</v>
      </c>
      <c r="S394" s="16">
        <v>4247</v>
      </c>
      <c r="T394" s="17" t="s">
        <v>41</v>
      </c>
      <c r="U394" s="15">
        <v>46313.693055555559</v>
      </c>
      <c r="V394" s="15">
        <v>46313.691666666666</v>
      </c>
      <c r="W394" s="18" t="s">
        <v>1279</v>
      </c>
      <c r="X394" s="16">
        <v>22411</v>
      </c>
      <c r="Y394" s="19"/>
      <c r="Z394" s="16">
        <v>0</v>
      </c>
      <c r="AA394" s="20">
        <v>0.68472222222222223</v>
      </c>
      <c r="AB394" s="16">
        <v>3</v>
      </c>
      <c r="AC394" s="17" t="s">
        <v>41</v>
      </c>
      <c r="AD394" s="9" t="str">
        <f t="shared" si="5"/>
        <v>Actual</v>
      </c>
      <c r="AE394" s="9" t="str">
        <f t="shared" si="6"/>
        <v>TMK7</v>
      </c>
      <c r="AF394" s="9">
        <f>HOUR(O394)</f>
        <v>16</v>
      </c>
      <c r="AG394" s="9">
        <f>DAY(O394)</f>
        <v>18</v>
      </c>
      <c r="AH394" s="9">
        <f>IFERROR((I394-K394)*24*60,0)</f>
        <v>0</v>
      </c>
      <c r="AI394" s="9">
        <f t="shared" si="7"/>
        <v>0</v>
      </c>
      <c r="AJ394" s="9">
        <f>C394</f>
        <v>1327</v>
      </c>
      <c r="AK394" s="9">
        <f>IF(P394="completed",((V394-K394)*24*60),0)</f>
        <v>4.0000000025611371</v>
      </c>
      <c r="AL394" s="9">
        <f>IF(P394="completed",((U394-K394)*24*60),0)</f>
        <v>6.0000000090803951</v>
      </c>
      <c r="AM394" s="9" t="str">
        <f t="shared" si="8"/>
        <v>OTP Achieved</v>
      </c>
      <c r="AN394" s="9" t="str">
        <f t="shared" si="9"/>
        <v>OTP Achieved</v>
      </c>
    </row>
    <row r="395" spans="1:40" ht="15">
      <c r="A395" s="14" t="s">
        <v>77</v>
      </c>
      <c r="B395" s="15">
        <v>46313.683333333334</v>
      </c>
      <c r="C395" s="16">
        <v>2243</v>
      </c>
      <c r="D395" s="17" t="s">
        <v>41</v>
      </c>
      <c r="E395" s="16">
        <v>5</v>
      </c>
      <c r="F395" s="17" t="s">
        <v>41</v>
      </c>
      <c r="G395" s="17" t="s">
        <v>41</v>
      </c>
      <c r="H395" s="17" t="s">
        <v>1280</v>
      </c>
      <c r="I395" s="15">
        <v>46313.685416666667</v>
      </c>
      <c r="J395" s="17" t="s">
        <v>41</v>
      </c>
      <c r="K395" s="15">
        <v>46313.685416666667</v>
      </c>
      <c r="L395" s="16">
        <v>26</v>
      </c>
      <c r="M395" s="17"/>
      <c r="N395" s="17"/>
      <c r="O395" s="15">
        <v>46313.683333333334</v>
      </c>
      <c r="P395" s="17" t="s">
        <v>43</v>
      </c>
      <c r="Q395" s="17" t="s">
        <v>79</v>
      </c>
      <c r="R395" s="17" t="s">
        <v>1281</v>
      </c>
      <c r="S395" s="16">
        <v>4247</v>
      </c>
      <c r="T395" s="17" t="s">
        <v>41</v>
      </c>
      <c r="U395" s="15">
        <v>46313.69027777778</v>
      </c>
      <c r="V395" s="15">
        <v>46313.688194444447</v>
      </c>
      <c r="W395" s="18" t="s">
        <v>1282</v>
      </c>
      <c r="X395" s="16">
        <v>22411</v>
      </c>
      <c r="Y395" s="19"/>
      <c r="Z395" s="16">
        <v>0</v>
      </c>
      <c r="AA395" s="20">
        <v>0.68333333333333335</v>
      </c>
      <c r="AB395" s="16">
        <v>4</v>
      </c>
      <c r="AC395" s="17" t="s">
        <v>41</v>
      </c>
      <c r="AD395" s="9" t="str">
        <f t="shared" si="5"/>
        <v>Actual</v>
      </c>
      <c r="AE395" s="9" t="str">
        <f t="shared" si="6"/>
        <v>TMK7</v>
      </c>
      <c r="AF395" s="9">
        <f>HOUR(O395)</f>
        <v>16</v>
      </c>
      <c r="AG395" s="9">
        <f>DAY(O395)</f>
        <v>18</v>
      </c>
      <c r="AH395" s="9">
        <f>IFERROR((I395-K395)*24*60,0)</f>
        <v>0</v>
      </c>
      <c r="AI395" s="9">
        <f t="shared" si="7"/>
        <v>0</v>
      </c>
      <c r="AJ395" s="9">
        <f>C395</f>
        <v>2243</v>
      </c>
      <c r="AK395" s="9">
        <f>IF(P395="completed",((V395-K395)*24*60),0)</f>
        <v>4.0000000025611371</v>
      </c>
      <c r="AL395" s="9">
        <f>IF(P395="completed",((U395-K395)*24*60),0)</f>
        <v>7.0000000018626451</v>
      </c>
      <c r="AM395" s="9" t="str">
        <f t="shared" si="8"/>
        <v>OTP Achieved</v>
      </c>
      <c r="AN395" s="9" t="str">
        <f t="shared" si="9"/>
        <v>OTP Achieved</v>
      </c>
    </row>
    <row r="396" spans="1:40" ht="15">
      <c r="A396" s="14" t="s">
        <v>339</v>
      </c>
      <c r="B396" s="15">
        <v>46313.681250000001</v>
      </c>
      <c r="C396" s="16">
        <v>226</v>
      </c>
      <c r="D396" s="17" t="s">
        <v>41</v>
      </c>
      <c r="E396" s="16">
        <v>1</v>
      </c>
      <c r="F396" s="17" t="s">
        <v>41</v>
      </c>
      <c r="G396" s="17" t="s">
        <v>41</v>
      </c>
      <c r="H396" s="17" t="s">
        <v>1283</v>
      </c>
      <c r="I396" s="15">
        <v>46313.681944444441</v>
      </c>
      <c r="J396" s="17" t="s">
        <v>41</v>
      </c>
      <c r="K396" s="15">
        <v>46313.681944444441</v>
      </c>
      <c r="L396" s="16">
        <v>30</v>
      </c>
      <c r="M396" s="17"/>
      <c r="N396" s="17"/>
      <c r="O396" s="15">
        <v>46313.681250000001</v>
      </c>
      <c r="P396" s="17" t="s">
        <v>43</v>
      </c>
      <c r="Q396" s="17" t="s">
        <v>341</v>
      </c>
      <c r="R396" s="17" t="s">
        <v>1284</v>
      </c>
      <c r="S396" s="16">
        <v>4247</v>
      </c>
      <c r="T396" s="17" t="s">
        <v>41</v>
      </c>
      <c r="U396" s="15">
        <v>46313.683333333334</v>
      </c>
      <c r="V396" s="15">
        <v>46313.682638888888</v>
      </c>
      <c r="W396" s="18" t="s">
        <v>1285</v>
      </c>
      <c r="X396" s="16">
        <v>22411</v>
      </c>
      <c r="Y396" s="19"/>
      <c r="Z396" s="16">
        <v>0</v>
      </c>
      <c r="AA396" s="20">
        <v>0.68125000000000002</v>
      </c>
      <c r="AB396" s="16">
        <v>0</v>
      </c>
      <c r="AC396" s="17" t="s">
        <v>41</v>
      </c>
      <c r="AD396" s="9" t="str">
        <f t="shared" si="5"/>
        <v>Actual</v>
      </c>
      <c r="AE396" s="9" t="str">
        <f t="shared" si="6"/>
        <v>TMK7</v>
      </c>
      <c r="AF396" s="9">
        <f>HOUR(O396)</f>
        <v>16</v>
      </c>
      <c r="AG396" s="9">
        <f>DAY(O396)</f>
        <v>18</v>
      </c>
      <c r="AH396" s="9">
        <f>IFERROR((I396-K396)*24*60,0)</f>
        <v>0</v>
      </c>
      <c r="AI396" s="9">
        <f t="shared" si="7"/>
        <v>0</v>
      </c>
      <c r="AJ396" s="9">
        <f>C396</f>
        <v>226</v>
      </c>
      <c r="AK396" s="9">
        <f>IF(P396="completed",((V396-K396)*24*60),0)</f>
        <v>1.000000003259629</v>
      </c>
      <c r="AL396" s="9">
        <f>IF(P396="completed",((U396-K396)*24*60),0)</f>
        <v>2.000000006519258</v>
      </c>
      <c r="AM396" s="9" t="str">
        <f t="shared" si="8"/>
        <v>OTP Achieved</v>
      </c>
      <c r="AN396" s="9" t="str">
        <f t="shared" si="9"/>
        <v>OTP Achieved</v>
      </c>
    </row>
    <row r="397" spans="1:40" ht="15">
      <c r="A397" s="14" t="s">
        <v>72</v>
      </c>
      <c r="B397" s="15">
        <v>46313.681250000001</v>
      </c>
      <c r="C397" s="16">
        <v>2129</v>
      </c>
      <c r="D397" s="17" t="s">
        <v>41</v>
      </c>
      <c r="E397" s="16">
        <v>6</v>
      </c>
      <c r="F397" s="17" t="s">
        <v>41</v>
      </c>
      <c r="G397" s="17" t="s">
        <v>41</v>
      </c>
      <c r="H397" s="17" t="s">
        <v>1286</v>
      </c>
      <c r="I397" s="15">
        <v>46313.683333333334</v>
      </c>
      <c r="J397" s="17" t="s">
        <v>41</v>
      </c>
      <c r="K397" s="15">
        <v>46313.682638888888</v>
      </c>
      <c r="L397" s="16">
        <v>27</v>
      </c>
      <c r="M397" s="17"/>
      <c r="N397" s="17"/>
      <c r="O397" s="15">
        <v>46313.681250000001</v>
      </c>
      <c r="P397" s="17" t="s">
        <v>43</v>
      </c>
      <c r="Q397" s="17" t="s">
        <v>74</v>
      </c>
      <c r="R397" s="17" t="s">
        <v>1287</v>
      </c>
      <c r="S397" s="16">
        <v>4247</v>
      </c>
      <c r="T397" s="17" t="s">
        <v>41</v>
      </c>
      <c r="U397" s="15">
        <v>46313.688888888886</v>
      </c>
      <c r="V397" s="15">
        <v>46313.686805555553</v>
      </c>
      <c r="W397" s="18" t="s">
        <v>1288</v>
      </c>
      <c r="X397" s="16">
        <v>22411</v>
      </c>
      <c r="Y397" s="19"/>
      <c r="Z397" s="16">
        <v>0</v>
      </c>
      <c r="AA397" s="20">
        <v>0.68125000000000002</v>
      </c>
      <c r="AB397" s="16">
        <v>6</v>
      </c>
      <c r="AC397" s="17" t="s">
        <v>41</v>
      </c>
      <c r="AD397" s="9" t="str">
        <f t="shared" si="5"/>
        <v>Actual</v>
      </c>
      <c r="AE397" s="9" t="str">
        <f t="shared" si="6"/>
        <v>TMK7</v>
      </c>
      <c r="AF397" s="9">
        <f>HOUR(O397)</f>
        <v>16</v>
      </c>
      <c r="AG397" s="9">
        <f>DAY(O397)</f>
        <v>18</v>
      </c>
      <c r="AH397" s="9">
        <f>IFERROR((I397-K397)*24*60,0)</f>
        <v>1.000000003259629</v>
      </c>
      <c r="AI397" s="9">
        <f t="shared" si="7"/>
        <v>1.000000003259629</v>
      </c>
      <c r="AJ397" s="9">
        <f>C397</f>
        <v>2129</v>
      </c>
      <c r="AK397" s="9">
        <f>IF(P397="completed",((V397-K397)*24*60),0)</f>
        <v>5.9999999986030161</v>
      </c>
      <c r="AL397" s="9">
        <f>IF(P397="completed",((U397-K397)*24*60),0)</f>
        <v>8.9999999979045242</v>
      </c>
      <c r="AM397" s="9" t="str">
        <f t="shared" si="8"/>
        <v>OTP Achieved</v>
      </c>
      <c r="AN397" s="9" t="str">
        <f t="shared" si="9"/>
        <v>OTP Achieved</v>
      </c>
    </row>
    <row r="398" spans="1:40" ht="15">
      <c r="A398" s="14" t="s">
        <v>379</v>
      </c>
      <c r="B398" s="15">
        <v>46313.680555555555</v>
      </c>
      <c r="C398" s="16">
        <v>2787</v>
      </c>
      <c r="D398" s="17" t="s">
        <v>41</v>
      </c>
      <c r="E398" s="16">
        <v>8</v>
      </c>
      <c r="F398" s="17" t="s">
        <v>41</v>
      </c>
      <c r="G398" s="17" t="s">
        <v>41</v>
      </c>
      <c r="H398" s="17" t="s">
        <v>1289</v>
      </c>
      <c r="I398" s="15">
        <v>46313.683333333334</v>
      </c>
      <c r="J398" s="17" t="s">
        <v>41</v>
      </c>
      <c r="K398" s="15">
        <v>46313.682638888888</v>
      </c>
      <c r="L398" s="16">
        <v>17</v>
      </c>
      <c r="M398" s="17"/>
      <c r="N398" s="17"/>
      <c r="O398" s="15">
        <v>46313.680555555555</v>
      </c>
      <c r="P398" s="17" t="s">
        <v>43</v>
      </c>
      <c r="Q398" s="17" t="s">
        <v>381</v>
      </c>
      <c r="R398" s="17" t="s">
        <v>1290</v>
      </c>
      <c r="S398" s="16">
        <v>4247</v>
      </c>
      <c r="T398" s="17" t="s">
        <v>41</v>
      </c>
      <c r="U398" s="15">
        <v>46313.689583333333</v>
      </c>
      <c r="V398" s="15">
        <v>46313.688194444447</v>
      </c>
      <c r="W398" s="18" t="s">
        <v>1291</v>
      </c>
      <c r="X398" s="16">
        <v>22411</v>
      </c>
      <c r="Y398" s="19"/>
      <c r="Z398" s="16">
        <v>0</v>
      </c>
      <c r="AA398" s="20">
        <v>0.68055555555555558</v>
      </c>
      <c r="AB398" s="16">
        <v>7</v>
      </c>
      <c r="AC398" s="17" t="s">
        <v>41</v>
      </c>
      <c r="AD398" s="9" t="str">
        <f t="shared" si="5"/>
        <v>Actual</v>
      </c>
      <c r="AE398" s="9" t="str">
        <f t="shared" si="6"/>
        <v>TMK7</v>
      </c>
      <c r="AF398" s="9">
        <f>HOUR(O398)</f>
        <v>16</v>
      </c>
      <c r="AG398" s="9">
        <f>DAY(O398)</f>
        <v>18</v>
      </c>
      <c r="AH398" s="9">
        <f>IFERROR((I398-K398)*24*60,0)</f>
        <v>1.000000003259629</v>
      </c>
      <c r="AI398" s="9">
        <f t="shared" si="7"/>
        <v>1.000000003259629</v>
      </c>
      <c r="AJ398" s="9">
        <f>C398</f>
        <v>2787</v>
      </c>
      <c r="AK398" s="9">
        <f>IF(P398="completed",((V398-K398)*24*60),0)</f>
        <v>8.0000000051222742</v>
      </c>
      <c r="AL398" s="9">
        <f>IF(P398="completed",((U398-K398)*24*60),0)</f>
        <v>10.000000001164153</v>
      </c>
      <c r="AM398" s="9" t="str">
        <f t="shared" si="8"/>
        <v>OTP Achieved</v>
      </c>
      <c r="AN398" s="9" t="str">
        <f t="shared" si="9"/>
        <v>OTP Achieved</v>
      </c>
    </row>
    <row r="399" spans="1:40" ht="15">
      <c r="A399" s="14" t="s">
        <v>198</v>
      </c>
      <c r="B399" s="15">
        <v>46313.680555555555</v>
      </c>
      <c r="C399" s="16">
        <v>515</v>
      </c>
      <c r="D399" s="17" t="s">
        <v>41</v>
      </c>
      <c r="E399" s="16">
        <v>3</v>
      </c>
      <c r="F399" s="17" t="s">
        <v>41</v>
      </c>
      <c r="G399" s="17" t="s">
        <v>41</v>
      </c>
      <c r="H399" s="17" t="s">
        <v>1292</v>
      </c>
      <c r="I399" s="15">
        <v>46313.681250000001</v>
      </c>
      <c r="J399" s="17" t="s">
        <v>41</v>
      </c>
      <c r="K399" s="15">
        <v>46313.681250000001</v>
      </c>
      <c r="L399" s="16">
        <v>21</v>
      </c>
      <c r="M399" s="17"/>
      <c r="N399" s="17"/>
      <c r="O399" s="15">
        <v>46313.680555555555</v>
      </c>
      <c r="P399" s="17" t="s">
        <v>43</v>
      </c>
      <c r="Q399" s="17" t="s">
        <v>200</v>
      </c>
      <c r="R399" s="17" t="s">
        <v>1293</v>
      </c>
      <c r="S399" s="16">
        <v>4247</v>
      </c>
      <c r="T399" s="17" t="s">
        <v>41</v>
      </c>
      <c r="U399" s="15">
        <v>46313.683333333334</v>
      </c>
      <c r="V399" s="15">
        <v>46313.682638888888</v>
      </c>
      <c r="W399" s="18" t="s">
        <v>1294</v>
      </c>
      <c r="X399" s="16">
        <v>22411</v>
      </c>
      <c r="Y399" s="19"/>
      <c r="Z399" s="16">
        <v>0</v>
      </c>
      <c r="AA399" s="20">
        <v>0.68055555555555558</v>
      </c>
      <c r="AB399" s="16">
        <v>2</v>
      </c>
      <c r="AC399" s="17" t="s">
        <v>41</v>
      </c>
      <c r="AD399" s="9" t="str">
        <f t="shared" si="5"/>
        <v>Actual</v>
      </c>
      <c r="AE399" s="9" t="str">
        <f t="shared" si="6"/>
        <v>TMK7</v>
      </c>
      <c r="AF399" s="9">
        <f>HOUR(O399)</f>
        <v>16</v>
      </c>
      <c r="AG399" s="9">
        <f>DAY(O399)</f>
        <v>18</v>
      </c>
      <c r="AH399" s="9">
        <f>IFERROR((I399-K399)*24*60,0)</f>
        <v>0</v>
      </c>
      <c r="AI399" s="9">
        <f t="shared" si="7"/>
        <v>0</v>
      </c>
      <c r="AJ399" s="9">
        <f>C399</f>
        <v>515</v>
      </c>
      <c r="AK399" s="9">
        <f>IF(P399="completed",((V399-K399)*24*60),0)</f>
        <v>1.9999999960418791</v>
      </c>
      <c r="AL399" s="9">
        <f>IF(P399="completed",((U399-K399)*24*60),0)</f>
        <v>2.9999999993015081</v>
      </c>
      <c r="AM399" s="9" t="str">
        <f t="shared" si="8"/>
        <v>OTP Achieved</v>
      </c>
      <c r="AN399" s="9" t="str">
        <f t="shared" si="9"/>
        <v>OTP Achieved</v>
      </c>
    </row>
    <row r="400" spans="1:40" ht="15">
      <c r="A400" s="14" t="s">
        <v>347</v>
      </c>
      <c r="B400" s="15">
        <v>46313.679861111108</v>
      </c>
      <c r="C400" s="16">
        <v>1189</v>
      </c>
      <c r="D400" s="17" t="s">
        <v>41</v>
      </c>
      <c r="E400" s="16">
        <v>4</v>
      </c>
      <c r="F400" s="17" t="s">
        <v>41</v>
      </c>
      <c r="G400" s="17" t="s">
        <v>41</v>
      </c>
      <c r="H400" s="17" t="s">
        <v>1295</v>
      </c>
      <c r="I400" s="15">
        <v>46313.680555555555</v>
      </c>
      <c r="J400" s="17" t="s">
        <v>41</v>
      </c>
      <c r="K400" s="15">
        <v>46313.680555555555</v>
      </c>
      <c r="L400" s="16">
        <v>18</v>
      </c>
      <c r="M400" s="17"/>
      <c r="N400" s="17"/>
      <c r="O400" s="15">
        <v>46313.679861111108</v>
      </c>
      <c r="P400" s="17" t="s">
        <v>43</v>
      </c>
      <c r="Q400" s="17" t="s">
        <v>349</v>
      </c>
      <c r="R400" s="17" t="s">
        <v>1296</v>
      </c>
      <c r="S400" s="16">
        <v>4247</v>
      </c>
      <c r="T400" s="17" t="s">
        <v>41</v>
      </c>
      <c r="U400" s="15">
        <v>46313.685416666667</v>
      </c>
      <c r="V400" s="15">
        <v>46313.683333333334</v>
      </c>
      <c r="W400" s="18" t="s">
        <v>1297</v>
      </c>
      <c r="X400" s="16">
        <v>22411</v>
      </c>
      <c r="Y400" s="19"/>
      <c r="Z400" s="16">
        <v>0</v>
      </c>
      <c r="AA400" s="20">
        <v>0.67986111111111114</v>
      </c>
      <c r="AB400" s="16">
        <v>4</v>
      </c>
      <c r="AC400" s="17" t="s">
        <v>41</v>
      </c>
      <c r="AD400" s="9" t="str">
        <f t="shared" si="5"/>
        <v>Actual</v>
      </c>
      <c r="AE400" s="9" t="str">
        <f t="shared" si="6"/>
        <v>TMK7</v>
      </c>
      <c r="AF400" s="9">
        <f>HOUR(O400)</f>
        <v>16</v>
      </c>
      <c r="AG400" s="9">
        <f>DAY(O400)</f>
        <v>18</v>
      </c>
      <c r="AH400" s="9">
        <f>IFERROR((I400-K400)*24*60,0)</f>
        <v>0</v>
      </c>
      <c r="AI400" s="9">
        <f t="shared" si="7"/>
        <v>0</v>
      </c>
      <c r="AJ400" s="9">
        <f>C400</f>
        <v>1189</v>
      </c>
      <c r="AK400" s="9">
        <f>IF(P400="completed",((V400-K400)*24*60),0)</f>
        <v>4.0000000025611371</v>
      </c>
      <c r="AL400" s="9">
        <f>IF(P400="completed",((U400-K400)*24*60),0)</f>
        <v>7.0000000018626451</v>
      </c>
      <c r="AM400" s="9" t="str">
        <f t="shared" si="8"/>
        <v>OTP Achieved</v>
      </c>
      <c r="AN400" s="9" t="str">
        <f t="shared" si="9"/>
        <v>OTP Achieved</v>
      </c>
    </row>
    <row r="401" spans="1:40" ht="15">
      <c r="A401" s="14" t="s">
        <v>62</v>
      </c>
      <c r="B401" s="15">
        <v>46313.679166666669</v>
      </c>
      <c r="C401" s="16">
        <v>1216</v>
      </c>
      <c r="D401" s="17" t="s">
        <v>41</v>
      </c>
      <c r="E401" s="16">
        <v>5</v>
      </c>
      <c r="F401" s="17" t="s">
        <v>41</v>
      </c>
      <c r="G401" s="17" t="s">
        <v>41</v>
      </c>
      <c r="H401" s="17" t="s">
        <v>1298</v>
      </c>
      <c r="I401" s="15">
        <v>46313.679861111108</v>
      </c>
      <c r="J401" s="17" t="s">
        <v>41</v>
      </c>
      <c r="K401" s="15">
        <v>46313.679861111108</v>
      </c>
      <c r="L401" s="16">
        <v>27</v>
      </c>
      <c r="M401" s="17"/>
      <c r="N401" s="17"/>
      <c r="O401" s="15">
        <v>46313.678472222222</v>
      </c>
      <c r="P401" s="17" t="s">
        <v>43</v>
      </c>
      <c r="Q401" s="17" t="s">
        <v>64</v>
      </c>
      <c r="R401" s="17" t="s">
        <v>1299</v>
      </c>
      <c r="S401" s="16">
        <v>4247</v>
      </c>
      <c r="T401" s="17" t="s">
        <v>41</v>
      </c>
      <c r="U401" s="15">
        <v>46313.684027777781</v>
      </c>
      <c r="V401" s="15">
        <v>46313.683333333334</v>
      </c>
      <c r="W401" s="18" t="s">
        <v>1300</v>
      </c>
      <c r="X401" s="16">
        <v>22411</v>
      </c>
      <c r="Y401" s="19"/>
      <c r="Z401" s="16">
        <v>0</v>
      </c>
      <c r="AA401" s="20">
        <v>0.6791666666666667</v>
      </c>
      <c r="AB401" s="16">
        <v>5</v>
      </c>
      <c r="AC401" s="17" t="s">
        <v>41</v>
      </c>
      <c r="AD401" s="9" t="str">
        <f t="shared" si="5"/>
        <v>Actual</v>
      </c>
      <c r="AE401" s="9" t="str">
        <f t="shared" si="6"/>
        <v>TMK7</v>
      </c>
      <c r="AF401" s="9">
        <f>HOUR(O401)</f>
        <v>16</v>
      </c>
      <c r="AG401" s="9">
        <f>DAY(O401)</f>
        <v>18</v>
      </c>
      <c r="AH401" s="9">
        <f>IFERROR((I401-K401)*24*60,0)</f>
        <v>0</v>
      </c>
      <c r="AI401" s="9">
        <f t="shared" si="7"/>
        <v>0</v>
      </c>
      <c r="AJ401" s="9">
        <f>C401</f>
        <v>1216</v>
      </c>
      <c r="AK401" s="9">
        <f>IF(P401="completed",((V401-K401)*24*60),0)</f>
        <v>5.0000000058207661</v>
      </c>
      <c r="AL401" s="9">
        <f>IF(P401="completed",((U401-K401)*24*60),0)</f>
        <v>6.0000000090803951</v>
      </c>
      <c r="AM401" s="9" t="str">
        <f t="shared" si="8"/>
        <v>OTP Achieved</v>
      </c>
      <c r="AN401" s="9" t="str">
        <f t="shared" si="9"/>
        <v>OTP Achieved</v>
      </c>
    </row>
    <row r="402" spans="1:40" ht="15">
      <c r="A402" s="14" t="s">
        <v>1171</v>
      </c>
      <c r="B402" s="15">
        <v>46313.679166666669</v>
      </c>
      <c r="C402" s="16">
        <v>1062</v>
      </c>
      <c r="D402" s="17" t="s">
        <v>41</v>
      </c>
      <c r="E402" s="16">
        <v>3</v>
      </c>
      <c r="F402" s="17" t="s">
        <v>41</v>
      </c>
      <c r="G402" s="17" t="s">
        <v>41</v>
      </c>
      <c r="H402" s="17" t="s">
        <v>1301</v>
      </c>
      <c r="I402" s="15">
        <v>46313.680555555555</v>
      </c>
      <c r="J402" s="17" t="s">
        <v>41</v>
      </c>
      <c r="K402" s="15">
        <v>46313.679861111108</v>
      </c>
      <c r="L402" s="16">
        <v>56</v>
      </c>
      <c r="M402" s="17"/>
      <c r="N402" s="17"/>
      <c r="O402" s="15">
        <v>46313.678472222222</v>
      </c>
      <c r="P402" s="17" t="s">
        <v>43</v>
      </c>
      <c r="Q402" s="17" t="s">
        <v>1173</v>
      </c>
      <c r="R402" s="17" t="s">
        <v>1302</v>
      </c>
      <c r="S402" s="16">
        <v>4247</v>
      </c>
      <c r="T402" s="17" t="s">
        <v>41</v>
      </c>
      <c r="U402" s="15">
        <v>46313.684027777781</v>
      </c>
      <c r="V402" s="15">
        <v>46313.681944444441</v>
      </c>
      <c r="W402" s="18" t="s">
        <v>1303</v>
      </c>
      <c r="X402" s="16">
        <v>22411</v>
      </c>
      <c r="Y402" s="19"/>
      <c r="Z402" s="16">
        <v>0</v>
      </c>
      <c r="AA402" s="20">
        <v>0.6791666666666667</v>
      </c>
      <c r="AB402" s="16">
        <v>2</v>
      </c>
      <c r="AC402" s="17" t="s">
        <v>41</v>
      </c>
      <c r="AD402" s="9" t="str">
        <f t="shared" si="5"/>
        <v>Actual</v>
      </c>
      <c r="AE402" s="9" t="str">
        <f t="shared" si="6"/>
        <v>TMK7</v>
      </c>
      <c r="AF402" s="9">
        <f>HOUR(O402)</f>
        <v>16</v>
      </c>
      <c r="AG402" s="9">
        <f>DAY(O402)</f>
        <v>18</v>
      </c>
      <c r="AH402" s="9">
        <f>IFERROR((I402-K402)*24*60,0)</f>
        <v>1.000000003259629</v>
      </c>
      <c r="AI402" s="9">
        <f t="shared" si="7"/>
        <v>1.000000003259629</v>
      </c>
      <c r="AJ402" s="9">
        <f>C402</f>
        <v>1062</v>
      </c>
      <c r="AK402" s="9">
        <f>IF(P402="completed",((V402-K402)*24*60),0)</f>
        <v>2.9999999993015081</v>
      </c>
      <c r="AL402" s="9">
        <f>IF(P402="completed",((U402-K402)*24*60),0)</f>
        <v>6.0000000090803951</v>
      </c>
      <c r="AM402" s="9" t="str">
        <f t="shared" si="8"/>
        <v>OTP Achieved</v>
      </c>
      <c r="AN402" s="9" t="str">
        <f t="shared" si="9"/>
        <v>OTP Achieved</v>
      </c>
    </row>
    <row r="403" spans="1:40" ht="15">
      <c r="A403" s="14" t="s">
        <v>98</v>
      </c>
      <c r="B403" s="15">
        <v>46313.678472222222</v>
      </c>
      <c r="C403" s="16">
        <v>1853</v>
      </c>
      <c r="D403" s="17" t="s">
        <v>41</v>
      </c>
      <c r="E403" s="16">
        <v>5</v>
      </c>
      <c r="F403" s="17" t="s">
        <v>41</v>
      </c>
      <c r="G403" s="17" t="s">
        <v>41</v>
      </c>
      <c r="H403" s="17" t="s">
        <v>1304</v>
      </c>
      <c r="I403" s="15">
        <v>46313.680555555555</v>
      </c>
      <c r="J403" s="17" t="s">
        <v>41</v>
      </c>
      <c r="K403" s="15">
        <v>46313.680555555555</v>
      </c>
      <c r="L403" s="16">
        <v>19</v>
      </c>
      <c r="M403" s="17"/>
      <c r="N403" s="17"/>
      <c r="O403" s="15">
        <v>46313.678472222222</v>
      </c>
      <c r="P403" s="17" t="s">
        <v>43</v>
      </c>
      <c r="Q403" s="17" t="s">
        <v>100</v>
      </c>
      <c r="R403" s="17" t="s">
        <v>1305</v>
      </c>
      <c r="S403" s="16">
        <v>4247</v>
      </c>
      <c r="T403" s="17" t="s">
        <v>41</v>
      </c>
      <c r="U403" s="15">
        <v>46313.685416666667</v>
      </c>
      <c r="V403" s="15">
        <v>46313.684027777781</v>
      </c>
      <c r="W403" s="18" t="s">
        <v>1306</v>
      </c>
      <c r="X403" s="16">
        <v>22411</v>
      </c>
      <c r="Y403" s="19"/>
      <c r="Z403" s="16">
        <v>0</v>
      </c>
      <c r="AA403" s="20">
        <v>0.67847222222222225</v>
      </c>
      <c r="AB403" s="16">
        <v>4</v>
      </c>
      <c r="AC403" s="17" t="s">
        <v>41</v>
      </c>
      <c r="AD403" s="9" t="str">
        <f t="shared" si="5"/>
        <v>Actual</v>
      </c>
      <c r="AE403" s="9" t="str">
        <f t="shared" si="6"/>
        <v>TMK7</v>
      </c>
      <c r="AF403" s="9">
        <f>HOUR(O403)</f>
        <v>16</v>
      </c>
      <c r="AG403" s="9">
        <f>DAY(O403)</f>
        <v>18</v>
      </c>
      <c r="AH403" s="9">
        <f>IFERROR((I403-K403)*24*60,0)</f>
        <v>0</v>
      </c>
      <c r="AI403" s="9">
        <f t="shared" si="7"/>
        <v>0</v>
      </c>
      <c r="AJ403" s="9">
        <f>C403</f>
        <v>1853</v>
      </c>
      <c r="AK403" s="9">
        <f>IF(P403="completed",((V403-K403)*24*60),0)</f>
        <v>5.0000000058207661</v>
      </c>
      <c r="AL403" s="9">
        <f>IF(P403="completed",((U403-K403)*24*60),0)</f>
        <v>7.0000000018626451</v>
      </c>
      <c r="AM403" s="9" t="str">
        <f t="shared" si="8"/>
        <v>OTP Achieved</v>
      </c>
      <c r="AN403" s="9" t="str">
        <f t="shared" si="9"/>
        <v>OTP Achieved</v>
      </c>
    </row>
    <row r="404" spans="1:40" ht="15">
      <c r="A404" s="14" t="s">
        <v>57</v>
      </c>
      <c r="B404" s="15">
        <v>46313.677777777775</v>
      </c>
      <c r="C404" s="16">
        <v>1527</v>
      </c>
      <c r="D404" s="17" t="s">
        <v>41</v>
      </c>
      <c r="E404" s="16">
        <v>6</v>
      </c>
      <c r="F404" s="17" t="s">
        <v>41</v>
      </c>
      <c r="G404" s="17" t="s">
        <v>41</v>
      </c>
      <c r="H404" s="17" t="s">
        <v>1307</v>
      </c>
      <c r="I404" s="15">
        <v>46313.678472222222</v>
      </c>
      <c r="J404" s="17" t="s">
        <v>41</v>
      </c>
      <c r="K404" s="15">
        <v>46313.678472222222</v>
      </c>
      <c r="L404" s="16">
        <v>15</v>
      </c>
      <c r="M404" s="17"/>
      <c r="N404" s="17"/>
      <c r="O404" s="15">
        <v>46313.677777777775</v>
      </c>
      <c r="P404" s="17" t="s">
        <v>43</v>
      </c>
      <c r="Q404" s="17" t="s">
        <v>59</v>
      </c>
      <c r="R404" s="17" t="s">
        <v>1308</v>
      </c>
      <c r="S404" s="16">
        <v>4247</v>
      </c>
      <c r="T404" s="17" t="s">
        <v>41</v>
      </c>
      <c r="U404" s="15">
        <v>46313.683333333334</v>
      </c>
      <c r="V404" s="15">
        <v>46313.682638888888</v>
      </c>
      <c r="W404" s="18" t="s">
        <v>1309</v>
      </c>
      <c r="X404" s="16">
        <v>22411</v>
      </c>
      <c r="Y404" s="21"/>
      <c r="Z404" s="16">
        <v>0</v>
      </c>
      <c r="AA404" s="20">
        <v>0.67777777777777781</v>
      </c>
      <c r="AB404" s="16">
        <v>5</v>
      </c>
      <c r="AC404" s="17" t="s">
        <v>41</v>
      </c>
      <c r="AD404" s="9" t="str">
        <f t="shared" si="5"/>
        <v>Actual</v>
      </c>
      <c r="AE404" s="9" t="str">
        <f t="shared" si="6"/>
        <v>TMK7</v>
      </c>
      <c r="AF404" s="9">
        <f>HOUR(O404)</f>
        <v>16</v>
      </c>
      <c r="AG404" s="9">
        <f>DAY(O404)</f>
        <v>18</v>
      </c>
      <c r="AH404" s="9">
        <f>IFERROR((I404-K404)*24*60,0)</f>
        <v>0</v>
      </c>
      <c r="AI404" s="9">
        <f t="shared" si="7"/>
        <v>0</v>
      </c>
      <c r="AJ404" s="9">
        <f>C404</f>
        <v>1527</v>
      </c>
      <c r="AK404" s="9">
        <f>IF(P404="completed",((V404-K404)*24*60),0)</f>
        <v>5.9999999986030161</v>
      </c>
      <c r="AL404" s="9">
        <f>IF(P404="completed",((U404-K404)*24*60),0)</f>
        <v>7.0000000018626451</v>
      </c>
      <c r="AM404" s="9" t="str">
        <f t="shared" si="8"/>
        <v>OTP Achieved</v>
      </c>
      <c r="AN404" s="9" t="str">
        <f t="shared" si="9"/>
        <v>OTP Achieved</v>
      </c>
    </row>
    <row r="405" spans="1:40" ht="15">
      <c r="A405" s="14" t="s">
        <v>1310</v>
      </c>
      <c r="B405" s="15">
        <v>46313.677083333336</v>
      </c>
      <c r="C405" s="16">
        <v>2700</v>
      </c>
      <c r="D405" s="17" t="s">
        <v>41</v>
      </c>
      <c r="E405" s="16">
        <v>10</v>
      </c>
      <c r="F405" s="17" t="s">
        <v>41</v>
      </c>
      <c r="G405" s="17" t="s">
        <v>41</v>
      </c>
      <c r="H405" s="17" t="s">
        <v>1311</v>
      </c>
      <c r="I405" s="15">
        <v>46313.681250000001</v>
      </c>
      <c r="J405" s="17" t="s">
        <v>41</v>
      </c>
      <c r="K405" s="15">
        <v>46313.681250000001</v>
      </c>
      <c r="L405" s="16">
        <v>35</v>
      </c>
      <c r="M405" s="17"/>
      <c r="N405" s="17"/>
      <c r="O405" s="15">
        <v>46313.676388888889</v>
      </c>
      <c r="P405" s="17" t="s">
        <v>43</v>
      </c>
      <c r="Q405" s="17" t="s">
        <v>1312</v>
      </c>
      <c r="R405" s="17" t="s">
        <v>1313</v>
      </c>
      <c r="S405" s="16">
        <v>4247</v>
      </c>
      <c r="T405" s="17" t="s">
        <v>41</v>
      </c>
      <c r="U405" s="15">
        <v>46313.688888888886</v>
      </c>
      <c r="V405" s="15">
        <v>46313.688194444447</v>
      </c>
      <c r="W405" s="18" t="s">
        <v>1314</v>
      </c>
      <c r="X405" s="16">
        <v>22411</v>
      </c>
      <c r="Y405" s="19"/>
      <c r="Z405" s="16">
        <v>0</v>
      </c>
      <c r="AA405" s="20">
        <v>0.67708333333333337</v>
      </c>
      <c r="AB405" s="16">
        <v>9</v>
      </c>
      <c r="AC405" s="17" t="s">
        <v>41</v>
      </c>
      <c r="AD405" s="9" t="str">
        <f t="shared" si="5"/>
        <v>Actual</v>
      </c>
      <c r="AE405" s="9" t="str">
        <f t="shared" si="6"/>
        <v>TMK7</v>
      </c>
      <c r="AF405" s="9">
        <f>HOUR(O405)</f>
        <v>16</v>
      </c>
      <c r="AG405" s="9">
        <f>DAY(O405)</f>
        <v>18</v>
      </c>
      <c r="AH405" s="9">
        <f>IFERROR((I405-K405)*24*60,0)</f>
        <v>0</v>
      </c>
      <c r="AI405" s="9">
        <f t="shared" si="7"/>
        <v>0</v>
      </c>
      <c r="AJ405" s="9">
        <f>C405</f>
        <v>2700</v>
      </c>
      <c r="AK405" s="9">
        <f>IF(P405="completed",((V405-K405)*24*60),0)</f>
        <v>10.000000001164153</v>
      </c>
      <c r="AL405" s="9">
        <f>IF(P405="completed",((U405-K405)*24*60),0)</f>
        <v>10.999999993946403</v>
      </c>
      <c r="AM405" s="9" t="str">
        <f t="shared" si="8"/>
        <v>OTP Achieved</v>
      </c>
      <c r="AN405" s="9" t="str">
        <f t="shared" si="9"/>
        <v>OTP Achieved</v>
      </c>
    </row>
    <row r="406" spans="1:40" ht="15">
      <c r="A406" s="14" t="s">
        <v>1239</v>
      </c>
      <c r="B406" s="15">
        <v>46313.676388888889</v>
      </c>
      <c r="C406" s="16">
        <v>2682</v>
      </c>
      <c r="D406" s="17" t="s">
        <v>41</v>
      </c>
      <c r="E406" s="16">
        <v>9</v>
      </c>
      <c r="F406" s="17" t="s">
        <v>41</v>
      </c>
      <c r="G406" s="17" t="s">
        <v>41</v>
      </c>
      <c r="H406" s="17" t="s">
        <v>1315</v>
      </c>
      <c r="I406" s="15">
        <v>46313.678472222222</v>
      </c>
      <c r="J406" s="17" t="s">
        <v>41</v>
      </c>
      <c r="K406" s="15">
        <v>46313.677777777775</v>
      </c>
      <c r="L406" s="16">
        <v>38</v>
      </c>
      <c r="M406" s="17"/>
      <c r="N406" s="17"/>
      <c r="O406" s="15">
        <v>46313.675694444442</v>
      </c>
      <c r="P406" s="17" t="s">
        <v>43</v>
      </c>
      <c r="Q406" s="17" t="s">
        <v>1241</v>
      </c>
      <c r="R406" s="17" t="s">
        <v>1316</v>
      </c>
      <c r="S406" s="16">
        <v>4247</v>
      </c>
      <c r="T406" s="17" t="s">
        <v>41</v>
      </c>
      <c r="U406" s="15">
        <v>46313.68472222222</v>
      </c>
      <c r="V406" s="15">
        <v>46313.684027777781</v>
      </c>
      <c r="W406" s="18" t="s">
        <v>1317</v>
      </c>
      <c r="X406" s="16">
        <v>22411</v>
      </c>
      <c r="Y406" s="19"/>
      <c r="Z406" s="16">
        <v>0</v>
      </c>
      <c r="AA406" s="20">
        <v>0.67638888888888893</v>
      </c>
      <c r="AB406" s="16">
        <v>8</v>
      </c>
      <c r="AC406" s="17" t="s">
        <v>41</v>
      </c>
      <c r="AD406" s="9" t="str">
        <f t="shared" si="5"/>
        <v>Actual</v>
      </c>
      <c r="AE406" s="9" t="str">
        <f t="shared" si="6"/>
        <v>TMK7</v>
      </c>
      <c r="AF406" s="9">
        <f>HOUR(O406)</f>
        <v>16</v>
      </c>
      <c r="AG406" s="9">
        <f>DAY(O406)</f>
        <v>18</v>
      </c>
      <c r="AH406" s="9">
        <f>IFERROR((I406-K406)*24*60,0)</f>
        <v>1.000000003259629</v>
      </c>
      <c r="AI406" s="9">
        <f t="shared" si="7"/>
        <v>1.000000003259629</v>
      </c>
      <c r="AJ406" s="9">
        <f>C406</f>
        <v>2682</v>
      </c>
      <c r="AK406" s="9">
        <f>IF(P406="completed",((V406-K406)*24*60),0)</f>
        <v>9.0000000083819032</v>
      </c>
      <c r="AL406" s="9">
        <f>IF(P406="completed",((U406-K406)*24*60),0)</f>
        <v>10.000000001164153</v>
      </c>
      <c r="AM406" s="9" t="str">
        <f t="shared" si="8"/>
        <v>OTP Achieved</v>
      </c>
      <c r="AN406" s="9" t="str">
        <f t="shared" si="9"/>
        <v>OTP Achieved</v>
      </c>
    </row>
    <row r="407" spans="1:40" ht="15">
      <c r="A407" s="14" t="s">
        <v>125</v>
      </c>
      <c r="B407" s="15">
        <v>46313.673611111109</v>
      </c>
      <c r="C407" s="16">
        <v>1638</v>
      </c>
      <c r="D407" s="17" t="s">
        <v>41</v>
      </c>
      <c r="E407" s="16">
        <v>7</v>
      </c>
      <c r="F407" s="17" t="s">
        <v>41</v>
      </c>
      <c r="G407" s="17" t="s">
        <v>41</v>
      </c>
      <c r="H407" s="17" t="s">
        <v>1318</v>
      </c>
      <c r="I407" s="15">
        <v>46313.673611111109</v>
      </c>
      <c r="J407" s="17" t="s">
        <v>41</v>
      </c>
      <c r="K407" s="15">
        <v>46313.673611111109</v>
      </c>
      <c r="L407" s="16">
        <v>16</v>
      </c>
      <c r="M407" s="17"/>
      <c r="N407" s="17"/>
      <c r="O407" s="15">
        <v>46313.67291666667</v>
      </c>
      <c r="P407" s="17" t="s">
        <v>43</v>
      </c>
      <c r="Q407" s="17" t="s">
        <v>127</v>
      </c>
      <c r="R407" s="17" t="s">
        <v>1319</v>
      </c>
      <c r="S407" s="16">
        <v>4247</v>
      </c>
      <c r="T407" s="17" t="s">
        <v>41</v>
      </c>
      <c r="U407" s="15">
        <v>46313.679166666669</v>
      </c>
      <c r="V407" s="15">
        <v>46313.678472222222</v>
      </c>
      <c r="W407" s="18" t="s">
        <v>1320</v>
      </c>
      <c r="X407" s="16">
        <v>22411</v>
      </c>
      <c r="Y407" s="19"/>
      <c r="Z407" s="16">
        <v>0</v>
      </c>
      <c r="AA407" s="20">
        <v>0.67361111111111116</v>
      </c>
      <c r="AB407" s="16">
        <v>6</v>
      </c>
      <c r="AC407" s="17" t="s">
        <v>41</v>
      </c>
      <c r="AD407" s="9" t="str">
        <f t="shared" si="5"/>
        <v>Actual</v>
      </c>
      <c r="AE407" s="9" t="str">
        <f t="shared" si="6"/>
        <v>TMK7</v>
      </c>
      <c r="AF407" s="9">
        <f>HOUR(O407)</f>
        <v>16</v>
      </c>
      <c r="AG407" s="9">
        <f>DAY(O407)</f>
        <v>18</v>
      </c>
      <c r="AH407" s="9">
        <f>IFERROR((I407-K407)*24*60,0)</f>
        <v>0</v>
      </c>
      <c r="AI407" s="9">
        <f t="shared" si="7"/>
        <v>0</v>
      </c>
      <c r="AJ407" s="9">
        <f>C407</f>
        <v>1638</v>
      </c>
      <c r="AK407" s="9">
        <f>IF(P407="completed",((V407-K407)*24*60),0)</f>
        <v>7.0000000018626451</v>
      </c>
      <c r="AL407" s="9">
        <f>IF(P407="completed",((U407-K407)*24*60),0)</f>
        <v>8.0000000051222742</v>
      </c>
      <c r="AM407" s="9" t="str">
        <f t="shared" si="8"/>
        <v>OTP Achieved</v>
      </c>
      <c r="AN407" s="9" t="str">
        <f t="shared" si="9"/>
        <v>OTP Achieved</v>
      </c>
    </row>
    <row r="408" spans="1:40" ht="15">
      <c r="A408" s="14" t="s">
        <v>77</v>
      </c>
      <c r="B408" s="15">
        <v>46313.672222222223</v>
      </c>
      <c r="C408" s="16">
        <v>1403</v>
      </c>
      <c r="D408" s="17" t="s">
        <v>41</v>
      </c>
      <c r="E408" s="16">
        <v>5</v>
      </c>
      <c r="F408" s="17" t="s">
        <v>41</v>
      </c>
      <c r="G408" s="17" t="s">
        <v>41</v>
      </c>
      <c r="H408" s="17" t="s">
        <v>1321</v>
      </c>
      <c r="I408" s="15">
        <v>46313.673611111109</v>
      </c>
      <c r="J408" s="17" t="s">
        <v>41</v>
      </c>
      <c r="K408" s="15">
        <v>46313.67291666667</v>
      </c>
      <c r="L408" s="16">
        <v>73</v>
      </c>
      <c r="M408" s="17"/>
      <c r="N408" s="17"/>
      <c r="O408" s="15">
        <v>46313.672222222223</v>
      </c>
      <c r="P408" s="17" t="s">
        <v>43</v>
      </c>
      <c r="Q408" s="17" t="s">
        <v>79</v>
      </c>
      <c r="R408" s="17" t="s">
        <v>1322</v>
      </c>
      <c r="S408" s="16">
        <v>4247</v>
      </c>
      <c r="T408" s="17" t="s">
        <v>41</v>
      </c>
      <c r="U408" s="15">
        <v>46313.678472222222</v>
      </c>
      <c r="V408" s="15">
        <v>46313.676388888889</v>
      </c>
      <c r="W408" s="18" t="s">
        <v>1323</v>
      </c>
      <c r="X408" s="16">
        <v>22411</v>
      </c>
      <c r="Y408" s="19"/>
      <c r="Z408" s="16">
        <v>0</v>
      </c>
      <c r="AA408" s="20">
        <v>0.67222222222222228</v>
      </c>
      <c r="AB408" s="16">
        <v>4</v>
      </c>
      <c r="AC408" s="17" t="s">
        <v>41</v>
      </c>
      <c r="AD408" s="9" t="str">
        <f t="shared" si="5"/>
        <v>Actual</v>
      </c>
      <c r="AE408" s="9" t="str">
        <f t="shared" si="6"/>
        <v>TMK7</v>
      </c>
      <c r="AF408" s="9">
        <f>HOUR(O408)</f>
        <v>16</v>
      </c>
      <c r="AG408" s="9">
        <f>DAY(O408)</f>
        <v>18</v>
      </c>
      <c r="AH408" s="9">
        <f>IFERROR((I408-K408)*24*60,0)</f>
        <v>0.99999999278225005</v>
      </c>
      <c r="AI408" s="9">
        <f t="shared" si="7"/>
        <v>0.99999999278225005</v>
      </c>
      <c r="AJ408" s="9">
        <f>C408</f>
        <v>1403</v>
      </c>
      <c r="AK408" s="9">
        <f>IF(P408="completed",((V408-K408)*24*60),0)</f>
        <v>4.9999999953433871</v>
      </c>
      <c r="AL408" s="9">
        <f>IF(P408="completed",((U408-K408)*24*60),0)</f>
        <v>7.9999999946448952</v>
      </c>
      <c r="AM408" s="9" t="str">
        <f t="shared" si="8"/>
        <v>OTP Achieved</v>
      </c>
      <c r="AN408" s="9" t="str">
        <f t="shared" si="9"/>
        <v>OTP Achieved</v>
      </c>
    </row>
    <row r="409" spans="1:40" ht="15">
      <c r="A409" s="14" t="s">
        <v>1077</v>
      </c>
      <c r="B409" s="15">
        <v>46313.67083333333</v>
      </c>
      <c r="C409" s="16">
        <v>2165</v>
      </c>
      <c r="D409" s="17" t="s">
        <v>41</v>
      </c>
      <c r="E409" s="16">
        <v>5</v>
      </c>
      <c r="F409" s="17" t="s">
        <v>41</v>
      </c>
      <c r="G409" s="17" t="s">
        <v>41</v>
      </c>
      <c r="H409" s="17" t="s">
        <v>1324</v>
      </c>
      <c r="I409" s="15">
        <v>46313.67083333333</v>
      </c>
      <c r="J409" s="17" t="s">
        <v>41</v>
      </c>
      <c r="K409" s="15">
        <v>46313.67083333333</v>
      </c>
      <c r="L409" s="16">
        <v>22</v>
      </c>
      <c r="M409" s="17"/>
      <c r="N409" s="17"/>
      <c r="O409" s="15">
        <v>46313.670138888891</v>
      </c>
      <c r="P409" s="17" t="s">
        <v>43</v>
      </c>
      <c r="Q409" s="17" t="s">
        <v>1079</v>
      </c>
      <c r="R409" s="17" t="s">
        <v>1325</v>
      </c>
      <c r="S409" s="16">
        <v>4247</v>
      </c>
      <c r="T409" s="17" t="s">
        <v>41</v>
      </c>
      <c r="U409" s="15">
        <v>46313.677777777775</v>
      </c>
      <c r="V409" s="15">
        <v>46313.674305555556</v>
      </c>
      <c r="W409" s="18" t="s">
        <v>1326</v>
      </c>
      <c r="X409" s="16">
        <v>22411</v>
      </c>
      <c r="Y409" s="19"/>
      <c r="Z409" s="16">
        <v>0</v>
      </c>
      <c r="AA409" s="20">
        <v>0.67083333333333328</v>
      </c>
      <c r="AB409" s="16">
        <v>5</v>
      </c>
      <c r="AC409" s="17" t="s">
        <v>41</v>
      </c>
      <c r="AD409" s="9" t="str">
        <f t="shared" si="5"/>
        <v>Actual</v>
      </c>
      <c r="AE409" s="9" t="str">
        <f t="shared" si="6"/>
        <v>TMK7</v>
      </c>
      <c r="AF409" s="9">
        <f>HOUR(O409)</f>
        <v>16</v>
      </c>
      <c r="AG409" s="9">
        <f>DAY(O409)</f>
        <v>18</v>
      </c>
      <c r="AH409" s="9">
        <f>IFERROR((I409-K409)*24*60,0)</f>
        <v>0</v>
      </c>
      <c r="AI409" s="9">
        <f t="shared" si="7"/>
        <v>0</v>
      </c>
      <c r="AJ409" s="9">
        <f>C409</f>
        <v>2165</v>
      </c>
      <c r="AK409" s="9">
        <f>IF(P409="completed",((V409-K409)*24*60),0)</f>
        <v>5.0000000058207661</v>
      </c>
      <c r="AL409" s="9">
        <f>IF(P409="completed",((U409-K409)*24*60),0)</f>
        <v>10.000000001164153</v>
      </c>
      <c r="AM409" s="9" t="str">
        <f t="shared" si="8"/>
        <v>OTP Achieved</v>
      </c>
      <c r="AN409" s="9" t="str">
        <f t="shared" si="9"/>
        <v>OTP Achieved</v>
      </c>
    </row>
    <row r="410" spans="1:40" ht="15">
      <c r="A410" s="14" t="s">
        <v>93</v>
      </c>
      <c r="B410" s="15">
        <v>46313.670138888891</v>
      </c>
      <c r="C410" s="16">
        <v>1797</v>
      </c>
      <c r="D410" s="17" t="s">
        <v>41</v>
      </c>
      <c r="E410" s="16">
        <v>5</v>
      </c>
      <c r="F410" s="17" t="s">
        <v>41</v>
      </c>
      <c r="G410" s="17" t="s">
        <v>41</v>
      </c>
      <c r="H410" s="17" t="s">
        <v>1327</v>
      </c>
      <c r="I410" s="15">
        <v>46313.671527777777</v>
      </c>
      <c r="J410" s="17" t="s">
        <v>41</v>
      </c>
      <c r="K410" s="15">
        <v>46313.67083333333</v>
      </c>
      <c r="L410" s="16">
        <v>36</v>
      </c>
      <c r="M410" s="17"/>
      <c r="N410" s="17"/>
      <c r="O410" s="15">
        <v>46313.670138888891</v>
      </c>
      <c r="P410" s="17" t="s">
        <v>43</v>
      </c>
      <c r="Q410" s="17" t="s">
        <v>95</v>
      </c>
      <c r="R410" s="17" t="s">
        <v>1328</v>
      </c>
      <c r="S410" s="16">
        <v>4247</v>
      </c>
      <c r="T410" s="17" t="s">
        <v>41</v>
      </c>
      <c r="U410" s="15">
        <v>46313.675694444442</v>
      </c>
      <c r="V410" s="15">
        <v>46313.674305555556</v>
      </c>
      <c r="W410" s="18" t="s">
        <v>1329</v>
      </c>
      <c r="X410" s="16">
        <v>22411</v>
      </c>
      <c r="Y410" s="19"/>
      <c r="Z410" s="16">
        <v>0</v>
      </c>
      <c r="AA410" s="20">
        <v>0.67013888888888884</v>
      </c>
      <c r="AB410" s="16">
        <v>4</v>
      </c>
      <c r="AC410" s="17" t="s">
        <v>41</v>
      </c>
      <c r="AD410" s="9" t="str">
        <f t="shared" si="5"/>
        <v>Actual</v>
      </c>
      <c r="AE410" s="9" t="str">
        <f t="shared" si="6"/>
        <v>TMK7</v>
      </c>
      <c r="AF410" s="9">
        <f>HOUR(O410)</f>
        <v>16</v>
      </c>
      <c r="AG410" s="9">
        <f>DAY(O410)</f>
        <v>18</v>
      </c>
      <c r="AH410" s="9">
        <f>IFERROR((I410-K410)*24*60,0)</f>
        <v>1.000000003259629</v>
      </c>
      <c r="AI410" s="9">
        <f t="shared" si="7"/>
        <v>1.000000003259629</v>
      </c>
      <c r="AJ410" s="9">
        <f>C410</f>
        <v>1797</v>
      </c>
      <c r="AK410" s="9">
        <f>IF(P410="completed",((V410-K410)*24*60),0)</f>
        <v>5.0000000058207661</v>
      </c>
      <c r="AL410" s="9">
        <f>IF(P410="completed",((U410-K410)*24*60),0)</f>
        <v>7.0000000018626451</v>
      </c>
      <c r="AM410" s="9" t="str">
        <f t="shared" si="8"/>
        <v>OTP Achieved</v>
      </c>
      <c r="AN410" s="9" t="str">
        <f t="shared" si="9"/>
        <v>OTP Achieved</v>
      </c>
    </row>
    <row r="411" spans="1:40" ht="15">
      <c r="A411" s="14" t="s">
        <v>62</v>
      </c>
      <c r="B411" s="15">
        <v>46313.668749999997</v>
      </c>
      <c r="C411" s="16">
        <v>404</v>
      </c>
      <c r="D411" s="17" t="s">
        <v>41</v>
      </c>
      <c r="E411" s="16">
        <v>2</v>
      </c>
      <c r="F411" s="17" t="s">
        <v>41</v>
      </c>
      <c r="G411" s="17" t="s">
        <v>41</v>
      </c>
      <c r="H411" s="17" t="s">
        <v>1330</v>
      </c>
      <c r="I411" s="15">
        <v>46313.670138888891</v>
      </c>
      <c r="J411" s="17" t="s">
        <v>41</v>
      </c>
      <c r="K411" s="15">
        <v>46313.669444444444</v>
      </c>
      <c r="L411" s="16">
        <v>20</v>
      </c>
      <c r="M411" s="17"/>
      <c r="N411" s="17"/>
      <c r="O411" s="15">
        <v>46313.668749999997</v>
      </c>
      <c r="P411" s="17" t="s">
        <v>43</v>
      </c>
      <c r="Q411" s="17" t="s">
        <v>64</v>
      </c>
      <c r="R411" s="17" t="s">
        <v>1331</v>
      </c>
      <c r="S411" s="16">
        <v>4247</v>
      </c>
      <c r="T411" s="17" t="s">
        <v>41</v>
      </c>
      <c r="U411" s="15">
        <v>46313.672222222223</v>
      </c>
      <c r="V411" s="15">
        <v>46313.671527777777</v>
      </c>
      <c r="W411" s="18" t="s">
        <v>1332</v>
      </c>
      <c r="X411" s="16">
        <v>22411</v>
      </c>
      <c r="Y411" s="19"/>
      <c r="Z411" s="16">
        <v>0</v>
      </c>
      <c r="AA411" s="20">
        <v>0.66874999999999996</v>
      </c>
      <c r="AB411" s="16">
        <v>2</v>
      </c>
      <c r="AC411" s="17" t="s">
        <v>41</v>
      </c>
      <c r="AD411" s="9" t="str">
        <f t="shared" si="5"/>
        <v>Actual</v>
      </c>
      <c r="AE411" s="9" t="str">
        <f t="shared" si="6"/>
        <v>TMK7</v>
      </c>
      <c r="AF411" s="9">
        <f>HOUR(O411)</f>
        <v>16</v>
      </c>
      <c r="AG411" s="9">
        <f>DAY(O411)</f>
        <v>18</v>
      </c>
      <c r="AH411" s="9">
        <f>IFERROR((I411-K411)*24*60,0)</f>
        <v>1.000000003259629</v>
      </c>
      <c r="AI411" s="9">
        <f t="shared" si="7"/>
        <v>1.000000003259629</v>
      </c>
      <c r="AJ411" s="9">
        <f>C411</f>
        <v>404</v>
      </c>
      <c r="AK411" s="9">
        <f>IF(P411="completed",((V411-K411)*24*60),0)</f>
        <v>2.9999999993015081</v>
      </c>
      <c r="AL411" s="9">
        <f>IF(P411="completed",((U411-K411)*24*60),0)</f>
        <v>4.0000000025611371</v>
      </c>
      <c r="AM411" s="9" t="str">
        <f t="shared" si="8"/>
        <v>OTP Achieved</v>
      </c>
      <c r="AN411" s="9" t="str">
        <f t="shared" si="9"/>
        <v>OTP Achieved</v>
      </c>
    </row>
    <row r="412" spans="1:40" ht="15">
      <c r="A412" s="14" t="s">
        <v>40</v>
      </c>
      <c r="B412" s="15">
        <v>46313.668749999997</v>
      </c>
      <c r="C412" s="16">
        <v>1208</v>
      </c>
      <c r="D412" s="17" t="s">
        <v>41</v>
      </c>
      <c r="E412" s="16">
        <v>4</v>
      </c>
      <c r="F412" s="17" t="s">
        <v>41</v>
      </c>
      <c r="G412" s="17" t="s">
        <v>41</v>
      </c>
      <c r="H412" s="17" t="s">
        <v>1333</v>
      </c>
      <c r="I412" s="15">
        <v>46313.670138888891</v>
      </c>
      <c r="J412" s="17" t="s">
        <v>41</v>
      </c>
      <c r="K412" s="15">
        <v>46313.669444444444</v>
      </c>
      <c r="L412" s="16">
        <v>19</v>
      </c>
      <c r="M412" s="17"/>
      <c r="N412" s="17"/>
      <c r="O412" s="15">
        <v>46313.668055555558</v>
      </c>
      <c r="P412" s="17" t="s">
        <v>43</v>
      </c>
      <c r="Q412" s="17" t="s">
        <v>44</v>
      </c>
      <c r="R412" s="17" t="s">
        <v>1334</v>
      </c>
      <c r="S412" s="16">
        <v>4247</v>
      </c>
      <c r="T412" s="17" t="s">
        <v>41</v>
      </c>
      <c r="U412" s="15">
        <v>46313.67291666667</v>
      </c>
      <c r="V412" s="15">
        <v>46313.672222222223</v>
      </c>
      <c r="W412" s="18" t="s">
        <v>1335</v>
      </c>
      <c r="X412" s="16">
        <v>22411</v>
      </c>
      <c r="Y412" s="19"/>
      <c r="Z412" s="16">
        <v>0</v>
      </c>
      <c r="AA412" s="20">
        <v>0.66874999999999996</v>
      </c>
      <c r="AB412" s="16">
        <v>4</v>
      </c>
      <c r="AC412" s="17" t="s">
        <v>41</v>
      </c>
      <c r="AD412" s="9" t="str">
        <f t="shared" si="5"/>
        <v>Actual</v>
      </c>
      <c r="AE412" s="9" t="str">
        <f t="shared" si="6"/>
        <v>TMK7</v>
      </c>
      <c r="AF412" s="9">
        <f>HOUR(O412)</f>
        <v>16</v>
      </c>
      <c r="AG412" s="9">
        <f>DAY(O412)</f>
        <v>18</v>
      </c>
      <c r="AH412" s="9">
        <f>IFERROR((I412-K412)*24*60,0)</f>
        <v>1.000000003259629</v>
      </c>
      <c r="AI412" s="9">
        <f t="shared" si="7"/>
        <v>1.000000003259629</v>
      </c>
      <c r="AJ412" s="9">
        <f>C412</f>
        <v>1208</v>
      </c>
      <c r="AK412" s="9">
        <f>IF(P412="completed",((V412-K412)*24*60),0)</f>
        <v>4.0000000025611371</v>
      </c>
      <c r="AL412" s="9">
        <f>IF(P412="completed",((U412-K412)*24*60),0)</f>
        <v>5.0000000058207661</v>
      </c>
      <c r="AM412" s="9" t="str">
        <f t="shared" si="8"/>
        <v>OTP Achieved</v>
      </c>
      <c r="AN412" s="9" t="str">
        <f t="shared" si="9"/>
        <v>OTP Achieved</v>
      </c>
    </row>
    <row r="413" spans="1:40" ht="15">
      <c r="A413" s="14" t="s">
        <v>1336</v>
      </c>
      <c r="B413" s="15">
        <v>46313.668055555558</v>
      </c>
      <c r="C413" s="16">
        <v>925</v>
      </c>
      <c r="D413" s="17" t="s">
        <v>41</v>
      </c>
      <c r="E413" s="16">
        <v>5</v>
      </c>
      <c r="F413" s="17" t="s">
        <v>41</v>
      </c>
      <c r="G413" s="17" t="s">
        <v>41</v>
      </c>
      <c r="H413" s="17" t="s">
        <v>1337</v>
      </c>
      <c r="I413" s="15">
        <v>46313.670138888891</v>
      </c>
      <c r="J413" s="17" t="s">
        <v>41</v>
      </c>
      <c r="K413" s="15">
        <v>46313.669444444444</v>
      </c>
      <c r="L413" s="16">
        <v>60</v>
      </c>
      <c r="M413" s="17"/>
      <c r="N413" s="17"/>
      <c r="O413" s="15">
        <v>46313.667361111111</v>
      </c>
      <c r="P413" s="17" t="s">
        <v>43</v>
      </c>
      <c r="Q413" s="17" t="s">
        <v>1338</v>
      </c>
      <c r="R413" s="17" t="s">
        <v>1339</v>
      </c>
      <c r="S413" s="16">
        <v>4247</v>
      </c>
      <c r="T413" s="17" t="s">
        <v>41</v>
      </c>
      <c r="U413" s="15">
        <v>46313.672222222223</v>
      </c>
      <c r="V413" s="15">
        <v>46313.672222222223</v>
      </c>
      <c r="W413" s="18" t="s">
        <v>1340</v>
      </c>
      <c r="X413" s="16">
        <v>22411</v>
      </c>
      <c r="Y413" s="19"/>
      <c r="Z413" s="16">
        <v>0</v>
      </c>
      <c r="AA413" s="20">
        <v>0.66805555555555551</v>
      </c>
      <c r="AB413" s="16">
        <v>4</v>
      </c>
      <c r="AC413" s="17" t="s">
        <v>41</v>
      </c>
      <c r="AD413" s="9" t="str">
        <f t="shared" si="5"/>
        <v>Actual</v>
      </c>
      <c r="AE413" s="9" t="str">
        <f t="shared" si="6"/>
        <v>TMK7</v>
      </c>
      <c r="AF413" s="9">
        <f>HOUR(O413)</f>
        <v>16</v>
      </c>
      <c r="AG413" s="9">
        <f>DAY(O413)</f>
        <v>18</v>
      </c>
      <c r="AH413" s="9">
        <f>IFERROR((I413-K413)*24*60,0)</f>
        <v>1.000000003259629</v>
      </c>
      <c r="AI413" s="9">
        <f t="shared" si="7"/>
        <v>1.000000003259629</v>
      </c>
      <c r="AJ413" s="9">
        <f>C413</f>
        <v>925</v>
      </c>
      <c r="AK413" s="9">
        <f>IF(P413="completed",((V413-K413)*24*60),0)</f>
        <v>4.0000000025611371</v>
      </c>
      <c r="AL413" s="9">
        <f>IF(P413="completed",((U413-K413)*24*60),0)</f>
        <v>4.0000000025611371</v>
      </c>
      <c r="AM413" s="9" t="str">
        <f t="shared" si="8"/>
        <v>OTP Breached</v>
      </c>
      <c r="AN413" s="9" t="str">
        <f t="shared" si="9"/>
        <v>OTP Achieved</v>
      </c>
    </row>
    <row r="414" spans="1:40" ht="15">
      <c r="A414" s="14" t="s">
        <v>1136</v>
      </c>
      <c r="B414" s="15">
        <v>46313.666666666664</v>
      </c>
      <c r="C414" s="16">
        <v>188</v>
      </c>
      <c r="D414" s="17" t="s">
        <v>41</v>
      </c>
      <c r="E414" s="16">
        <v>1</v>
      </c>
      <c r="F414" s="17" t="s">
        <v>41</v>
      </c>
      <c r="G414" s="17" t="s">
        <v>41</v>
      </c>
      <c r="H414" s="17" t="s">
        <v>1341</v>
      </c>
      <c r="I414" s="15">
        <v>46313.667361111111</v>
      </c>
      <c r="J414" s="17" t="s">
        <v>41</v>
      </c>
      <c r="K414" s="15">
        <v>46313.667361111111</v>
      </c>
      <c r="L414" s="16">
        <v>19</v>
      </c>
      <c r="M414" s="17"/>
      <c r="N414" s="17"/>
      <c r="O414" s="15">
        <v>46313.666666666664</v>
      </c>
      <c r="P414" s="17" t="s">
        <v>43</v>
      </c>
      <c r="Q414" s="17" t="s">
        <v>1138</v>
      </c>
      <c r="R414" s="17" t="s">
        <v>1342</v>
      </c>
      <c r="S414" s="16">
        <v>4247</v>
      </c>
      <c r="T414" s="17" t="s">
        <v>41</v>
      </c>
      <c r="U414" s="15">
        <v>46313.668749999997</v>
      </c>
      <c r="V414" s="15">
        <v>46313.667361111111</v>
      </c>
      <c r="W414" s="18" t="s">
        <v>1343</v>
      </c>
      <c r="X414" s="16">
        <v>22411</v>
      </c>
      <c r="Y414" s="19"/>
      <c r="Z414" s="16">
        <v>0</v>
      </c>
      <c r="AA414" s="20">
        <v>0.66666666666666663</v>
      </c>
      <c r="AB414" s="16">
        <v>0</v>
      </c>
      <c r="AC414" s="17" t="s">
        <v>41</v>
      </c>
      <c r="AD414" s="9" t="str">
        <f t="shared" si="5"/>
        <v>Actual</v>
      </c>
      <c r="AE414" s="9" t="str">
        <f t="shared" si="6"/>
        <v>TMK7</v>
      </c>
      <c r="AF414" s="9">
        <f>HOUR(O414)</f>
        <v>16</v>
      </c>
      <c r="AG414" s="9">
        <f>DAY(O414)</f>
        <v>18</v>
      </c>
      <c r="AH414" s="9">
        <f>IFERROR((I414-K414)*24*60,0)</f>
        <v>0</v>
      </c>
      <c r="AI414" s="9">
        <f t="shared" si="7"/>
        <v>0</v>
      </c>
      <c r="AJ414" s="9">
        <f>C414</f>
        <v>188</v>
      </c>
      <c r="AK414" s="9">
        <f>IF(P414="completed",((V414-K414)*24*60),0)</f>
        <v>0</v>
      </c>
      <c r="AL414" s="9">
        <f>IF(P414="completed",((U414-K414)*24*60),0)</f>
        <v>1.9999999960418791</v>
      </c>
      <c r="AM414" s="9" t="str">
        <f t="shared" si="8"/>
        <v>OTP Achieved</v>
      </c>
      <c r="AN414" s="9" t="str">
        <f t="shared" si="9"/>
        <v>OTP Achieved</v>
      </c>
    </row>
    <row r="415" spans="1:40" ht="15">
      <c r="A415" s="14" t="s">
        <v>339</v>
      </c>
      <c r="B415" s="15">
        <v>46313.666666666664</v>
      </c>
      <c r="C415" s="16">
        <v>1969</v>
      </c>
      <c r="D415" s="17" t="s">
        <v>41</v>
      </c>
      <c r="E415" s="16">
        <v>5</v>
      </c>
      <c r="F415" s="17" t="s">
        <v>41</v>
      </c>
      <c r="G415" s="17" t="s">
        <v>41</v>
      </c>
      <c r="H415" s="17" t="s">
        <v>1344</v>
      </c>
      <c r="I415" s="15">
        <v>46313.672222222223</v>
      </c>
      <c r="J415" s="17" t="s">
        <v>41</v>
      </c>
      <c r="K415" s="15">
        <v>46313.672222222223</v>
      </c>
      <c r="L415" s="16">
        <v>35</v>
      </c>
      <c r="M415" s="17"/>
      <c r="N415" s="17"/>
      <c r="O415" s="15">
        <v>46313.666666666664</v>
      </c>
      <c r="P415" s="17" t="s">
        <v>43</v>
      </c>
      <c r="Q415" s="17" t="s">
        <v>341</v>
      </c>
      <c r="R415" s="17" t="s">
        <v>1345</v>
      </c>
      <c r="S415" s="16">
        <v>4247</v>
      </c>
      <c r="T415" s="17" t="s">
        <v>41</v>
      </c>
      <c r="U415" s="15">
        <v>46313.677083333336</v>
      </c>
      <c r="V415" s="15">
        <v>46313.675694444442</v>
      </c>
      <c r="W415" s="18" t="s">
        <v>1346</v>
      </c>
      <c r="X415" s="16">
        <v>22411</v>
      </c>
      <c r="Y415" s="19"/>
      <c r="Z415" s="16">
        <v>0</v>
      </c>
      <c r="AA415" s="20">
        <v>0.66666666666666663</v>
      </c>
      <c r="AB415" s="16">
        <v>5</v>
      </c>
      <c r="AC415" s="17" t="s">
        <v>41</v>
      </c>
      <c r="AD415" s="9" t="str">
        <f t="shared" si="5"/>
        <v>Actual</v>
      </c>
      <c r="AE415" s="9" t="str">
        <f t="shared" si="6"/>
        <v>TMK7</v>
      </c>
      <c r="AF415" s="9">
        <f>HOUR(O415)</f>
        <v>16</v>
      </c>
      <c r="AG415" s="9">
        <f>DAY(O415)</f>
        <v>18</v>
      </c>
      <c r="AH415" s="9">
        <f>IFERROR((I415-K415)*24*60,0)</f>
        <v>0</v>
      </c>
      <c r="AI415" s="9">
        <f t="shared" si="7"/>
        <v>0</v>
      </c>
      <c r="AJ415" s="9">
        <f>C415</f>
        <v>1969</v>
      </c>
      <c r="AK415" s="9">
        <f>IF(P415="completed",((V415-K415)*24*60),0)</f>
        <v>4.9999999953433871</v>
      </c>
      <c r="AL415" s="9">
        <f>IF(P415="completed",((U415-K415)*24*60),0)</f>
        <v>7.0000000018626451</v>
      </c>
      <c r="AM415" s="9" t="str">
        <f t="shared" si="8"/>
        <v>OTP Achieved</v>
      </c>
      <c r="AN415" s="9" t="str">
        <f t="shared" si="9"/>
        <v>OTP Achieved</v>
      </c>
    </row>
    <row r="416" spans="1:40" ht="15">
      <c r="A416" s="14" t="s">
        <v>198</v>
      </c>
      <c r="B416" s="15">
        <v>46313.665277777778</v>
      </c>
      <c r="C416" s="16">
        <v>2353</v>
      </c>
      <c r="D416" s="17" t="s">
        <v>41</v>
      </c>
      <c r="E416" s="16">
        <v>7</v>
      </c>
      <c r="F416" s="17" t="s">
        <v>41</v>
      </c>
      <c r="G416" s="17" t="s">
        <v>41</v>
      </c>
      <c r="H416" s="17" t="s">
        <v>1347</v>
      </c>
      <c r="I416" s="15">
        <v>46313.665972222225</v>
      </c>
      <c r="J416" s="17" t="s">
        <v>41</v>
      </c>
      <c r="K416" s="15">
        <v>46313.665972222225</v>
      </c>
      <c r="L416" s="16">
        <v>11</v>
      </c>
      <c r="M416" s="17"/>
      <c r="N416" s="17"/>
      <c r="O416" s="15">
        <v>46313.665277777778</v>
      </c>
      <c r="P416" s="17" t="s">
        <v>43</v>
      </c>
      <c r="Q416" s="17" t="s">
        <v>200</v>
      </c>
      <c r="R416" s="17" t="s">
        <v>1348</v>
      </c>
      <c r="S416" s="16">
        <v>4247</v>
      </c>
      <c r="T416" s="17" t="s">
        <v>41</v>
      </c>
      <c r="U416" s="15">
        <v>46313.671527777777</v>
      </c>
      <c r="V416" s="15">
        <v>46313.67083333333</v>
      </c>
      <c r="W416" s="18" t="s">
        <v>1349</v>
      </c>
      <c r="X416" s="16">
        <v>22411</v>
      </c>
      <c r="Y416" s="19"/>
      <c r="Z416" s="16">
        <v>0</v>
      </c>
      <c r="AA416" s="20">
        <v>0.66527777777777775</v>
      </c>
      <c r="AB416" s="16">
        <v>7</v>
      </c>
      <c r="AC416" s="17" t="s">
        <v>41</v>
      </c>
      <c r="AD416" s="9" t="str">
        <f t="shared" si="5"/>
        <v>Actual</v>
      </c>
      <c r="AE416" s="9" t="str">
        <f t="shared" si="6"/>
        <v>TMK7</v>
      </c>
      <c r="AF416" s="9">
        <f>HOUR(O416)</f>
        <v>15</v>
      </c>
      <c r="AG416" s="9">
        <f>DAY(O416)</f>
        <v>18</v>
      </c>
      <c r="AH416" s="9">
        <f>IFERROR((I416-K416)*24*60,0)</f>
        <v>0</v>
      </c>
      <c r="AI416" s="9">
        <f t="shared" si="7"/>
        <v>0</v>
      </c>
      <c r="AJ416" s="9">
        <f>C416</f>
        <v>2353</v>
      </c>
      <c r="AK416" s="9">
        <f>IF(P416="completed",((V416-K416)*24*60),0)</f>
        <v>6.9999999913852662</v>
      </c>
      <c r="AL416" s="9">
        <f>IF(P416="completed",((U416-K416)*24*60),0)</f>
        <v>7.9999999946448952</v>
      </c>
      <c r="AM416" s="9" t="str">
        <f t="shared" si="8"/>
        <v>OTP Achieved</v>
      </c>
      <c r="AN416" s="9" t="str">
        <f t="shared" si="9"/>
        <v>OTP Achieved</v>
      </c>
    </row>
    <row r="417" spans="1:40" ht="15">
      <c r="A417" s="14" t="s">
        <v>734</v>
      </c>
      <c r="B417" s="15">
        <v>46313.664583333331</v>
      </c>
      <c r="C417" s="16">
        <v>1823</v>
      </c>
      <c r="D417" s="17" t="s">
        <v>41</v>
      </c>
      <c r="E417" s="16">
        <v>8</v>
      </c>
      <c r="F417" s="17" t="s">
        <v>41</v>
      </c>
      <c r="G417" s="17" t="s">
        <v>41</v>
      </c>
      <c r="H417" s="17" t="s">
        <v>1350</v>
      </c>
      <c r="I417" s="15">
        <v>46313.667361111111</v>
      </c>
      <c r="J417" s="17" t="s">
        <v>41</v>
      </c>
      <c r="K417" s="15">
        <v>46313.667361111111</v>
      </c>
      <c r="L417" s="16">
        <v>45</v>
      </c>
      <c r="M417" s="17"/>
      <c r="N417" s="17"/>
      <c r="O417" s="15">
        <v>46313.664583333331</v>
      </c>
      <c r="P417" s="17" t="s">
        <v>43</v>
      </c>
      <c r="Q417" s="17" t="s">
        <v>736</v>
      </c>
      <c r="R417" s="17" t="s">
        <v>1351</v>
      </c>
      <c r="S417" s="16">
        <v>4247</v>
      </c>
      <c r="T417" s="17" t="s">
        <v>41</v>
      </c>
      <c r="U417" s="15">
        <v>46313.672222222223</v>
      </c>
      <c r="V417" s="15">
        <v>46313.67291666667</v>
      </c>
      <c r="W417" s="18" t="s">
        <v>1352</v>
      </c>
      <c r="X417" s="16">
        <v>22411</v>
      </c>
      <c r="Y417" s="19"/>
      <c r="Z417" s="16">
        <v>0</v>
      </c>
      <c r="AA417" s="20">
        <v>0.6645833333333333</v>
      </c>
      <c r="AB417" s="16">
        <v>8</v>
      </c>
      <c r="AC417" s="17" t="s">
        <v>41</v>
      </c>
      <c r="AD417" s="9" t="str">
        <f t="shared" si="5"/>
        <v>Actual</v>
      </c>
      <c r="AE417" s="9" t="str">
        <f t="shared" si="6"/>
        <v>TMK7</v>
      </c>
      <c r="AF417" s="9">
        <f>HOUR(O417)</f>
        <v>15</v>
      </c>
      <c r="AG417" s="9">
        <f>DAY(O417)</f>
        <v>18</v>
      </c>
      <c r="AH417" s="9">
        <f>IFERROR((I417-K417)*24*60,0)</f>
        <v>0</v>
      </c>
      <c r="AI417" s="9">
        <f t="shared" si="7"/>
        <v>0</v>
      </c>
      <c r="AJ417" s="9">
        <f>C417</f>
        <v>1823</v>
      </c>
      <c r="AK417" s="9">
        <f>IF(P417="completed",((V417-K417)*24*60),0)</f>
        <v>8.0000000051222742</v>
      </c>
      <c r="AL417" s="9">
        <f>IF(P417="completed",((U417-K417)*24*60),0)</f>
        <v>7.0000000018626451</v>
      </c>
      <c r="AM417" s="9" t="str">
        <f t="shared" si="8"/>
        <v>OTP Breached</v>
      </c>
      <c r="AN417" s="9" t="str">
        <f t="shared" si="9"/>
        <v>OTP Achieved</v>
      </c>
    </row>
    <row r="418" spans="1:40" ht="15">
      <c r="A418" s="14" t="s">
        <v>98</v>
      </c>
      <c r="B418" s="15">
        <v>46313.663194444445</v>
      </c>
      <c r="C418" s="16">
        <v>1315</v>
      </c>
      <c r="D418" s="17" t="s">
        <v>41</v>
      </c>
      <c r="E418" s="16">
        <v>4</v>
      </c>
      <c r="F418" s="17" t="s">
        <v>41</v>
      </c>
      <c r="G418" s="17" t="s">
        <v>41</v>
      </c>
      <c r="H418" s="17" t="s">
        <v>1353</v>
      </c>
      <c r="I418" s="15">
        <v>46313.664583333331</v>
      </c>
      <c r="J418" s="17" t="s">
        <v>41</v>
      </c>
      <c r="K418" s="15">
        <v>46313.664583333331</v>
      </c>
      <c r="L418" s="16">
        <v>15</v>
      </c>
      <c r="M418" s="17"/>
      <c r="N418" s="17"/>
      <c r="O418" s="15">
        <v>46313.663194444445</v>
      </c>
      <c r="P418" s="17" t="s">
        <v>43</v>
      </c>
      <c r="Q418" s="17" t="s">
        <v>100</v>
      </c>
      <c r="R418" s="17" t="s">
        <v>1354</v>
      </c>
      <c r="S418" s="16">
        <v>4247</v>
      </c>
      <c r="T418" s="17" t="s">
        <v>41</v>
      </c>
      <c r="U418" s="15">
        <v>46313.668749999997</v>
      </c>
      <c r="V418" s="15">
        <v>46313.667361111111</v>
      </c>
      <c r="W418" s="18" t="s">
        <v>1355</v>
      </c>
      <c r="X418" s="16">
        <v>22411</v>
      </c>
      <c r="Y418" s="19"/>
      <c r="Z418" s="16">
        <v>0</v>
      </c>
      <c r="AA418" s="20">
        <v>0.66319444444444442</v>
      </c>
      <c r="AB418" s="16">
        <v>4</v>
      </c>
      <c r="AC418" s="17" t="s">
        <v>41</v>
      </c>
      <c r="AD418" s="9" t="str">
        <f t="shared" si="5"/>
        <v>Actual</v>
      </c>
      <c r="AE418" s="9" t="str">
        <f t="shared" si="6"/>
        <v>TMK7</v>
      </c>
      <c r="AF418" s="9">
        <f>HOUR(O418)</f>
        <v>15</v>
      </c>
      <c r="AG418" s="9">
        <f>DAY(O418)</f>
        <v>18</v>
      </c>
      <c r="AH418" s="9">
        <f>IFERROR((I418-K418)*24*60,0)</f>
        <v>0</v>
      </c>
      <c r="AI418" s="9">
        <f t="shared" si="7"/>
        <v>0</v>
      </c>
      <c r="AJ418" s="9">
        <f>C418</f>
        <v>1315</v>
      </c>
      <c r="AK418" s="9">
        <f>IF(P418="completed",((V418-K418)*24*60),0)</f>
        <v>4.0000000025611371</v>
      </c>
      <c r="AL418" s="9">
        <f>IF(P418="completed",((U418-K418)*24*60),0)</f>
        <v>5.9999999986030161</v>
      </c>
      <c r="AM418" s="9" t="str">
        <f t="shared" si="8"/>
        <v>OTP Achieved</v>
      </c>
      <c r="AN418" s="9" t="str">
        <f t="shared" si="9"/>
        <v>OTP Achieved</v>
      </c>
    </row>
    <row r="419" spans="1:40" ht="15">
      <c r="A419" s="14" t="s">
        <v>72</v>
      </c>
      <c r="B419" s="15">
        <v>46313.661805555559</v>
      </c>
      <c r="C419" s="16">
        <v>2907</v>
      </c>
      <c r="D419" s="17" t="s">
        <v>41</v>
      </c>
      <c r="E419" s="16">
        <v>8</v>
      </c>
      <c r="F419" s="17" t="s">
        <v>41</v>
      </c>
      <c r="G419" s="17" t="s">
        <v>41</v>
      </c>
      <c r="H419" s="17" t="s">
        <v>1356</v>
      </c>
      <c r="I419" s="15">
        <v>46313.664583333331</v>
      </c>
      <c r="J419" s="17" t="s">
        <v>41</v>
      </c>
      <c r="K419" s="15">
        <v>46313.664583333331</v>
      </c>
      <c r="L419" s="16">
        <v>23</v>
      </c>
      <c r="M419" s="17"/>
      <c r="N419" s="17"/>
      <c r="O419" s="15">
        <v>46313.661111111112</v>
      </c>
      <c r="P419" s="17" t="s">
        <v>43</v>
      </c>
      <c r="Q419" s="17" t="s">
        <v>74</v>
      </c>
      <c r="R419" s="17" t="s">
        <v>1357</v>
      </c>
      <c r="S419" s="16">
        <v>4247</v>
      </c>
      <c r="T419" s="17" t="s">
        <v>41</v>
      </c>
      <c r="U419" s="15">
        <v>46313.67291666667</v>
      </c>
      <c r="V419" s="15">
        <v>46313.670138888891</v>
      </c>
      <c r="W419" s="18" t="s">
        <v>1358</v>
      </c>
      <c r="X419" s="16">
        <v>22411</v>
      </c>
      <c r="Y419" s="19"/>
      <c r="Z419" s="16">
        <v>0</v>
      </c>
      <c r="AA419" s="20">
        <v>0.66180555555555554</v>
      </c>
      <c r="AB419" s="16">
        <v>8</v>
      </c>
      <c r="AC419" s="17" t="s">
        <v>41</v>
      </c>
      <c r="AD419" s="9" t="str">
        <f t="shared" si="5"/>
        <v>Actual</v>
      </c>
      <c r="AE419" s="9" t="str">
        <f t="shared" si="6"/>
        <v>TMK7</v>
      </c>
      <c r="AF419" s="9">
        <f>HOUR(O419)</f>
        <v>15</v>
      </c>
      <c r="AG419" s="9">
        <f>DAY(O419)</f>
        <v>18</v>
      </c>
      <c r="AH419" s="9">
        <f>IFERROR((I419-K419)*24*60,0)</f>
        <v>0</v>
      </c>
      <c r="AI419" s="9">
        <f t="shared" si="7"/>
        <v>0</v>
      </c>
      <c r="AJ419" s="9">
        <f>C419</f>
        <v>2907</v>
      </c>
      <c r="AK419" s="9">
        <f>IF(P419="completed",((V419-K419)*24*60),0)</f>
        <v>8.0000000051222742</v>
      </c>
      <c r="AL419" s="9">
        <f>IF(P419="completed",((U419-K419)*24*60),0)</f>
        <v>12.000000007683411</v>
      </c>
      <c r="AM419" s="9" t="str">
        <f t="shared" si="8"/>
        <v>OTP Achieved</v>
      </c>
      <c r="AN419" s="9" t="str">
        <f t="shared" si="9"/>
        <v>OTP Achieved</v>
      </c>
    </row>
    <row r="420" spans="1:40" ht="15">
      <c r="A420" s="14" t="s">
        <v>1239</v>
      </c>
      <c r="B420" s="15">
        <v>46313.660416666666</v>
      </c>
      <c r="C420" s="16">
        <v>753</v>
      </c>
      <c r="D420" s="17" t="s">
        <v>41</v>
      </c>
      <c r="E420" s="16">
        <v>4</v>
      </c>
      <c r="F420" s="17" t="s">
        <v>41</v>
      </c>
      <c r="G420" s="17" t="s">
        <v>41</v>
      </c>
      <c r="H420" s="17" t="s">
        <v>1359</v>
      </c>
      <c r="I420" s="15">
        <v>46313.661805555559</v>
      </c>
      <c r="J420" s="17" t="s">
        <v>41</v>
      </c>
      <c r="K420" s="15">
        <v>46313.661111111112</v>
      </c>
      <c r="L420" s="16">
        <v>33</v>
      </c>
      <c r="M420" s="17"/>
      <c r="N420" s="17"/>
      <c r="O420" s="15">
        <v>46313.660416666666</v>
      </c>
      <c r="P420" s="17" t="s">
        <v>43</v>
      </c>
      <c r="Q420" s="17" t="s">
        <v>1241</v>
      </c>
      <c r="R420" s="17" t="s">
        <v>1360</v>
      </c>
      <c r="S420" s="16">
        <v>4247</v>
      </c>
      <c r="T420" s="17" t="s">
        <v>41</v>
      </c>
      <c r="U420" s="15">
        <v>46313.663888888892</v>
      </c>
      <c r="V420" s="15">
        <v>46313.663888888892</v>
      </c>
      <c r="W420" s="18" t="s">
        <v>1361</v>
      </c>
      <c r="X420" s="16">
        <v>22411</v>
      </c>
      <c r="Y420" s="22"/>
      <c r="Z420" s="16">
        <v>0</v>
      </c>
      <c r="AA420" s="20">
        <v>0.66041666666666665</v>
      </c>
      <c r="AB420" s="16">
        <v>3</v>
      </c>
      <c r="AC420" s="17" t="s">
        <v>41</v>
      </c>
      <c r="AD420" s="9" t="str">
        <f t="shared" si="5"/>
        <v>Actual</v>
      </c>
      <c r="AE420" s="9" t="str">
        <f t="shared" si="6"/>
        <v>TMK7</v>
      </c>
      <c r="AF420" s="9">
        <f>HOUR(O420)</f>
        <v>15</v>
      </c>
      <c r="AG420" s="9">
        <f>DAY(O420)</f>
        <v>18</v>
      </c>
      <c r="AH420" s="9">
        <f>IFERROR((I420-K420)*24*60,0)</f>
        <v>1.000000003259629</v>
      </c>
      <c r="AI420" s="9">
        <f t="shared" si="7"/>
        <v>1.000000003259629</v>
      </c>
      <c r="AJ420" s="9">
        <f>C420</f>
        <v>753</v>
      </c>
      <c r="AK420" s="9">
        <f>IF(P420="completed",((V420-K420)*24*60),0)</f>
        <v>4.0000000025611371</v>
      </c>
      <c r="AL420" s="9">
        <f>IF(P420="completed",((U420-K420)*24*60),0)</f>
        <v>4.0000000025611371</v>
      </c>
      <c r="AM420" s="9" t="str">
        <f t="shared" si="8"/>
        <v>OTP Breached</v>
      </c>
      <c r="AN420" s="9" t="str">
        <f t="shared" si="9"/>
        <v>OTP Achieved</v>
      </c>
    </row>
    <row r="421" spans="1:40" ht="15">
      <c r="A421" s="14" t="s">
        <v>379</v>
      </c>
      <c r="B421" s="15">
        <v>46313.660416666666</v>
      </c>
      <c r="C421" s="16">
        <v>2383</v>
      </c>
      <c r="D421" s="17" t="s">
        <v>41</v>
      </c>
      <c r="E421" s="16">
        <v>9</v>
      </c>
      <c r="F421" s="17" t="s">
        <v>41</v>
      </c>
      <c r="G421" s="17" t="s">
        <v>41</v>
      </c>
      <c r="H421" s="17" t="s">
        <v>1362</v>
      </c>
      <c r="I421" s="15">
        <v>46313.661111111112</v>
      </c>
      <c r="J421" s="17" t="s">
        <v>41</v>
      </c>
      <c r="K421" s="15">
        <v>46313.661111111112</v>
      </c>
      <c r="L421" s="16">
        <v>26</v>
      </c>
      <c r="M421" s="17"/>
      <c r="N421" s="17"/>
      <c r="O421" s="15">
        <v>46313.660416666666</v>
      </c>
      <c r="P421" s="17" t="s">
        <v>43</v>
      </c>
      <c r="Q421" s="17" t="s">
        <v>381</v>
      </c>
      <c r="R421" s="17" t="s">
        <v>1363</v>
      </c>
      <c r="S421" s="16">
        <v>4247</v>
      </c>
      <c r="T421" s="17" t="s">
        <v>41</v>
      </c>
      <c r="U421" s="15">
        <v>46313.666666666664</v>
      </c>
      <c r="V421" s="15">
        <v>46313.666666666664</v>
      </c>
      <c r="W421" s="18" t="s">
        <v>1364</v>
      </c>
      <c r="X421" s="16">
        <v>22411</v>
      </c>
      <c r="Y421" s="19"/>
      <c r="Z421" s="16">
        <v>0</v>
      </c>
      <c r="AA421" s="20">
        <v>0.66041666666666665</v>
      </c>
      <c r="AB421" s="16">
        <v>8</v>
      </c>
      <c r="AC421" s="17" t="s">
        <v>41</v>
      </c>
      <c r="AD421" s="9" t="str">
        <f t="shared" si="5"/>
        <v>Actual</v>
      </c>
      <c r="AE421" s="9" t="str">
        <f t="shared" si="6"/>
        <v>TMK7</v>
      </c>
      <c r="AF421" s="9">
        <f>HOUR(O421)</f>
        <v>15</v>
      </c>
      <c r="AG421" s="9">
        <f>DAY(O421)</f>
        <v>18</v>
      </c>
      <c r="AH421" s="9">
        <f>IFERROR((I421-K421)*24*60,0)</f>
        <v>0</v>
      </c>
      <c r="AI421" s="9">
        <f t="shared" si="7"/>
        <v>0</v>
      </c>
      <c r="AJ421" s="9">
        <f>C421</f>
        <v>2383</v>
      </c>
      <c r="AK421" s="9">
        <f>IF(P421="completed",((V421-K421)*24*60),0)</f>
        <v>7.9999999946448952</v>
      </c>
      <c r="AL421" s="9">
        <f>IF(P421="completed",((U421-K421)*24*60),0)</f>
        <v>7.9999999946448952</v>
      </c>
      <c r="AM421" s="9" t="str">
        <f t="shared" si="8"/>
        <v>OTP Breached</v>
      </c>
      <c r="AN421" s="9" t="str">
        <f t="shared" si="9"/>
        <v>OTP Achieved</v>
      </c>
    </row>
    <row r="422" spans="1:40" ht="15">
      <c r="A422" s="14" t="s">
        <v>1365</v>
      </c>
      <c r="B422" s="15">
        <v>46313.659722222219</v>
      </c>
      <c r="C422" s="16">
        <v>2212</v>
      </c>
      <c r="D422" s="17" t="s">
        <v>41</v>
      </c>
      <c r="E422" s="16">
        <v>7</v>
      </c>
      <c r="F422" s="17" t="s">
        <v>41</v>
      </c>
      <c r="G422" s="17" t="s">
        <v>41</v>
      </c>
      <c r="H422" s="17" t="s">
        <v>1366</v>
      </c>
      <c r="I422" s="15">
        <v>46313.660416666666</v>
      </c>
      <c r="J422" s="17" t="s">
        <v>41</v>
      </c>
      <c r="K422" s="15">
        <v>46313.660416666666</v>
      </c>
      <c r="L422" s="16">
        <v>10</v>
      </c>
      <c r="M422" s="17"/>
      <c r="N422" s="17"/>
      <c r="O422" s="15">
        <v>46313.659722222219</v>
      </c>
      <c r="P422" s="17" t="s">
        <v>43</v>
      </c>
      <c r="Q422" s="17" t="s">
        <v>1367</v>
      </c>
      <c r="R422" s="17" t="s">
        <v>1368</v>
      </c>
      <c r="S422" s="16">
        <v>4247</v>
      </c>
      <c r="T422" s="17" t="s">
        <v>41</v>
      </c>
      <c r="U422" s="15">
        <v>46313.665972222225</v>
      </c>
      <c r="V422" s="15">
        <v>46313.665277777778</v>
      </c>
      <c r="W422" s="18" t="s">
        <v>1369</v>
      </c>
      <c r="X422" s="16">
        <v>22411</v>
      </c>
      <c r="Y422" s="19"/>
      <c r="Z422" s="16">
        <v>0</v>
      </c>
      <c r="AA422" s="20">
        <v>0.65972222222222221</v>
      </c>
      <c r="AB422" s="16">
        <v>7</v>
      </c>
      <c r="AC422" s="17" t="s">
        <v>41</v>
      </c>
      <c r="AD422" s="9" t="str">
        <f t="shared" si="5"/>
        <v>Actual</v>
      </c>
      <c r="AE422" s="9" t="str">
        <f t="shared" si="6"/>
        <v>TMK7</v>
      </c>
      <c r="AF422" s="9">
        <f>HOUR(O422)</f>
        <v>15</v>
      </c>
      <c r="AG422" s="9">
        <f>DAY(O422)</f>
        <v>18</v>
      </c>
      <c r="AH422" s="9">
        <f>IFERROR((I422-K422)*24*60,0)</f>
        <v>0</v>
      </c>
      <c r="AI422" s="9">
        <f t="shared" si="7"/>
        <v>0</v>
      </c>
      <c r="AJ422" s="9">
        <f>C422</f>
        <v>2212</v>
      </c>
      <c r="AK422" s="9">
        <f>IF(P422="completed",((V422-K422)*24*60),0)</f>
        <v>7.0000000018626451</v>
      </c>
      <c r="AL422" s="9">
        <f>IF(P422="completed",((U422-K422)*24*60),0)</f>
        <v>8.0000000051222742</v>
      </c>
      <c r="AM422" s="9" t="str">
        <f t="shared" si="8"/>
        <v>OTP Achieved</v>
      </c>
      <c r="AN422" s="9" t="str">
        <f t="shared" si="9"/>
        <v>OTP Achieved</v>
      </c>
    </row>
    <row r="423" spans="1:40" ht="15">
      <c r="A423" s="14" t="s">
        <v>57</v>
      </c>
      <c r="B423" s="15">
        <v>46313.658333333333</v>
      </c>
      <c r="C423" s="16">
        <v>1322</v>
      </c>
      <c r="D423" s="17" t="s">
        <v>41</v>
      </c>
      <c r="E423" s="16">
        <v>5</v>
      </c>
      <c r="F423" s="17" t="s">
        <v>41</v>
      </c>
      <c r="G423" s="17" t="s">
        <v>41</v>
      </c>
      <c r="H423" s="17" t="s">
        <v>1370</v>
      </c>
      <c r="I423" s="15">
        <v>46313.661111111112</v>
      </c>
      <c r="J423" s="17" t="s">
        <v>41</v>
      </c>
      <c r="K423" s="15">
        <v>46313.661111111112</v>
      </c>
      <c r="L423" s="16">
        <v>13</v>
      </c>
      <c r="M423" s="17"/>
      <c r="N423" s="17"/>
      <c r="O423" s="15">
        <v>46313.658333333333</v>
      </c>
      <c r="P423" s="17" t="s">
        <v>43</v>
      </c>
      <c r="Q423" s="17" t="s">
        <v>59</v>
      </c>
      <c r="R423" s="17" t="s">
        <v>1371</v>
      </c>
      <c r="S423" s="16">
        <v>4247</v>
      </c>
      <c r="T423" s="17" t="s">
        <v>41</v>
      </c>
      <c r="U423" s="15">
        <v>46313.665972222225</v>
      </c>
      <c r="V423" s="15">
        <v>46313.664583333331</v>
      </c>
      <c r="W423" s="18" t="s">
        <v>1372</v>
      </c>
      <c r="X423" s="16">
        <v>22411</v>
      </c>
      <c r="Y423" s="17"/>
      <c r="Z423" s="16">
        <v>0</v>
      </c>
      <c r="AA423" s="20">
        <v>0.65833333333333333</v>
      </c>
      <c r="AB423" s="16">
        <v>5</v>
      </c>
      <c r="AC423" s="17" t="s">
        <v>41</v>
      </c>
      <c r="AD423" s="9" t="str">
        <f t="shared" si="5"/>
        <v>Actual</v>
      </c>
      <c r="AE423" s="9" t="str">
        <f t="shared" si="6"/>
        <v>TMK7</v>
      </c>
      <c r="AF423" s="9">
        <f>HOUR(O423)</f>
        <v>15</v>
      </c>
      <c r="AG423" s="9">
        <f>DAY(O423)</f>
        <v>18</v>
      </c>
      <c r="AH423" s="9">
        <f>IFERROR((I423-K423)*24*60,0)</f>
        <v>0</v>
      </c>
      <c r="AI423" s="9">
        <f t="shared" si="7"/>
        <v>0</v>
      </c>
      <c r="AJ423" s="9">
        <f>C423</f>
        <v>1322</v>
      </c>
      <c r="AK423" s="9">
        <f>IF(P423="completed",((V423-K423)*24*60),0)</f>
        <v>4.9999999953433871</v>
      </c>
      <c r="AL423" s="9">
        <f>IF(P423="completed",((U423-K423)*24*60),0)</f>
        <v>7.0000000018626451</v>
      </c>
      <c r="AM423" s="9" t="str">
        <f t="shared" si="8"/>
        <v>OTP Achieved</v>
      </c>
      <c r="AN423" s="9" t="str">
        <f t="shared" si="9"/>
        <v>OTP Achieved</v>
      </c>
    </row>
    <row r="424" spans="1:40" ht="15">
      <c r="A424" s="23" t="s">
        <v>125</v>
      </c>
      <c r="B424" s="15">
        <v>46313.657638888886</v>
      </c>
      <c r="C424" s="16">
        <v>1279</v>
      </c>
      <c r="D424" s="17" t="s">
        <v>41</v>
      </c>
      <c r="E424" s="17">
        <v>5</v>
      </c>
      <c r="F424" s="17" t="s">
        <v>41</v>
      </c>
      <c r="G424" s="17" t="s">
        <v>41</v>
      </c>
      <c r="H424" s="17" t="s">
        <v>1373</v>
      </c>
      <c r="I424" s="19">
        <v>46313.658333333333</v>
      </c>
      <c r="J424" s="17" t="s">
        <v>41</v>
      </c>
      <c r="K424" s="19">
        <v>46313.658333333333</v>
      </c>
      <c r="L424" s="17">
        <v>22</v>
      </c>
      <c r="M424" s="17"/>
      <c r="N424" s="17"/>
      <c r="O424" s="15">
        <v>46313.657638888886</v>
      </c>
      <c r="P424" s="17" t="s">
        <v>43</v>
      </c>
      <c r="Q424" s="17" t="s">
        <v>127</v>
      </c>
      <c r="R424" s="17" t="s">
        <v>1374</v>
      </c>
      <c r="S424" s="16">
        <v>4247</v>
      </c>
      <c r="T424" s="17" t="s">
        <v>41</v>
      </c>
      <c r="U424" s="15">
        <v>46313.661805555559</v>
      </c>
      <c r="V424" s="19">
        <v>46313.661805555559</v>
      </c>
      <c r="W424" s="18" t="s">
        <v>1375</v>
      </c>
      <c r="X424" s="16">
        <v>22411</v>
      </c>
      <c r="Y424" s="19"/>
      <c r="Z424" s="16">
        <v>0</v>
      </c>
      <c r="AA424" s="20">
        <v>0.65763888888888888</v>
      </c>
      <c r="AB424" s="17">
        <v>5</v>
      </c>
      <c r="AC424" s="17" t="s">
        <v>41</v>
      </c>
      <c r="AD424" s="9" t="str">
        <f t="shared" si="5"/>
        <v>Actual</v>
      </c>
      <c r="AE424" s="9" t="str">
        <f t="shared" si="6"/>
        <v>TMK7</v>
      </c>
      <c r="AF424" s="9">
        <f>HOUR(O424)</f>
        <v>15</v>
      </c>
      <c r="AG424" s="9">
        <f>DAY(O424)</f>
        <v>18</v>
      </c>
      <c r="AH424" s="9">
        <f>IFERROR((I424-K424)*24*60,0)</f>
        <v>0</v>
      </c>
      <c r="AI424" s="9">
        <f t="shared" si="7"/>
        <v>0</v>
      </c>
      <c r="AJ424" s="9">
        <f>C424</f>
        <v>1279</v>
      </c>
      <c r="AK424" s="9">
        <f>IF(P424="completed",((V424-K424)*24*60),0)</f>
        <v>5.0000000058207661</v>
      </c>
      <c r="AL424" s="9">
        <f>IF(P424="completed",((U424-K424)*24*60),0)</f>
        <v>5.0000000058207661</v>
      </c>
      <c r="AM424" s="9" t="str">
        <f t="shared" si="8"/>
        <v>OTP Breached</v>
      </c>
      <c r="AN424" s="9" t="str">
        <f t="shared" si="9"/>
        <v>OTP Achieved</v>
      </c>
    </row>
    <row r="425" spans="1:40" ht="15">
      <c r="A425" s="14" t="s">
        <v>1171</v>
      </c>
      <c r="B425" s="15">
        <v>46313.651388888888</v>
      </c>
      <c r="C425" s="16">
        <v>2011</v>
      </c>
      <c r="D425" s="17" t="s">
        <v>41</v>
      </c>
      <c r="E425" s="16">
        <v>7</v>
      </c>
      <c r="F425" s="17" t="s">
        <v>41</v>
      </c>
      <c r="G425" s="17" t="s">
        <v>41</v>
      </c>
      <c r="H425" s="17" t="s">
        <v>1376</v>
      </c>
      <c r="I425" s="15">
        <v>46313.65347222222</v>
      </c>
      <c r="J425" s="17" t="s">
        <v>41</v>
      </c>
      <c r="K425" s="15">
        <v>46313.652777777781</v>
      </c>
      <c r="L425" s="16">
        <v>106</v>
      </c>
      <c r="M425" s="17"/>
      <c r="N425" s="17"/>
      <c r="O425" s="15">
        <v>46313.650694444441</v>
      </c>
      <c r="P425" s="17" t="s">
        <v>43</v>
      </c>
      <c r="Q425" s="17" t="s">
        <v>1173</v>
      </c>
      <c r="R425" s="17" t="s">
        <v>1377</v>
      </c>
      <c r="S425" s="16">
        <v>4247</v>
      </c>
      <c r="T425" s="17" t="s">
        <v>41</v>
      </c>
      <c r="U425" s="15">
        <v>46313.660416666666</v>
      </c>
      <c r="V425" s="15">
        <v>46313.657638888886</v>
      </c>
      <c r="W425" s="18" t="s">
        <v>1378</v>
      </c>
      <c r="X425" s="16">
        <v>22411</v>
      </c>
      <c r="Y425" s="19"/>
      <c r="Z425" s="16">
        <v>0</v>
      </c>
      <c r="AA425" s="20">
        <v>0.65138888888888891</v>
      </c>
      <c r="AB425" s="16">
        <v>6</v>
      </c>
      <c r="AC425" s="17" t="s">
        <v>41</v>
      </c>
      <c r="AD425" s="9" t="str">
        <f t="shared" si="5"/>
        <v>Actual</v>
      </c>
      <c r="AE425" s="9" t="str">
        <f t="shared" si="6"/>
        <v>TMK7</v>
      </c>
      <c r="AF425" s="9">
        <f>HOUR(O425)</f>
        <v>15</v>
      </c>
      <c r="AG425" s="9">
        <f>DAY(O425)</f>
        <v>18</v>
      </c>
      <c r="AH425" s="9">
        <f>IFERROR((I425-K425)*24*60,0)</f>
        <v>0.99999999278225005</v>
      </c>
      <c r="AI425" s="9">
        <f t="shared" si="7"/>
        <v>0.99999999278225005</v>
      </c>
      <c r="AJ425" s="9">
        <f>C425</f>
        <v>2011</v>
      </c>
      <c r="AK425" s="9">
        <f>IF(P425="completed",((V425-K425)*24*60),0)</f>
        <v>6.9999999913852662</v>
      </c>
      <c r="AL425" s="9">
        <f>IF(P425="completed",((U425-K425)*24*60),0)</f>
        <v>10.999999993946403</v>
      </c>
      <c r="AM425" s="9" t="str">
        <f t="shared" si="8"/>
        <v>OTP Achieved</v>
      </c>
      <c r="AN425" s="9" t="str">
        <f t="shared" si="9"/>
        <v>OTP Achieved</v>
      </c>
    </row>
    <row r="426" spans="1:40" ht="15">
      <c r="A426" s="14" t="s">
        <v>62</v>
      </c>
      <c r="B426" s="15">
        <v>46313.649305555555</v>
      </c>
      <c r="C426" s="16">
        <v>1046</v>
      </c>
      <c r="D426" s="17" t="s">
        <v>41</v>
      </c>
      <c r="E426" s="16">
        <v>4</v>
      </c>
      <c r="F426" s="17" t="s">
        <v>41</v>
      </c>
      <c r="G426" s="17" t="s">
        <v>41</v>
      </c>
      <c r="H426" s="17" t="s">
        <v>1379</v>
      </c>
      <c r="I426" s="15">
        <v>46313.650694444441</v>
      </c>
      <c r="J426" s="17" t="s">
        <v>41</v>
      </c>
      <c r="K426" s="15">
        <v>46313.650694444441</v>
      </c>
      <c r="L426" s="16">
        <v>20</v>
      </c>
      <c r="M426" s="17"/>
      <c r="N426" s="17"/>
      <c r="O426" s="15">
        <v>46313.648611111108</v>
      </c>
      <c r="P426" s="17" t="s">
        <v>43</v>
      </c>
      <c r="Q426" s="17" t="s">
        <v>64</v>
      </c>
      <c r="R426" s="17" t="s">
        <v>1380</v>
      </c>
      <c r="S426" s="16">
        <v>4247</v>
      </c>
      <c r="T426" s="17" t="s">
        <v>41</v>
      </c>
      <c r="U426" s="15">
        <v>46313.654166666667</v>
      </c>
      <c r="V426" s="15">
        <v>46313.65347222222</v>
      </c>
      <c r="W426" s="18" t="s">
        <v>1381</v>
      </c>
      <c r="X426" s="16">
        <v>22411</v>
      </c>
      <c r="Y426" s="19"/>
      <c r="Z426" s="16">
        <v>0</v>
      </c>
      <c r="AA426" s="20">
        <v>0.64930555555555558</v>
      </c>
      <c r="AB426" s="16">
        <v>4</v>
      </c>
      <c r="AC426" s="17" t="s">
        <v>41</v>
      </c>
      <c r="AD426" s="9" t="str">
        <f t="shared" si="5"/>
        <v>Actual</v>
      </c>
      <c r="AE426" s="9" t="str">
        <f t="shared" si="6"/>
        <v>TMK7</v>
      </c>
      <c r="AF426" s="9">
        <f>HOUR(O426)</f>
        <v>15</v>
      </c>
      <c r="AG426" s="9">
        <f>DAY(O426)</f>
        <v>18</v>
      </c>
      <c r="AH426" s="9">
        <f>IFERROR((I426-K426)*24*60,0)</f>
        <v>0</v>
      </c>
      <c r="AI426" s="9">
        <f t="shared" si="7"/>
        <v>0</v>
      </c>
      <c r="AJ426" s="9">
        <f>C426</f>
        <v>1046</v>
      </c>
      <c r="AK426" s="9">
        <f>IF(P426="completed",((V426-K426)*24*60),0)</f>
        <v>4.0000000025611371</v>
      </c>
      <c r="AL426" s="9">
        <f>IF(P426="completed",((U426-K426)*24*60),0)</f>
        <v>5.0000000058207661</v>
      </c>
      <c r="AM426" s="9" t="str">
        <f t="shared" si="8"/>
        <v>OTP Achieved</v>
      </c>
      <c r="AN426" s="9" t="str">
        <f t="shared" si="9"/>
        <v>OTP Achieved</v>
      </c>
    </row>
    <row r="427" spans="1:40" ht="15">
      <c r="A427" s="14" t="s">
        <v>93</v>
      </c>
      <c r="B427" s="15">
        <v>46313.649305555555</v>
      </c>
      <c r="C427" s="16">
        <v>1823</v>
      </c>
      <c r="D427" s="17" t="s">
        <v>41</v>
      </c>
      <c r="E427" s="16">
        <v>5</v>
      </c>
      <c r="F427" s="17" t="s">
        <v>41</v>
      </c>
      <c r="G427" s="17" t="s">
        <v>41</v>
      </c>
      <c r="H427" s="17" t="s">
        <v>1382</v>
      </c>
      <c r="I427" s="15">
        <v>46313.649305555555</v>
      </c>
      <c r="J427" s="17" t="s">
        <v>41</v>
      </c>
      <c r="K427" s="15">
        <v>46313.649305555555</v>
      </c>
      <c r="L427" s="16">
        <v>23</v>
      </c>
      <c r="M427" s="17"/>
      <c r="N427" s="17"/>
      <c r="O427" s="15">
        <v>46313.648611111108</v>
      </c>
      <c r="P427" s="17" t="s">
        <v>43</v>
      </c>
      <c r="Q427" s="17" t="s">
        <v>95</v>
      </c>
      <c r="R427" s="17" t="s">
        <v>1383</v>
      </c>
      <c r="S427" s="16">
        <v>4247</v>
      </c>
      <c r="T427" s="17" t="s">
        <v>41</v>
      </c>
      <c r="U427" s="15">
        <v>46313.654166666667</v>
      </c>
      <c r="V427" s="15">
        <v>46313.652777777781</v>
      </c>
      <c r="W427" s="18" t="s">
        <v>1384</v>
      </c>
      <c r="X427" s="16">
        <v>22411</v>
      </c>
      <c r="Y427" s="19"/>
      <c r="Z427" s="16">
        <v>0</v>
      </c>
      <c r="AA427" s="20">
        <v>0.64930555555555558</v>
      </c>
      <c r="AB427" s="16">
        <v>5</v>
      </c>
      <c r="AC427" s="17" t="s">
        <v>41</v>
      </c>
      <c r="AD427" s="9" t="str">
        <f t="shared" si="5"/>
        <v>Actual</v>
      </c>
      <c r="AE427" s="9" t="str">
        <f t="shared" si="6"/>
        <v>TMK7</v>
      </c>
      <c r="AF427" s="9">
        <f>HOUR(O427)</f>
        <v>15</v>
      </c>
      <c r="AG427" s="9">
        <f>DAY(O427)</f>
        <v>18</v>
      </c>
      <c r="AH427" s="9">
        <f>IFERROR((I427-K427)*24*60,0)</f>
        <v>0</v>
      </c>
      <c r="AI427" s="9">
        <f t="shared" si="7"/>
        <v>0</v>
      </c>
      <c r="AJ427" s="9">
        <f>C427</f>
        <v>1823</v>
      </c>
      <c r="AK427" s="9">
        <f>IF(P427="completed",((V427-K427)*24*60),0)</f>
        <v>5.0000000058207661</v>
      </c>
      <c r="AL427" s="9">
        <f>IF(P427="completed",((U427-K427)*24*60),0)</f>
        <v>7.0000000018626451</v>
      </c>
      <c r="AM427" s="9" t="str">
        <f t="shared" si="8"/>
        <v>OTP Achieved</v>
      </c>
      <c r="AN427" s="9" t="str">
        <f t="shared" si="9"/>
        <v>OTP Achieved</v>
      </c>
    </row>
    <row r="428" spans="1:40" ht="15">
      <c r="A428" s="14" t="s">
        <v>185</v>
      </c>
      <c r="B428" s="15">
        <v>46313.647222222222</v>
      </c>
      <c r="C428" s="16">
        <v>1371</v>
      </c>
      <c r="D428" s="17" t="s">
        <v>41</v>
      </c>
      <c r="E428" s="16">
        <v>9</v>
      </c>
      <c r="F428" s="17" t="s">
        <v>41</v>
      </c>
      <c r="G428" s="17" t="s">
        <v>41</v>
      </c>
      <c r="H428" s="17" t="s">
        <v>1385</v>
      </c>
      <c r="I428" s="15">
        <v>46313.647916666669</v>
      </c>
      <c r="J428" s="17" t="s">
        <v>41</v>
      </c>
      <c r="K428" s="15">
        <v>46313.647916666669</v>
      </c>
      <c r="L428" s="16">
        <v>11</v>
      </c>
      <c r="M428" s="17"/>
      <c r="N428" s="17"/>
      <c r="O428" s="15">
        <v>46313.647222222222</v>
      </c>
      <c r="P428" s="17" t="s">
        <v>43</v>
      </c>
      <c r="Q428" s="17" t="s">
        <v>187</v>
      </c>
      <c r="R428" s="17" t="s">
        <v>1386</v>
      </c>
      <c r="S428" s="16">
        <v>4247</v>
      </c>
      <c r="T428" s="17" t="s">
        <v>41</v>
      </c>
      <c r="U428" s="15">
        <v>46313.652777777781</v>
      </c>
      <c r="V428" s="15">
        <v>46313.654861111114</v>
      </c>
      <c r="W428" s="18" t="s">
        <v>1387</v>
      </c>
      <c r="X428" s="16">
        <v>22411</v>
      </c>
      <c r="Y428" s="19"/>
      <c r="Z428" s="16">
        <v>0</v>
      </c>
      <c r="AA428" s="20">
        <v>0.64722222222222225</v>
      </c>
      <c r="AB428" s="16">
        <v>9</v>
      </c>
      <c r="AC428" s="17" t="s">
        <v>41</v>
      </c>
      <c r="AD428" s="9" t="str">
        <f t="shared" si="5"/>
        <v>Actual</v>
      </c>
      <c r="AE428" s="9" t="str">
        <f t="shared" si="6"/>
        <v>TMK7</v>
      </c>
      <c r="AF428" s="9">
        <f>HOUR(O428)</f>
        <v>15</v>
      </c>
      <c r="AG428" s="9">
        <f>DAY(O428)</f>
        <v>18</v>
      </c>
      <c r="AH428" s="9">
        <f>IFERROR((I428-K428)*24*60,0)</f>
        <v>0</v>
      </c>
      <c r="AI428" s="9">
        <f t="shared" si="7"/>
        <v>0</v>
      </c>
      <c r="AJ428" s="9">
        <f>C428</f>
        <v>1371</v>
      </c>
      <c r="AK428" s="9">
        <f>IF(P428="completed",((V428-K428)*24*60),0)</f>
        <v>10.000000001164153</v>
      </c>
      <c r="AL428" s="9">
        <f>IF(P428="completed",((U428-K428)*24*60),0)</f>
        <v>7.0000000018626451</v>
      </c>
      <c r="AM428" s="9" t="str">
        <f t="shared" si="8"/>
        <v>OTP Breached</v>
      </c>
      <c r="AN428" s="9" t="str">
        <f t="shared" si="9"/>
        <v>OTP Achieved</v>
      </c>
    </row>
    <row r="429" spans="1:40" ht="15">
      <c r="A429" s="14" t="s">
        <v>40</v>
      </c>
      <c r="B429" s="15">
        <v>46313.645833333336</v>
      </c>
      <c r="C429" s="16">
        <v>235</v>
      </c>
      <c r="D429" s="17" t="s">
        <v>41</v>
      </c>
      <c r="E429" s="16">
        <v>1</v>
      </c>
      <c r="F429" s="17" t="s">
        <v>41</v>
      </c>
      <c r="G429" s="17" t="s">
        <v>41</v>
      </c>
      <c r="H429" s="17" t="s">
        <v>1388</v>
      </c>
      <c r="I429" s="15">
        <v>46313.649305555555</v>
      </c>
      <c r="J429" s="17" t="s">
        <v>41</v>
      </c>
      <c r="K429" s="15">
        <v>46313.649305555555</v>
      </c>
      <c r="L429" s="16">
        <v>12</v>
      </c>
      <c r="M429" s="17"/>
      <c r="N429" s="17"/>
      <c r="O429" s="15">
        <v>46313.645833333336</v>
      </c>
      <c r="P429" s="17" t="s">
        <v>43</v>
      </c>
      <c r="Q429" s="17" t="s">
        <v>44</v>
      </c>
      <c r="R429" s="17" t="s">
        <v>1389</v>
      </c>
      <c r="S429" s="16">
        <v>4247</v>
      </c>
      <c r="T429" s="17" t="s">
        <v>41</v>
      </c>
      <c r="U429" s="15">
        <v>46313.65</v>
      </c>
      <c r="V429" s="15">
        <v>46313.649305555555</v>
      </c>
      <c r="W429" s="18" t="s">
        <v>1390</v>
      </c>
      <c r="X429" s="16">
        <v>22411</v>
      </c>
      <c r="Y429" s="19"/>
      <c r="Z429" s="16">
        <v>0</v>
      </c>
      <c r="AA429" s="20">
        <v>0.64583333333333337</v>
      </c>
      <c r="AB429" s="16">
        <v>0</v>
      </c>
      <c r="AC429" s="17" t="s">
        <v>41</v>
      </c>
      <c r="AD429" s="9" t="str">
        <f t="shared" si="5"/>
        <v>Actual</v>
      </c>
      <c r="AE429" s="9" t="str">
        <f t="shared" si="6"/>
        <v>TMK7</v>
      </c>
      <c r="AF429" s="9">
        <f>HOUR(O429)</f>
        <v>15</v>
      </c>
      <c r="AG429" s="9">
        <f>DAY(O429)</f>
        <v>18</v>
      </c>
      <c r="AH429" s="9">
        <f>IFERROR((I429-K429)*24*60,0)</f>
        <v>0</v>
      </c>
      <c r="AI429" s="9">
        <f t="shared" si="7"/>
        <v>0</v>
      </c>
      <c r="AJ429" s="9">
        <f>C429</f>
        <v>235</v>
      </c>
      <c r="AK429" s="9">
        <f>IF(P429="completed",((V429-K429)*24*60),0)</f>
        <v>0</v>
      </c>
      <c r="AL429" s="9">
        <f>IF(P429="completed",((U429-K429)*24*60),0)</f>
        <v>1.000000003259629</v>
      </c>
      <c r="AM429" s="9" t="str">
        <f t="shared" si="8"/>
        <v>OTP Achieved</v>
      </c>
      <c r="AN429" s="9" t="str">
        <f t="shared" si="9"/>
        <v>OTP Achieved</v>
      </c>
    </row>
    <row r="430" spans="1:40" ht="15">
      <c r="A430" s="14" t="s">
        <v>1391</v>
      </c>
      <c r="B430" s="15">
        <v>46313.644444444442</v>
      </c>
      <c r="C430" s="16">
        <v>1250</v>
      </c>
      <c r="D430" s="17" t="s">
        <v>41</v>
      </c>
      <c r="E430" s="16">
        <v>3</v>
      </c>
      <c r="F430" s="17" t="s">
        <v>41</v>
      </c>
      <c r="G430" s="17" t="s">
        <v>41</v>
      </c>
      <c r="H430" s="17" t="s">
        <v>1392</v>
      </c>
      <c r="I430" s="15">
        <v>46313.645833333336</v>
      </c>
      <c r="J430" s="17" t="s">
        <v>41</v>
      </c>
      <c r="K430" s="15">
        <v>46313.645833333336</v>
      </c>
      <c r="L430" s="16">
        <v>31</v>
      </c>
      <c r="M430" s="17"/>
      <c r="N430" s="17"/>
      <c r="O430" s="15">
        <v>46313.644444444442</v>
      </c>
      <c r="P430" s="17" t="s">
        <v>43</v>
      </c>
      <c r="Q430" s="17" t="s">
        <v>1393</v>
      </c>
      <c r="R430" s="17" t="s">
        <v>1394</v>
      </c>
      <c r="S430" s="16">
        <v>4247</v>
      </c>
      <c r="T430" s="17" t="s">
        <v>41</v>
      </c>
      <c r="U430" s="15">
        <v>46313.649305555555</v>
      </c>
      <c r="V430" s="15">
        <v>46313.647916666669</v>
      </c>
      <c r="W430" s="18" t="s">
        <v>1395</v>
      </c>
      <c r="X430" s="16">
        <v>22411</v>
      </c>
      <c r="Y430" s="19"/>
      <c r="Z430" s="16">
        <v>0</v>
      </c>
      <c r="AA430" s="20">
        <v>0.64444444444444449</v>
      </c>
      <c r="AB430" s="16">
        <v>3</v>
      </c>
      <c r="AC430" s="17" t="s">
        <v>41</v>
      </c>
      <c r="AD430" s="9" t="str">
        <f t="shared" si="5"/>
        <v>Actual</v>
      </c>
      <c r="AE430" s="9" t="str">
        <f t="shared" si="6"/>
        <v>TMK7</v>
      </c>
      <c r="AF430" s="9">
        <f>HOUR(O430)</f>
        <v>15</v>
      </c>
      <c r="AG430" s="9">
        <f>DAY(O430)</f>
        <v>18</v>
      </c>
      <c r="AH430" s="9">
        <f>IFERROR((I430-K430)*24*60,0)</f>
        <v>0</v>
      </c>
      <c r="AI430" s="9">
        <f t="shared" si="7"/>
        <v>0</v>
      </c>
      <c r="AJ430" s="9">
        <f>C430</f>
        <v>1250</v>
      </c>
      <c r="AK430" s="9">
        <f>IF(P430="completed",((V430-K430)*24*60),0)</f>
        <v>2.9999999993015081</v>
      </c>
      <c r="AL430" s="9">
        <f>IF(P430="completed",((U430-K430)*24*60),0)</f>
        <v>4.9999999953433871</v>
      </c>
      <c r="AM430" s="9" t="str">
        <f t="shared" si="8"/>
        <v>OTP Achieved</v>
      </c>
      <c r="AN430" s="9" t="str">
        <f t="shared" si="9"/>
        <v>OTP Achieved</v>
      </c>
    </row>
    <row r="431" spans="1:40" ht="15">
      <c r="A431" s="14" t="s">
        <v>1310</v>
      </c>
      <c r="B431" s="15">
        <v>46313.643750000003</v>
      </c>
      <c r="C431" s="16">
        <v>1327</v>
      </c>
      <c r="D431" s="17" t="s">
        <v>41</v>
      </c>
      <c r="E431" s="16">
        <v>7</v>
      </c>
      <c r="F431" s="17" t="s">
        <v>41</v>
      </c>
      <c r="G431" s="17" t="s">
        <v>41</v>
      </c>
      <c r="H431" s="17" t="s">
        <v>1396</v>
      </c>
      <c r="I431" s="15">
        <v>46313.645833333336</v>
      </c>
      <c r="J431" s="17" t="s">
        <v>41</v>
      </c>
      <c r="K431" s="15">
        <v>46313.645833333336</v>
      </c>
      <c r="L431" s="16">
        <v>43</v>
      </c>
      <c r="M431" s="17"/>
      <c r="N431" s="17"/>
      <c r="O431" s="15">
        <v>46313.643750000003</v>
      </c>
      <c r="P431" s="17" t="s">
        <v>315</v>
      </c>
      <c r="Q431" s="17" t="s">
        <v>1312</v>
      </c>
      <c r="R431" s="17" t="s">
        <v>1397</v>
      </c>
      <c r="S431" s="16">
        <v>4247</v>
      </c>
      <c r="T431" s="17" t="s">
        <v>41</v>
      </c>
      <c r="U431" s="15">
        <v>46313.651388888888</v>
      </c>
      <c r="V431" s="15">
        <v>46313.650694444441</v>
      </c>
      <c r="W431" s="18" t="s">
        <v>1398</v>
      </c>
      <c r="X431" s="16">
        <v>22411</v>
      </c>
      <c r="Y431" s="19">
        <v>46313.663194444445</v>
      </c>
      <c r="Z431" s="16">
        <v>0</v>
      </c>
      <c r="AA431" s="20">
        <v>0.64375000000000004</v>
      </c>
      <c r="AB431" s="16">
        <v>7</v>
      </c>
      <c r="AC431" s="17" t="s">
        <v>41</v>
      </c>
      <c r="AD431" s="9" t="str">
        <f t="shared" si="5"/>
        <v>Actual</v>
      </c>
      <c r="AE431" s="9" t="str">
        <f t="shared" si="6"/>
        <v>TMK7</v>
      </c>
      <c r="AF431" s="9">
        <f>HOUR(O431)</f>
        <v>15</v>
      </c>
      <c r="AG431" s="9">
        <f>DAY(O431)</f>
        <v>18</v>
      </c>
      <c r="AH431" s="9">
        <f>IFERROR((I431-K431)*24*60,0)</f>
        <v>0</v>
      </c>
      <c r="AI431" s="9">
        <f t="shared" si="7"/>
        <v>0</v>
      </c>
      <c r="AJ431" s="9">
        <f>C431</f>
        <v>1327</v>
      </c>
      <c r="AK431" s="9">
        <f>IF(P431="completed",((V431-K431)*24*60),0)</f>
        <v>0</v>
      </c>
      <c r="AL431" s="9">
        <f>IF(P431="completed",((U431-K431)*24*60),0)</f>
        <v>0</v>
      </c>
      <c r="AM431" s="9" t="str">
        <f t="shared" si="8"/>
        <v>OTP Breached</v>
      </c>
      <c r="AN431" s="9" t="str">
        <f t="shared" si="9"/>
        <v>OTP Achieved</v>
      </c>
    </row>
    <row r="432" spans="1:40" ht="15">
      <c r="A432" s="14" t="s">
        <v>1336</v>
      </c>
      <c r="B432" s="15">
        <v>46313.640277777777</v>
      </c>
      <c r="C432" s="16">
        <v>1701</v>
      </c>
      <c r="D432" s="17" t="s">
        <v>41</v>
      </c>
      <c r="E432" s="16">
        <v>6</v>
      </c>
      <c r="F432" s="17" t="s">
        <v>41</v>
      </c>
      <c r="G432" s="17" t="s">
        <v>41</v>
      </c>
      <c r="H432" s="17" t="s">
        <v>1399</v>
      </c>
      <c r="I432" s="15">
        <v>46313.640972222223</v>
      </c>
      <c r="J432" s="17" t="s">
        <v>41</v>
      </c>
      <c r="K432" s="15">
        <v>46313.640972222223</v>
      </c>
      <c r="L432" s="16">
        <v>24</v>
      </c>
      <c r="M432" s="17"/>
      <c r="N432" s="17"/>
      <c r="O432" s="15">
        <v>46313.640277777777</v>
      </c>
      <c r="P432" s="17" t="s">
        <v>43</v>
      </c>
      <c r="Q432" s="17" t="s">
        <v>1338</v>
      </c>
      <c r="R432" s="17" t="s">
        <v>1400</v>
      </c>
      <c r="S432" s="16">
        <v>4247</v>
      </c>
      <c r="T432" s="17" t="s">
        <v>41</v>
      </c>
      <c r="U432" s="15">
        <v>46313.645138888889</v>
      </c>
      <c r="V432" s="15">
        <v>46313.645138888889</v>
      </c>
      <c r="W432" s="18" t="s">
        <v>1401</v>
      </c>
      <c r="X432" s="16">
        <v>22411</v>
      </c>
      <c r="Y432" s="19"/>
      <c r="Z432" s="16">
        <v>0</v>
      </c>
      <c r="AA432" s="20">
        <v>0.64027777777777772</v>
      </c>
      <c r="AB432" s="16">
        <v>5</v>
      </c>
      <c r="AC432" s="17" t="s">
        <v>41</v>
      </c>
      <c r="AD432" s="9" t="str">
        <f t="shared" si="5"/>
        <v>Actual</v>
      </c>
      <c r="AE432" s="9" t="str">
        <f t="shared" si="6"/>
        <v>TMK7</v>
      </c>
      <c r="AF432" s="9">
        <f>HOUR(O432)</f>
        <v>15</v>
      </c>
      <c r="AG432" s="9">
        <f>DAY(O432)</f>
        <v>18</v>
      </c>
      <c r="AH432" s="9">
        <f>IFERROR((I432-K432)*24*60,0)</f>
        <v>0</v>
      </c>
      <c r="AI432" s="9">
        <f t="shared" si="7"/>
        <v>0</v>
      </c>
      <c r="AJ432" s="9">
        <f>C432</f>
        <v>1701</v>
      </c>
      <c r="AK432" s="9">
        <f>IF(P432="completed",((V432-K432)*24*60),0)</f>
        <v>5.9999999986030161</v>
      </c>
      <c r="AL432" s="9">
        <f>IF(P432="completed",((U432-K432)*24*60),0)</f>
        <v>5.9999999986030161</v>
      </c>
      <c r="AM432" s="9" t="str">
        <f t="shared" si="8"/>
        <v>OTP Breached</v>
      </c>
      <c r="AN432" s="9" t="str">
        <f t="shared" si="9"/>
        <v>OTP Achieved</v>
      </c>
    </row>
    <row r="433" spans="1:40" ht="15">
      <c r="A433" s="14" t="s">
        <v>77</v>
      </c>
      <c r="B433" s="15">
        <v>46313.638194444444</v>
      </c>
      <c r="C433" s="16">
        <v>2070</v>
      </c>
      <c r="D433" s="17" t="s">
        <v>41</v>
      </c>
      <c r="E433" s="16">
        <v>5</v>
      </c>
      <c r="F433" s="17" t="s">
        <v>41</v>
      </c>
      <c r="G433" s="17" t="s">
        <v>41</v>
      </c>
      <c r="H433" s="17" t="s">
        <v>1402</v>
      </c>
      <c r="I433" s="15">
        <v>46313.638888888891</v>
      </c>
      <c r="J433" s="17" t="s">
        <v>41</v>
      </c>
      <c r="K433" s="15">
        <v>46313.638194444444</v>
      </c>
      <c r="L433" s="16">
        <v>28</v>
      </c>
      <c r="M433" s="17"/>
      <c r="N433" s="17"/>
      <c r="O433" s="15">
        <v>46313.638194444444</v>
      </c>
      <c r="P433" s="17" t="s">
        <v>315</v>
      </c>
      <c r="Q433" s="17" t="s">
        <v>79</v>
      </c>
      <c r="R433" s="17" t="s">
        <v>1403</v>
      </c>
      <c r="S433" s="16">
        <v>4247</v>
      </c>
      <c r="T433" s="17" t="s">
        <v>41</v>
      </c>
      <c r="U433" s="15">
        <v>46313.643750000003</v>
      </c>
      <c r="V433" s="15">
        <v>46313.642361111109</v>
      </c>
      <c r="W433" s="18" t="s">
        <v>1404</v>
      </c>
      <c r="X433" s="16">
        <v>22411</v>
      </c>
      <c r="Y433" s="19">
        <v>46313.646527777775</v>
      </c>
      <c r="Z433" s="16">
        <v>0</v>
      </c>
      <c r="AA433" s="20">
        <v>0.6381944444444444</v>
      </c>
      <c r="AB433" s="16">
        <v>5</v>
      </c>
      <c r="AC433" s="17" t="s">
        <v>41</v>
      </c>
      <c r="AD433" s="9" t="str">
        <f t="shared" si="5"/>
        <v>Actual</v>
      </c>
      <c r="AE433" s="9" t="str">
        <f t="shared" si="6"/>
        <v>TMK7</v>
      </c>
      <c r="AF433" s="9">
        <f>HOUR(O433)</f>
        <v>15</v>
      </c>
      <c r="AG433" s="9">
        <f>DAY(O433)</f>
        <v>18</v>
      </c>
      <c r="AH433" s="9">
        <f>IFERROR((I433-K433)*24*60,0)</f>
        <v>1.000000003259629</v>
      </c>
      <c r="AI433" s="9">
        <f t="shared" si="7"/>
        <v>1.000000003259629</v>
      </c>
      <c r="AJ433" s="9">
        <f>C433</f>
        <v>2070</v>
      </c>
      <c r="AK433" s="9">
        <f>IF(P433="completed",((V433-K433)*24*60),0)</f>
        <v>0</v>
      </c>
      <c r="AL433" s="9">
        <f>IF(P433="completed",((U433-K433)*24*60),0)</f>
        <v>0</v>
      </c>
      <c r="AM433" s="9" t="str">
        <f t="shared" si="8"/>
        <v>OTP Breached</v>
      </c>
      <c r="AN433" s="9" t="str">
        <f t="shared" si="9"/>
        <v>OTP Achieved</v>
      </c>
    </row>
    <row r="434" spans="1:40" ht="15">
      <c r="A434" s="14" t="s">
        <v>734</v>
      </c>
      <c r="B434" s="15">
        <v>46313.637499999997</v>
      </c>
      <c r="C434" s="16">
        <v>1357</v>
      </c>
      <c r="D434" s="17" t="s">
        <v>41</v>
      </c>
      <c r="E434" s="16">
        <v>4</v>
      </c>
      <c r="F434" s="17" t="s">
        <v>41</v>
      </c>
      <c r="G434" s="17" t="s">
        <v>41</v>
      </c>
      <c r="H434" s="17" t="s">
        <v>1405</v>
      </c>
      <c r="I434" s="15">
        <v>46313.638194444444</v>
      </c>
      <c r="J434" s="17" t="s">
        <v>41</v>
      </c>
      <c r="K434" s="15">
        <v>46313.637499999997</v>
      </c>
      <c r="L434" s="16">
        <v>29</v>
      </c>
      <c r="M434" s="17"/>
      <c r="N434" s="17"/>
      <c r="O434" s="15">
        <v>46313.637499999997</v>
      </c>
      <c r="P434" s="17" t="s">
        <v>43</v>
      </c>
      <c r="Q434" s="17" t="s">
        <v>736</v>
      </c>
      <c r="R434" s="17" t="s">
        <v>1406</v>
      </c>
      <c r="S434" s="16">
        <v>4247</v>
      </c>
      <c r="T434" s="17" t="s">
        <v>41</v>
      </c>
      <c r="U434" s="15">
        <v>46313.64166666667</v>
      </c>
      <c r="V434" s="15">
        <v>46313.640277777777</v>
      </c>
      <c r="W434" s="18" t="s">
        <v>1407</v>
      </c>
      <c r="X434" s="16">
        <v>22411</v>
      </c>
      <c r="Y434" s="19"/>
      <c r="Z434" s="16">
        <v>0</v>
      </c>
      <c r="AA434" s="20">
        <v>0.63749999999999996</v>
      </c>
      <c r="AB434" s="16">
        <v>3</v>
      </c>
      <c r="AC434" s="17" t="s">
        <v>41</v>
      </c>
      <c r="AD434" s="9" t="str">
        <f t="shared" si="5"/>
        <v>Actual</v>
      </c>
      <c r="AE434" s="9" t="str">
        <f t="shared" si="6"/>
        <v>TMK7</v>
      </c>
      <c r="AF434" s="9">
        <f>HOUR(O434)</f>
        <v>15</v>
      </c>
      <c r="AG434" s="9">
        <f>DAY(O434)</f>
        <v>18</v>
      </c>
      <c r="AH434" s="9">
        <f>IFERROR((I434-K434)*24*60,0)</f>
        <v>1.000000003259629</v>
      </c>
      <c r="AI434" s="9">
        <f t="shared" si="7"/>
        <v>1.000000003259629</v>
      </c>
      <c r="AJ434" s="9">
        <f>C434</f>
        <v>1357</v>
      </c>
      <c r="AK434" s="9">
        <f>IF(P434="completed",((V434-K434)*24*60),0)</f>
        <v>4.0000000025611371</v>
      </c>
      <c r="AL434" s="9">
        <f>IF(P434="completed",((U434-K434)*24*60),0)</f>
        <v>6.0000000090803951</v>
      </c>
      <c r="AM434" s="9" t="str">
        <f t="shared" si="8"/>
        <v>OTP Achieved</v>
      </c>
      <c r="AN434" s="9" t="str">
        <f t="shared" si="9"/>
        <v>OTP Achieved</v>
      </c>
    </row>
    <row r="435" spans="1:40" ht="15">
      <c r="A435" s="14" t="s">
        <v>339</v>
      </c>
      <c r="B435" s="15">
        <v>46313.635416666664</v>
      </c>
      <c r="C435" s="16">
        <v>2162</v>
      </c>
      <c r="D435" s="17" t="s">
        <v>41</v>
      </c>
      <c r="E435" s="16">
        <v>7</v>
      </c>
      <c r="F435" s="17" t="s">
        <v>41</v>
      </c>
      <c r="G435" s="17" t="s">
        <v>41</v>
      </c>
      <c r="H435" s="17" t="s">
        <v>1408</v>
      </c>
      <c r="I435" s="15">
        <v>46313.637499999997</v>
      </c>
      <c r="J435" s="17" t="s">
        <v>41</v>
      </c>
      <c r="K435" s="15">
        <v>46313.636805555558</v>
      </c>
      <c r="L435" s="16">
        <v>36</v>
      </c>
      <c r="M435" s="17"/>
      <c r="N435" s="17"/>
      <c r="O435" s="15">
        <v>46313.635416666664</v>
      </c>
      <c r="P435" s="17" t="s">
        <v>43</v>
      </c>
      <c r="Q435" s="17" t="s">
        <v>341</v>
      </c>
      <c r="R435" s="17" t="s">
        <v>1409</v>
      </c>
      <c r="S435" s="16">
        <v>4247</v>
      </c>
      <c r="T435" s="17" t="s">
        <v>41</v>
      </c>
      <c r="U435" s="15">
        <v>46313.643750000003</v>
      </c>
      <c r="V435" s="15">
        <v>46313.64166666667</v>
      </c>
      <c r="W435" s="18" t="s">
        <v>1410</v>
      </c>
      <c r="X435" s="16">
        <v>22411</v>
      </c>
      <c r="Y435" s="19"/>
      <c r="Z435" s="16">
        <v>0</v>
      </c>
      <c r="AA435" s="20">
        <v>0.63541666666666663</v>
      </c>
      <c r="AB435" s="16">
        <v>6</v>
      </c>
      <c r="AC435" s="17" t="s">
        <v>41</v>
      </c>
      <c r="AD435" s="9" t="str">
        <f t="shared" si="5"/>
        <v>Actual</v>
      </c>
      <c r="AE435" s="9" t="str">
        <f t="shared" si="6"/>
        <v>TMK7</v>
      </c>
      <c r="AF435" s="9">
        <f>HOUR(O435)</f>
        <v>15</v>
      </c>
      <c r="AG435" s="9">
        <f>DAY(O435)</f>
        <v>18</v>
      </c>
      <c r="AH435" s="9">
        <f>IFERROR((I435-K435)*24*60,0)</f>
        <v>0.99999999278225005</v>
      </c>
      <c r="AI435" s="9">
        <f t="shared" si="7"/>
        <v>0.99999999278225005</v>
      </c>
      <c r="AJ435" s="9">
        <f>C435</f>
        <v>2162</v>
      </c>
      <c r="AK435" s="9">
        <f>IF(P435="completed",((V435-K435)*24*60),0)</f>
        <v>7.0000000018626451</v>
      </c>
      <c r="AL435" s="9">
        <f>IF(P435="completed",((U435-K435)*24*60),0)</f>
        <v>10.000000001164153</v>
      </c>
      <c r="AM435" s="9" t="str">
        <f t="shared" si="8"/>
        <v>OTP Achieved</v>
      </c>
      <c r="AN435" s="9" t="str">
        <f t="shared" si="9"/>
        <v>OTP Achieved</v>
      </c>
    </row>
    <row r="436" spans="1:40" ht="15">
      <c r="A436" s="14" t="s">
        <v>98</v>
      </c>
      <c r="B436" s="15">
        <v>46313.634722222225</v>
      </c>
      <c r="C436" s="16">
        <v>1308</v>
      </c>
      <c r="D436" s="17" t="s">
        <v>41</v>
      </c>
      <c r="E436" s="16">
        <v>4</v>
      </c>
      <c r="F436" s="17" t="s">
        <v>41</v>
      </c>
      <c r="G436" s="17" t="s">
        <v>41</v>
      </c>
      <c r="H436" s="17" t="s">
        <v>1411</v>
      </c>
      <c r="I436" s="15">
        <v>46313.636111111111</v>
      </c>
      <c r="J436" s="17" t="s">
        <v>41</v>
      </c>
      <c r="K436" s="15">
        <v>46313.636111111111</v>
      </c>
      <c r="L436" s="16">
        <v>33</v>
      </c>
      <c r="M436" s="17"/>
      <c r="N436" s="17"/>
      <c r="O436" s="15">
        <v>46313.634722222225</v>
      </c>
      <c r="P436" s="17" t="s">
        <v>43</v>
      </c>
      <c r="Q436" s="17" t="s">
        <v>100</v>
      </c>
      <c r="R436" s="17" t="s">
        <v>1412</v>
      </c>
      <c r="S436" s="16">
        <v>4247</v>
      </c>
      <c r="T436" s="17" t="s">
        <v>41</v>
      </c>
      <c r="U436" s="15">
        <v>46313.640277777777</v>
      </c>
      <c r="V436" s="15">
        <v>46313.638888888891</v>
      </c>
      <c r="W436" s="18" t="s">
        <v>1413</v>
      </c>
      <c r="X436" s="16">
        <v>22411</v>
      </c>
      <c r="Y436" s="19"/>
      <c r="Z436" s="16">
        <v>0</v>
      </c>
      <c r="AA436" s="20">
        <v>0.63472222222222219</v>
      </c>
      <c r="AB436" s="16">
        <v>4</v>
      </c>
      <c r="AC436" s="17" t="s">
        <v>41</v>
      </c>
      <c r="AD436" s="9" t="str">
        <f t="shared" si="5"/>
        <v>Actual</v>
      </c>
      <c r="AE436" s="9" t="str">
        <f t="shared" si="6"/>
        <v>TMK7</v>
      </c>
      <c r="AF436" s="9">
        <f>HOUR(O436)</f>
        <v>15</v>
      </c>
      <c r="AG436" s="9">
        <f>DAY(O436)</f>
        <v>18</v>
      </c>
      <c r="AH436" s="9">
        <f>IFERROR((I436-K436)*24*60,0)</f>
        <v>0</v>
      </c>
      <c r="AI436" s="9">
        <f t="shared" si="7"/>
        <v>0</v>
      </c>
      <c r="AJ436" s="9">
        <f>C436</f>
        <v>1308</v>
      </c>
      <c r="AK436" s="9">
        <f>IF(P436="completed",((V436-K436)*24*60),0)</f>
        <v>4.0000000025611371</v>
      </c>
      <c r="AL436" s="9">
        <f>IF(P436="completed",((U436-K436)*24*60),0)</f>
        <v>5.9999999986030161</v>
      </c>
      <c r="AM436" s="9" t="str">
        <f t="shared" si="8"/>
        <v>OTP Achieved</v>
      </c>
      <c r="AN436" s="9" t="str">
        <f t="shared" si="9"/>
        <v>OTP Achieved</v>
      </c>
    </row>
    <row r="437" spans="1:40" ht="15">
      <c r="A437" s="14" t="s">
        <v>1239</v>
      </c>
      <c r="B437" s="15">
        <v>46313.634027777778</v>
      </c>
      <c r="C437" s="16">
        <v>508</v>
      </c>
      <c r="D437" s="17" t="s">
        <v>41</v>
      </c>
      <c r="E437" s="16">
        <v>3</v>
      </c>
      <c r="F437" s="17" t="s">
        <v>41</v>
      </c>
      <c r="G437" s="17" t="s">
        <v>41</v>
      </c>
      <c r="H437" s="17" t="s">
        <v>1414</v>
      </c>
      <c r="I437" s="15">
        <v>46313.634722222225</v>
      </c>
      <c r="J437" s="17" t="s">
        <v>41</v>
      </c>
      <c r="K437" s="15">
        <v>46313.634722222225</v>
      </c>
      <c r="L437" s="16">
        <v>32</v>
      </c>
      <c r="M437" s="17"/>
      <c r="N437" s="17"/>
      <c r="O437" s="15">
        <v>46313.633333333331</v>
      </c>
      <c r="P437" s="17" t="s">
        <v>43</v>
      </c>
      <c r="Q437" s="17" t="s">
        <v>1241</v>
      </c>
      <c r="R437" s="17" t="s">
        <v>1415</v>
      </c>
      <c r="S437" s="16">
        <v>4247</v>
      </c>
      <c r="T437" s="17" t="s">
        <v>41</v>
      </c>
      <c r="U437" s="15">
        <v>46313.636805555558</v>
      </c>
      <c r="V437" s="15">
        <v>46313.636805555558</v>
      </c>
      <c r="W437" s="18" t="s">
        <v>1416</v>
      </c>
      <c r="X437" s="16">
        <v>22411</v>
      </c>
      <c r="Y437" s="17"/>
      <c r="Z437" s="16">
        <v>0</v>
      </c>
      <c r="AA437" s="20">
        <v>0.63402777777777775</v>
      </c>
      <c r="AB437" s="16">
        <v>3</v>
      </c>
      <c r="AC437" s="17" t="s">
        <v>41</v>
      </c>
      <c r="AD437" s="9" t="str">
        <f t="shared" si="5"/>
        <v>Actual</v>
      </c>
      <c r="AE437" s="9" t="str">
        <f t="shared" si="6"/>
        <v>TMK7</v>
      </c>
      <c r="AF437" s="9">
        <f>HOUR(O437)</f>
        <v>15</v>
      </c>
      <c r="AG437" s="9">
        <f>DAY(O437)</f>
        <v>18</v>
      </c>
      <c r="AH437" s="9">
        <f>IFERROR((I437-K437)*24*60,0)</f>
        <v>0</v>
      </c>
      <c r="AI437" s="9">
        <f t="shared" si="7"/>
        <v>0</v>
      </c>
      <c r="AJ437" s="9">
        <f>C437</f>
        <v>508</v>
      </c>
      <c r="AK437" s="9">
        <f>IF(P437="completed",((V437-K437)*24*60),0)</f>
        <v>2.9999999993015081</v>
      </c>
      <c r="AL437" s="9">
        <f>IF(P437="completed",((U437-K437)*24*60),0)</f>
        <v>2.9999999993015081</v>
      </c>
      <c r="AM437" s="9" t="str">
        <f t="shared" si="8"/>
        <v>OTP Breached</v>
      </c>
      <c r="AN437" s="9" t="str">
        <f t="shared" si="9"/>
        <v>OTP Achieved</v>
      </c>
    </row>
    <row r="438" spans="1:40" ht="15">
      <c r="A438" s="14" t="s">
        <v>1136</v>
      </c>
      <c r="B438" s="15">
        <v>46313.633333333331</v>
      </c>
      <c r="C438" s="16">
        <v>2690</v>
      </c>
      <c r="D438" s="17" t="s">
        <v>41</v>
      </c>
      <c r="E438" s="16">
        <v>9</v>
      </c>
      <c r="F438" s="17" t="s">
        <v>41</v>
      </c>
      <c r="G438" s="17" t="s">
        <v>41</v>
      </c>
      <c r="H438" s="17" t="s">
        <v>1417</v>
      </c>
      <c r="I438" s="15">
        <v>46313.634027777778</v>
      </c>
      <c r="J438" s="17" t="s">
        <v>41</v>
      </c>
      <c r="K438" s="15">
        <v>46313.633333333331</v>
      </c>
      <c r="L438" s="16">
        <v>42</v>
      </c>
      <c r="M438" s="17"/>
      <c r="N438" s="17"/>
      <c r="O438" s="15">
        <v>46313.632638888892</v>
      </c>
      <c r="P438" s="17" t="s">
        <v>43</v>
      </c>
      <c r="Q438" s="17" t="s">
        <v>1138</v>
      </c>
      <c r="R438" s="17" t="s">
        <v>1418</v>
      </c>
      <c r="S438" s="16">
        <v>4247</v>
      </c>
      <c r="T438" s="17" t="s">
        <v>41</v>
      </c>
      <c r="U438" s="15">
        <v>46313.640277777777</v>
      </c>
      <c r="V438" s="15">
        <v>46313.63958333333</v>
      </c>
      <c r="W438" s="18" t="s">
        <v>1419</v>
      </c>
      <c r="X438" s="16">
        <v>22411</v>
      </c>
      <c r="Y438" s="19"/>
      <c r="Z438" s="16">
        <v>0</v>
      </c>
      <c r="AA438" s="20">
        <v>0.6333333333333333</v>
      </c>
      <c r="AB438" s="16">
        <v>8</v>
      </c>
      <c r="AC438" s="17" t="s">
        <v>41</v>
      </c>
      <c r="AD438" s="9" t="str">
        <f t="shared" si="5"/>
        <v>Actual</v>
      </c>
      <c r="AE438" s="9" t="str">
        <f t="shared" si="6"/>
        <v>TMK7</v>
      </c>
      <c r="AF438" s="9">
        <f>HOUR(O438)</f>
        <v>15</v>
      </c>
      <c r="AG438" s="9">
        <f>DAY(O438)</f>
        <v>18</v>
      </c>
      <c r="AH438" s="9">
        <f>IFERROR((I438-K438)*24*60,0)</f>
        <v>1.000000003259629</v>
      </c>
      <c r="AI438" s="9">
        <f t="shared" si="7"/>
        <v>1.000000003259629</v>
      </c>
      <c r="AJ438" s="9">
        <f>C438</f>
        <v>2690</v>
      </c>
      <c r="AK438" s="9">
        <f>IF(P438="completed",((V438-K438)*24*60),0)</f>
        <v>8.9999999979045242</v>
      </c>
      <c r="AL438" s="9">
        <f>IF(P438="completed",((U438-K438)*24*60),0)</f>
        <v>10.000000001164153</v>
      </c>
      <c r="AM438" s="9" t="str">
        <f t="shared" si="8"/>
        <v>OTP Achieved</v>
      </c>
      <c r="AN438" s="9" t="str">
        <f t="shared" si="9"/>
        <v>OTP Achieved</v>
      </c>
    </row>
    <row r="439" spans="1:40" ht="15">
      <c r="A439" s="14" t="s">
        <v>1365</v>
      </c>
      <c r="B439" s="15">
        <v>46313.631249999999</v>
      </c>
      <c r="C439" s="16">
        <v>1254</v>
      </c>
      <c r="D439" s="17" t="s">
        <v>41</v>
      </c>
      <c r="E439" s="16">
        <v>5</v>
      </c>
      <c r="F439" s="17" t="s">
        <v>41</v>
      </c>
      <c r="G439" s="17" t="s">
        <v>41</v>
      </c>
      <c r="H439" s="17" t="s">
        <v>1420</v>
      </c>
      <c r="I439" s="15">
        <v>46313.631944444445</v>
      </c>
      <c r="J439" s="17" t="s">
        <v>41</v>
      </c>
      <c r="K439" s="15">
        <v>46313.631249999999</v>
      </c>
      <c r="L439" s="16">
        <v>46</v>
      </c>
      <c r="M439" s="17"/>
      <c r="N439" s="17"/>
      <c r="O439" s="15">
        <v>46313.631249999999</v>
      </c>
      <c r="P439" s="17" t="s">
        <v>43</v>
      </c>
      <c r="Q439" s="17" t="s">
        <v>1367</v>
      </c>
      <c r="R439" s="17" t="s">
        <v>1421</v>
      </c>
      <c r="S439" s="16">
        <v>4247</v>
      </c>
      <c r="T439" s="17" t="s">
        <v>41</v>
      </c>
      <c r="U439" s="15">
        <v>46313.636111111111</v>
      </c>
      <c r="V439" s="15">
        <v>46313.634722222225</v>
      </c>
      <c r="W439" s="18" t="s">
        <v>1422</v>
      </c>
      <c r="X439" s="16">
        <v>22411</v>
      </c>
      <c r="Y439" s="19"/>
      <c r="Z439" s="16">
        <v>0</v>
      </c>
      <c r="AA439" s="20">
        <v>0.63124999999999998</v>
      </c>
      <c r="AB439" s="16">
        <v>4</v>
      </c>
      <c r="AC439" s="17" t="s">
        <v>41</v>
      </c>
      <c r="AD439" s="9" t="str">
        <f t="shared" si="5"/>
        <v>Actual</v>
      </c>
      <c r="AE439" s="9" t="str">
        <f t="shared" si="6"/>
        <v>TMK7</v>
      </c>
      <c r="AF439" s="9">
        <f>HOUR(O439)</f>
        <v>15</v>
      </c>
      <c r="AG439" s="9">
        <f>DAY(O439)</f>
        <v>18</v>
      </c>
      <c r="AH439" s="9">
        <f>IFERROR((I439-K439)*24*60,0)</f>
        <v>1.000000003259629</v>
      </c>
      <c r="AI439" s="9">
        <f t="shared" si="7"/>
        <v>1.000000003259629</v>
      </c>
      <c r="AJ439" s="9">
        <f>C439</f>
        <v>1254</v>
      </c>
      <c r="AK439" s="9">
        <f>IF(P439="completed",((V439-K439)*24*60),0)</f>
        <v>5.0000000058207661</v>
      </c>
      <c r="AL439" s="9">
        <f>IF(P439="completed",((U439-K439)*24*60),0)</f>
        <v>7.0000000018626451</v>
      </c>
      <c r="AM439" s="9" t="str">
        <f t="shared" si="8"/>
        <v>OTP Achieved</v>
      </c>
      <c r="AN439" s="9" t="str">
        <f t="shared" si="9"/>
        <v>OTP Achieved</v>
      </c>
    </row>
    <row r="440" spans="1:40" ht="15">
      <c r="A440" s="14" t="s">
        <v>379</v>
      </c>
      <c r="B440" s="15">
        <v>46313.629166666666</v>
      </c>
      <c r="C440" s="16">
        <v>776</v>
      </c>
      <c r="D440" s="17" t="s">
        <v>41</v>
      </c>
      <c r="E440" s="16">
        <v>12</v>
      </c>
      <c r="F440" s="17" t="s">
        <v>41</v>
      </c>
      <c r="G440" s="17" t="s">
        <v>41</v>
      </c>
      <c r="H440" s="17" t="s">
        <v>1423</v>
      </c>
      <c r="I440" s="15">
        <v>46313.629861111112</v>
      </c>
      <c r="J440" s="17" t="s">
        <v>41</v>
      </c>
      <c r="K440" s="15">
        <v>46313.629166666666</v>
      </c>
      <c r="L440" s="16">
        <v>31</v>
      </c>
      <c r="M440" s="17"/>
      <c r="N440" s="17"/>
      <c r="O440" s="15">
        <v>46313.629166666666</v>
      </c>
      <c r="P440" s="17" t="s">
        <v>43</v>
      </c>
      <c r="Q440" s="17" t="s">
        <v>381</v>
      </c>
      <c r="R440" s="17" t="s">
        <v>1424</v>
      </c>
      <c r="S440" s="16">
        <v>4247</v>
      </c>
      <c r="T440" s="17" t="s">
        <v>41</v>
      </c>
      <c r="U440" s="15">
        <v>46313.631944444445</v>
      </c>
      <c r="V440" s="15">
        <v>46313.638194444444</v>
      </c>
      <c r="W440" s="18" t="s">
        <v>1425</v>
      </c>
      <c r="X440" s="16">
        <v>22411</v>
      </c>
      <c r="Y440" s="19"/>
      <c r="Z440" s="16">
        <v>0</v>
      </c>
      <c r="AA440" s="20">
        <v>0.62916666666666665</v>
      </c>
      <c r="AB440" s="16">
        <v>12</v>
      </c>
      <c r="AC440" s="17" t="s">
        <v>41</v>
      </c>
      <c r="AD440" s="9" t="str">
        <f t="shared" si="5"/>
        <v>Actual</v>
      </c>
      <c r="AE440" s="9" t="str">
        <f t="shared" si="6"/>
        <v>TMK7</v>
      </c>
      <c r="AF440" s="9">
        <f>HOUR(O440)</f>
        <v>15</v>
      </c>
      <c r="AG440" s="9">
        <f>DAY(O440)</f>
        <v>18</v>
      </c>
      <c r="AH440" s="9">
        <f>IFERROR((I440-K440)*24*60,0)</f>
        <v>1.000000003259629</v>
      </c>
      <c r="AI440" s="9">
        <f t="shared" si="7"/>
        <v>1.000000003259629</v>
      </c>
      <c r="AJ440" s="9">
        <f>C440</f>
        <v>776</v>
      </c>
      <c r="AK440" s="9">
        <f>IF(P440="completed",((V440-K440)*24*60),0)</f>
        <v>13.000000000465661</v>
      </c>
      <c r="AL440" s="9">
        <f>IF(P440="completed",((U440-K440)*24*60),0)</f>
        <v>4.0000000025611371</v>
      </c>
      <c r="AM440" s="9" t="str">
        <f t="shared" si="8"/>
        <v>OTP Breached</v>
      </c>
      <c r="AN440" s="9" t="str">
        <f t="shared" si="9"/>
        <v>OTP Breached</v>
      </c>
    </row>
    <row r="441" spans="1:40" ht="15">
      <c r="A441" s="14" t="s">
        <v>93</v>
      </c>
      <c r="B441" s="15">
        <v>46313.629166666666</v>
      </c>
      <c r="C441" s="16">
        <v>1150</v>
      </c>
      <c r="D441" s="17" t="s">
        <v>41</v>
      </c>
      <c r="E441" s="16">
        <v>3</v>
      </c>
      <c r="F441" s="17" t="s">
        <v>41</v>
      </c>
      <c r="G441" s="17" t="s">
        <v>41</v>
      </c>
      <c r="H441" s="17" t="s">
        <v>1426</v>
      </c>
      <c r="I441" s="15">
        <v>46313.629861111112</v>
      </c>
      <c r="J441" s="17" t="s">
        <v>41</v>
      </c>
      <c r="K441" s="15">
        <v>46313.629861111112</v>
      </c>
      <c r="L441" s="16">
        <v>37</v>
      </c>
      <c r="M441" s="17"/>
      <c r="N441" s="17"/>
      <c r="O441" s="15">
        <v>46313.628472222219</v>
      </c>
      <c r="P441" s="17" t="s">
        <v>43</v>
      </c>
      <c r="Q441" s="17" t="s">
        <v>95</v>
      </c>
      <c r="R441" s="17" t="s">
        <v>1427</v>
      </c>
      <c r="S441" s="16">
        <v>4247</v>
      </c>
      <c r="T441" s="17" t="s">
        <v>41</v>
      </c>
      <c r="U441" s="15">
        <v>46313.633333333331</v>
      </c>
      <c r="V441" s="15">
        <v>46313.631944444445</v>
      </c>
      <c r="W441" s="18" t="s">
        <v>1428</v>
      </c>
      <c r="X441" s="16">
        <v>22411</v>
      </c>
      <c r="Y441" s="17"/>
      <c r="Z441" s="16">
        <v>0</v>
      </c>
      <c r="AA441" s="20">
        <v>0.62916666666666665</v>
      </c>
      <c r="AB441" s="16">
        <v>3</v>
      </c>
      <c r="AC441" s="17" t="s">
        <v>41</v>
      </c>
      <c r="AD441" s="9" t="str">
        <f t="shared" si="5"/>
        <v>Actual</v>
      </c>
      <c r="AE441" s="9" t="str">
        <f t="shared" si="6"/>
        <v>TMK7</v>
      </c>
      <c r="AF441" s="9">
        <f>HOUR(O441)</f>
        <v>15</v>
      </c>
      <c r="AG441" s="9">
        <f>DAY(O441)</f>
        <v>18</v>
      </c>
      <c r="AH441" s="9">
        <f>IFERROR((I441-K441)*24*60,0)</f>
        <v>0</v>
      </c>
      <c r="AI441" s="9">
        <f t="shared" si="7"/>
        <v>0</v>
      </c>
      <c r="AJ441" s="9">
        <f>C441</f>
        <v>1150</v>
      </c>
      <c r="AK441" s="9">
        <f>IF(P441="completed",((V441-K441)*24*60),0)</f>
        <v>2.9999999993015081</v>
      </c>
      <c r="AL441" s="9">
        <f>IF(P441="completed",((U441-K441)*24*60),0)</f>
        <v>4.9999999953433871</v>
      </c>
      <c r="AM441" s="9" t="str">
        <f t="shared" si="8"/>
        <v>OTP Achieved</v>
      </c>
      <c r="AN441" s="9" t="str">
        <f t="shared" si="9"/>
        <v>OTP Achieved</v>
      </c>
    </row>
    <row r="442" spans="1:40" ht="15">
      <c r="A442" s="14" t="s">
        <v>72</v>
      </c>
      <c r="B442" s="15">
        <v>46313.628472222219</v>
      </c>
      <c r="C442" s="16">
        <v>1987</v>
      </c>
      <c r="D442" s="17" t="s">
        <v>41</v>
      </c>
      <c r="E442" s="16">
        <v>9</v>
      </c>
      <c r="F442" s="17" t="s">
        <v>41</v>
      </c>
      <c r="G442" s="17" t="s">
        <v>41</v>
      </c>
      <c r="H442" s="17" t="s">
        <v>1429</v>
      </c>
      <c r="I442" s="15">
        <v>46313.630555555559</v>
      </c>
      <c r="J442" s="17" t="s">
        <v>41</v>
      </c>
      <c r="K442" s="15">
        <v>46313.629861111112</v>
      </c>
      <c r="L442" s="16">
        <v>35</v>
      </c>
      <c r="M442" s="17"/>
      <c r="N442" s="17"/>
      <c r="O442" s="15">
        <v>46313.628472222219</v>
      </c>
      <c r="P442" s="17" t="s">
        <v>43</v>
      </c>
      <c r="Q442" s="17" t="s">
        <v>74</v>
      </c>
      <c r="R442" s="17" t="s">
        <v>1430</v>
      </c>
      <c r="S442" s="16">
        <v>4247</v>
      </c>
      <c r="T442" s="17" t="s">
        <v>41</v>
      </c>
      <c r="U442" s="15">
        <v>46313.636805555558</v>
      </c>
      <c r="V442" s="15">
        <v>46313.636805555558</v>
      </c>
      <c r="W442" s="18" t="s">
        <v>1431</v>
      </c>
      <c r="X442" s="16">
        <v>22411</v>
      </c>
      <c r="Y442" s="17"/>
      <c r="Z442" s="16">
        <v>0</v>
      </c>
      <c r="AA442" s="20">
        <v>0.62847222222222221</v>
      </c>
      <c r="AB442" s="16">
        <v>9</v>
      </c>
      <c r="AC442" s="17" t="s">
        <v>41</v>
      </c>
      <c r="AD442" s="9" t="str">
        <f t="shared" si="5"/>
        <v>Actual</v>
      </c>
      <c r="AE442" s="9" t="str">
        <f t="shared" si="6"/>
        <v>TMK7</v>
      </c>
      <c r="AF442" s="9">
        <f>HOUR(O442)</f>
        <v>15</v>
      </c>
      <c r="AG442" s="9">
        <f>DAY(O442)</f>
        <v>18</v>
      </c>
      <c r="AH442" s="9">
        <f>IFERROR((I442-K442)*24*60,0)</f>
        <v>1.000000003259629</v>
      </c>
      <c r="AI442" s="9">
        <f t="shared" si="7"/>
        <v>1.000000003259629</v>
      </c>
      <c r="AJ442" s="9">
        <f>C442</f>
        <v>1987</v>
      </c>
      <c r="AK442" s="9">
        <f>IF(P442="completed",((V442-K442)*24*60),0)</f>
        <v>10.000000001164153</v>
      </c>
      <c r="AL442" s="9">
        <f>IF(P442="completed",((U442-K442)*24*60),0)</f>
        <v>10.000000001164153</v>
      </c>
      <c r="AM442" s="9" t="str">
        <f t="shared" si="8"/>
        <v>OTP Breached</v>
      </c>
      <c r="AN442" s="9" t="str">
        <f t="shared" si="9"/>
        <v>OTP Achieved</v>
      </c>
    </row>
    <row r="443" spans="1:40" ht="15">
      <c r="A443" s="14" t="s">
        <v>198</v>
      </c>
      <c r="B443" s="15">
        <v>46313.627083333333</v>
      </c>
      <c r="C443" s="16">
        <v>2337</v>
      </c>
      <c r="D443" s="17" t="s">
        <v>41</v>
      </c>
      <c r="E443" s="16">
        <v>7</v>
      </c>
      <c r="F443" s="17" t="s">
        <v>41</v>
      </c>
      <c r="G443" s="17" t="s">
        <v>41</v>
      </c>
      <c r="H443" s="17" t="s">
        <v>1432</v>
      </c>
      <c r="I443" s="15">
        <v>46313.62777777778</v>
      </c>
      <c r="J443" s="17" t="s">
        <v>41</v>
      </c>
      <c r="K443" s="15">
        <v>46313.627083333333</v>
      </c>
      <c r="L443" s="16">
        <v>28</v>
      </c>
      <c r="M443" s="17"/>
      <c r="N443" s="17"/>
      <c r="O443" s="15">
        <v>46313.627083333333</v>
      </c>
      <c r="P443" s="17" t="s">
        <v>43</v>
      </c>
      <c r="Q443" s="17" t="s">
        <v>200</v>
      </c>
      <c r="R443" s="17" t="s">
        <v>1433</v>
      </c>
      <c r="S443" s="16">
        <v>4247</v>
      </c>
      <c r="T443" s="17" t="s">
        <v>41</v>
      </c>
      <c r="U443" s="15">
        <v>46313.634027777778</v>
      </c>
      <c r="V443" s="15">
        <v>46313.631944444445</v>
      </c>
      <c r="W443" s="18" t="s">
        <v>1434</v>
      </c>
      <c r="X443" s="16">
        <v>22411</v>
      </c>
      <c r="Y443" s="19"/>
      <c r="Z443" s="16">
        <v>0</v>
      </c>
      <c r="AA443" s="20">
        <v>0.62708333333333333</v>
      </c>
      <c r="AB443" s="16">
        <v>6</v>
      </c>
      <c r="AC443" s="17" t="s">
        <v>41</v>
      </c>
      <c r="AD443" s="9" t="str">
        <f t="shared" si="5"/>
        <v>Actual</v>
      </c>
      <c r="AE443" s="9" t="str">
        <f t="shared" si="6"/>
        <v>TMK7</v>
      </c>
      <c r="AF443" s="9">
        <f>HOUR(O443)</f>
        <v>15</v>
      </c>
      <c r="AG443" s="9">
        <f>DAY(O443)</f>
        <v>18</v>
      </c>
      <c r="AH443" s="9">
        <f>IFERROR((I443-K443)*24*60,0)</f>
        <v>1.000000003259629</v>
      </c>
      <c r="AI443" s="9">
        <f t="shared" si="7"/>
        <v>1.000000003259629</v>
      </c>
      <c r="AJ443" s="9">
        <f>C443</f>
        <v>2337</v>
      </c>
      <c r="AK443" s="9">
        <f>IF(P443="completed",((V443-K443)*24*60),0)</f>
        <v>7.0000000018626451</v>
      </c>
      <c r="AL443" s="9">
        <f>IF(P443="completed",((U443-K443)*24*60),0)</f>
        <v>10.000000001164153</v>
      </c>
      <c r="AM443" s="9" t="str">
        <f t="shared" si="8"/>
        <v>OTP Achieved</v>
      </c>
      <c r="AN443" s="9" t="str">
        <f t="shared" si="9"/>
        <v>OTP Achieved</v>
      </c>
    </row>
    <row r="444" spans="1:40" ht="15">
      <c r="A444" s="14" t="s">
        <v>1310</v>
      </c>
      <c r="B444" s="15">
        <v>46313.62222222222</v>
      </c>
      <c r="C444" s="16">
        <v>719</v>
      </c>
      <c r="D444" s="17" t="s">
        <v>41</v>
      </c>
      <c r="E444" s="16">
        <v>3</v>
      </c>
      <c r="F444" s="17" t="s">
        <v>41</v>
      </c>
      <c r="G444" s="17" t="s">
        <v>41</v>
      </c>
      <c r="H444" s="17" t="s">
        <v>1435</v>
      </c>
      <c r="I444" s="15">
        <v>46313.622916666667</v>
      </c>
      <c r="J444" s="17" t="s">
        <v>41</v>
      </c>
      <c r="K444" s="15">
        <v>46313.622916666667</v>
      </c>
      <c r="L444" s="16">
        <v>15</v>
      </c>
      <c r="M444" s="17"/>
      <c r="N444" s="17"/>
      <c r="O444" s="15">
        <v>46313.62222222222</v>
      </c>
      <c r="P444" s="17" t="s">
        <v>43</v>
      </c>
      <c r="Q444" s="17" t="s">
        <v>1312</v>
      </c>
      <c r="R444" s="17" t="s">
        <v>1436</v>
      </c>
      <c r="S444" s="16">
        <v>4247</v>
      </c>
      <c r="T444" s="17" t="s">
        <v>41</v>
      </c>
      <c r="U444" s="15">
        <v>46313.625</v>
      </c>
      <c r="V444" s="15">
        <v>46313.625</v>
      </c>
      <c r="W444" s="18" t="s">
        <v>1437</v>
      </c>
      <c r="X444" s="16">
        <v>22411</v>
      </c>
      <c r="Y444" s="19"/>
      <c r="Z444" s="16">
        <v>0</v>
      </c>
      <c r="AA444" s="20">
        <v>0.62222222222222223</v>
      </c>
      <c r="AB444" s="16">
        <v>3</v>
      </c>
      <c r="AC444" s="17" t="s">
        <v>41</v>
      </c>
      <c r="AD444" s="9" t="str">
        <f t="shared" si="5"/>
        <v>Actual</v>
      </c>
      <c r="AE444" s="9" t="str">
        <f t="shared" si="6"/>
        <v>TMK7</v>
      </c>
      <c r="AF444" s="9">
        <f>HOUR(O444)</f>
        <v>14</v>
      </c>
      <c r="AG444" s="9">
        <f>DAY(O444)</f>
        <v>18</v>
      </c>
      <c r="AH444" s="9">
        <f>IFERROR((I444-K444)*24*60,0)</f>
        <v>0</v>
      </c>
      <c r="AI444" s="9">
        <f t="shared" si="7"/>
        <v>0</v>
      </c>
      <c r="AJ444" s="9">
        <f>C444</f>
        <v>719</v>
      </c>
      <c r="AK444" s="9">
        <f>IF(P444="completed",((V444-K444)*24*60),0)</f>
        <v>2.9999999993015081</v>
      </c>
      <c r="AL444" s="9">
        <f>IF(P444="completed",((U444-K444)*24*60),0)</f>
        <v>2.9999999993015081</v>
      </c>
      <c r="AM444" s="9" t="str">
        <f t="shared" si="8"/>
        <v>OTP Breached</v>
      </c>
      <c r="AN444" s="9" t="str">
        <f t="shared" si="9"/>
        <v>OTP Achieved</v>
      </c>
    </row>
    <row r="445" spans="1:40" ht="15">
      <c r="A445" s="14" t="s">
        <v>62</v>
      </c>
      <c r="B445" s="15">
        <v>46313.62222222222</v>
      </c>
      <c r="C445" s="16">
        <v>2272</v>
      </c>
      <c r="D445" s="17" t="s">
        <v>41</v>
      </c>
      <c r="E445" s="16">
        <v>6</v>
      </c>
      <c r="F445" s="17" t="s">
        <v>41</v>
      </c>
      <c r="G445" s="17" t="s">
        <v>41</v>
      </c>
      <c r="H445" s="17" t="s">
        <v>1438</v>
      </c>
      <c r="I445" s="15">
        <v>46313.623611111114</v>
      </c>
      <c r="J445" s="17" t="s">
        <v>41</v>
      </c>
      <c r="K445" s="15">
        <v>46313.623611111114</v>
      </c>
      <c r="L445" s="16">
        <v>12</v>
      </c>
      <c r="M445" s="17"/>
      <c r="N445" s="17"/>
      <c r="O445" s="15">
        <v>46313.621527777781</v>
      </c>
      <c r="P445" s="17" t="s">
        <v>43</v>
      </c>
      <c r="Q445" s="17" t="s">
        <v>64</v>
      </c>
      <c r="R445" s="17" t="s">
        <v>1439</v>
      </c>
      <c r="S445" s="16">
        <v>4247</v>
      </c>
      <c r="T445" s="17" t="s">
        <v>41</v>
      </c>
      <c r="U445" s="15">
        <v>46313.629861111112</v>
      </c>
      <c r="V445" s="15">
        <v>46313.62777777778</v>
      </c>
      <c r="W445" s="18" t="s">
        <v>1440</v>
      </c>
      <c r="X445" s="16">
        <v>22411</v>
      </c>
      <c r="Y445" s="19"/>
      <c r="Z445" s="16">
        <v>0</v>
      </c>
      <c r="AA445" s="20">
        <v>0.62222222222222223</v>
      </c>
      <c r="AB445" s="16">
        <v>6</v>
      </c>
      <c r="AC445" s="17" t="s">
        <v>41</v>
      </c>
      <c r="AD445" s="9" t="str">
        <f t="shared" si="5"/>
        <v>Actual</v>
      </c>
      <c r="AE445" s="9" t="str">
        <f t="shared" si="6"/>
        <v>TMK7</v>
      </c>
      <c r="AF445" s="9">
        <f>HOUR(O445)</f>
        <v>14</v>
      </c>
      <c r="AG445" s="9">
        <f>DAY(O445)</f>
        <v>18</v>
      </c>
      <c r="AH445" s="9">
        <f>IFERROR((I445-K445)*24*60,0)</f>
        <v>0</v>
      </c>
      <c r="AI445" s="9">
        <f t="shared" si="7"/>
        <v>0</v>
      </c>
      <c r="AJ445" s="9">
        <f>C445</f>
        <v>2272</v>
      </c>
      <c r="AK445" s="9">
        <f>IF(P445="completed",((V445-K445)*24*60),0)</f>
        <v>5.9999999986030161</v>
      </c>
      <c r="AL445" s="9">
        <f>IF(P445="completed",((U445-K445)*24*60),0)</f>
        <v>8.9999999979045242</v>
      </c>
      <c r="AM445" s="9" t="str">
        <f t="shared" si="8"/>
        <v>OTP Achieved</v>
      </c>
      <c r="AN445" s="9" t="str">
        <f t="shared" si="9"/>
        <v>OTP Achieved</v>
      </c>
    </row>
    <row r="446" spans="1:40" ht="15">
      <c r="A446" s="14" t="s">
        <v>734</v>
      </c>
      <c r="B446" s="15">
        <v>46313.620833333334</v>
      </c>
      <c r="C446" s="16">
        <v>1908</v>
      </c>
      <c r="D446" s="17" t="s">
        <v>41</v>
      </c>
      <c r="E446" s="16">
        <v>5</v>
      </c>
      <c r="F446" s="17" t="s">
        <v>41</v>
      </c>
      <c r="G446" s="17" t="s">
        <v>41</v>
      </c>
      <c r="H446" s="17" t="s">
        <v>1441</v>
      </c>
      <c r="I446" s="15">
        <v>46313.621527777781</v>
      </c>
      <c r="J446" s="17" t="s">
        <v>41</v>
      </c>
      <c r="K446" s="15">
        <v>46313.621527777781</v>
      </c>
      <c r="L446" s="16">
        <v>5</v>
      </c>
      <c r="M446" s="17"/>
      <c r="N446" s="17"/>
      <c r="O446" s="15">
        <v>46313.620833333334</v>
      </c>
      <c r="P446" s="17" t="s">
        <v>43</v>
      </c>
      <c r="Q446" s="17" t="s">
        <v>736</v>
      </c>
      <c r="R446" s="17" t="s">
        <v>1442</v>
      </c>
      <c r="S446" s="16">
        <v>4247</v>
      </c>
      <c r="T446" s="17" t="s">
        <v>41</v>
      </c>
      <c r="U446" s="15">
        <v>46313.626388888886</v>
      </c>
      <c r="V446" s="15">
        <v>46313.625694444447</v>
      </c>
      <c r="W446" s="18" t="s">
        <v>1443</v>
      </c>
      <c r="X446" s="16">
        <v>22411</v>
      </c>
      <c r="Y446" s="19"/>
      <c r="Z446" s="16">
        <v>0</v>
      </c>
      <c r="AA446" s="20">
        <v>0.62083333333333335</v>
      </c>
      <c r="AB446" s="16">
        <v>5</v>
      </c>
      <c r="AC446" s="17" t="s">
        <v>41</v>
      </c>
      <c r="AD446" s="9" t="str">
        <f t="shared" si="5"/>
        <v>Actual</v>
      </c>
      <c r="AE446" s="9" t="str">
        <f t="shared" si="6"/>
        <v>TMK7</v>
      </c>
      <c r="AF446" s="9">
        <f>HOUR(O446)</f>
        <v>14</v>
      </c>
      <c r="AG446" s="9">
        <f>DAY(O446)</f>
        <v>18</v>
      </c>
      <c r="AH446" s="9">
        <f>IFERROR((I446-K446)*24*60,0)</f>
        <v>0</v>
      </c>
      <c r="AI446" s="9">
        <f t="shared" si="7"/>
        <v>0</v>
      </c>
      <c r="AJ446" s="9">
        <f>C446</f>
        <v>1908</v>
      </c>
      <c r="AK446" s="9">
        <f>IF(P446="completed",((V446-K446)*24*60),0)</f>
        <v>5.9999999986030161</v>
      </c>
      <c r="AL446" s="9">
        <f>IF(P446="completed",((U446-K446)*24*60),0)</f>
        <v>6.9999999913852662</v>
      </c>
      <c r="AM446" s="9" t="str">
        <f t="shared" si="8"/>
        <v>OTP Achieved</v>
      </c>
      <c r="AN446" s="9" t="str">
        <f t="shared" si="9"/>
        <v>OTP Achieved</v>
      </c>
    </row>
    <row r="447" spans="1:40" ht="15">
      <c r="A447" s="14" t="s">
        <v>125</v>
      </c>
      <c r="B447" s="15">
        <v>46313.619444444441</v>
      </c>
      <c r="C447" s="16">
        <v>2477</v>
      </c>
      <c r="D447" s="17" t="s">
        <v>41</v>
      </c>
      <c r="E447" s="16">
        <v>8</v>
      </c>
      <c r="F447" s="17" t="s">
        <v>41</v>
      </c>
      <c r="G447" s="17" t="s">
        <v>41</v>
      </c>
      <c r="H447" s="17" t="s">
        <v>1444</v>
      </c>
      <c r="I447" s="15">
        <v>46313.620833333334</v>
      </c>
      <c r="J447" s="17" t="s">
        <v>41</v>
      </c>
      <c r="K447" s="15">
        <v>46313.620138888888</v>
      </c>
      <c r="L447" s="16">
        <v>6</v>
      </c>
      <c r="M447" s="17"/>
      <c r="N447" s="17"/>
      <c r="O447" s="15">
        <v>46313.618750000001</v>
      </c>
      <c r="P447" s="17" t="s">
        <v>43</v>
      </c>
      <c r="Q447" s="17" t="s">
        <v>127</v>
      </c>
      <c r="R447" s="17" t="s">
        <v>1445</v>
      </c>
      <c r="S447" s="16">
        <v>4247</v>
      </c>
      <c r="T447" s="17" t="s">
        <v>41</v>
      </c>
      <c r="U447" s="15">
        <v>46313.626388888886</v>
      </c>
      <c r="V447" s="15">
        <v>46313.626388888886</v>
      </c>
      <c r="W447" s="18" t="s">
        <v>1446</v>
      </c>
      <c r="X447" s="16">
        <v>22411</v>
      </c>
      <c r="Y447" s="19"/>
      <c r="Z447" s="16">
        <v>0</v>
      </c>
      <c r="AA447" s="20">
        <v>0.61944444444444446</v>
      </c>
      <c r="AB447" s="16">
        <v>8</v>
      </c>
      <c r="AC447" s="17" t="s">
        <v>41</v>
      </c>
      <c r="AD447" s="9" t="str">
        <f t="shared" si="5"/>
        <v>Actual</v>
      </c>
      <c r="AE447" s="9" t="str">
        <f t="shared" si="6"/>
        <v>TMK7</v>
      </c>
      <c r="AF447" s="9">
        <f>HOUR(O447)</f>
        <v>14</v>
      </c>
      <c r="AG447" s="9">
        <f>DAY(O447)</f>
        <v>18</v>
      </c>
      <c r="AH447" s="9">
        <f>IFERROR((I447-K447)*24*60,0)</f>
        <v>1.000000003259629</v>
      </c>
      <c r="AI447" s="9">
        <f t="shared" si="7"/>
        <v>1.000000003259629</v>
      </c>
      <c r="AJ447" s="9">
        <f>C447</f>
        <v>2477</v>
      </c>
      <c r="AK447" s="9">
        <f>IF(P447="completed",((V447-K447)*24*60),0)</f>
        <v>8.9999999979045242</v>
      </c>
      <c r="AL447" s="9">
        <f>IF(P447="completed",((U447-K447)*24*60),0)</f>
        <v>8.9999999979045242</v>
      </c>
      <c r="AM447" s="9" t="str">
        <f t="shared" si="8"/>
        <v>OTP Breached</v>
      </c>
      <c r="AN447" s="9" t="str">
        <f t="shared" si="9"/>
        <v>OTP Achieved</v>
      </c>
    </row>
    <row r="448" spans="1:40" ht="15">
      <c r="A448" s="14" t="s">
        <v>1391</v>
      </c>
      <c r="B448" s="15">
        <v>46313.618750000001</v>
      </c>
      <c r="C448" s="16">
        <v>2152</v>
      </c>
      <c r="D448" s="17" t="s">
        <v>41</v>
      </c>
      <c r="E448" s="16">
        <v>4</v>
      </c>
      <c r="F448" s="17" t="s">
        <v>41</v>
      </c>
      <c r="G448" s="17" t="s">
        <v>41</v>
      </c>
      <c r="H448" s="17" t="s">
        <v>1447</v>
      </c>
      <c r="I448" s="15">
        <v>46313.620138888888</v>
      </c>
      <c r="J448" s="17" t="s">
        <v>41</v>
      </c>
      <c r="K448" s="15">
        <v>46313.619444444441</v>
      </c>
      <c r="L448" s="16">
        <v>16</v>
      </c>
      <c r="M448" s="17"/>
      <c r="N448" s="17"/>
      <c r="O448" s="15">
        <v>46313.618750000001</v>
      </c>
      <c r="P448" s="17" t="s">
        <v>43</v>
      </c>
      <c r="Q448" s="17" t="s">
        <v>1393</v>
      </c>
      <c r="R448" s="17" t="s">
        <v>1448</v>
      </c>
      <c r="S448" s="16">
        <v>4247</v>
      </c>
      <c r="T448" s="17" t="s">
        <v>41</v>
      </c>
      <c r="U448" s="15">
        <v>46313.626388888886</v>
      </c>
      <c r="V448" s="15">
        <v>46313.622916666667</v>
      </c>
      <c r="W448" s="18" t="s">
        <v>1449</v>
      </c>
      <c r="X448" s="16">
        <v>22411</v>
      </c>
      <c r="Y448" s="19"/>
      <c r="Z448" s="16">
        <v>0</v>
      </c>
      <c r="AA448" s="20">
        <v>0.61875000000000002</v>
      </c>
      <c r="AB448" s="16">
        <v>4</v>
      </c>
      <c r="AC448" s="17" t="s">
        <v>41</v>
      </c>
      <c r="AD448" s="9" t="str">
        <f t="shared" si="5"/>
        <v>Actual</v>
      </c>
      <c r="AE448" s="9" t="str">
        <f t="shared" si="6"/>
        <v>TMK7</v>
      </c>
      <c r="AF448" s="9">
        <f>HOUR(O448)</f>
        <v>14</v>
      </c>
      <c r="AG448" s="9">
        <f>DAY(O448)</f>
        <v>18</v>
      </c>
      <c r="AH448" s="9">
        <f>IFERROR((I448-K448)*24*60,0)</f>
        <v>1.000000003259629</v>
      </c>
      <c r="AI448" s="9">
        <f t="shared" si="7"/>
        <v>1.000000003259629</v>
      </c>
      <c r="AJ448" s="9">
        <f>C448</f>
        <v>2152</v>
      </c>
      <c r="AK448" s="9">
        <f>IF(P448="completed",((V448-K448)*24*60),0)</f>
        <v>5.0000000058207661</v>
      </c>
      <c r="AL448" s="9">
        <f>IF(P448="completed",((U448-K448)*24*60),0)</f>
        <v>10.000000001164153</v>
      </c>
      <c r="AM448" s="9" t="str">
        <f t="shared" si="8"/>
        <v>OTP Achieved</v>
      </c>
      <c r="AN448" s="9" t="str">
        <f t="shared" si="9"/>
        <v>OTP Achieved</v>
      </c>
    </row>
    <row r="449" spans="1:40" ht="15">
      <c r="A449" s="14" t="s">
        <v>185</v>
      </c>
      <c r="B449" s="15">
        <v>46313.618750000001</v>
      </c>
      <c r="C449" s="16">
        <v>2218</v>
      </c>
      <c r="D449" s="17" t="s">
        <v>41</v>
      </c>
      <c r="E449" s="16">
        <v>6</v>
      </c>
      <c r="F449" s="17" t="s">
        <v>41</v>
      </c>
      <c r="G449" s="17" t="s">
        <v>41</v>
      </c>
      <c r="H449" s="17" t="s">
        <v>1447</v>
      </c>
      <c r="I449" s="15">
        <v>46313.620138888888</v>
      </c>
      <c r="J449" s="17" t="s">
        <v>41</v>
      </c>
      <c r="K449" s="15">
        <v>46313.619444444441</v>
      </c>
      <c r="L449" s="16">
        <v>59</v>
      </c>
      <c r="M449" s="17"/>
      <c r="N449" s="17"/>
      <c r="O449" s="15">
        <v>46313.618750000001</v>
      </c>
      <c r="P449" s="17" t="s">
        <v>43</v>
      </c>
      <c r="Q449" s="17" t="s">
        <v>187</v>
      </c>
      <c r="R449" s="17" t="s">
        <v>1450</v>
      </c>
      <c r="S449" s="16">
        <v>4247</v>
      </c>
      <c r="T449" s="17" t="s">
        <v>41</v>
      </c>
      <c r="U449" s="15">
        <v>46313.625</v>
      </c>
      <c r="V449" s="15">
        <v>46313.623611111114</v>
      </c>
      <c r="W449" s="18" t="s">
        <v>1451</v>
      </c>
      <c r="X449" s="16">
        <v>22411</v>
      </c>
      <c r="Y449" s="19"/>
      <c r="Z449" s="16">
        <v>0</v>
      </c>
      <c r="AA449" s="20">
        <v>0.61875000000000002</v>
      </c>
      <c r="AB449" s="16">
        <v>5</v>
      </c>
      <c r="AC449" s="17" t="s">
        <v>41</v>
      </c>
      <c r="AD449" s="9" t="str">
        <f t="shared" si="5"/>
        <v>Actual</v>
      </c>
      <c r="AE449" s="9" t="str">
        <f t="shared" si="6"/>
        <v>TMK7</v>
      </c>
      <c r="AF449" s="9">
        <f>HOUR(O449)</f>
        <v>14</v>
      </c>
      <c r="AG449" s="9">
        <f>DAY(O449)</f>
        <v>18</v>
      </c>
      <c r="AH449" s="9">
        <f>IFERROR((I449-K449)*24*60,0)</f>
        <v>1.000000003259629</v>
      </c>
      <c r="AI449" s="9">
        <f t="shared" si="7"/>
        <v>1.000000003259629</v>
      </c>
      <c r="AJ449" s="9">
        <f>C449</f>
        <v>2218</v>
      </c>
      <c r="AK449" s="9">
        <f>IF(P449="completed",((V449-K449)*24*60),0)</f>
        <v>6.0000000090803951</v>
      </c>
      <c r="AL449" s="9">
        <f>IF(P449="completed",((U449-K449)*24*60),0)</f>
        <v>8.0000000051222742</v>
      </c>
      <c r="AM449" s="9" t="str">
        <f t="shared" si="8"/>
        <v>OTP Achieved</v>
      </c>
      <c r="AN449" s="9" t="str">
        <f t="shared" si="9"/>
        <v>OTP Achieved</v>
      </c>
    </row>
    <row r="450" spans="1:40" ht="15">
      <c r="A450" s="14" t="s">
        <v>77</v>
      </c>
      <c r="B450" s="15">
        <v>46313.618055555555</v>
      </c>
      <c r="C450" s="16">
        <v>2298</v>
      </c>
      <c r="D450" s="17" t="s">
        <v>41</v>
      </c>
      <c r="E450" s="16">
        <v>6</v>
      </c>
      <c r="F450" s="17" t="s">
        <v>41</v>
      </c>
      <c r="G450" s="17" t="s">
        <v>41</v>
      </c>
      <c r="H450" s="17" t="s">
        <v>1452</v>
      </c>
      <c r="I450" s="15">
        <v>46313.620138888888</v>
      </c>
      <c r="J450" s="17" t="s">
        <v>41</v>
      </c>
      <c r="K450" s="15">
        <v>46313.620138888888</v>
      </c>
      <c r="L450" s="16">
        <v>27</v>
      </c>
      <c r="M450" s="17"/>
      <c r="N450" s="17"/>
      <c r="O450" s="15">
        <v>46313.618055555555</v>
      </c>
      <c r="P450" s="17" t="s">
        <v>43</v>
      </c>
      <c r="Q450" s="17" t="s">
        <v>79</v>
      </c>
      <c r="R450" s="17" t="s">
        <v>1453</v>
      </c>
      <c r="S450" s="16">
        <v>4247</v>
      </c>
      <c r="T450" s="17" t="s">
        <v>41</v>
      </c>
      <c r="U450" s="15">
        <v>46313.627083333333</v>
      </c>
      <c r="V450" s="15">
        <v>46313.623611111114</v>
      </c>
      <c r="W450" s="18" t="s">
        <v>1454</v>
      </c>
      <c r="X450" s="16">
        <v>22411</v>
      </c>
      <c r="Y450" s="19"/>
      <c r="Z450" s="16">
        <v>0</v>
      </c>
      <c r="AA450" s="20">
        <v>0.61805555555555558</v>
      </c>
      <c r="AB450" s="16">
        <v>5</v>
      </c>
      <c r="AC450" s="17" t="s">
        <v>41</v>
      </c>
      <c r="AD450" s="9" t="str">
        <f t="shared" si="5"/>
        <v>Actual</v>
      </c>
      <c r="AE450" s="9" t="str">
        <f t="shared" si="6"/>
        <v>TMK7</v>
      </c>
      <c r="AF450" s="9">
        <f>HOUR(O450)</f>
        <v>14</v>
      </c>
      <c r="AG450" s="9">
        <f>DAY(O450)</f>
        <v>18</v>
      </c>
      <c r="AH450" s="9">
        <f>IFERROR((I450-K450)*24*60,0)</f>
        <v>0</v>
      </c>
      <c r="AI450" s="9">
        <f t="shared" si="7"/>
        <v>0</v>
      </c>
      <c r="AJ450" s="9">
        <f>C450</f>
        <v>2298</v>
      </c>
      <c r="AK450" s="9">
        <f>IF(P450="completed",((V450-K450)*24*60),0)</f>
        <v>5.0000000058207661</v>
      </c>
      <c r="AL450" s="9">
        <f>IF(P450="completed",((U450-K450)*24*60),0)</f>
        <v>10.000000001164153</v>
      </c>
      <c r="AM450" s="9" t="str">
        <f t="shared" si="8"/>
        <v>OTP Achieved</v>
      </c>
      <c r="AN450" s="9" t="str">
        <f t="shared" si="9"/>
        <v>OTP Achieved</v>
      </c>
    </row>
    <row r="451" spans="1:40" ht="15">
      <c r="A451" s="14" t="s">
        <v>1365</v>
      </c>
      <c r="B451" s="15">
        <v>46313.615972222222</v>
      </c>
      <c r="C451" s="16">
        <v>659</v>
      </c>
      <c r="D451" s="17" t="s">
        <v>41</v>
      </c>
      <c r="E451" s="16">
        <v>2</v>
      </c>
      <c r="F451" s="17" t="s">
        <v>41</v>
      </c>
      <c r="G451" s="17" t="s">
        <v>41</v>
      </c>
      <c r="H451" s="17" t="s">
        <v>1455</v>
      </c>
      <c r="I451" s="15">
        <v>46313.616666666669</v>
      </c>
      <c r="J451" s="17" t="s">
        <v>41</v>
      </c>
      <c r="K451" s="15">
        <v>46313.616666666669</v>
      </c>
      <c r="L451" s="16">
        <v>9</v>
      </c>
      <c r="M451" s="17"/>
      <c r="N451" s="17"/>
      <c r="O451" s="15">
        <v>46313.615972222222</v>
      </c>
      <c r="P451" s="17" t="s">
        <v>43</v>
      </c>
      <c r="Q451" s="17" t="s">
        <v>1367</v>
      </c>
      <c r="R451" s="17" t="s">
        <v>1456</v>
      </c>
      <c r="S451" s="16">
        <v>4247</v>
      </c>
      <c r="T451" s="17" t="s">
        <v>41</v>
      </c>
      <c r="U451" s="15">
        <v>46313.618750000001</v>
      </c>
      <c r="V451" s="15">
        <v>46313.618055555555</v>
      </c>
      <c r="W451" s="18" t="s">
        <v>1457</v>
      </c>
      <c r="X451" s="16">
        <v>22411</v>
      </c>
      <c r="Y451" s="19"/>
      <c r="Z451" s="16">
        <v>0</v>
      </c>
      <c r="AA451" s="20">
        <v>0.61597222222222225</v>
      </c>
      <c r="AB451" s="16">
        <v>2</v>
      </c>
      <c r="AC451" s="17" t="s">
        <v>41</v>
      </c>
      <c r="AD451" s="9" t="str">
        <f t="shared" si="5"/>
        <v>Actual</v>
      </c>
      <c r="AE451" s="9" t="str">
        <f t="shared" si="6"/>
        <v>TMK7</v>
      </c>
      <c r="AF451" s="9">
        <f>HOUR(O451)</f>
        <v>14</v>
      </c>
      <c r="AG451" s="9">
        <f>DAY(O451)</f>
        <v>18</v>
      </c>
      <c r="AH451" s="9">
        <f>IFERROR((I451-K451)*24*60,0)</f>
        <v>0</v>
      </c>
      <c r="AI451" s="9">
        <f t="shared" si="7"/>
        <v>0</v>
      </c>
      <c r="AJ451" s="9">
        <f>C451</f>
        <v>659</v>
      </c>
      <c r="AK451" s="9">
        <f>IF(P451="completed",((V451-K451)*24*60),0)</f>
        <v>1.9999999960418791</v>
      </c>
      <c r="AL451" s="9">
        <f>IF(P451="completed",((U451-K451)*24*60),0)</f>
        <v>2.9999999993015081</v>
      </c>
      <c r="AM451" s="9" t="str">
        <f t="shared" si="8"/>
        <v>OTP Achieved</v>
      </c>
      <c r="AN451" s="9" t="str">
        <f t="shared" si="9"/>
        <v>OTP Achieved</v>
      </c>
    </row>
    <row r="452" spans="1:40" ht="15">
      <c r="A452" s="14" t="s">
        <v>1239</v>
      </c>
      <c r="B452" s="15">
        <v>46313.613888888889</v>
      </c>
      <c r="C452" s="16">
        <v>1891</v>
      </c>
      <c r="D452" s="17" t="s">
        <v>41</v>
      </c>
      <c r="E452" s="16">
        <v>5</v>
      </c>
      <c r="F452" s="17" t="s">
        <v>41</v>
      </c>
      <c r="G452" s="17" t="s">
        <v>41</v>
      </c>
      <c r="H452" s="17" t="s">
        <v>1458</v>
      </c>
      <c r="I452" s="15">
        <v>46313.614583333336</v>
      </c>
      <c r="J452" s="17" t="s">
        <v>41</v>
      </c>
      <c r="K452" s="15">
        <v>46313.614583333336</v>
      </c>
      <c r="L452" s="16">
        <v>9</v>
      </c>
      <c r="M452" s="17"/>
      <c r="N452" s="17"/>
      <c r="O452" s="15">
        <v>46313.613888888889</v>
      </c>
      <c r="P452" s="17" t="s">
        <v>43</v>
      </c>
      <c r="Q452" s="17" t="s">
        <v>1241</v>
      </c>
      <c r="R452" s="17" t="s">
        <v>1459</v>
      </c>
      <c r="S452" s="16">
        <v>4247</v>
      </c>
      <c r="T452" s="17" t="s">
        <v>41</v>
      </c>
      <c r="U452" s="15">
        <v>46313.619444444441</v>
      </c>
      <c r="V452" s="15">
        <v>46313.618055555555</v>
      </c>
      <c r="W452" s="18" t="s">
        <v>1460</v>
      </c>
      <c r="X452" s="16">
        <v>22411</v>
      </c>
      <c r="Y452" s="19"/>
      <c r="Z452" s="16">
        <v>0</v>
      </c>
      <c r="AA452" s="20">
        <v>0.61388888888888893</v>
      </c>
      <c r="AB452" s="16">
        <v>5</v>
      </c>
      <c r="AC452" s="17" t="s">
        <v>41</v>
      </c>
      <c r="AD452" s="9" t="str">
        <f t="shared" si="5"/>
        <v>Actual</v>
      </c>
      <c r="AE452" s="9" t="str">
        <f t="shared" si="6"/>
        <v>TMK7</v>
      </c>
      <c r="AF452" s="9">
        <f>HOUR(O452)</f>
        <v>14</v>
      </c>
      <c r="AG452" s="9">
        <f>DAY(O452)</f>
        <v>18</v>
      </c>
      <c r="AH452" s="9">
        <f>IFERROR((I452-K452)*24*60,0)</f>
        <v>0</v>
      </c>
      <c r="AI452" s="9">
        <f t="shared" si="7"/>
        <v>0</v>
      </c>
      <c r="AJ452" s="9">
        <f>C452</f>
        <v>1891</v>
      </c>
      <c r="AK452" s="9">
        <f>IF(P452="completed",((V452-K452)*24*60),0)</f>
        <v>4.9999999953433871</v>
      </c>
      <c r="AL452" s="9">
        <f>IF(P452="completed",((U452-K452)*24*60),0)</f>
        <v>6.9999999913852662</v>
      </c>
      <c r="AM452" s="9" t="str">
        <f t="shared" si="8"/>
        <v>OTP Achieved</v>
      </c>
      <c r="AN452" s="9" t="str">
        <f t="shared" si="9"/>
        <v>OTP Achieved</v>
      </c>
    </row>
    <row r="453" spans="1:40" ht="15">
      <c r="A453" s="14" t="s">
        <v>1461</v>
      </c>
      <c r="B453" s="15">
        <v>46313.613194444442</v>
      </c>
      <c r="C453" s="16">
        <v>2503</v>
      </c>
      <c r="D453" s="17" t="s">
        <v>41</v>
      </c>
      <c r="E453" s="16">
        <v>7</v>
      </c>
      <c r="F453" s="17" t="s">
        <v>41</v>
      </c>
      <c r="G453" s="17" t="s">
        <v>41</v>
      </c>
      <c r="H453" s="17" t="s">
        <v>1462</v>
      </c>
      <c r="I453" s="15">
        <v>46313.614583333336</v>
      </c>
      <c r="J453" s="17" t="s">
        <v>41</v>
      </c>
      <c r="K453" s="15">
        <v>46313.613888888889</v>
      </c>
      <c r="L453" s="16">
        <v>7</v>
      </c>
      <c r="M453" s="17"/>
      <c r="N453" s="17"/>
      <c r="O453" s="15">
        <v>46313.613194444442</v>
      </c>
      <c r="P453" s="17" t="s">
        <v>43</v>
      </c>
      <c r="Q453" s="17" t="s">
        <v>1463</v>
      </c>
      <c r="R453" s="17" t="s">
        <v>1464</v>
      </c>
      <c r="S453" s="16">
        <v>4247</v>
      </c>
      <c r="T453" s="17" t="s">
        <v>41</v>
      </c>
      <c r="U453" s="15">
        <v>46313.620138888888</v>
      </c>
      <c r="V453" s="15">
        <v>46313.618750000001</v>
      </c>
      <c r="W453" s="18" t="s">
        <v>1465</v>
      </c>
      <c r="X453" s="16">
        <v>22411</v>
      </c>
      <c r="Y453" s="19"/>
      <c r="Z453" s="16">
        <v>0</v>
      </c>
      <c r="AA453" s="20">
        <v>0.61319444444444449</v>
      </c>
      <c r="AB453" s="16">
        <v>7</v>
      </c>
      <c r="AC453" s="17" t="s">
        <v>41</v>
      </c>
      <c r="AD453" s="9" t="str">
        <f t="shared" si="5"/>
        <v>Actual</v>
      </c>
      <c r="AE453" s="9" t="str">
        <f t="shared" si="6"/>
        <v>TMK7</v>
      </c>
      <c r="AF453" s="9">
        <f>HOUR(O453)</f>
        <v>14</v>
      </c>
      <c r="AG453" s="9">
        <f>DAY(O453)</f>
        <v>18</v>
      </c>
      <c r="AH453" s="9">
        <f>IFERROR((I453-K453)*24*60,0)</f>
        <v>1.000000003259629</v>
      </c>
      <c r="AI453" s="9">
        <f t="shared" si="7"/>
        <v>1.000000003259629</v>
      </c>
      <c r="AJ453" s="9">
        <f>C453</f>
        <v>2503</v>
      </c>
      <c r="AK453" s="9">
        <f>IF(P453="completed",((V453-K453)*24*60),0)</f>
        <v>7.0000000018626451</v>
      </c>
      <c r="AL453" s="9">
        <f>IF(P453="completed",((U453-K453)*24*60),0)</f>
        <v>8.9999999979045242</v>
      </c>
      <c r="AM453" s="9" t="str">
        <f t="shared" si="8"/>
        <v>OTP Achieved</v>
      </c>
      <c r="AN453" s="9" t="str">
        <f t="shared" si="9"/>
        <v>OTP Achieved</v>
      </c>
    </row>
    <row r="454" spans="1:40" ht="15">
      <c r="A454" s="14" t="s">
        <v>1336</v>
      </c>
      <c r="B454" s="15">
        <v>46313.613194444442</v>
      </c>
      <c r="C454" s="16">
        <v>2654</v>
      </c>
      <c r="D454" s="17" t="s">
        <v>41</v>
      </c>
      <c r="E454" s="16">
        <v>7</v>
      </c>
      <c r="F454" s="17" t="s">
        <v>41</v>
      </c>
      <c r="G454" s="17" t="s">
        <v>41</v>
      </c>
      <c r="H454" s="17" t="s">
        <v>1466</v>
      </c>
      <c r="I454" s="15">
        <v>46313.613888888889</v>
      </c>
      <c r="J454" s="17" t="s">
        <v>41</v>
      </c>
      <c r="K454" s="15">
        <v>46313.613888888889</v>
      </c>
      <c r="L454" s="16">
        <v>9</v>
      </c>
      <c r="M454" s="17"/>
      <c r="N454" s="17"/>
      <c r="O454" s="15">
        <v>46313.611805555556</v>
      </c>
      <c r="P454" s="17" t="s">
        <v>43</v>
      </c>
      <c r="Q454" s="17" t="s">
        <v>1338</v>
      </c>
      <c r="R454" s="17" t="s">
        <v>1467</v>
      </c>
      <c r="S454" s="16">
        <v>4247</v>
      </c>
      <c r="T454" s="17" t="s">
        <v>41</v>
      </c>
      <c r="U454" s="15">
        <v>46313.619444444441</v>
      </c>
      <c r="V454" s="15">
        <v>46313.618750000001</v>
      </c>
      <c r="W454" s="18" t="s">
        <v>1468</v>
      </c>
      <c r="X454" s="16">
        <v>22411</v>
      </c>
      <c r="Y454" s="19"/>
      <c r="Z454" s="16">
        <v>0</v>
      </c>
      <c r="AA454" s="20">
        <v>0.61319444444444449</v>
      </c>
      <c r="AB454" s="16">
        <v>7</v>
      </c>
      <c r="AC454" s="17" t="s">
        <v>41</v>
      </c>
      <c r="AD454" s="9" t="str">
        <f t="shared" si="5"/>
        <v>Actual</v>
      </c>
      <c r="AE454" s="9" t="str">
        <f t="shared" si="6"/>
        <v>TMK7</v>
      </c>
      <c r="AF454" s="9">
        <f>HOUR(O454)</f>
        <v>14</v>
      </c>
      <c r="AG454" s="9">
        <f>DAY(O454)</f>
        <v>18</v>
      </c>
      <c r="AH454" s="9">
        <f>IFERROR((I454-K454)*24*60,0)</f>
        <v>0</v>
      </c>
      <c r="AI454" s="9">
        <f t="shared" si="7"/>
        <v>0</v>
      </c>
      <c r="AJ454" s="9">
        <f>C454</f>
        <v>2654</v>
      </c>
      <c r="AK454" s="9">
        <f>IF(P454="completed",((V454-K454)*24*60),0)</f>
        <v>7.0000000018626451</v>
      </c>
      <c r="AL454" s="9">
        <f>IF(P454="completed",((U454-K454)*24*60),0)</f>
        <v>7.9999999946448952</v>
      </c>
      <c r="AM454" s="9" t="str">
        <f t="shared" si="8"/>
        <v>OTP Achieved</v>
      </c>
      <c r="AN454" s="9" t="str">
        <f t="shared" si="9"/>
        <v>OTP Achieved</v>
      </c>
    </row>
    <row r="455" spans="1:40" ht="15">
      <c r="A455" s="23" t="s">
        <v>198</v>
      </c>
      <c r="B455" s="15">
        <v>46313.612500000003</v>
      </c>
      <c r="C455" s="16">
        <v>1955</v>
      </c>
      <c r="D455" s="17" t="s">
        <v>41</v>
      </c>
      <c r="E455" s="17">
        <v>9</v>
      </c>
      <c r="F455" s="17" t="s">
        <v>41</v>
      </c>
      <c r="G455" s="17" t="s">
        <v>41</v>
      </c>
      <c r="H455" s="17" t="s">
        <v>1469</v>
      </c>
      <c r="I455" s="19">
        <v>46313.615277777775</v>
      </c>
      <c r="J455" s="17" t="s">
        <v>41</v>
      </c>
      <c r="K455" s="19">
        <v>46313.615277777775</v>
      </c>
      <c r="L455" s="17">
        <v>6</v>
      </c>
      <c r="M455" s="17"/>
      <c r="N455" s="17"/>
      <c r="O455" s="15">
        <v>46313.611805555556</v>
      </c>
      <c r="P455" s="17" t="s">
        <v>315</v>
      </c>
      <c r="Q455" s="17" t="s">
        <v>200</v>
      </c>
      <c r="R455" s="17" t="s">
        <v>1470</v>
      </c>
      <c r="S455" s="16">
        <v>4247</v>
      </c>
      <c r="T455" s="17" t="s">
        <v>41</v>
      </c>
      <c r="U455" s="15">
        <v>46313.620138888888</v>
      </c>
      <c r="V455" s="19"/>
      <c r="W455" s="18" t="s">
        <v>1471</v>
      </c>
      <c r="X455" s="16">
        <v>22411</v>
      </c>
      <c r="Y455" s="19">
        <v>46313.619444444441</v>
      </c>
      <c r="Z455" s="16">
        <v>0</v>
      </c>
      <c r="AA455" s="20">
        <v>0.61250000000000004</v>
      </c>
      <c r="AB455" s="17">
        <v>9</v>
      </c>
      <c r="AC455" s="17" t="s">
        <v>41</v>
      </c>
      <c r="AD455" s="9" t="str">
        <f t="shared" si="5"/>
        <v>Actual</v>
      </c>
      <c r="AE455" s="9" t="str">
        <f t="shared" si="6"/>
        <v>TMK7</v>
      </c>
      <c r="AF455" s="9">
        <f>HOUR(O455)</f>
        <v>14</v>
      </c>
      <c r="AG455" s="9">
        <f>DAY(O455)</f>
        <v>18</v>
      </c>
      <c r="AH455" s="9">
        <f>IFERROR((I455-K455)*24*60,0)</f>
        <v>0</v>
      </c>
      <c r="AI455" s="9">
        <f t="shared" si="7"/>
        <v>0</v>
      </c>
      <c r="AJ455" s="9">
        <f>C455</f>
        <v>1955</v>
      </c>
      <c r="AK455" s="9">
        <f>IF(P455="completed",((V455-K455)*24*60),0)</f>
        <v>0</v>
      </c>
      <c r="AL455" s="9">
        <f>IF(P455="completed",((U455-K455)*24*60),0)</f>
        <v>0</v>
      </c>
      <c r="AM455" s="9" t="str">
        <f t="shared" si="8"/>
        <v>OTP Breached</v>
      </c>
      <c r="AN455" s="9" t="str">
        <f t="shared" si="9"/>
        <v>OTP Achieved</v>
      </c>
    </row>
    <row r="456" spans="1:40" ht="15">
      <c r="A456" s="14" t="s">
        <v>62</v>
      </c>
      <c r="B456" s="15">
        <v>46313.611111111109</v>
      </c>
      <c r="C456" s="16">
        <v>1116</v>
      </c>
      <c r="D456" s="17" t="s">
        <v>41</v>
      </c>
      <c r="E456" s="16">
        <v>4</v>
      </c>
      <c r="F456" s="17" t="s">
        <v>41</v>
      </c>
      <c r="G456" s="17" t="s">
        <v>41</v>
      </c>
      <c r="H456" s="17" t="s">
        <v>1472</v>
      </c>
      <c r="I456" s="15">
        <v>46313.611805555556</v>
      </c>
      <c r="J456" s="17" t="s">
        <v>41</v>
      </c>
      <c r="K456" s="15">
        <v>46313.609722222223</v>
      </c>
      <c r="L456" s="16">
        <v>30</v>
      </c>
      <c r="M456" s="17"/>
      <c r="N456" s="17"/>
      <c r="O456" s="15">
        <v>46313.609722222223</v>
      </c>
      <c r="P456" s="17" t="s">
        <v>43</v>
      </c>
      <c r="Q456" s="17" t="s">
        <v>64</v>
      </c>
      <c r="R456" s="17" t="s">
        <v>1473</v>
      </c>
      <c r="S456" s="16">
        <v>4247</v>
      </c>
      <c r="T456" s="17" t="s">
        <v>41</v>
      </c>
      <c r="U456" s="15">
        <v>46313.615277777775</v>
      </c>
      <c r="V456" s="15">
        <v>46313.614583333336</v>
      </c>
      <c r="W456" s="18" t="s">
        <v>1474</v>
      </c>
      <c r="X456" s="16">
        <v>22411</v>
      </c>
      <c r="Y456" s="19"/>
      <c r="Z456" s="16">
        <v>0</v>
      </c>
      <c r="AA456" s="20">
        <v>0.61111111111111116</v>
      </c>
      <c r="AB456" s="16">
        <v>4</v>
      </c>
      <c r="AC456" s="17" t="s">
        <v>41</v>
      </c>
      <c r="AD456" s="9" t="str">
        <f t="shared" si="5"/>
        <v>Actual</v>
      </c>
      <c r="AE456" s="9" t="str">
        <f t="shared" si="6"/>
        <v>TMK7</v>
      </c>
      <c r="AF456" s="9">
        <f>HOUR(O456)</f>
        <v>14</v>
      </c>
      <c r="AG456" s="9">
        <f>DAY(O456)</f>
        <v>18</v>
      </c>
      <c r="AH456" s="9">
        <f>IFERROR((I456-K456)*24*60,0)</f>
        <v>2.9999999993015081</v>
      </c>
      <c r="AI456" s="9">
        <f t="shared" si="7"/>
        <v>2.9999999993015081</v>
      </c>
      <c r="AJ456" s="9">
        <f>C456</f>
        <v>1116</v>
      </c>
      <c r="AK456" s="9">
        <f>IF(P456="completed",((V456-K456)*24*60),0)</f>
        <v>7.0000000018626451</v>
      </c>
      <c r="AL456" s="9">
        <f>IF(P456="completed",((U456-K456)*24*60),0)</f>
        <v>7.9999999946448952</v>
      </c>
      <c r="AM456" s="9" t="str">
        <f t="shared" si="8"/>
        <v>OTP Achieved</v>
      </c>
      <c r="AN456" s="9" t="str">
        <f t="shared" si="9"/>
        <v>OTP Achieved</v>
      </c>
    </row>
    <row r="457" spans="1:40" ht="15">
      <c r="A457" s="14" t="s">
        <v>379</v>
      </c>
      <c r="B457" s="15">
        <v>46313.611111111109</v>
      </c>
      <c r="C457" s="16">
        <v>2295</v>
      </c>
      <c r="D457" s="17" t="s">
        <v>41</v>
      </c>
      <c r="E457" s="16">
        <v>7</v>
      </c>
      <c r="F457" s="17" t="s">
        <v>41</v>
      </c>
      <c r="G457" s="17" t="s">
        <v>41</v>
      </c>
      <c r="H457" s="17" t="s">
        <v>1475</v>
      </c>
      <c r="I457" s="15">
        <v>46313.611805555556</v>
      </c>
      <c r="J457" s="17" t="s">
        <v>41</v>
      </c>
      <c r="K457" s="15">
        <v>46313.60833333333</v>
      </c>
      <c r="L457" s="16">
        <v>33</v>
      </c>
      <c r="M457" s="17"/>
      <c r="N457" s="17"/>
      <c r="O457" s="15">
        <v>46313.607638888891</v>
      </c>
      <c r="P457" s="17" t="s">
        <v>43</v>
      </c>
      <c r="Q457" s="17" t="s">
        <v>381</v>
      </c>
      <c r="R457" s="17" t="s">
        <v>1476</v>
      </c>
      <c r="S457" s="16">
        <v>4247</v>
      </c>
      <c r="T457" s="17" t="s">
        <v>41</v>
      </c>
      <c r="U457" s="15">
        <v>46313.616666666669</v>
      </c>
      <c r="V457" s="15">
        <v>46313.615972222222</v>
      </c>
      <c r="W457" s="18" t="s">
        <v>1477</v>
      </c>
      <c r="X457" s="16">
        <v>22411</v>
      </c>
      <c r="Y457" s="19"/>
      <c r="Z457" s="16">
        <v>0</v>
      </c>
      <c r="AA457" s="20">
        <v>0.61111111111111116</v>
      </c>
      <c r="AB457" s="16">
        <v>6</v>
      </c>
      <c r="AC457" s="17" t="s">
        <v>41</v>
      </c>
      <c r="AD457" s="9" t="str">
        <f t="shared" si="5"/>
        <v>Actual</v>
      </c>
      <c r="AE457" s="9" t="str">
        <f t="shared" si="6"/>
        <v>TMK7</v>
      </c>
      <c r="AF457" s="9">
        <f>HOUR(O457)</f>
        <v>14</v>
      </c>
      <c r="AG457" s="9">
        <f>DAY(O457)</f>
        <v>18</v>
      </c>
      <c r="AH457" s="9">
        <f>IFERROR((I457-K457)*24*60,0)</f>
        <v>5.0000000058207661</v>
      </c>
      <c r="AI457" s="9">
        <f t="shared" si="7"/>
        <v>5.0000000058207661</v>
      </c>
      <c r="AJ457" s="9">
        <f>C457</f>
        <v>2295</v>
      </c>
      <c r="AK457" s="9">
        <f>IF(P457="completed",((V457-K457)*24*60),0)</f>
        <v>11.000000004423782</v>
      </c>
      <c r="AL457" s="9">
        <f>IF(P457="completed",((U457-K457)*24*60),0)</f>
        <v>12.000000007683411</v>
      </c>
      <c r="AM457" s="9" t="str">
        <f t="shared" si="8"/>
        <v>OTP Achieved</v>
      </c>
      <c r="AN457" s="9" t="str">
        <f t="shared" si="9"/>
        <v>OTP Achieved</v>
      </c>
    </row>
    <row r="458" spans="1:40" ht="15">
      <c r="A458" s="14" t="s">
        <v>67</v>
      </c>
      <c r="B458" s="15">
        <v>46313.61041666667</v>
      </c>
      <c r="C458" s="16">
        <v>1065</v>
      </c>
      <c r="D458" s="17" t="s">
        <v>41</v>
      </c>
      <c r="E458" s="16">
        <v>4</v>
      </c>
      <c r="F458" s="17" t="s">
        <v>41</v>
      </c>
      <c r="G458" s="17" t="s">
        <v>41</v>
      </c>
      <c r="H458" s="17" t="s">
        <v>1478</v>
      </c>
      <c r="I458" s="15">
        <v>46313.611111111109</v>
      </c>
      <c r="J458" s="17" t="s">
        <v>41</v>
      </c>
      <c r="K458" s="15">
        <v>46313.609027777777</v>
      </c>
      <c r="L458" s="16">
        <v>24</v>
      </c>
      <c r="M458" s="17"/>
      <c r="N458" s="17"/>
      <c r="O458" s="15">
        <v>46313.606249999997</v>
      </c>
      <c r="P458" s="17" t="s">
        <v>43</v>
      </c>
      <c r="Q458" s="17" t="s">
        <v>69</v>
      </c>
      <c r="R458" s="17" t="s">
        <v>1479</v>
      </c>
      <c r="S458" s="16">
        <v>4247</v>
      </c>
      <c r="T458" s="17" t="s">
        <v>41</v>
      </c>
      <c r="U458" s="15">
        <v>46313.613888888889</v>
      </c>
      <c r="V458" s="15">
        <v>46313.613194444442</v>
      </c>
      <c r="W458" s="18" t="s">
        <v>1480</v>
      </c>
      <c r="X458" s="16">
        <v>22411</v>
      </c>
      <c r="Y458" s="19"/>
      <c r="Z458" s="16">
        <v>0</v>
      </c>
      <c r="AA458" s="20">
        <v>0.61041666666666672</v>
      </c>
      <c r="AB458" s="16">
        <v>3</v>
      </c>
      <c r="AC458" s="17" t="s">
        <v>41</v>
      </c>
      <c r="AD458" s="9" t="str">
        <f t="shared" si="5"/>
        <v>Actual</v>
      </c>
      <c r="AE458" s="9" t="str">
        <f t="shared" si="6"/>
        <v>TMK7</v>
      </c>
      <c r="AF458" s="9">
        <f>HOUR(O458)</f>
        <v>14</v>
      </c>
      <c r="AG458" s="9">
        <f>DAY(O458)</f>
        <v>18</v>
      </c>
      <c r="AH458" s="9">
        <f>IFERROR((I458-K458)*24*60,0)</f>
        <v>2.9999999993015081</v>
      </c>
      <c r="AI458" s="9">
        <f t="shared" si="7"/>
        <v>2.9999999993015081</v>
      </c>
      <c r="AJ458" s="9">
        <f>C458</f>
        <v>1065</v>
      </c>
      <c r="AK458" s="9">
        <f>IF(P458="completed",((V458-K458)*24*60),0)</f>
        <v>5.9999999986030161</v>
      </c>
      <c r="AL458" s="9">
        <f>IF(P458="completed",((U458-K458)*24*60),0)</f>
        <v>7.0000000018626451</v>
      </c>
      <c r="AM458" s="9" t="str">
        <f t="shared" si="8"/>
        <v>OTP Achieved</v>
      </c>
      <c r="AN458" s="9" t="str">
        <f t="shared" si="9"/>
        <v>OTP Achieved</v>
      </c>
    </row>
    <row r="459" spans="1:40" ht="15">
      <c r="A459" s="23" t="s">
        <v>1136</v>
      </c>
      <c r="B459" s="15">
        <v>46313.61041666667</v>
      </c>
      <c r="C459" s="16">
        <v>1973</v>
      </c>
      <c r="D459" s="17" t="s">
        <v>41</v>
      </c>
      <c r="E459" s="17">
        <v>7</v>
      </c>
      <c r="F459" s="17" t="s">
        <v>41</v>
      </c>
      <c r="G459" s="17" t="s">
        <v>41</v>
      </c>
      <c r="H459" s="17" t="s">
        <v>1481</v>
      </c>
      <c r="I459" s="19">
        <v>46313.611111111109</v>
      </c>
      <c r="J459" s="17" t="s">
        <v>41</v>
      </c>
      <c r="K459" s="19">
        <v>46313.606249999997</v>
      </c>
      <c r="L459" s="17">
        <v>27</v>
      </c>
      <c r="M459" s="17"/>
      <c r="N459" s="17"/>
      <c r="O459" s="15">
        <v>46313.605555555558</v>
      </c>
      <c r="P459" s="17" t="s">
        <v>43</v>
      </c>
      <c r="Q459" s="17" t="s">
        <v>1138</v>
      </c>
      <c r="R459" s="17" t="s">
        <v>1482</v>
      </c>
      <c r="S459" s="16">
        <v>4247</v>
      </c>
      <c r="T459" s="17" t="s">
        <v>41</v>
      </c>
      <c r="U459" s="15">
        <v>46313.615972222222</v>
      </c>
      <c r="V459" s="19">
        <v>46313.615277777775</v>
      </c>
      <c r="W459" s="18" t="s">
        <v>1483</v>
      </c>
      <c r="X459" s="16">
        <v>22411</v>
      </c>
      <c r="Y459" s="19"/>
      <c r="Z459" s="16">
        <v>0</v>
      </c>
      <c r="AA459" s="20">
        <v>0.61041666666666672</v>
      </c>
      <c r="AB459" s="17">
        <v>6</v>
      </c>
      <c r="AC459" s="17" t="s">
        <v>41</v>
      </c>
      <c r="AD459" s="9" t="str">
        <f t="shared" si="5"/>
        <v>Actual</v>
      </c>
      <c r="AE459" s="9" t="str">
        <f t="shared" si="6"/>
        <v>TMK7</v>
      </c>
      <c r="AF459" s="9">
        <f>HOUR(O459)</f>
        <v>14</v>
      </c>
      <c r="AG459" s="9">
        <f>DAY(O459)</f>
        <v>18</v>
      </c>
      <c r="AH459" s="9">
        <f>IFERROR((I459-K459)*24*60,0)</f>
        <v>7.0000000018626451</v>
      </c>
      <c r="AI459" s="9">
        <f t="shared" si="7"/>
        <v>7.0000000018626451</v>
      </c>
      <c r="AJ459" s="9">
        <f>C459</f>
        <v>1973</v>
      </c>
      <c r="AK459" s="9">
        <f>IF(P459="completed",((V459-K459)*24*60),0)</f>
        <v>13.000000000465661</v>
      </c>
      <c r="AL459" s="9">
        <f>IF(P459="completed",((U459-K459)*24*60),0)</f>
        <v>14.00000000372529</v>
      </c>
      <c r="AM459" s="9" t="str">
        <f t="shared" si="8"/>
        <v>OTP Achieved</v>
      </c>
      <c r="AN459" s="9" t="str">
        <f t="shared" si="9"/>
        <v>OTP Achieved</v>
      </c>
    </row>
    <row r="460" spans="1:40" ht="15">
      <c r="A460" s="14" t="s">
        <v>1310</v>
      </c>
      <c r="B460" s="15">
        <v>46313.609027777777</v>
      </c>
      <c r="C460" s="16">
        <v>2076</v>
      </c>
      <c r="D460" s="17" t="s">
        <v>41</v>
      </c>
      <c r="E460" s="16">
        <v>6</v>
      </c>
      <c r="F460" s="17" t="s">
        <v>41</v>
      </c>
      <c r="G460" s="17" t="s">
        <v>41</v>
      </c>
      <c r="H460" s="17" t="s">
        <v>1484</v>
      </c>
      <c r="I460" s="15">
        <v>46313.609027777777</v>
      </c>
      <c r="J460" s="17" t="s">
        <v>41</v>
      </c>
      <c r="K460" s="15">
        <v>46313.606944444444</v>
      </c>
      <c r="L460" s="16">
        <v>22</v>
      </c>
      <c r="M460" s="17"/>
      <c r="N460" s="17"/>
      <c r="O460" s="15">
        <v>46313.605555555558</v>
      </c>
      <c r="P460" s="17" t="s">
        <v>43</v>
      </c>
      <c r="Q460" s="17" t="s">
        <v>1312</v>
      </c>
      <c r="R460" s="17" t="s">
        <v>1485</v>
      </c>
      <c r="S460" s="16">
        <v>4247</v>
      </c>
      <c r="T460" s="17" t="s">
        <v>41</v>
      </c>
      <c r="U460" s="15">
        <v>46313.614583333336</v>
      </c>
      <c r="V460" s="15">
        <v>46313.613194444442</v>
      </c>
      <c r="W460" s="18" t="s">
        <v>1486</v>
      </c>
      <c r="X460" s="16">
        <v>22411</v>
      </c>
      <c r="Y460" s="19"/>
      <c r="Z460" s="16">
        <v>0</v>
      </c>
      <c r="AA460" s="20">
        <v>0.60902777777777772</v>
      </c>
      <c r="AB460" s="16">
        <v>5</v>
      </c>
      <c r="AC460" s="17" t="s">
        <v>41</v>
      </c>
      <c r="AD460" s="9" t="str">
        <f t="shared" si="5"/>
        <v>Actual</v>
      </c>
      <c r="AE460" s="9" t="str">
        <f t="shared" si="6"/>
        <v>TMK7</v>
      </c>
      <c r="AF460" s="9">
        <f>HOUR(O460)</f>
        <v>14</v>
      </c>
      <c r="AG460" s="9">
        <f>DAY(O460)</f>
        <v>18</v>
      </c>
      <c r="AH460" s="9">
        <f>IFERROR((I460-K460)*24*60,0)</f>
        <v>2.9999999993015081</v>
      </c>
      <c r="AI460" s="9">
        <f t="shared" si="7"/>
        <v>2.9999999993015081</v>
      </c>
      <c r="AJ460" s="9">
        <f>C460</f>
        <v>2076</v>
      </c>
      <c r="AK460" s="9">
        <f>IF(P460="completed",((V460-K460)*24*60),0)</f>
        <v>8.9999999979045242</v>
      </c>
      <c r="AL460" s="9">
        <f>IF(P460="completed",((U460-K460)*24*60),0)</f>
        <v>11.000000004423782</v>
      </c>
      <c r="AM460" s="9" t="str">
        <f t="shared" si="8"/>
        <v>OTP Achieved</v>
      </c>
      <c r="AN460" s="9" t="str">
        <f t="shared" si="9"/>
        <v>OTP Achieved</v>
      </c>
    </row>
    <row r="461" spans="1:40" ht="15">
      <c r="A461" s="14" t="s">
        <v>734</v>
      </c>
      <c r="B461" s="15">
        <v>46313.607638888891</v>
      </c>
      <c r="C461" s="16">
        <v>1807</v>
      </c>
      <c r="D461" s="17" t="s">
        <v>41</v>
      </c>
      <c r="E461" s="16">
        <v>6</v>
      </c>
      <c r="F461" s="17" t="s">
        <v>41</v>
      </c>
      <c r="G461" s="17" t="s">
        <v>41</v>
      </c>
      <c r="H461" s="17" t="s">
        <v>1487</v>
      </c>
      <c r="I461" s="15">
        <v>46313.60833333333</v>
      </c>
      <c r="J461" s="17" t="s">
        <v>41</v>
      </c>
      <c r="K461" s="15">
        <v>46313.606249999997</v>
      </c>
      <c r="L461" s="16">
        <v>14</v>
      </c>
      <c r="M461" s="17"/>
      <c r="N461" s="17"/>
      <c r="O461" s="15">
        <v>46313.605555555558</v>
      </c>
      <c r="P461" s="17" t="s">
        <v>43</v>
      </c>
      <c r="Q461" s="17" t="s">
        <v>736</v>
      </c>
      <c r="R461" s="17" t="s">
        <v>1488</v>
      </c>
      <c r="S461" s="16">
        <v>4247</v>
      </c>
      <c r="T461" s="17" t="s">
        <v>41</v>
      </c>
      <c r="U461" s="15">
        <v>46313.613888888889</v>
      </c>
      <c r="V461" s="15">
        <v>46313.611805555556</v>
      </c>
      <c r="W461" s="18" t="s">
        <v>1489</v>
      </c>
      <c r="X461" s="16">
        <v>22411</v>
      </c>
      <c r="Y461" s="19"/>
      <c r="Z461" s="16">
        <v>0</v>
      </c>
      <c r="AA461" s="20">
        <v>0.60763888888888884</v>
      </c>
      <c r="AB461" s="16">
        <v>6</v>
      </c>
      <c r="AC461" s="17" t="s">
        <v>41</v>
      </c>
      <c r="AD461" s="9" t="str">
        <f t="shared" si="5"/>
        <v>Actual</v>
      </c>
      <c r="AE461" s="9" t="str">
        <f t="shared" si="6"/>
        <v>TMK7</v>
      </c>
      <c r="AF461" s="9">
        <f>HOUR(O461)</f>
        <v>14</v>
      </c>
      <c r="AG461" s="9">
        <f>DAY(O461)</f>
        <v>18</v>
      </c>
      <c r="AH461" s="9">
        <f>IFERROR((I461-K461)*24*60,0)</f>
        <v>2.9999999993015081</v>
      </c>
      <c r="AI461" s="9">
        <f t="shared" si="7"/>
        <v>2.9999999993015081</v>
      </c>
      <c r="AJ461" s="9">
        <f>C461</f>
        <v>1807</v>
      </c>
      <c r="AK461" s="9">
        <f>IF(P461="completed",((V461-K461)*24*60),0)</f>
        <v>8.0000000051222742</v>
      </c>
      <c r="AL461" s="9">
        <f>IF(P461="completed",((U461-K461)*24*60),0)</f>
        <v>11.000000004423782</v>
      </c>
      <c r="AM461" s="9" t="str">
        <f t="shared" si="8"/>
        <v>OTP Achieved</v>
      </c>
      <c r="AN461" s="9" t="str">
        <f t="shared" si="9"/>
        <v>OTP Achieved</v>
      </c>
    </row>
    <row r="462" spans="1:40" ht="15">
      <c r="A462" s="14" t="s">
        <v>40</v>
      </c>
      <c r="B462" s="15">
        <v>46313.606249999997</v>
      </c>
      <c r="C462" s="16">
        <v>2340</v>
      </c>
      <c r="D462" s="17" t="s">
        <v>41</v>
      </c>
      <c r="E462" s="16">
        <v>8</v>
      </c>
      <c r="F462" s="17" t="s">
        <v>41</v>
      </c>
      <c r="G462" s="17" t="s">
        <v>41</v>
      </c>
      <c r="H462" s="17" t="s">
        <v>1490</v>
      </c>
      <c r="I462" s="15">
        <v>46313.607638888891</v>
      </c>
      <c r="J462" s="17" t="s">
        <v>41</v>
      </c>
      <c r="K462" s="15">
        <v>46313.606944444444</v>
      </c>
      <c r="L462" s="16">
        <v>13</v>
      </c>
      <c r="M462" s="17"/>
      <c r="N462" s="17"/>
      <c r="O462" s="15">
        <v>46313.605555555558</v>
      </c>
      <c r="P462" s="17" t="s">
        <v>43</v>
      </c>
      <c r="Q462" s="17" t="s">
        <v>44</v>
      </c>
      <c r="R462" s="17" t="s">
        <v>1491</v>
      </c>
      <c r="S462" s="16">
        <v>4247</v>
      </c>
      <c r="T462" s="17" t="s">
        <v>41</v>
      </c>
      <c r="U462" s="15">
        <v>46313.614583333336</v>
      </c>
      <c r="V462" s="15">
        <v>46313.612500000003</v>
      </c>
      <c r="W462" s="18" t="s">
        <v>1492</v>
      </c>
      <c r="X462" s="16">
        <v>22411</v>
      </c>
      <c r="Y462" s="19"/>
      <c r="Z462" s="16">
        <v>0</v>
      </c>
      <c r="AA462" s="20">
        <v>0.60624999999999996</v>
      </c>
      <c r="AB462" s="16">
        <v>8</v>
      </c>
      <c r="AC462" s="17" t="s">
        <v>41</v>
      </c>
      <c r="AD462" s="9" t="str">
        <f t="shared" si="5"/>
        <v>Actual</v>
      </c>
      <c r="AE462" s="9" t="str">
        <f t="shared" si="6"/>
        <v>TMK7</v>
      </c>
      <c r="AF462" s="9">
        <f>HOUR(O462)</f>
        <v>14</v>
      </c>
      <c r="AG462" s="9">
        <f>DAY(O462)</f>
        <v>18</v>
      </c>
      <c r="AH462" s="9">
        <f>IFERROR((I462-K462)*24*60,0)</f>
        <v>1.000000003259629</v>
      </c>
      <c r="AI462" s="9">
        <f t="shared" si="7"/>
        <v>1.000000003259629</v>
      </c>
      <c r="AJ462" s="9">
        <f>C462</f>
        <v>2340</v>
      </c>
      <c r="AK462" s="9">
        <f>IF(P462="completed",((V462-K462)*24*60),0)</f>
        <v>8.0000000051222742</v>
      </c>
      <c r="AL462" s="9">
        <f>IF(P462="completed",((U462-K462)*24*60),0)</f>
        <v>11.000000004423782</v>
      </c>
      <c r="AM462" s="9" t="str">
        <f t="shared" si="8"/>
        <v>OTP Achieved</v>
      </c>
      <c r="AN462" s="9" t="str">
        <f t="shared" si="9"/>
        <v>OTP Achieved</v>
      </c>
    </row>
    <row r="463" spans="1:40" ht="15">
      <c r="A463" s="14" t="s">
        <v>77</v>
      </c>
      <c r="B463" s="15">
        <v>46313.606249999997</v>
      </c>
      <c r="C463" s="16">
        <v>1353</v>
      </c>
      <c r="D463" s="17" t="s">
        <v>41</v>
      </c>
      <c r="E463" s="16">
        <v>4</v>
      </c>
      <c r="F463" s="17" t="s">
        <v>41</v>
      </c>
      <c r="G463" s="17" t="s">
        <v>41</v>
      </c>
      <c r="H463" s="17" t="s">
        <v>1493</v>
      </c>
      <c r="I463" s="15">
        <v>46313.606249999997</v>
      </c>
      <c r="J463" s="17" t="s">
        <v>41</v>
      </c>
      <c r="K463" s="15">
        <v>46313.604861111111</v>
      </c>
      <c r="L463" s="16">
        <v>21</v>
      </c>
      <c r="M463" s="17"/>
      <c r="N463" s="17"/>
      <c r="O463" s="15">
        <v>46313.604166666664</v>
      </c>
      <c r="P463" s="17" t="s">
        <v>43</v>
      </c>
      <c r="Q463" s="17" t="s">
        <v>79</v>
      </c>
      <c r="R463" s="17" t="s">
        <v>1494</v>
      </c>
      <c r="S463" s="16">
        <v>4247</v>
      </c>
      <c r="T463" s="17" t="s">
        <v>41</v>
      </c>
      <c r="U463" s="15">
        <v>46313.611111111109</v>
      </c>
      <c r="V463" s="15">
        <v>46313.60833333333</v>
      </c>
      <c r="W463" s="18" t="s">
        <v>1495</v>
      </c>
      <c r="X463" s="16">
        <v>22411</v>
      </c>
      <c r="Y463" s="19"/>
      <c r="Z463" s="16">
        <v>0</v>
      </c>
      <c r="AA463" s="20">
        <v>0.60624999999999996</v>
      </c>
      <c r="AB463" s="16">
        <v>3</v>
      </c>
      <c r="AC463" s="17" t="s">
        <v>41</v>
      </c>
      <c r="AD463" s="9" t="str">
        <f t="shared" si="5"/>
        <v>Actual</v>
      </c>
      <c r="AE463" s="9" t="str">
        <f t="shared" si="6"/>
        <v>TMK7</v>
      </c>
      <c r="AF463" s="9">
        <f>HOUR(O463)</f>
        <v>14</v>
      </c>
      <c r="AG463" s="9">
        <f>DAY(O463)</f>
        <v>18</v>
      </c>
      <c r="AH463" s="9">
        <f>IFERROR((I463-K463)*24*60,0)</f>
        <v>1.9999999960418791</v>
      </c>
      <c r="AI463" s="9">
        <f t="shared" si="7"/>
        <v>1.9999999960418791</v>
      </c>
      <c r="AJ463" s="9">
        <f>C463</f>
        <v>1353</v>
      </c>
      <c r="AK463" s="9">
        <f>IF(P463="completed",((V463-K463)*24*60),0)</f>
        <v>4.9999999953433871</v>
      </c>
      <c r="AL463" s="9">
        <f>IF(P463="completed",((U463-K463)*24*60),0)</f>
        <v>8.9999999979045242</v>
      </c>
      <c r="AM463" s="9" t="str">
        <f t="shared" si="8"/>
        <v>OTP Achieved</v>
      </c>
      <c r="AN463" s="9" t="str">
        <f t="shared" si="9"/>
        <v>OTP Achieved</v>
      </c>
    </row>
    <row r="464" spans="1:40" ht="15">
      <c r="A464" s="14" t="s">
        <v>1239</v>
      </c>
      <c r="B464" s="15">
        <v>46313.604861111111</v>
      </c>
      <c r="C464" s="16">
        <v>793</v>
      </c>
      <c r="D464" s="17" t="s">
        <v>41</v>
      </c>
      <c r="E464" s="16">
        <v>3</v>
      </c>
      <c r="F464" s="17" t="s">
        <v>41</v>
      </c>
      <c r="G464" s="17" t="s">
        <v>41</v>
      </c>
      <c r="H464" s="17" t="s">
        <v>1496</v>
      </c>
      <c r="I464" s="15">
        <v>46313.604861111111</v>
      </c>
      <c r="J464" s="17" t="s">
        <v>41</v>
      </c>
      <c r="K464" s="15">
        <v>46313.604861111111</v>
      </c>
      <c r="L464" s="16">
        <v>24</v>
      </c>
      <c r="M464" s="17"/>
      <c r="N464" s="17"/>
      <c r="O464" s="15">
        <v>46313.603472222225</v>
      </c>
      <c r="P464" s="17" t="s">
        <v>43</v>
      </c>
      <c r="Q464" s="17" t="s">
        <v>1241</v>
      </c>
      <c r="R464" s="17" t="s">
        <v>1497</v>
      </c>
      <c r="S464" s="16">
        <v>4247</v>
      </c>
      <c r="T464" s="17" t="s">
        <v>41</v>
      </c>
      <c r="U464" s="15">
        <v>46313.607638888891</v>
      </c>
      <c r="V464" s="15">
        <v>46313.606944444444</v>
      </c>
      <c r="W464" s="18" t="s">
        <v>1498</v>
      </c>
      <c r="X464" s="16">
        <v>22411</v>
      </c>
      <c r="Y464" s="17"/>
      <c r="Z464" s="16">
        <v>0</v>
      </c>
      <c r="AA464" s="20">
        <v>0.60486111111111107</v>
      </c>
      <c r="AB464" s="16">
        <v>3</v>
      </c>
      <c r="AC464" s="17" t="s">
        <v>41</v>
      </c>
      <c r="AD464" s="9" t="str">
        <f t="shared" si="5"/>
        <v>Actual</v>
      </c>
      <c r="AE464" s="9" t="str">
        <f t="shared" si="6"/>
        <v>TMK7</v>
      </c>
      <c r="AF464" s="9">
        <f>HOUR(O464)</f>
        <v>14</v>
      </c>
      <c r="AG464" s="9">
        <f>DAY(O464)</f>
        <v>18</v>
      </c>
      <c r="AH464" s="9">
        <f>IFERROR((I464-K464)*24*60,0)</f>
        <v>0</v>
      </c>
      <c r="AI464" s="9">
        <f t="shared" si="7"/>
        <v>0</v>
      </c>
      <c r="AJ464" s="9">
        <f>C464</f>
        <v>793</v>
      </c>
      <c r="AK464" s="9">
        <f>IF(P464="completed",((V464-K464)*24*60),0)</f>
        <v>2.9999999993015081</v>
      </c>
      <c r="AL464" s="9">
        <f>IF(P464="completed",((U464-K464)*24*60),0)</f>
        <v>4.0000000025611371</v>
      </c>
      <c r="AM464" s="9" t="str">
        <f t="shared" si="8"/>
        <v>OTP Achieved</v>
      </c>
      <c r="AN464" s="9" t="str">
        <f t="shared" si="9"/>
        <v>OTP Achieved</v>
      </c>
    </row>
    <row r="465" spans="1:40" ht="15">
      <c r="A465" s="14" t="s">
        <v>1391</v>
      </c>
      <c r="B465" s="15">
        <v>46313.604861111111</v>
      </c>
      <c r="C465" s="16">
        <v>1954</v>
      </c>
      <c r="D465" s="17" t="s">
        <v>41</v>
      </c>
      <c r="E465" s="16">
        <v>6</v>
      </c>
      <c r="F465" s="17" t="s">
        <v>41</v>
      </c>
      <c r="G465" s="17" t="s">
        <v>41</v>
      </c>
      <c r="H465" s="17" t="s">
        <v>1499</v>
      </c>
      <c r="I465" s="15">
        <v>46313.604861111111</v>
      </c>
      <c r="J465" s="17" t="s">
        <v>41</v>
      </c>
      <c r="K465" s="15">
        <v>46313.602777777778</v>
      </c>
      <c r="L465" s="16">
        <v>18</v>
      </c>
      <c r="M465" s="17"/>
      <c r="N465" s="17"/>
      <c r="O465" s="15">
        <v>46313.602083333331</v>
      </c>
      <c r="P465" s="17" t="s">
        <v>43</v>
      </c>
      <c r="Q465" s="17" t="s">
        <v>1393</v>
      </c>
      <c r="R465" s="17" t="s">
        <v>1500</v>
      </c>
      <c r="S465" s="16">
        <v>4247</v>
      </c>
      <c r="T465" s="17" t="s">
        <v>41</v>
      </c>
      <c r="U465" s="15">
        <v>46313.609722222223</v>
      </c>
      <c r="V465" s="15">
        <v>46313.609722222223</v>
      </c>
      <c r="W465" s="18" t="s">
        <v>1501</v>
      </c>
      <c r="X465" s="16">
        <v>22411</v>
      </c>
      <c r="Y465" s="19"/>
      <c r="Z465" s="16">
        <v>0</v>
      </c>
      <c r="AA465" s="20">
        <v>0.60486111111111107</v>
      </c>
      <c r="AB465" s="16">
        <v>6</v>
      </c>
      <c r="AC465" s="17" t="s">
        <v>41</v>
      </c>
      <c r="AD465" s="9" t="str">
        <f t="shared" si="5"/>
        <v>Actual</v>
      </c>
      <c r="AE465" s="9" t="str">
        <f t="shared" si="6"/>
        <v>TMK7</v>
      </c>
      <c r="AF465" s="9">
        <f>HOUR(O465)</f>
        <v>14</v>
      </c>
      <c r="AG465" s="9">
        <f>DAY(O465)</f>
        <v>18</v>
      </c>
      <c r="AH465" s="9">
        <f>IFERROR((I465-K465)*24*60,0)</f>
        <v>2.9999999993015081</v>
      </c>
      <c r="AI465" s="9">
        <f t="shared" si="7"/>
        <v>2.9999999993015081</v>
      </c>
      <c r="AJ465" s="9">
        <f>C465</f>
        <v>1954</v>
      </c>
      <c r="AK465" s="9">
        <f>IF(P465="completed",((V465-K465)*24*60),0)</f>
        <v>10.000000001164153</v>
      </c>
      <c r="AL465" s="9">
        <f>IF(P465="completed",((U465-K465)*24*60),0)</f>
        <v>10.000000001164153</v>
      </c>
      <c r="AM465" s="9" t="str">
        <f t="shared" si="8"/>
        <v>OTP Breached</v>
      </c>
      <c r="AN465" s="9" t="str">
        <f t="shared" si="9"/>
        <v>OTP Achieved</v>
      </c>
    </row>
    <row r="466" spans="1:40" ht="15">
      <c r="A466" s="14" t="s">
        <v>62</v>
      </c>
      <c r="B466" s="15">
        <v>46313.602777777778</v>
      </c>
      <c r="C466" s="16">
        <v>1125</v>
      </c>
      <c r="D466" s="17" t="s">
        <v>41</v>
      </c>
      <c r="E466" s="16">
        <v>4</v>
      </c>
      <c r="F466" s="17" t="s">
        <v>41</v>
      </c>
      <c r="G466" s="17" t="s">
        <v>41</v>
      </c>
      <c r="H466" s="17" t="s">
        <v>1502</v>
      </c>
      <c r="I466" s="15">
        <v>46313.602777777778</v>
      </c>
      <c r="J466" s="17" t="s">
        <v>41</v>
      </c>
      <c r="K466" s="15">
        <v>46313.602777777778</v>
      </c>
      <c r="L466" s="16">
        <v>12</v>
      </c>
      <c r="M466" s="17"/>
      <c r="N466" s="17"/>
      <c r="O466" s="15">
        <v>46313.601388888892</v>
      </c>
      <c r="P466" s="17" t="s">
        <v>43</v>
      </c>
      <c r="Q466" s="17" t="s">
        <v>64</v>
      </c>
      <c r="R466" s="17" t="s">
        <v>1503</v>
      </c>
      <c r="S466" s="16">
        <v>4247</v>
      </c>
      <c r="T466" s="17" t="s">
        <v>41</v>
      </c>
      <c r="U466" s="15">
        <v>46313.606249999997</v>
      </c>
      <c r="V466" s="15">
        <v>46313.605555555558</v>
      </c>
      <c r="W466" s="18" t="s">
        <v>1504</v>
      </c>
      <c r="X466" s="16">
        <v>22411</v>
      </c>
      <c r="Y466" s="19"/>
      <c r="Z466" s="16">
        <v>0</v>
      </c>
      <c r="AA466" s="20">
        <v>0.60277777777777775</v>
      </c>
      <c r="AB466" s="16">
        <v>4</v>
      </c>
      <c r="AC466" s="17" t="s">
        <v>41</v>
      </c>
      <c r="AD466" s="9" t="str">
        <f t="shared" si="5"/>
        <v>Actual</v>
      </c>
      <c r="AE466" s="9" t="str">
        <f t="shared" si="6"/>
        <v>TMK7</v>
      </c>
      <c r="AF466" s="9">
        <f>HOUR(O466)</f>
        <v>14</v>
      </c>
      <c r="AG466" s="9">
        <f>DAY(O466)</f>
        <v>18</v>
      </c>
      <c r="AH466" s="9">
        <f>IFERROR((I466-K466)*24*60,0)</f>
        <v>0</v>
      </c>
      <c r="AI466" s="9">
        <f t="shared" si="7"/>
        <v>0</v>
      </c>
      <c r="AJ466" s="9">
        <f>C466</f>
        <v>1125</v>
      </c>
      <c r="AK466" s="9">
        <f>IF(P466="completed",((V466-K466)*24*60),0)</f>
        <v>4.0000000025611371</v>
      </c>
      <c r="AL466" s="9">
        <f>IF(P466="completed",((U466-K466)*24*60),0)</f>
        <v>4.9999999953433871</v>
      </c>
      <c r="AM466" s="9" t="str">
        <f t="shared" si="8"/>
        <v>OTP Achieved</v>
      </c>
      <c r="AN466" s="9" t="str">
        <f t="shared" si="9"/>
        <v>OTP Achieved</v>
      </c>
    </row>
    <row r="467" spans="1:40" ht="15">
      <c r="A467" s="14" t="s">
        <v>1461</v>
      </c>
      <c r="B467" s="15">
        <v>46313.601388888892</v>
      </c>
      <c r="C467" s="16">
        <v>2088</v>
      </c>
      <c r="D467" s="17" t="s">
        <v>41</v>
      </c>
      <c r="E467" s="16">
        <v>6</v>
      </c>
      <c r="F467" s="17" t="s">
        <v>41</v>
      </c>
      <c r="G467" s="17" t="s">
        <v>41</v>
      </c>
      <c r="H467" s="17" t="s">
        <v>1505</v>
      </c>
      <c r="I467" s="15">
        <v>46313.601388888892</v>
      </c>
      <c r="J467" s="17" t="s">
        <v>41</v>
      </c>
      <c r="K467" s="15">
        <v>46313.599999999999</v>
      </c>
      <c r="L467" s="16">
        <v>23</v>
      </c>
      <c r="M467" s="17"/>
      <c r="N467" s="17"/>
      <c r="O467" s="15">
        <v>46313.599305555559</v>
      </c>
      <c r="P467" s="17" t="s">
        <v>43</v>
      </c>
      <c r="Q467" s="17" t="s">
        <v>1463</v>
      </c>
      <c r="R467" s="17" t="s">
        <v>1506</v>
      </c>
      <c r="S467" s="16">
        <v>4247</v>
      </c>
      <c r="T467" s="17" t="s">
        <v>41</v>
      </c>
      <c r="U467" s="15">
        <v>46313.606944444444</v>
      </c>
      <c r="V467" s="15">
        <v>46313.605555555558</v>
      </c>
      <c r="W467" s="18" t="s">
        <v>1507</v>
      </c>
      <c r="X467" s="16">
        <v>22411</v>
      </c>
      <c r="Y467" s="24"/>
      <c r="Z467" s="16">
        <v>0</v>
      </c>
      <c r="AA467" s="20">
        <v>0.60138888888888886</v>
      </c>
      <c r="AB467" s="16">
        <v>6</v>
      </c>
      <c r="AC467" s="17" t="s">
        <v>41</v>
      </c>
      <c r="AD467" s="9" t="str">
        <f t="shared" si="5"/>
        <v>Actual</v>
      </c>
      <c r="AE467" s="9" t="str">
        <f t="shared" si="6"/>
        <v>TMK7</v>
      </c>
      <c r="AF467" s="9">
        <f>HOUR(O467)</f>
        <v>14</v>
      </c>
      <c r="AG467" s="9">
        <f>DAY(O467)</f>
        <v>18</v>
      </c>
      <c r="AH467" s="9">
        <f>IFERROR((I467-K467)*24*60,0)</f>
        <v>2.000000006519258</v>
      </c>
      <c r="AI467" s="9">
        <f t="shared" si="7"/>
        <v>2.000000006519258</v>
      </c>
      <c r="AJ467" s="9">
        <f>C467</f>
        <v>2088</v>
      </c>
      <c r="AK467" s="9">
        <f>IF(P467="completed",((V467-K467)*24*60),0)</f>
        <v>8.0000000051222742</v>
      </c>
      <c r="AL467" s="9">
        <f>IF(P467="completed",((U467-K467)*24*60),0)</f>
        <v>10.000000001164153</v>
      </c>
      <c r="AM467" s="9" t="str">
        <f t="shared" si="8"/>
        <v>OTP Achieved</v>
      </c>
      <c r="AN467" s="9" t="str">
        <f t="shared" si="9"/>
        <v>OTP Achieved</v>
      </c>
    </row>
    <row r="468" spans="1:40" ht="15">
      <c r="A468" s="14" t="s">
        <v>185</v>
      </c>
      <c r="B468" s="15">
        <v>46313.599999999999</v>
      </c>
      <c r="C468" s="16">
        <v>2240</v>
      </c>
      <c r="D468" s="17" t="s">
        <v>41</v>
      </c>
      <c r="E468" s="16">
        <v>7</v>
      </c>
      <c r="F468" s="17" t="s">
        <v>41</v>
      </c>
      <c r="G468" s="17" t="s">
        <v>41</v>
      </c>
      <c r="H468" s="17" t="s">
        <v>1508</v>
      </c>
      <c r="I468" s="15">
        <v>46313.599999999999</v>
      </c>
      <c r="J468" s="17" t="s">
        <v>41</v>
      </c>
      <c r="K468" s="15">
        <v>46313.599305555559</v>
      </c>
      <c r="L468" s="16">
        <v>17</v>
      </c>
      <c r="M468" s="17"/>
      <c r="N468" s="17"/>
      <c r="O468" s="15">
        <v>46313.598611111112</v>
      </c>
      <c r="P468" s="17" t="s">
        <v>43</v>
      </c>
      <c r="Q468" s="17" t="s">
        <v>187</v>
      </c>
      <c r="R468" s="17" t="s">
        <v>1509</v>
      </c>
      <c r="S468" s="16">
        <v>4247</v>
      </c>
      <c r="T468" s="17" t="s">
        <v>41</v>
      </c>
      <c r="U468" s="15">
        <v>46313.606249999997</v>
      </c>
      <c r="V468" s="15">
        <v>46313.604861111111</v>
      </c>
      <c r="W468" s="18" t="s">
        <v>1510</v>
      </c>
      <c r="X468" s="16">
        <v>22411</v>
      </c>
      <c r="Y468" s="19"/>
      <c r="Z468" s="16">
        <v>0</v>
      </c>
      <c r="AA468" s="20">
        <v>0.6</v>
      </c>
      <c r="AB468" s="16">
        <v>7</v>
      </c>
      <c r="AC468" s="17" t="s">
        <v>41</v>
      </c>
      <c r="AD468" s="9" t="str">
        <f t="shared" si="5"/>
        <v>Actual</v>
      </c>
      <c r="AE468" s="9" t="str">
        <f t="shared" si="6"/>
        <v>TMK7</v>
      </c>
      <c r="AF468" s="9">
        <f>HOUR(O468)</f>
        <v>14</v>
      </c>
      <c r="AG468" s="9">
        <f>DAY(O468)</f>
        <v>18</v>
      </c>
      <c r="AH468" s="9">
        <f>IFERROR((I468-K468)*24*60,0)</f>
        <v>0.99999999278225005</v>
      </c>
      <c r="AI468" s="9">
        <f t="shared" si="7"/>
        <v>0.99999999278225005</v>
      </c>
      <c r="AJ468" s="9">
        <f>C468</f>
        <v>2240</v>
      </c>
      <c r="AK468" s="9">
        <f>IF(P468="completed",((V468-K468)*24*60),0)</f>
        <v>7.9999999946448952</v>
      </c>
      <c r="AL468" s="9">
        <f>IF(P468="completed",((U468-K468)*24*60),0)</f>
        <v>9.9999999906867743</v>
      </c>
      <c r="AM468" s="9" t="str">
        <f t="shared" si="8"/>
        <v>OTP Achieved</v>
      </c>
      <c r="AN468" s="9" t="str">
        <f t="shared" si="9"/>
        <v>OTP Achieved</v>
      </c>
    </row>
    <row r="469" spans="1:40" ht="15">
      <c r="A469" s="14" t="s">
        <v>198</v>
      </c>
      <c r="B469" s="15">
        <v>46313.599305555559</v>
      </c>
      <c r="C469" s="16">
        <v>1890</v>
      </c>
      <c r="D469" s="17" t="s">
        <v>41</v>
      </c>
      <c r="E469" s="16">
        <v>11</v>
      </c>
      <c r="F469" s="17" t="s">
        <v>41</v>
      </c>
      <c r="G469" s="17" t="s">
        <v>41</v>
      </c>
      <c r="H469" s="17" t="s">
        <v>1511</v>
      </c>
      <c r="I469" s="15">
        <v>46313.599305555559</v>
      </c>
      <c r="J469" s="17" t="s">
        <v>41</v>
      </c>
      <c r="K469" s="15">
        <v>46313.599305555559</v>
      </c>
      <c r="L469" s="16">
        <v>10</v>
      </c>
      <c r="M469" s="17"/>
      <c r="N469" s="17"/>
      <c r="O469" s="15">
        <v>46313.598611111112</v>
      </c>
      <c r="P469" s="17" t="s">
        <v>43</v>
      </c>
      <c r="Q469" s="17" t="s">
        <v>200</v>
      </c>
      <c r="R469" s="17" t="s">
        <v>1512</v>
      </c>
      <c r="S469" s="16">
        <v>4247</v>
      </c>
      <c r="T469" s="17" t="s">
        <v>41</v>
      </c>
      <c r="U469" s="15">
        <v>46313.604166666664</v>
      </c>
      <c r="V469" s="15">
        <v>46313.606249999997</v>
      </c>
      <c r="W469" s="18" t="s">
        <v>1513</v>
      </c>
      <c r="X469" s="16">
        <v>22411</v>
      </c>
      <c r="Y469" s="17"/>
      <c r="Z469" s="16">
        <v>0</v>
      </c>
      <c r="AA469" s="20">
        <v>0.59930555555555554</v>
      </c>
      <c r="AB469" s="16">
        <v>10</v>
      </c>
      <c r="AC469" s="17" t="s">
        <v>41</v>
      </c>
      <c r="AD469" s="9" t="str">
        <f t="shared" si="5"/>
        <v>Actual</v>
      </c>
      <c r="AE469" s="9" t="str">
        <f t="shared" si="6"/>
        <v>TMK7</v>
      </c>
      <c r="AF469" s="9">
        <f>HOUR(O469)</f>
        <v>14</v>
      </c>
      <c r="AG469" s="9">
        <f>DAY(O469)</f>
        <v>18</v>
      </c>
      <c r="AH469" s="9">
        <f>IFERROR((I469-K469)*24*60,0)</f>
        <v>0</v>
      </c>
      <c r="AI469" s="9">
        <f t="shared" si="7"/>
        <v>0</v>
      </c>
      <c r="AJ469" s="9">
        <f>C469</f>
        <v>1890</v>
      </c>
      <c r="AK469" s="9">
        <f>IF(P469="completed",((V469-K469)*24*60),0)</f>
        <v>9.9999999906867743</v>
      </c>
      <c r="AL469" s="9">
        <f>IF(P469="completed",((U469-K469)*24*60),0)</f>
        <v>6.9999999913852662</v>
      </c>
      <c r="AM469" s="9" t="str">
        <f t="shared" si="8"/>
        <v>OTP Breached</v>
      </c>
      <c r="AN469" s="9" t="str">
        <f t="shared" si="9"/>
        <v>OTP Achieved</v>
      </c>
    </row>
    <row r="470" spans="1:40" ht="15">
      <c r="A470" s="14" t="s">
        <v>1336</v>
      </c>
      <c r="B470" s="15">
        <v>46313.598611111112</v>
      </c>
      <c r="C470" s="16">
        <v>1763</v>
      </c>
      <c r="D470" s="17" t="s">
        <v>41</v>
      </c>
      <c r="E470" s="16">
        <v>9</v>
      </c>
      <c r="F470" s="17" t="s">
        <v>41</v>
      </c>
      <c r="G470" s="17" t="s">
        <v>41</v>
      </c>
      <c r="H470" s="17" t="s">
        <v>1514</v>
      </c>
      <c r="I470" s="15">
        <v>46313.599999999999</v>
      </c>
      <c r="J470" s="17" t="s">
        <v>41</v>
      </c>
      <c r="K470" s="15">
        <v>46313.599305555559</v>
      </c>
      <c r="L470" s="16">
        <v>7</v>
      </c>
      <c r="M470" s="17"/>
      <c r="N470" s="17"/>
      <c r="O470" s="15">
        <v>46313.598611111112</v>
      </c>
      <c r="P470" s="17" t="s">
        <v>43</v>
      </c>
      <c r="Q470" s="17" t="s">
        <v>1338</v>
      </c>
      <c r="R470" s="17" t="s">
        <v>1515</v>
      </c>
      <c r="S470" s="16">
        <v>4247</v>
      </c>
      <c r="T470" s="17" t="s">
        <v>41</v>
      </c>
      <c r="U470" s="15">
        <v>46313.605555555558</v>
      </c>
      <c r="V470" s="15">
        <v>46313.605555555558</v>
      </c>
      <c r="W470" s="18" t="s">
        <v>1516</v>
      </c>
      <c r="X470" s="16">
        <v>22411</v>
      </c>
      <c r="Y470" s="19"/>
      <c r="Z470" s="16">
        <v>0</v>
      </c>
      <c r="AA470" s="20">
        <v>0.59861111111111109</v>
      </c>
      <c r="AB470" s="16">
        <v>9</v>
      </c>
      <c r="AC470" s="17" t="s">
        <v>41</v>
      </c>
      <c r="AD470" s="9" t="str">
        <f t="shared" si="5"/>
        <v>Actual</v>
      </c>
      <c r="AE470" s="9" t="str">
        <f t="shared" si="6"/>
        <v>TMK7</v>
      </c>
      <c r="AF470" s="9">
        <f>HOUR(O470)</f>
        <v>14</v>
      </c>
      <c r="AG470" s="9">
        <f>DAY(O470)</f>
        <v>18</v>
      </c>
      <c r="AH470" s="9">
        <f>IFERROR((I470-K470)*24*60,0)</f>
        <v>0.99999999278225005</v>
      </c>
      <c r="AI470" s="9">
        <f t="shared" si="7"/>
        <v>0.99999999278225005</v>
      </c>
      <c r="AJ470" s="9">
        <f>C470</f>
        <v>1763</v>
      </c>
      <c r="AK470" s="9">
        <f>IF(P470="completed",((V470-K470)*24*60),0)</f>
        <v>8.9999999979045242</v>
      </c>
      <c r="AL470" s="9">
        <f>IF(P470="completed",((U470-K470)*24*60),0)</f>
        <v>8.9999999979045242</v>
      </c>
      <c r="AM470" s="9" t="str">
        <f t="shared" si="8"/>
        <v>OTP Breached</v>
      </c>
      <c r="AN470" s="9" t="str">
        <f t="shared" si="9"/>
        <v>OTP Achieved</v>
      </c>
    </row>
    <row r="471" spans="1:40" ht="15">
      <c r="A471" s="14" t="s">
        <v>734</v>
      </c>
      <c r="B471" s="15">
        <v>46313.597916666666</v>
      </c>
      <c r="C471" s="16">
        <v>1637</v>
      </c>
      <c r="D471" s="17" t="s">
        <v>41</v>
      </c>
      <c r="E471" s="16">
        <v>4</v>
      </c>
      <c r="F471" s="17" t="s">
        <v>41</v>
      </c>
      <c r="G471" s="17" t="s">
        <v>41</v>
      </c>
      <c r="H471" s="17" t="s">
        <v>1517</v>
      </c>
      <c r="I471" s="15">
        <v>46313.598611111112</v>
      </c>
      <c r="J471" s="17" t="s">
        <v>41</v>
      </c>
      <c r="K471" s="15">
        <v>46313.597916666666</v>
      </c>
      <c r="L471" s="16">
        <v>9</v>
      </c>
      <c r="M471" s="17"/>
      <c r="N471" s="17"/>
      <c r="O471" s="15">
        <v>46313.597222222219</v>
      </c>
      <c r="P471" s="17" t="s">
        <v>43</v>
      </c>
      <c r="Q471" s="17" t="s">
        <v>736</v>
      </c>
      <c r="R471" s="17" t="s">
        <v>1518</v>
      </c>
      <c r="S471" s="16">
        <v>4247</v>
      </c>
      <c r="T471" s="17" t="s">
        <v>41</v>
      </c>
      <c r="U471" s="15">
        <v>46313.603472222225</v>
      </c>
      <c r="V471" s="15">
        <v>46313.601388888892</v>
      </c>
      <c r="W471" s="18" t="s">
        <v>1519</v>
      </c>
      <c r="X471" s="16">
        <v>22411</v>
      </c>
      <c r="Y471" s="19"/>
      <c r="Z471" s="16">
        <v>0</v>
      </c>
      <c r="AA471" s="20">
        <v>0.59791666666666665</v>
      </c>
      <c r="AB471" s="16">
        <v>4</v>
      </c>
      <c r="AC471" s="17" t="s">
        <v>41</v>
      </c>
      <c r="AD471" s="9" t="str">
        <f t="shared" si="5"/>
        <v>Actual</v>
      </c>
      <c r="AE471" s="9" t="str">
        <f t="shared" si="6"/>
        <v>TMK7</v>
      </c>
      <c r="AF471" s="9">
        <f>HOUR(O471)</f>
        <v>14</v>
      </c>
      <c r="AG471" s="9">
        <f>DAY(O471)</f>
        <v>18</v>
      </c>
      <c r="AH471" s="9">
        <f>IFERROR((I471-K471)*24*60,0)</f>
        <v>1.000000003259629</v>
      </c>
      <c r="AI471" s="9">
        <f t="shared" si="7"/>
        <v>1.000000003259629</v>
      </c>
      <c r="AJ471" s="9">
        <f>C471</f>
        <v>1637</v>
      </c>
      <c r="AK471" s="9">
        <f>IF(P471="completed",((V471-K471)*24*60),0)</f>
        <v>5.0000000058207661</v>
      </c>
      <c r="AL471" s="9">
        <f>IF(P471="completed",((U471-K471)*24*60),0)</f>
        <v>8.0000000051222742</v>
      </c>
      <c r="AM471" s="9" t="str">
        <f t="shared" si="8"/>
        <v>OTP Achieved</v>
      </c>
      <c r="AN471" s="9" t="str">
        <f t="shared" si="9"/>
        <v>OTP Achieved</v>
      </c>
    </row>
    <row r="472" spans="1:40" ht="15">
      <c r="A472" s="14" t="s">
        <v>379</v>
      </c>
      <c r="B472" s="15">
        <v>46313.597916666666</v>
      </c>
      <c r="C472" s="16">
        <v>1880</v>
      </c>
      <c r="D472" s="17" t="s">
        <v>41</v>
      </c>
      <c r="E472" s="16">
        <v>7</v>
      </c>
      <c r="F472" s="17" t="s">
        <v>41</v>
      </c>
      <c r="G472" s="17" t="s">
        <v>41</v>
      </c>
      <c r="H472" s="17" t="s">
        <v>1520</v>
      </c>
      <c r="I472" s="15">
        <v>46313.597916666666</v>
      </c>
      <c r="J472" s="17" t="s">
        <v>41</v>
      </c>
      <c r="K472" s="15">
        <v>46313.597916666666</v>
      </c>
      <c r="L472" s="16">
        <v>10</v>
      </c>
      <c r="M472" s="17"/>
      <c r="N472" s="17"/>
      <c r="O472" s="15">
        <v>46313.597222222219</v>
      </c>
      <c r="P472" s="17" t="s">
        <v>43</v>
      </c>
      <c r="Q472" s="17" t="s">
        <v>381</v>
      </c>
      <c r="R472" s="17" t="s">
        <v>1521</v>
      </c>
      <c r="S472" s="16">
        <v>4247</v>
      </c>
      <c r="T472" s="17" t="s">
        <v>41</v>
      </c>
      <c r="U472" s="15">
        <v>46313.602083333331</v>
      </c>
      <c r="V472" s="15">
        <v>46313.602777777778</v>
      </c>
      <c r="W472" s="18" t="s">
        <v>1522</v>
      </c>
      <c r="X472" s="16">
        <v>22411</v>
      </c>
      <c r="Y472" s="19"/>
      <c r="Z472" s="16">
        <v>0</v>
      </c>
      <c r="AA472" s="20">
        <v>0.59791666666666665</v>
      </c>
      <c r="AB472" s="16">
        <v>7</v>
      </c>
      <c r="AC472" s="17" t="s">
        <v>41</v>
      </c>
      <c r="AD472" s="9" t="str">
        <f t="shared" si="5"/>
        <v>Actual</v>
      </c>
      <c r="AE472" s="9" t="str">
        <f t="shared" si="6"/>
        <v>TMK7</v>
      </c>
      <c r="AF472" s="9">
        <f>HOUR(O472)</f>
        <v>14</v>
      </c>
      <c r="AG472" s="9">
        <f>DAY(O472)</f>
        <v>18</v>
      </c>
      <c r="AH472" s="9">
        <f>IFERROR((I472-K472)*24*60,0)</f>
        <v>0</v>
      </c>
      <c r="AI472" s="9">
        <f t="shared" si="7"/>
        <v>0</v>
      </c>
      <c r="AJ472" s="9">
        <f>C472</f>
        <v>1880</v>
      </c>
      <c r="AK472" s="9">
        <f>IF(P472="completed",((V472-K472)*24*60),0)</f>
        <v>7.0000000018626451</v>
      </c>
      <c r="AL472" s="9">
        <f>IF(P472="completed",((U472-K472)*24*60),0)</f>
        <v>5.9999999986030161</v>
      </c>
      <c r="AM472" s="9" t="str">
        <f t="shared" si="8"/>
        <v>OTP Breached</v>
      </c>
      <c r="AN472" s="9" t="str">
        <f t="shared" si="9"/>
        <v>OTP Achieved</v>
      </c>
    </row>
    <row r="473" spans="1:40" ht="15">
      <c r="A473" s="14" t="s">
        <v>72</v>
      </c>
      <c r="B473" s="15">
        <v>46313.59652777778</v>
      </c>
      <c r="C473" s="16">
        <v>2333</v>
      </c>
      <c r="D473" s="17" t="s">
        <v>41</v>
      </c>
      <c r="E473" s="16">
        <v>8</v>
      </c>
      <c r="F473" s="17" t="s">
        <v>41</v>
      </c>
      <c r="G473" s="17" t="s">
        <v>41</v>
      </c>
      <c r="H473" s="17" t="s">
        <v>1523</v>
      </c>
      <c r="I473" s="15">
        <v>46313.59652777778</v>
      </c>
      <c r="J473" s="17" t="s">
        <v>41</v>
      </c>
      <c r="K473" s="15">
        <v>46313.59652777778</v>
      </c>
      <c r="L473" s="16">
        <v>7</v>
      </c>
      <c r="M473" s="17"/>
      <c r="N473" s="17"/>
      <c r="O473" s="15">
        <v>46313.59652777778</v>
      </c>
      <c r="P473" s="17" t="s">
        <v>43</v>
      </c>
      <c r="Q473" s="17" t="s">
        <v>74</v>
      </c>
      <c r="R473" s="17" t="s">
        <v>1524</v>
      </c>
      <c r="S473" s="16">
        <v>4247</v>
      </c>
      <c r="T473" s="17" t="s">
        <v>41</v>
      </c>
      <c r="U473" s="15">
        <v>46313.603472222225</v>
      </c>
      <c r="V473" s="15">
        <v>46313.602083333331</v>
      </c>
      <c r="W473" s="18" t="s">
        <v>1525</v>
      </c>
      <c r="X473" s="16">
        <v>22411</v>
      </c>
      <c r="Y473" s="19"/>
      <c r="Z473" s="16">
        <v>0</v>
      </c>
      <c r="AA473" s="20">
        <v>0.59652777777777777</v>
      </c>
      <c r="AB473" s="16">
        <v>8</v>
      </c>
      <c r="AC473" s="17" t="s">
        <v>41</v>
      </c>
      <c r="AD473" s="9" t="str">
        <f t="shared" si="5"/>
        <v>Actual</v>
      </c>
      <c r="AE473" s="9" t="str">
        <f t="shared" si="6"/>
        <v>TMK7</v>
      </c>
      <c r="AF473" s="9">
        <f>HOUR(O473)</f>
        <v>14</v>
      </c>
      <c r="AG473" s="9">
        <f>DAY(O473)</f>
        <v>18</v>
      </c>
      <c r="AH473" s="9">
        <f>IFERROR((I473-K473)*24*60,0)</f>
        <v>0</v>
      </c>
      <c r="AI473" s="9">
        <f t="shared" si="7"/>
        <v>0</v>
      </c>
      <c r="AJ473" s="9">
        <f>C473</f>
        <v>2333</v>
      </c>
      <c r="AK473" s="9">
        <f>IF(P473="completed",((V473-K473)*24*60),0)</f>
        <v>7.9999999946448952</v>
      </c>
      <c r="AL473" s="9">
        <f>IF(P473="completed",((U473-K473)*24*60),0)</f>
        <v>10.000000001164153</v>
      </c>
      <c r="AM473" s="9" t="str">
        <f t="shared" si="8"/>
        <v>OTP Achieved</v>
      </c>
      <c r="AN473" s="9" t="str">
        <f t="shared" si="9"/>
        <v>OTP Achieved</v>
      </c>
    </row>
    <row r="474" spans="1:40" ht="15">
      <c r="A474" s="14" t="s">
        <v>1239</v>
      </c>
      <c r="B474" s="15">
        <v>46313.595833333333</v>
      </c>
      <c r="C474" s="16">
        <v>539</v>
      </c>
      <c r="D474" s="17" t="s">
        <v>41</v>
      </c>
      <c r="E474" s="16">
        <v>3</v>
      </c>
      <c r="F474" s="17" t="s">
        <v>41</v>
      </c>
      <c r="G474" s="17" t="s">
        <v>41</v>
      </c>
      <c r="H474" s="17" t="s">
        <v>1526</v>
      </c>
      <c r="I474" s="15">
        <v>46313.595833333333</v>
      </c>
      <c r="J474" s="17" t="s">
        <v>41</v>
      </c>
      <c r="K474" s="15">
        <v>46313.595833333333</v>
      </c>
      <c r="L474" s="16">
        <v>15</v>
      </c>
      <c r="M474" s="17"/>
      <c r="N474" s="17"/>
      <c r="O474" s="15">
        <v>46313.595138888886</v>
      </c>
      <c r="P474" s="17" t="s">
        <v>43</v>
      </c>
      <c r="Q474" s="17" t="s">
        <v>1241</v>
      </c>
      <c r="R474" s="17" t="s">
        <v>1527</v>
      </c>
      <c r="S474" s="16">
        <v>4247</v>
      </c>
      <c r="T474" s="17" t="s">
        <v>41</v>
      </c>
      <c r="U474" s="15">
        <v>46313.597916666666</v>
      </c>
      <c r="V474" s="15">
        <v>46313.597916666666</v>
      </c>
      <c r="W474" s="18" t="s">
        <v>1528</v>
      </c>
      <c r="X474" s="16">
        <v>22411</v>
      </c>
      <c r="Y474" s="19"/>
      <c r="Z474" s="16">
        <v>0</v>
      </c>
      <c r="AA474" s="20">
        <v>0.59583333333333333</v>
      </c>
      <c r="AB474" s="16">
        <v>3</v>
      </c>
      <c r="AC474" s="17" t="s">
        <v>41</v>
      </c>
      <c r="AD474" s="9" t="str">
        <f t="shared" si="5"/>
        <v>Actual</v>
      </c>
      <c r="AE474" s="9" t="str">
        <f t="shared" si="6"/>
        <v>TMK7</v>
      </c>
      <c r="AF474" s="9">
        <f>HOUR(O474)</f>
        <v>14</v>
      </c>
      <c r="AG474" s="9">
        <f>DAY(O474)</f>
        <v>18</v>
      </c>
      <c r="AH474" s="9">
        <f>IFERROR((I474-K474)*24*60,0)</f>
        <v>0</v>
      </c>
      <c r="AI474" s="9">
        <f t="shared" si="7"/>
        <v>0</v>
      </c>
      <c r="AJ474" s="9">
        <f>C474</f>
        <v>539</v>
      </c>
      <c r="AK474" s="9">
        <f>IF(P474="completed",((V474-K474)*24*60),0)</f>
        <v>2.9999999993015081</v>
      </c>
      <c r="AL474" s="9">
        <f>IF(P474="completed",((U474-K474)*24*60),0)</f>
        <v>2.9999999993015081</v>
      </c>
      <c r="AM474" s="9" t="str">
        <f t="shared" si="8"/>
        <v>OTP Breached</v>
      </c>
      <c r="AN474" s="9" t="str">
        <f t="shared" si="9"/>
        <v>OTP Achieved</v>
      </c>
    </row>
    <row r="475" spans="1:40" ht="15">
      <c r="A475" s="14" t="s">
        <v>711</v>
      </c>
      <c r="B475" s="15">
        <v>46313.594444444447</v>
      </c>
      <c r="C475" s="16">
        <v>2833</v>
      </c>
      <c r="D475" s="17" t="s">
        <v>41</v>
      </c>
      <c r="E475" s="16">
        <v>8</v>
      </c>
      <c r="F475" s="17" t="s">
        <v>41</v>
      </c>
      <c r="G475" s="17" t="s">
        <v>41</v>
      </c>
      <c r="H475" s="17" t="s">
        <v>1529</v>
      </c>
      <c r="I475" s="15">
        <v>46313.595833333333</v>
      </c>
      <c r="J475" s="17" t="s">
        <v>41</v>
      </c>
      <c r="K475" s="15">
        <v>46313.595833333333</v>
      </c>
      <c r="L475" s="16">
        <v>6</v>
      </c>
      <c r="M475" s="17"/>
      <c r="N475" s="17"/>
      <c r="O475" s="15">
        <v>46313.594444444447</v>
      </c>
      <c r="P475" s="17" t="s">
        <v>43</v>
      </c>
      <c r="Q475" s="17" t="s">
        <v>713</v>
      </c>
      <c r="R475" s="17" t="s">
        <v>1530</v>
      </c>
      <c r="S475" s="16">
        <v>4247</v>
      </c>
      <c r="T475" s="17" t="s">
        <v>41</v>
      </c>
      <c r="U475" s="15">
        <v>46313.603472222225</v>
      </c>
      <c r="V475" s="15">
        <v>46313.601388888892</v>
      </c>
      <c r="W475" s="18" t="s">
        <v>1531</v>
      </c>
      <c r="X475" s="16">
        <v>22411</v>
      </c>
      <c r="Y475" s="19"/>
      <c r="Z475" s="16">
        <v>0</v>
      </c>
      <c r="AA475" s="20">
        <v>0.59444444444444444</v>
      </c>
      <c r="AB475" s="16">
        <v>8</v>
      </c>
      <c r="AC475" s="17" t="s">
        <v>41</v>
      </c>
      <c r="AD475" s="9" t="str">
        <f t="shared" si="5"/>
        <v>Actual</v>
      </c>
      <c r="AE475" s="9" t="str">
        <f t="shared" si="6"/>
        <v>TMK7</v>
      </c>
      <c r="AF475" s="9">
        <f>HOUR(O475)</f>
        <v>14</v>
      </c>
      <c r="AG475" s="9">
        <f>DAY(O475)</f>
        <v>18</v>
      </c>
      <c r="AH475" s="9">
        <f>IFERROR((I475-K475)*24*60,0)</f>
        <v>0</v>
      </c>
      <c r="AI475" s="9">
        <f t="shared" si="7"/>
        <v>0</v>
      </c>
      <c r="AJ475" s="9">
        <f>C475</f>
        <v>2833</v>
      </c>
      <c r="AK475" s="9">
        <f>IF(P475="completed",((V475-K475)*24*60),0)</f>
        <v>8.0000000051222742</v>
      </c>
      <c r="AL475" s="9">
        <f>IF(P475="completed",((U475-K475)*24*60),0)</f>
        <v>11.000000004423782</v>
      </c>
      <c r="AM475" s="9" t="str">
        <f t="shared" si="8"/>
        <v>OTP Achieved</v>
      </c>
      <c r="AN475" s="9" t="str">
        <f t="shared" si="9"/>
        <v>OTP Achieved</v>
      </c>
    </row>
    <row r="476" spans="1:40" ht="15">
      <c r="A476" s="14" t="s">
        <v>1171</v>
      </c>
      <c r="B476" s="15">
        <v>46313.59375</v>
      </c>
      <c r="C476" s="16">
        <v>2978</v>
      </c>
      <c r="D476" s="17" t="s">
        <v>41</v>
      </c>
      <c r="E476" s="16">
        <v>7</v>
      </c>
      <c r="F476" s="17" t="s">
        <v>41</v>
      </c>
      <c r="G476" s="17" t="s">
        <v>41</v>
      </c>
      <c r="H476" s="17" t="s">
        <v>1532</v>
      </c>
      <c r="I476" s="15">
        <v>46313.594444444447</v>
      </c>
      <c r="J476" s="17" t="s">
        <v>41</v>
      </c>
      <c r="K476" s="15">
        <v>46313.594444444447</v>
      </c>
      <c r="L476" s="16">
        <v>18</v>
      </c>
      <c r="M476" s="17"/>
      <c r="N476" s="17"/>
      <c r="O476" s="15">
        <v>46313.59375</v>
      </c>
      <c r="P476" s="17" t="s">
        <v>43</v>
      </c>
      <c r="Q476" s="17" t="s">
        <v>1173</v>
      </c>
      <c r="R476" s="17" t="s">
        <v>1533</v>
      </c>
      <c r="S476" s="16">
        <v>4247</v>
      </c>
      <c r="T476" s="17" t="s">
        <v>41</v>
      </c>
      <c r="U476" s="15">
        <v>46313.601388888892</v>
      </c>
      <c r="V476" s="15">
        <v>46313.598611111112</v>
      </c>
      <c r="W476" s="18" t="s">
        <v>1534</v>
      </c>
      <c r="X476" s="16">
        <v>22411</v>
      </c>
      <c r="Y476" s="19"/>
      <c r="Z476" s="16">
        <v>0</v>
      </c>
      <c r="AA476" s="20">
        <v>0.59375</v>
      </c>
      <c r="AB476" s="16">
        <v>7</v>
      </c>
      <c r="AC476" s="17" t="s">
        <v>41</v>
      </c>
      <c r="AD476" s="9" t="str">
        <f t="shared" si="5"/>
        <v>Actual</v>
      </c>
      <c r="AE476" s="9" t="str">
        <f t="shared" si="6"/>
        <v>TMK7</v>
      </c>
      <c r="AF476" s="9">
        <f>HOUR(O476)</f>
        <v>14</v>
      </c>
      <c r="AG476" s="9">
        <f>DAY(O476)</f>
        <v>18</v>
      </c>
      <c r="AH476" s="9">
        <f>IFERROR((I476-K476)*24*60,0)</f>
        <v>0</v>
      </c>
      <c r="AI476" s="9">
        <f t="shared" si="7"/>
        <v>0</v>
      </c>
      <c r="AJ476" s="9">
        <f>C476</f>
        <v>2978</v>
      </c>
      <c r="AK476" s="9">
        <f>IF(P476="completed",((V476-K476)*24*60),0)</f>
        <v>5.9999999986030161</v>
      </c>
      <c r="AL476" s="9">
        <f>IF(P476="completed",((U476-K476)*24*60),0)</f>
        <v>10.000000001164153</v>
      </c>
      <c r="AM476" s="9" t="str">
        <f t="shared" si="8"/>
        <v>OTP Achieved</v>
      </c>
      <c r="AN476" s="9" t="str">
        <f t="shared" si="9"/>
        <v>OTP Achieved</v>
      </c>
    </row>
    <row r="477" spans="1:40" ht="15">
      <c r="A477" s="14" t="s">
        <v>185</v>
      </c>
      <c r="B477" s="15">
        <v>46313.593055555553</v>
      </c>
      <c r="C477" s="16">
        <v>380</v>
      </c>
      <c r="D477" s="17" t="s">
        <v>41</v>
      </c>
      <c r="E477" s="16">
        <v>0</v>
      </c>
      <c r="F477" s="17" t="s">
        <v>41</v>
      </c>
      <c r="G477" s="17" t="s">
        <v>41</v>
      </c>
      <c r="H477" s="17" t="s">
        <v>1535</v>
      </c>
      <c r="I477" s="15">
        <v>46313.59375</v>
      </c>
      <c r="J477" s="17" t="s">
        <v>41</v>
      </c>
      <c r="K477" s="15">
        <v>46313.59375</v>
      </c>
      <c r="L477" s="16">
        <v>8</v>
      </c>
      <c r="M477" s="17"/>
      <c r="N477" s="17"/>
      <c r="O477" s="15">
        <v>46313.593055555553</v>
      </c>
      <c r="P477" s="17" t="s">
        <v>43</v>
      </c>
      <c r="Q477" s="17" t="s">
        <v>187</v>
      </c>
      <c r="R477" s="17" t="s">
        <v>1536</v>
      </c>
      <c r="S477" s="16">
        <v>4247</v>
      </c>
      <c r="T477" s="17" t="s">
        <v>41</v>
      </c>
      <c r="U477" s="15">
        <v>46313.595833333333</v>
      </c>
      <c r="V477" s="15">
        <v>46313.59375</v>
      </c>
      <c r="W477" s="18" t="s">
        <v>1537</v>
      </c>
      <c r="X477" s="16">
        <v>22411</v>
      </c>
      <c r="Y477" s="19"/>
      <c r="Z477" s="16">
        <v>0</v>
      </c>
      <c r="AA477" s="20">
        <v>0.59305555555555556</v>
      </c>
      <c r="AB477" s="16">
        <v>0</v>
      </c>
      <c r="AC477" s="17" t="s">
        <v>41</v>
      </c>
      <c r="AD477" s="9" t="str">
        <f t="shared" si="5"/>
        <v>Actual</v>
      </c>
      <c r="AE477" s="9" t="str">
        <f t="shared" si="6"/>
        <v>TMK7</v>
      </c>
      <c r="AF477" s="9">
        <f>HOUR(O477)</f>
        <v>14</v>
      </c>
      <c r="AG477" s="9">
        <f>DAY(O477)</f>
        <v>18</v>
      </c>
      <c r="AH477" s="9">
        <f>IFERROR((I477-K477)*24*60,0)</f>
        <v>0</v>
      </c>
      <c r="AI477" s="9">
        <f t="shared" si="7"/>
        <v>0</v>
      </c>
      <c r="AJ477" s="9">
        <f>C477</f>
        <v>380</v>
      </c>
      <c r="AK477" s="9">
        <f>IF(P477="completed",((V477-K477)*24*60),0)</f>
        <v>0</v>
      </c>
      <c r="AL477" s="9">
        <f>IF(P477="completed",((U477-K477)*24*60),0)</f>
        <v>2.9999999993015081</v>
      </c>
      <c r="AM477" s="9" t="str">
        <f t="shared" si="8"/>
        <v>OTP Achieved</v>
      </c>
      <c r="AN477" s="9" t="str">
        <f t="shared" si="9"/>
        <v>OTP Achieved</v>
      </c>
    </row>
    <row r="478" spans="1:40" ht="15">
      <c r="A478" s="14" t="s">
        <v>190</v>
      </c>
      <c r="B478" s="15">
        <v>46313.591666666667</v>
      </c>
      <c r="C478" s="16">
        <v>1767</v>
      </c>
      <c r="D478" s="17" t="s">
        <v>41</v>
      </c>
      <c r="E478" s="16">
        <v>6</v>
      </c>
      <c r="F478" s="17" t="s">
        <v>41</v>
      </c>
      <c r="G478" s="17" t="s">
        <v>41</v>
      </c>
      <c r="H478" s="17" t="s">
        <v>1538</v>
      </c>
      <c r="I478" s="15">
        <v>46313.595138888886</v>
      </c>
      <c r="J478" s="17" t="s">
        <v>41</v>
      </c>
      <c r="K478" s="15">
        <v>46313.594444444447</v>
      </c>
      <c r="L478" s="16">
        <v>27</v>
      </c>
      <c r="M478" s="17"/>
      <c r="N478" s="17"/>
      <c r="O478" s="15">
        <v>46313.591666666667</v>
      </c>
      <c r="P478" s="17" t="s">
        <v>43</v>
      </c>
      <c r="Q478" s="17" t="s">
        <v>192</v>
      </c>
      <c r="R478" s="17" t="s">
        <v>1539</v>
      </c>
      <c r="S478" s="16">
        <v>4247</v>
      </c>
      <c r="T478" s="17" t="s">
        <v>41</v>
      </c>
      <c r="U478" s="15">
        <v>46313.600694444445</v>
      </c>
      <c r="V478" s="15">
        <v>46313.598611111112</v>
      </c>
      <c r="W478" s="18" t="s">
        <v>1540</v>
      </c>
      <c r="X478" s="16">
        <v>22411</v>
      </c>
      <c r="Y478" s="19"/>
      <c r="Z478" s="16">
        <v>0</v>
      </c>
      <c r="AA478" s="20">
        <v>0.59166666666666667</v>
      </c>
      <c r="AB478" s="16">
        <v>6</v>
      </c>
      <c r="AC478" s="17" t="s">
        <v>41</v>
      </c>
      <c r="AD478" s="9" t="str">
        <f t="shared" si="5"/>
        <v>Actual</v>
      </c>
      <c r="AE478" s="9" t="str">
        <f t="shared" si="6"/>
        <v>TMK7</v>
      </c>
      <c r="AF478" s="9">
        <f>HOUR(O478)</f>
        <v>14</v>
      </c>
      <c r="AG478" s="9">
        <f>DAY(O478)</f>
        <v>18</v>
      </c>
      <c r="AH478" s="9">
        <f>IFERROR((I478-K478)*24*60,0)</f>
        <v>0.99999999278225005</v>
      </c>
      <c r="AI478" s="9">
        <f t="shared" si="7"/>
        <v>0.99999999278225005</v>
      </c>
      <c r="AJ478" s="9">
        <f>C478</f>
        <v>1767</v>
      </c>
      <c r="AK478" s="9">
        <f>IF(P478="completed",((V478-K478)*24*60),0)</f>
        <v>5.9999999986030161</v>
      </c>
      <c r="AL478" s="9">
        <f>IF(P478="completed",((U478-K478)*24*60),0)</f>
        <v>8.9999999979045242</v>
      </c>
      <c r="AM478" s="9" t="str">
        <f t="shared" si="8"/>
        <v>OTP Achieved</v>
      </c>
      <c r="AN478" s="9" t="str">
        <f t="shared" si="9"/>
        <v>OTP Achieved</v>
      </c>
    </row>
    <row r="479" spans="1:40" ht="15">
      <c r="A479" s="14" t="s">
        <v>62</v>
      </c>
      <c r="B479" s="15">
        <v>46313.591666666667</v>
      </c>
      <c r="C479" s="16">
        <v>1326</v>
      </c>
      <c r="D479" s="17" t="s">
        <v>41</v>
      </c>
      <c r="E479" s="16">
        <v>4</v>
      </c>
      <c r="F479" s="17" t="s">
        <v>41</v>
      </c>
      <c r="G479" s="17" t="s">
        <v>41</v>
      </c>
      <c r="H479" s="17" t="s">
        <v>1541</v>
      </c>
      <c r="I479" s="15">
        <v>46313.591666666667</v>
      </c>
      <c r="J479" s="17" t="s">
        <v>41</v>
      </c>
      <c r="K479" s="15">
        <v>46313.591666666667</v>
      </c>
      <c r="L479" s="16">
        <v>20</v>
      </c>
      <c r="M479" s="17"/>
      <c r="N479" s="17"/>
      <c r="O479" s="15">
        <v>46313.59097222222</v>
      </c>
      <c r="P479" s="17" t="s">
        <v>43</v>
      </c>
      <c r="Q479" s="17" t="s">
        <v>64</v>
      </c>
      <c r="R479" s="17" t="s">
        <v>1542</v>
      </c>
      <c r="S479" s="16">
        <v>4247</v>
      </c>
      <c r="T479" s="17" t="s">
        <v>41</v>
      </c>
      <c r="U479" s="15">
        <v>46313.595138888886</v>
      </c>
      <c r="V479" s="15">
        <v>46313.594444444447</v>
      </c>
      <c r="W479" s="18" t="s">
        <v>1543</v>
      </c>
      <c r="X479" s="16">
        <v>22411</v>
      </c>
      <c r="Y479" s="19"/>
      <c r="Z479" s="16">
        <v>0</v>
      </c>
      <c r="AA479" s="20">
        <v>0.59166666666666667</v>
      </c>
      <c r="AB479" s="16">
        <v>4</v>
      </c>
      <c r="AC479" s="17" t="s">
        <v>41</v>
      </c>
      <c r="AD479" s="9" t="str">
        <f t="shared" si="5"/>
        <v>Actual</v>
      </c>
      <c r="AE479" s="9" t="str">
        <f t="shared" si="6"/>
        <v>TMK7</v>
      </c>
      <c r="AF479" s="9">
        <f>HOUR(O479)</f>
        <v>14</v>
      </c>
      <c r="AG479" s="9">
        <f>DAY(O479)</f>
        <v>18</v>
      </c>
      <c r="AH479" s="9">
        <f>IFERROR((I479-K479)*24*60,0)</f>
        <v>0</v>
      </c>
      <c r="AI479" s="9">
        <f t="shared" si="7"/>
        <v>0</v>
      </c>
      <c r="AJ479" s="9">
        <f>C479</f>
        <v>1326</v>
      </c>
      <c r="AK479" s="9">
        <f>IF(P479="completed",((V479-K479)*24*60),0)</f>
        <v>4.0000000025611371</v>
      </c>
      <c r="AL479" s="9">
        <f>IF(P479="completed",((U479-K479)*24*60),0)</f>
        <v>4.9999999953433871</v>
      </c>
      <c r="AM479" s="9" t="str">
        <f t="shared" si="8"/>
        <v>OTP Achieved</v>
      </c>
      <c r="AN479" s="9" t="str">
        <f t="shared" si="9"/>
        <v>OTP Achieved</v>
      </c>
    </row>
    <row r="480" spans="1:40" ht="15">
      <c r="A480" s="14" t="s">
        <v>67</v>
      </c>
      <c r="B480" s="15">
        <v>46313.59097222222</v>
      </c>
      <c r="C480" s="16">
        <v>2883</v>
      </c>
      <c r="D480" s="17" t="s">
        <v>41</v>
      </c>
      <c r="E480" s="16">
        <v>9</v>
      </c>
      <c r="F480" s="17" t="s">
        <v>41</v>
      </c>
      <c r="G480" s="17" t="s">
        <v>41</v>
      </c>
      <c r="H480" s="17" t="s">
        <v>1544</v>
      </c>
      <c r="I480" s="15">
        <v>46313.591666666667</v>
      </c>
      <c r="J480" s="17" t="s">
        <v>41</v>
      </c>
      <c r="K480" s="15">
        <v>46313.591666666667</v>
      </c>
      <c r="L480" s="16">
        <v>7</v>
      </c>
      <c r="M480" s="17"/>
      <c r="N480" s="17"/>
      <c r="O480" s="15">
        <v>46313.590277777781</v>
      </c>
      <c r="P480" s="17" t="s">
        <v>43</v>
      </c>
      <c r="Q480" s="17" t="s">
        <v>69</v>
      </c>
      <c r="R480" s="17" t="s">
        <v>1545</v>
      </c>
      <c r="S480" s="16">
        <v>4247</v>
      </c>
      <c r="T480" s="17" t="s">
        <v>41</v>
      </c>
      <c r="U480" s="15">
        <v>46313.598611111112</v>
      </c>
      <c r="V480" s="15">
        <v>46313.597916666666</v>
      </c>
      <c r="W480" s="18" t="s">
        <v>1546</v>
      </c>
      <c r="X480" s="16">
        <v>22411</v>
      </c>
      <c r="Y480" s="17"/>
      <c r="Z480" s="16">
        <v>0</v>
      </c>
      <c r="AA480" s="20">
        <v>0.59097222222222223</v>
      </c>
      <c r="AB480" s="16">
        <v>9</v>
      </c>
      <c r="AC480" s="17" t="s">
        <v>41</v>
      </c>
      <c r="AD480" s="9" t="str">
        <f t="shared" si="5"/>
        <v>Actual</v>
      </c>
      <c r="AE480" s="9" t="str">
        <f t="shared" si="6"/>
        <v>TMK7</v>
      </c>
      <c r="AF480" s="9">
        <f>HOUR(O480)</f>
        <v>14</v>
      </c>
      <c r="AG480" s="9">
        <f>DAY(O480)</f>
        <v>18</v>
      </c>
      <c r="AH480" s="9">
        <f>IFERROR((I480-K480)*24*60,0)</f>
        <v>0</v>
      </c>
      <c r="AI480" s="9">
        <f t="shared" si="7"/>
        <v>0</v>
      </c>
      <c r="AJ480" s="9">
        <f>C480</f>
        <v>2883</v>
      </c>
      <c r="AK480" s="9">
        <f>IF(P480="completed",((V480-K480)*24*60),0)</f>
        <v>8.9999999979045242</v>
      </c>
      <c r="AL480" s="9">
        <f>IF(P480="completed",((U480-K480)*24*60),0)</f>
        <v>10.000000001164153</v>
      </c>
      <c r="AM480" s="9" t="str">
        <f t="shared" si="8"/>
        <v>OTP Achieved</v>
      </c>
      <c r="AN480" s="9" t="str">
        <f t="shared" si="9"/>
        <v>OTP Achieved</v>
      </c>
    </row>
    <row r="481" spans="1:40" ht="15">
      <c r="A481" s="14" t="s">
        <v>1136</v>
      </c>
      <c r="B481" s="15">
        <v>46313.590277777781</v>
      </c>
      <c r="C481" s="16">
        <v>1290</v>
      </c>
      <c r="D481" s="17" t="s">
        <v>41</v>
      </c>
      <c r="E481" s="16">
        <v>4</v>
      </c>
      <c r="F481" s="17" t="s">
        <v>41</v>
      </c>
      <c r="G481" s="17" t="s">
        <v>41</v>
      </c>
      <c r="H481" s="17" t="s">
        <v>1547</v>
      </c>
      <c r="I481" s="15">
        <v>46313.59097222222</v>
      </c>
      <c r="J481" s="17" t="s">
        <v>41</v>
      </c>
      <c r="K481" s="15">
        <v>46313.59097222222</v>
      </c>
      <c r="L481" s="16">
        <v>7</v>
      </c>
      <c r="M481" s="17"/>
      <c r="N481" s="17"/>
      <c r="O481" s="15">
        <v>46313.590277777781</v>
      </c>
      <c r="P481" s="17" t="s">
        <v>43</v>
      </c>
      <c r="Q481" s="17" t="s">
        <v>1138</v>
      </c>
      <c r="R481" s="17" t="s">
        <v>1548</v>
      </c>
      <c r="S481" s="16">
        <v>4247</v>
      </c>
      <c r="T481" s="17" t="s">
        <v>41</v>
      </c>
      <c r="U481" s="15">
        <v>46313.594444444447</v>
      </c>
      <c r="V481" s="15">
        <v>46313.593055555553</v>
      </c>
      <c r="W481" s="18" t="s">
        <v>1549</v>
      </c>
      <c r="X481" s="16">
        <v>22411</v>
      </c>
      <c r="Y481" s="19"/>
      <c r="Z481" s="16">
        <v>0</v>
      </c>
      <c r="AA481" s="20">
        <v>0.59027777777777779</v>
      </c>
      <c r="AB481" s="16">
        <v>4</v>
      </c>
      <c r="AC481" s="17" t="s">
        <v>41</v>
      </c>
      <c r="AD481" s="9" t="str">
        <f t="shared" si="5"/>
        <v>Actual</v>
      </c>
      <c r="AE481" s="9" t="str">
        <f t="shared" si="6"/>
        <v>TMK7</v>
      </c>
      <c r="AF481" s="9">
        <f>HOUR(O481)</f>
        <v>14</v>
      </c>
      <c r="AG481" s="9">
        <f>DAY(O481)</f>
        <v>18</v>
      </c>
      <c r="AH481" s="9">
        <f>IFERROR((I481-K481)*24*60,0)</f>
        <v>0</v>
      </c>
      <c r="AI481" s="9">
        <f t="shared" si="7"/>
        <v>0</v>
      </c>
      <c r="AJ481" s="9">
        <f>C481</f>
        <v>1290</v>
      </c>
      <c r="AK481" s="9">
        <f>IF(P481="completed",((V481-K481)*24*60),0)</f>
        <v>2.9999999993015081</v>
      </c>
      <c r="AL481" s="9">
        <f>IF(P481="completed",((U481-K481)*24*60),0)</f>
        <v>5.0000000058207661</v>
      </c>
      <c r="AM481" s="9" t="str">
        <f t="shared" si="8"/>
        <v>OTP Achieved</v>
      </c>
      <c r="AN481" s="9" t="str">
        <f t="shared" si="9"/>
        <v>OTP Achieved</v>
      </c>
    </row>
    <row r="482" spans="1:40" ht="15">
      <c r="A482" s="14" t="s">
        <v>1461</v>
      </c>
      <c r="B482" s="15">
        <v>46313.589583333334</v>
      </c>
      <c r="C482" s="16">
        <v>2219</v>
      </c>
      <c r="D482" s="17" t="s">
        <v>41</v>
      </c>
      <c r="E482" s="16">
        <v>7</v>
      </c>
      <c r="F482" s="17" t="s">
        <v>41</v>
      </c>
      <c r="G482" s="17" t="s">
        <v>41</v>
      </c>
      <c r="H482" s="17" t="s">
        <v>1550</v>
      </c>
      <c r="I482" s="15">
        <v>46313.590277777781</v>
      </c>
      <c r="J482" s="17" t="s">
        <v>41</v>
      </c>
      <c r="K482" s="15">
        <v>46313.590277777781</v>
      </c>
      <c r="L482" s="16">
        <v>8</v>
      </c>
      <c r="M482" s="17"/>
      <c r="N482" s="17"/>
      <c r="O482" s="15">
        <v>46313.589583333334</v>
      </c>
      <c r="P482" s="17" t="s">
        <v>43</v>
      </c>
      <c r="Q482" s="17" t="s">
        <v>1463</v>
      </c>
      <c r="R482" s="17" t="s">
        <v>1551</v>
      </c>
      <c r="S482" s="16">
        <v>4247</v>
      </c>
      <c r="T482" s="17" t="s">
        <v>41</v>
      </c>
      <c r="U482" s="15">
        <v>46313.595833333333</v>
      </c>
      <c r="V482" s="15">
        <v>46313.594444444447</v>
      </c>
      <c r="W482" s="18" t="s">
        <v>1552</v>
      </c>
      <c r="X482" s="16">
        <v>22411</v>
      </c>
      <c r="Y482" s="19"/>
      <c r="Z482" s="16">
        <v>0</v>
      </c>
      <c r="AA482" s="20">
        <v>0.58958333333333335</v>
      </c>
      <c r="AB482" s="16">
        <v>7</v>
      </c>
      <c r="AC482" s="17" t="s">
        <v>41</v>
      </c>
      <c r="AD482" s="9" t="str">
        <f t="shared" si="5"/>
        <v>Actual</v>
      </c>
      <c r="AE482" s="9" t="str">
        <f t="shared" si="6"/>
        <v>TMK7</v>
      </c>
      <c r="AF482" s="9">
        <f>HOUR(O482)</f>
        <v>14</v>
      </c>
      <c r="AG482" s="9">
        <f>DAY(O482)</f>
        <v>18</v>
      </c>
      <c r="AH482" s="9">
        <f>IFERROR((I482-K482)*24*60,0)</f>
        <v>0</v>
      </c>
      <c r="AI482" s="9">
        <f t="shared" si="7"/>
        <v>0</v>
      </c>
      <c r="AJ482" s="9">
        <f>C482</f>
        <v>2219</v>
      </c>
      <c r="AK482" s="9">
        <f>IF(P482="completed",((V482-K482)*24*60),0)</f>
        <v>5.9999999986030161</v>
      </c>
      <c r="AL482" s="9">
        <f>IF(P482="completed",((U482-K482)*24*60),0)</f>
        <v>7.9999999946448952</v>
      </c>
      <c r="AM482" s="9" t="str">
        <f t="shared" si="8"/>
        <v>OTP Achieved</v>
      </c>
      <c r="AN482" s="9" t="str">
        <f t="shared" si="9"/>
        <v>OTP Achieved</v>
      </c>
    </row>
    <row r="483" spans="1:40" ht="15">
      <c r="A483" s="14" t="s">
        <v>1336</v>
      </c>
      <c r="B483" s="15">
        <v>46313.588888888888</v>
      </c>
      <c r="C483" s="16">
        <v>782</v>
      </c>
      <c r="D483" s="17" t="s">
        <v>41</v>
      </c>
      <c r="E483" s="16">
        <v>7</v>
      </c>
      <c r="F483" s="17" t="s">
        <v>41</v>
      </c>
      <c r="G483" s="17" t="s">
        <v>41</v>
      </c>
      <c r="H483" s="17" t="s">
        <v>1553</v>
      </c>
      <c r="I483" s="15">
        <v>46313.589583333334</v>
      </c>
      <c r="J483" s="17" t="s">
        <v>41</v>
      </c>
      <c r="K483" s="15">
        <v>46313.589583333334</v>
      </c>
      <c r="L483" s="16">
        <v>28</v>
      </c>
      <c r="M483" s="17"/>
      <c r="N483" s="17"/>
      <c r="O483" s="15">
        <v>46313.588888888888</v>
      </c>
      <c r="P483" s="17" t="s">
        <v>43</v>
      </c>
      <c r="Q483" s="17" t="s">
        <v>1338</v>
      </c>
      <c r="R483" s="17" t="s">
        <v>1554</v>
      </c>
      <c r="S483" s="16">
        <v>4247</v>
      </c>
      <c r="T483" s="17" t="s">
        <v>41</v>
      </c>
      <c r="U483" s="15">
        <v>46313.592361111114</v>
      </c>
      <c r="V483" s="15">
        <v>46313.594444444447</v>
      </c>
      <c r="W483" s="18" t="s">
        <v>1555</v>
      </c>
      <c r="X483" s="16">
        <v>22411</v>
      </c>
      <c r="Y483" s="19"/>
      <c r="Z483" s="16">
        <v>0</v>
      </c>
      <c r="AA483" s="20">
        <v>0.58888888888888891</v>
      </c>
      <c r="AB483" s="16">
        <v>7</v>
      </c>
      <c r="AC483" s="17" t="s">
        <v>41</v>
      </c>
      <c r="AD483" s="9" t="str">
        <f t="shared" si="5"/>
        <v>Actual</v>
      </c>
      <c r="AE483" s="9" t="str">
        <f t="shared" si="6"/>
        <v>TMK7</v>
      </c>
      <c r="AF483" s="9">
        <f>HOUR(O483)</f>
        <v>14</v>
      </c>
      <c r="AG483" s="9">
        <f>DAY(O483)</f>
        <v>18</v>
      </c>
      <c r="AH483" s="9">
        <f>IFERROR((I483-K483)*24*60,0)</f>
        <v>0</v>
      </c>
      <c r="AI483" s="9">
        <f t="shared" si="7"/>
        <v>0</v>
      </c>
      <c r="AJ483" s="9">
        <f>C483</f>
        <v>782</v>
      </c>
      <c r="AK483" s="9">
        <f>IF(P483="completed",((V483-K483)*24*60),0)</f>
        <v>7.0000000018626451</v>
      </c>
      <c r="AL483" s="9">
        <f>IF(P483="completed",((U483-K483)*24*60),0)</f>
        <v>4.0000000025611371</v>
      </c>
      <c r="AM483" s="9" t="str">
        <f t="shared" si="8"/>
        <v>OTP Breached</v>
      </c>
      <c r="AN483" s="9" t="str">
        <f t="shared" si="9"/>
        <v>OTP Achieved</v>
      </c>
    </row>
    <row r="484" spans="1:40" ht="15">
      <c r="A484" s="14" t="s">
        <v>1391</v>
      </c>
      <c r="B484" s="15">
        <v>46313.588888888888</v>
      </c>
      <c r="C484" s="16">
        <v>2151</v>
      </c>
      <c r="D484" s="17" t="s">
        <v>41</v>
      </c>
      <c r="E484" s="16">
        <v>5</v>
      </c>
      <c r="F484" s="17" t="s">
        <v>41</v>
      </c>
      <c r="G484" s="17" t="s">
        <v>41</v>
      </c>
      <c r="H484" s="17" t="s">
        <v>1556</v>
      </c>
      <c r="I484" s="15">
        <v>46313.589583333334</v>
      </c>
      <c r="J484" s="17" t="s">
        <v>41</v>
      </c>
      <c r="K484" s="15">
        <v>46313.588888888888</v>
      </c>
      <c r="L484" s="16">
        <v>14</v>
      </c>
      <c r="M484" s="17"/>
      <c r="N484" s="17"/>
      <c r="O484" s="15">
        <v>46313.588888888888</v>
      </c>
      <c r="P484" s="17" t="s">
        <v>43</v>
      </c>
      <c r="Q484" s="17" t="s">
        <v>1393</v>
      </c>
      <c r="R484" s="17" t="s">
        <v>1557</v>
      </c>
      <c r="S484" s="16">
        <v>4247</v>
      </c>
      <c r="T484" s="17" t="s">
        <v>41</v>
      </c>
      <c r="U484" s="15">
        <v>46313.595138888886</v>
      </c>
      <c r="V484" s="15">
        <v>46313.592361111114</v>
      </c>
      <c r="W484" s="18" t="s">
        <v>1558</v>
      </c>
      <c r="X484" s="16">
        <v>22411</v>
      </c>
      <c r="Y484" s="19"/>
      <c r="Z484" s="16">
        <v>0</v>
      </c>
      <c r="AA484" s="20">
        <v>0.58888888888888891</v>
      </c>
      <c r="AB484" s="16">
        <v>5</v>
      </c>
      <c r="AC484" s="17" t="s">
        <v>41</v>
      </c>
      <c r="AD484" s="9" t="str">
        <f t="shared" si="5"/>
        <v>Actual</v>
      </c>
      <c r="AE484" s="9" t="str">
        <f t="shared" si="6"/>
        <v>TMK7</v>
      </c>
      <c r="AF484" s="9">
        <f>HOUR(O484)</f>
        <v>14</v>
      </c>
      <c r="AG484" s="9">
        <f>DAY(O484)</f>
        <v>18</v>
      </c>
      <c r="AH484" s="9">
        <f>IFERROR((I484-K484)*24*60,0)</f>
        <v>1.000000003259629</v>
      </c>
      <c r="AI484" s="9">
        <f t="shared" si="7"/>
        <v>1.000000003259629</v>
      </c>
      <c r="AJ484" s="9">
        <f>C484</f>
        <v>2151</v>
      </c>
      <c r="AK484" s="9">
        <f>IF(P484="completed",((V484-K484)*24*60),0)</f>
        <v>5.0000000058207661</v>
      </c>
      <c r="AL484" s="9">
        <f>IF(P484="completed",((U484-K484)*24*60),0)</f>
        <v>8.9999999979045242</v>
      </c>
      <c r="AM484" s="9" t="str">
        <f t="shared" si="8"/>
        <v>OTP Achieved</v>
      </c>
      <c r="AN484" s="9" t="str">
        <f t="shared" si="9"/>
        <v>OTP Achieved</v>
      </c>
    </row>
    <row r="485" spans="1:40" ht="15">
      <c r="A485" s="14" t="s">
        <v>734</v>
      </c>
      <c r="B485" s="15">
        <v>46313.587500000001</v>
      </c>
      <c r="C485" s="16">
        <v>1347</v>
      </c>
      <c r="D485" s="17" t="s">
        <v>41</v>
      </c>
      <c r="E485" s="16">
        <v>4</v>
      </c>
      <c r="F485" s="17" t="s">
        <v>41</v>
      </c>
      <c r="G485" s="17" t="s">
        <v>41</v>
      </c>
      <c r="H485" s="17" t="s">
        <v>1559</v>
      </c>
      <c r="I485" s="15">
        <v>46313.588194444441</v>
      </c>
      <c r="J485" s="17" t="s">
        <v>41</v>
      </c>
      <c r="K485" s="15">
        <v>46313.588194444441</v>
      </c>
      <c r="L485" s="16">
        <v>5</v>
      </c>
      <c r="M485" s="17"/>
      <c r="N485" s="17"/>
      <c r="O485" s="15">
        <v>46313.587500000001</v>
      </c>
      <c r="P485" s="17" t="s">
        <v>43</v>
      </c>
      <c r="Q485" s="17" t="s">
        <v>736</v>
      </c>
      <c r="R485" s="17" t="s">
        <v>1560</v>
      </c>
      <c r="S485" s="16">
        <v>4247</v>
      </c>
      <c r="T485" s="17" t="s">
        <v>41</v>
      </c>
      <c r="U485" s="15">
        <v>46313.591666666667</v>
      </c>
      <c r="V485" s="15">
        <v>46313.59097222222</v>
      </c>
      <c r="W485" s="18" t="s">
        <v>1561</v>
      </c>
      <c r="X485" s="16">
        <v>22411</v>
      </c>
      <c r="Y485" s="19"/>
      <c r="Z485" s="16">
        <v>0</v>
      </c>
      <c r="AA485" s="20">
        <v>0.58750000000000002</v>
      </c>
      <c r="AB485" s="16">
        <v>4</v>
      </c>
      <c r="AC485" s="17" t="s">
        <v>41</v>
      </c>
      <c r="AD485" s="9" t="str">
        <f t="shared" si="5"/>
        <v>Actual</v>
      </c>
      <c r="AE485" s="9" t="str">
        <f t="shared" si="6"/>
        <v>TMK7</v>
      </c>
      <c r="AF485" s="9">
        <f>HOUR(O485)</f>
        <v>14</v>
      </c>
      <c r="AG485" s="9">
        <f>DAY(O485)</f>
        <v>18</v>
      </c>
      <c r="AH485" s="9">
        <f>IFERROR((I485-K485)*24*60,0)</f>
        <v>0</v>
      </c>
      <c r="AI485" s="9">
        <f t="shared" si="7"/>
        <v>0</v>
      </c>
      <c r="AJ485" s="9">
        <f>C485</f>
        <v>1347</v>
      </c>
      <c r="AK485" s="9">
        <f>IF(P485="completed",((V485-K485)*24*60),0)</f>
        <v>4.0000000025611371</v>
      </c>
      <c r="AL485" s="9">
        <f>IF(P485="completed",((U485-K485)*24*60),0)</f>
        <v>5.0000000058207661</v>
      </c>
      <c r="AM485" s="9" t="str">
        <f t="shared" si="8"/>
        <v>OTP Achieved</v>
      </c>
      <c r="AN485" s="9" t="str">
        <f t="shared" si="9"/>
        <v>OTP Achieved</v>
      </c>
    </row>
    <row r="486" spans="1:40" ht="15">
      <c r="A486" s="14" t="s">
        <v>1171</v>
      </c>
      <c r="B486" s="15">
        <v>46313.586805555555</v>
      </c>
      <c r="C486" s="16">
        <v>780</v>
      </c>
      <c r="D486" s="17" t="s">
        <v>41</v>
      </c>
      <c r="E486" s="16">
        <v>3</v>
      </c>
      <c r="F486" s="17" t="s">
        <v>41</v>
      </c>
      <c r="G486" s="17" t="s">
        <v>41</v>
      </c>
      <c r="H486" s="17" t="s">
        <v>1562</v>
      </c>
      <c r="I486" s="15">
        <v>46313.588194444441</v>
      </c>
      <c r="J486" s="17" t="s">
        <v>41</v>
      </c>
      <c r="K486" s="15">
        <v>46313.588194444441</v>
      </c>
      <c r="L486" s="16">
        <v>10</v>
      </c>
      <c r="M486" s="17"/>
      <c r="N486" s="17"/>
      <c r="O486" s="15">
        <v>46313.586805555555</v>
      </c>
      <c r="P486" s="17" t="s">
        <v>43</v>
      </c>
      <c r="Q486" s="17" t="s">
        <v>1173</v>
      </c>
      <c r="R486" s="17" t="s">
        <v>1563</v>
      </c>
      <c r="S486" s="16">
        <v>4247</v>
      </c>
      <c r="T486" s="17" t="s">
        <v>41</v>
      </c>
      <c r="U486" s="15">
        <v>46313.590277777781</v>
      </c>
      <c r="V486" s="15">
        <v>46313.590277777781</v>
      </c>
      <c r="W486" s="18" t="s">
        <v>1564</v>
      </c>
      <c r="X486" s="16">
        <v>22411</v>
      </c>
      <c r="Y486" s="19"/>
      <c r="Z486" s="16">
        <v>0</v>
      </c>
      <c r="AA486" s="20">
        <v>0.58680555555555558</v>
      </c>
      <c r="AB486" s="16">
        <v>3</v>
      </c>
      <c r="AC486" s="17" t="s">
        <v>41</v>
      </c>
      <c r="AD486" s="9" t="str">
        <f t="shared" si="5"/>
        <v>Actual</v>
      </c>
      <c r="AE486" s="9" t="str">
        <f t="shared" si="6"/>
        <v>TMK7</v>
      </c>
      <c r="AF486" s="9">
        <f>HOUR(O486)</f>
        <v>14</v>
      </c>
      <c r="AG486" s="9">
        <f>DAY(O486)</f>
        <v>18</v>
      </c>
      <c r="AH486" s="9">
        <f>IFERROR((I486-K486)*24*60,0)</f>
        <v>0</v>
      </c>
      <c r="AI486" s="9">
        <f t="shared" si="7"/>
        <v>0</v>
      </c>
      <c r="AJ486" s="9">
        <f>C486</f>
        <v>780</v>
      </c>
      <c r="AK486" s="9">
        <f>IF(P486="completed",((V486-K486)*24*60),0)</f>
        <v>3.000000009778887</v>
      </c>
      <c r="AL486" s="9">
        <f>IF(P486="completed",((U486-K486)*24*60),0)</f>
        <v>3.000000009778887</v>
      </c>
      <c r="AM486" s="9" t="str">
        <f t="shared" si="8"/>
        <v>OTP Breached</v>
      </c>
      <c r="AN486" s="9" t="str">
        <f t="shared" si="9"/>
        <v>OTP Achieved</v>
      </c>
    </row>
    <row r="487" spans="1:40" ht="15">
      <c r="A487" s="14" t="s">
        <v>198</v>
      </c>
      <c r="B487" s="15">
        <v>46313.585416666669</v>
      </c>
      <c r="C487" s="16">
        <v>2157</v>
      </c>
      <c r="D487" s="17" t="s">
        <v>41</v>
      </c>
      <c r="E487" s="16">
        <v>7</v>
      </c>
      <c r="F487" s="17" t="s">
        <v>41</v>
      </c>
      <c r="G487" s="17" t="s">
        <v>41</v>
      </c>
      <c r="H487" s="17" t="s">
        <v>1565</v>
      </c>
      <c r="I487" s="15">
        <v>46313.586111111108</v>
      </c>
      <c r="J487" s="17" t="s">
        <v>41</v>
      </c>
      <c r="K487" s="15">
        <v>46313.586111111108</v>
      </c>
      <c r="L487" s="16">
        <v>11</v>
      </c>
      <c r="M487" s="17"/>
      <c r="N487" s="17"/>
      <c r="O487" s="15">
        <v>46313.585416666669</v>
      </c>
      <c r="P487" s="17" t="s">
        <v>43</v>
      </c>
      <c r="Q487" s="17" t="s">
        <v>200</v>
      </c>
      <c r="R487" s="17" t="s">
        <v>1566</v>
      </c>
      <c r="S487" s="16">
        <v>4247</v>
      </c>
      <c r="T487" s="17" t="s">
        <v>41</v>
      </c>
      <c r="U487" s="15">
        <v>46313.592361111114</v>
      </c>
      <c r="V487" s="15">
        <v>46313.59097222222</v>
      </c>
      <c r="W487" s="18" t="s">
        <v>1567</v>
      </c>
      <c r="X487" s="16">
        <v>22411</v>
      </c>
      <c r="Y487" s="19"/>
      <c r="Z487" s="16">
        <v>0</v>
      </c>
      <c r="AA487" s="20">
        <v>0.5854166666666667</v>
      </c>
      <c r="AB487" s="16">
        <v>7</v>
      </c>
      <c r="AC487" s="17" t="s">
        <v>41</v>
      </c>
      <c r="AD487" s="9" t="str">
        <f t="shared" si="5"/>
        <v>Actual</v>
      </c>
      <c r="AE487" s="9" t="str">
        <f t="shared" si="6"/>
        <v>TMK7</v>
      </c>
      <c r="AF487" s="9">
        <f>HOUR(O487)</f>
        <v>14</v>
      </c>
      <c r="AG487" s="9">
        <f>DAY(O487)</f>
        <v>18</v>
      </c>
      <c r="AH487" s="9">
        <f>IFERROR((I487-K487)*24*60,0)</f>
        <v>0</v>
      </c>
      <c r="AI487" s="9">
        <f t="shared" si="7"/>
        <v>0</v>
      </c>
      <c r="AJ487" s="9">
        <f>C487</f>
        <v>2157</v>
      </c>
      <c r="AK487" s="9">
        <f>IF(P487="completed",((V487-K487)*24*60),0)</f>
        <v>7.0000000018626451</v>
      </c>
      <c r="AL487" s="9">
        <f>IF(P487="completed",((U487-K487)*24*60),0)</f>
        <v>9.0000000083819032</v>
      </c>
      <c r="AM487" s="9" t="str">
        <f t="shared" si="8"/>
        <v>OTP Achieved</v>
      </c>
      <c r="AN487" s="9" t="str">
        <f t="shared" si="9"/>
        <v>OTP Achieved</v>
      </c>
    </row>
    <row r="488" spans="1:40" ht="15">
      <c r="A488" s="14" t="s">
        <v>1239</v>
      </c>
      <c r="B488" s="15">
        <v>46313.584027777775</v>
      </c>
      <c r="C488" s="16">
        <v>2124</v>
      </c>
      <c r="D488" s="17" t="s">
        <v>41</v>
      </c>
      <c r="E488" s="16">
        <v>5</v>
      </c>
      <c r="F488" s="17" t="s">
        <v>41</v>
      </c>
      <c r="G488" s="17" t="s">
        <v>41</v>
      </c>
      <c r="H488" s="17" t="s">
        <v>1568</v>
      </c>
      <c r="I488" s="15">
        <v>46313.584722222222</v>
      </c>
      <c r="J488" s="17" t="s">
        <v>41</v>
      </c>
      <c r="K488" s="15">
        <v>46313.584027777775</v>
      </c>
      <c r="L488" s="16">
        <v>29</v>
      </c>
      <c r="M488" s="17"/>
      <c r="N488" s="17"/>
      <c r="O488" s="15">
        <v>46313.584027777775</v>
      </c>
      <c r="P488" s="17" t="s">
        <v>43</v>
      </c>
      <c r="Q488" s="17" t="s">
        <v>1241</v>
      </c>
      <c r="R488" s="17" t="s">
        <v>1569</v>
      </c>
      <c r="S488" s="16">
        <v>4247</v>
      </c>
      <c r="T488" s="17" t="s">
        <v>41</v>
      </c>
      <c r="U488" s="15">
        <v>46313.59097222222</v>
      </c>
      <c r="V488" s="15">
        <v>46313.587500000001</v>
      </c>
      <c r="W488" s="18" t="s">
        <v>1570</v>
      </c>
      <c r="X488" s="16">
        <v>22411</v>
      </c>
      <c r="Y488" s="19"/>
      <c r="Z488" s="16">
        <v>0</v>
      </c>
      <c r="AA488" s="20">
        <v>0.58402777777777781</v>
      </c>
      <c r="AB488" s="16">
        <v>4</v>
      </c>
      <c r="AC488" s="17" t="s">
        <v>41</v>
      </c>
      <c r="AD488" s="9" t="str">
        <f t="shared" si="5"/>
        <v>Actual</v>
      </c>
      <c r="AE488" s="9" t="str">
        <f t="shared" si="6"/>
        <v>TMK7</v>
      </c>
      <c r="AF488" s="9">
        <f>HOUR(O488)</f>
        <v>14</v>
      </c>
      <c r="AG488" s="9">
        <f>DAY(O488)</f>
        <v>18</v>
      </c>
      <c r="AH488" s="9">
        <f>IFERROR((I488-K488)*24*60,0)</f>
        <v>1.000000003259629</v>
      </c>
      <c r="AI488" s="9">
        <f t="shared" si="7"/>
        <v>1.000000003259629</v>
      </c>
      <c r="AJ488" s="9">
        <f>C488</f>
        <v>2124</v>
      </c>
      <c r="AK488" s="9">
        <f>IF(P488="completed",((V488-K488)*24*60),0)</f>
        <v>5.0000000058207661</v>
      </c>
      <c r="AL488" s="9">
        <f>IF(P488="completed",((U488-K488)*24*60),0)</f>
        <v>10.000000001164153</v>
      </c>
      <c r="AM488" s="9" t="str">
        <f t="shared" si="8"/>
        <v>OTP Achieved</v>
      </c>
      <c r="AN488" s="9" t="str">
        <f t="shared" si="9"/>
        <v>OTP Achieved</v>
      </c>
    </row>
    <row r="489" spans="1:40" ht="15">
      <c r="A489" s="14" t="s">
        <v>77</v>
      </c>
      <c r="B489" s="15">
        <v>46313.584027777775</v>
      </c>
      <c r="C489" s="16">
        <v>2883</v>
      </c>
      <c r="D489" s="17" t="s">
        <v>41</v>
      </c>
      <c r="E489" s="16">
        <v>8</v>
      </c>
      <c r="F489" s="17" t="s">
        <v>41</v>
      </c>
      <c r="G489" s="17" t="s">
        <v>41</v>
      </c>
      <c r="H489" s="17" t="s">
        <v>1571</v>
      </c>
      <c r="I489" s="15">
        <v>46313.586111111108</v>
      </c>
      <c r="J489" s="17" t="s">
        <v>41</v>
      </c>
      <c r="K489" s="15">
        <v>46313.586111111108</v>
      </c>
      <c r="L489" s="16">
        <v>18</v>
      </c>
      <c r="M489" s="17"/>
      <c r="N489" s="17"/>
      <c r="O489" s="15">
        <v>46313.583333333336</v>
      </c>
      <c r="P489" s="17" t="s">
        <v>43</v>
      </c>
      <c r="Q489" s="17" t="s">
        <v>79</v>
      </c>
      <c r="R489" s="17" t="s">
        <v>1572</v>
      </c>
      <c r="S489" s="16">
        <v>4247</v>
      </c>
      <c r="T489" s="17" t="s">
        <v>41</v>
      </c>
      <c r="U489" s="15">
        <v>46313.593055555553</v>
      </c>
      <c r="V489" s="15">
        <v>46313.591666666667</v>
      </c>
      <c r="W489" s="18" t="s">
        <v>1573</v>
      </c>
      <c r="X489" s="16">
        <v>22411</v>
      </c>
      <c r="Y489" s="19"/>
      <c r="Z489" s="16">
        <v>0</v>
      </c>
      <c r="AA489" s="20">
        <v>0.58402777777777781</v>
      </c>
      <c r="AB489" s="16">
        <v>8</v>
      </c>
      <c r="AC489" s="17" t="s">
        <v>41</v>
      </c>
      <c r="AD489" s="9" t="str">
        <f t="shared" si="5"/>
        <v>Actual</v>
      </c>
      <c r="AE489" s="9" t="str">
        <f t="shared" si="6"/>
        <v>TMK7</v>
      </c>
      <c r="AF489" s="9">
        <f>HOUR(O489)</f>
        <v>14</v>
      </c>
      <c r="AG489" s="9">
        <f>DAY(O489)</f>
        <v>18</v>
      </c>
      <c r="AH489" s="9">
        <f>IFERROR((I489-K489)*24*60,0)</f>
        <v>0</v>
      </c>
      <c r="AI489" s="9">
        <f t="shared" si="7"/>
        <v>0</v>
      </c>
      <c r="AJ489" s="9">
        <f>C489</f>
        <v>2883</v>
      </c>
      <c r="AK489" s="9">
        <f>IF(P489="completed",((V489-K489)*24*60),0)</f>
        <v>8.0000000051222742</v>
      </c>
      <c r="AL489" s="9">
        <f>IF(P489="completed",((U489-K489)*24*60),0)</f>
        <v>10.000000001164153</v>
      </c>
      <c r="AM489" s="9" t="str">
        <f t="shared" si="8"/>
        <v>OTP Achieved</v>
      </c>
      <c r="AN489" s="9" t="str">
        <f t="shared" si="9"/>
        <v>OTP Achieved</v>
      </c>
    </row>
    <row r="490" spans="1:40" ht="15">
      <c r="A490" s="14" t="s">
        <v>72</v>
      </c>
      <c r="B490" s="15">
        <v>46313.584027777775</v>
      </c>
      <c r="C490" s="16">
        <v>1960</v>
      </c>
      <c r="D490" s="17" t="s">
        <v>41</v>
      </c>
      <c r="E490" s="16">
        <v>5</v>
      </c>
      <c r="F490" s="17" t="s">
        <v>41</v>
      </c>
      <c r="G490" s="17" t="s">
        <v>41</v>
      </c>
      <c r="H490" s="17" t="s">
        <v>1574</v>
      </c>
      <c r="I490" s="15">
        <v>46313.584027777775</v>
      </c>
      <c r="J490" s="17" t="s">
        <v>41</v>
      </c>
      <c r="K490" s="15">
        <v>46313.584027777775</v>
      </c>
      <c r="L490" s="16">
        <v>25</v>
      </c>
      <c r="M490" s="17"/>
      <c r="N490" s="17"/>
      <c r="O490" s="15">
        <v>46313.583333333336</v>
      </c>
      <c r="P490" s="17" t="s">
        <v>43</v>
      </c>
      <c r="Q490" s="17" t="s">
        <v>74</v>
      </c>
      <c r="R490" s="17" t="s">
        <v>1575</v>
      </c>
      <c r="S490" s="16">
        <v>4247</v>
      </c>
      <c r="T490" s="17" t="s">
        <v>41</v>
      </c>
      <c r="U490" s="15">
        <v>46313.588888888888</v>
      </c>
      <c r="V490" s="15">
        <v>46313.587500000001</v>
      </c>
      <c r="W490" s="18" t="s">
        <v>1576</v>
      </c>
      <c r="X490" s="16">
        <v>22411</v>
      </c>
      <c r="Y490" s="17"/>
      <c r="Z490" s="16">
        <v>0</v>
      </c>
      <c r="AA490" s="20">
        <v>0.58402777777777781</v>
      </c>
      <c r="AB490" s="16">
        <v>5</v>
      </c>
      <c r="AC490" s="17" t="s">
        <v>41</v>
      </c>
      <c r="AD490" s="9" t="str">
        <f t="shared" si="5"/>
        <v>Actual</v>
      </c>
      <c r="AE490" s="9" t="str">
        <f t="shared" si="6"/>
        <v>TMK7</v>
      </c>
      <c r="AF490" s="9">
        <f>HOUR(O490)</f>
        <v>14</v>
      </c>
      <c r="AG490" s="9">
        <f>DAY(O490)</f>
        <v>18</v>
      </c>
      <c r="AH490" s="9">
        <f>IFERROR((I490-K490)*24*60,0)</f>
        <v>0</v>
      </c>
      <c r="AI490" s="9">
        <f t="shared" si="7"/>
        <v>0</v>
      </c>
      <c r="AJ490" s="9">
        <f>C490</f>
        <v>1960</v>
      </c>
      <c r="AK490" s="9">
        <f>IF(P490="completed",((V490-K490)*24*60),0)</f>
        <v>5.0000000058207661</v>
      </c>
      <c r="AL490" s="9">
        <f>IF(P490="completed",((U490-K490)*24*60),0)</f>
        <v>7.0000000018626451</v>
      </c>
      <c r="AM490" s="9" t="str">
        <f t="shared" si="8"/>
        <v>OTP Achieved</v>
      </c>
      <c r="AN490" s="9" t="str">
        <f t="shared" si="9"/>
        <v>OTP Achieved</v>
      </c>
    </row>
    <row r="491" spans="1:40" ht="15">
      <c r="A491" s="14" t="s">
        <v>1461</v>
      </c>
      <c r="B491" s="15">
        <v>46313.582638888889</v>
      </c>
      <c r="C491" s="16">
        <v>743</v>
      </c>
      <c r="D491" s="17" t="s">
        <v>41</v>
      </c>
      <c r="E491" s="16">
        <v>3</v>
      </c>
      <c r="F491" s="17" t="s">
        <v>41</v>
      </c>
      <c r="G491" s="17" t="s">
        <v>41</v>
      </c>
      <c r="H491" s="17" t="s">
        <v>1577</v>
      </c>
      <c r="I491" s="15">
        <v>46313.584027777775</v>
      </c>
      <c r="J491" s="17" t="s">
        <v>41</v>
      </c>
      <c r="K491" s="15">
        <v>46313.584027777775</v>
      </c>
      <c r="L491" s="16">
        <v>27</v>
      </c>
      <c r="M491" s="17"/>
      <c r="N491" s="17"/>
      <c r="O491" s="15">
        <v>46313.582638888889</v>
      </c>
      <c r="P491" s="17" t="s">
        <v>43</v>
      </c>
      <c r="Q491" s="17" t="s">
        <v>1463</v>
      </c>
      <c r="R491" s="17" t="s">
        <v>1578</v>
      </c>
      <c r="S491" s="16">
        <v>4247</v>
      </c>
      <c r="T491" s="17" t="s">
        <v>41</v>
      </c>
      <c r="U491" s="15">
        <v>46313.586805555555</v>
      </c>
      <c r="V491" s="15">
        <v>46313.585416666669</v>
      </c>
      <c r="W491" s="18" t="s">
        <v>1579</v>
      </c>
      <c r="X491" s="16">
        <v>22411</v>
      </c>
      <c r="Y491" s="19"/>
      <c r="Z491" s="16">
        <v>0</v>
      </c>
      <c r="AA491" s="20">
        <v>0.58263888888888893</v>
      </c>
      <c r="AB491" s="16">
        <v>2</v>
      </c>
      <c r="AC491" s="17" t="s">
        <v>41</v>
      </c>
      <c r="AD491" s="9" t="str">
        <f t="shared" si="5"/>
        <v>Actual</v>
      </c>
      <c r="AE491" s="9" t="str">
        <f t="shared" si="6"/>
        <v>TMK7</v>
      </c>
      <c r="AF491" s="9">
        <f>HOUR(O491)</f>
        <v>13</v>
      </c>
      <c r="AG491" s="9">
        <f>DAY(O491)</f>
        <v>18</v>
      </c>
      <c r="AH491" s="9">
        <f>IFERROR((I491-K491)*24*60,0)</f>
        <v>0</v>
      </c>
      <c r="AI491" s="9">
        <f t="shared" si="7"/>
        <v>0</v>
      </c>
      <c r="AJ491" s="9">
        <f>C491</f>
        <v>743</v>
      </c>
      <c r="AK491" s="9">
        <f>IF(P491="completed",((V491-K491)*24*60),0)</f>
        <v>2.000000006519258</v>
      </c>
      <c r="AL491" s="9">
        <f>IF(P491="completed",((U491-K491)*24*60),0)</f>
        <v>4.0000000025611371</v>
      </c>
      <c r="AM491" s="9" t="str">
        <f t="shared" si="8"/>
        <v>OTP Achieved</v>
      </c>
      <c r="AN491" s="9" t="str">
        <f t="shared" si="9"/>
        <v>OTP Achieved</v>
      </c>
    </row>
    <row r="492" spans="1:40" ht="15">
      <c r="A492" s="14" t="s">
        <v>190</v>
      </c>
      <c r="B492" s="15">
        <v>46313.582638888889</v>
      </c>
      <c r="C492" s="16">
        <v>1300</v>
      </c>
      <c r="D492" s="17" t="s">
        <v>41</v>
      </c>
      <c r="E492" s="16">
        <v>4</v>
      </c>
      <c r="F492" s="17" t="s">
        <v>41</v>
      </c>
      <c r="G492" s="17" t="s">
        <v>41</v>
      </c>
      <c r="H492" s="17" t="s">
        <v>1580</v>
      </c>
      <c r="I492" s="15">
        <v>46313.583333333336</v>
      </c>
      <c r="J492" s="17" t="s">
        <v>41</v>
      </c>
      <c r="K492" s="15">
        <v>46313.583333333336</v>
      </c>
      <c r="L492" s="16">
        <v>31</v>
      </c>
      <c r="M492" s="17"/>
      <c r="N492" s="17"/>
      <c r="O492" s="15">
        <v>46313.582638888889</v>
      </c>
      <c r="P492" s="17" t="s">
        <v>43</v>
      </c>
      <c r="Q492" s="17" t="s">
        <v>192</v>
      </c>
      <c r="R492" s="17" t="s">
        <v>1581</v>
      </c>
      <c r="S492" s="16">
        <v>4247</v>
      </c>
      <c r="T492" s="17" t="s">
        <v>41</v>
      </c>
      <c r="U492" s="15">
        <v>46313.587500000001</v>
      </c>
      <c r="V492" s="15">
        <v>46313.585416666669</v>
      </c>
      <c r="W492" s="18" t="s">
        <v>1582</v>
      </c>
      <c r="X492" s="16">
        <v>22411</v>
      </c>
      <c r="Y492" s="19"/>
      <c r="Z492" s="16">
        <v>0</v>
      </c>
      <c r="AA492" s="20">
        <v>0.58263888888888893</v>
      </c>
      <c r="AB492" s="16">
        <v>3</v>
      </c>
      <c r="AC492" s="17" t="s">
        <v>41</v>
      </c>
      <c r="AD492" s="9" t="str">
        <f t="shared" si="5"/>
        <v>Actual</v>
      </c>
      <c r="AE492" s="9" t="str">
        <f t="shared" si="6"/>
        <v>TMK7</v>
      </c>
      <c r="AF492" s="9">
        <f>HOUR(O492)</f>
        <v>13</v>
      </c>
      <c r="AG492" s="9">
        <f>DAY(O492)</f>
        <v>18</v>
      </c>
      <c r="AH492" s="9">
        <f>IFERROR((I492-K492)*24*60,0)</f>
        <v>0</v>
      </c>
      <c r="AI492" s="9">
        <f t="shared" si="7"/>
        <v>0</v>
      </c>
      <c r="AJ492" s="9">
        <f>C492</f>
        <v>1300</v>
      </c>
      <c r="AK492" s="9">
        <f>IF(P492="completed",((V492-K492)*24*60),0)</f>
        <v>2.9999999993015081</v>
      </c>
      <c r="AL492" s="9">
        <f>IF(P492="completed",((U492-K492)*24*60),0)</f>
        <v>5.9999999986030161</v>
      </c>
      <c r="AM492" s="9" t="str">
        <f t="shared" si="8"/>
        <v>OTP Achieved</v>
      </c>
      <c r="AN492" s="9" t="str">
        <f t="shared" si="9"/>
        <v>OTP Achieved</v>
      </c>
    </row>
    <row r="493" spans="1:40" ht="15">
      <c r="A493" s="14" t="s">
        <v>1136</v>
      </c>
      <c r="B493" s="15">
        <v>46313.581944444442</v>
      </c>
      <c r="C493" s="16">
        <v>390</v>
      </c>
      <c r="D493" s="17" t="s">
        <v>41</v>
      </c>
      <c r="E493" s="16">
        <v>2</v>
      </c>
      <c r="F493" s="17" t="s">
        <v>41</v>
      </c>
      <c r="G493" s="17" t="s">
        <v>41</v>
      </c>
      <c r="H493" s="17" t="s">
        <v>1583</v>
      </c>
      <c r="I493" s="15">
        <v>46313.582638888889</v>
      </c>
      <c r="J493" s="17" t="s">
        <v>41</v>
      </c>
      <c r="K493" s="15">
        <v>46313.582638888889</v>
      </c>
      <c r="L493" s="16">
        <v>8</v>
      </c>
      <c r="M493" s="17"/>
      <c r="N493" s="17"/>
      <c r="O493" s="15">
        <v>46313.581944444442</v>
      </c>
      <c r="P493" s="17" t="s">
        <v>43</v>
      </c>
      <c r="Q493" s="17" t="s">
        <v>1138</v>
      </c>
      <c r="R493" s="17" t="s">
        <v>1584</v>
      </c>
      <c r="S493" s="16">
        <v>4247</v>
      </c>
      <c r="T493" s="17" t="s">
        <v>41</v>
      </c>
      <c r="U493" s="15">
        <v>46313.584722222222</v>
      </c>
      <c r="V493" s="15">
        <v>46313.584027777775</v>
      </c>
      <c r="W493" s="18" t="s">
        <v>1585</v>
      </c>
      <c r="X493" s="16">
        <v>22411</v>
      </c>
      <c r="Y493" s="19"/>
      <c r="Z493" s="16">
        <v>0</v>
      </c>
      <c r="AA493" s="20">
        <v>0.58194444444444449</v>
      </c>
      <c r="AB493" s="16">
        <v>2</v>
      </c>
      <c r="AC493" s="17" t="s">
        <v>41</v>
      </c>
      <c r="AD493" s="9" t="str">
        <f t="shared" si="5"/>
        <v>Actual</v>
      </c>
      <c r="AE493" s="9" t="str">
        <f t="shared" si="6"/>
        <v>TMK7</v>
      </c>
      <c r="AF493" s="9">
        <f>HOUR(O493)</f>
        <v>13</v>
      </c>
      <c r="AG493" s="9">
        <f>DAY(O493)</f>
        <v>18</v>
      </c>
      <c r="AH493" s="9">
        <f>IFERROR((I493-K493)*24*60,0)</f>
        <v>0</v>
      </c>
      <c r="AI493" s="9">
        <f t="shared" si="7"/>
        <v>0</v>
      </c>
      <c r="AJ493" s="9">
        <f>C493</f>
        <v>390</v>
      </c>
      <c r="AK493" s="9">
        <f>IF(P493="completed",((V493-K493)*24*60),0)</f>
        <v>1.9999999960418791</v>
      </c>
      <c r="AL493" s="9">
        <f>IF(P493="completed",((U493-K493)*24*60),0)</f>
        <v>2.9999999993015081</v>
      </c>
      <c r="AM493" s="9" t="str">
        <f t="shared" si="8"/>
        <v>OTP Achieved</v>
      </c>
      <c r="AN493" s="9" t="str">
        <f t="shared" si="9"/>
        <v>OTP Achieved</v>
      </c>
    </row>
    <row r="494" spans="1:40" ht="15">
      <c r="A494" s="14" t="s">
        <v>52</v>
      </c>
      <c r="B494" s="15">
        <v>46313.580555555556</v>
      </c>
      <c r="C494" s="16">
        <v>2498</v>
      </c>
      <c r="D494" s="17" t="s">
        <v>41</v>
      </c>
      <c r="E494" s="16">
        <v>7</v>
      </c>
      <c r="F494" s="17" t="s">
        <v>41</v>
      </c>
      <c r="G494" s="17" t="s">
        <v>41</v>
      </c>
      <c r="H494" s="17" t="s">
        <v>1586</v>
      </c>
      <c r="I494" s="15">
        <v>46313.581250000003</v>
      </c>
      <c r="J494" s="17" t="s">
        <v>41</v>
      </c>
      <c r="K494" s="15">
        <v>46313.581250000003</v>
      </c>
      <c r="L494" s="16">
        <v>12</v>
      </c>
      <c r="M494" s="17"/>
      <c r="N494" s="17"/>
      <c r="O494" s="15">
        <v>46313.580555555556</v>
      </c>
      <c r="P494" s="17" t="s">
        <v>43</v>
      </c>
      <c r="Q494" s="17" t="s">
        <v>54</v>
      </c>
      <c r="R494" s="17" t="s">
        <v>1587</v>
      </c>
      <c r="S494" s="16">
        <v>4247</v>
      </c>
      <c r="T494" s="17" t="s">
        <v>41</v>
      </c>
      <c r="U494" s="15">
        <v>46313.587500000001</v>
      </c>
      <c r="V494" s="15">
        <v>46313.586111111108</v>
      </c>
      <c r="W494" s="18" t="s">
        <v>1588</v>
      </c>
      <c r="X494" s="16">
        <v>22411</v>
      </c>
      <c r="Y494" s="19"/>
      <c r="Z494" s="16">
        <v>0</v>
      </c>
      <c r="AA494" s="20">
        <v>0.5805555555555556</v>
      </c>
      <c r="AB494" s="16">
        <v>7</v>
      </c>
      <c r="AC494" s="17" t="s">
        <v>41</v>
      </c>
      <c r="AD494" s="9" t="str">
        <f t="shared" si="5"/>
        <v>Actual</v>
      </c>
      <c r="AE494" s="9" t="str">
        <f t="shared" si="6"/>
        <v>TMK7</v>
      </c>
      <c r="AF494" s="9">
        <f>HOUR(O494)</f>
        <v>13</v>
      </c>
      <c r="AG494" s="9">
        <f>DAY(O494)</f>
        <v>18</v>
      </c>
      <c r="AH494" s="9">
        <f>IFERROR((I494-K494)*24*60,0)</f>
        <v>0</v>
      </c>
      <c r="AI494" s="9">
        <f t="shared" si="7"/>
        <v>0</v>
      </c>
      <c r="AJ494" s="9">
        <f>C494</f>
        <v>2498</v>
      </c>
      <c r="AK494" s="9">
        <f>IF(P494="completed",((V494-K494)*24*60),0)</f>
        <v>6.9999999913852662</v>
      </c>
      <c r="AL494" s="9">
        <f>IF(P494="completed",((U494-K494)*24*60),0)</f>
        <v>8.9999999979045242</v>
      </c>
      <c r="AM494" s="9" t="str">
        <f t="shared" si="8"/>
        <v>OTP Achieved</v>
      </c>
      <c r="AN494" s="9" t="str">
        <f t="shared" si="9"/>
        <v>OTP Achieved</v>
      </c>
    </row>
    <row r="495" spans="1:40" ht="15">
      <c r="A495" s="14" t="s">
        <v>379</v>
      </c>
      <c r="B495" s="15">
        <v>46313.579861111109</v>
      </c>
      <c r="C495" s="16">
        <v>1897</v>
      </c>
      <c r="D495" s="17" t="s">
        <v>41</v>
      </c>
      <c r="E495" s="16">
        <v>7</v>
      </c>
      <c r="F495" s="17" t="s">
        <v>41</v>
      </c>
      <c r="G495" s="17" t="s">
        <v>41</v>
      </c>
      <c r="H495" s="17" t="s">
        <v>1589</v>
      </c>
      <c r="I495" s="15">
        <v>46313.581250000003</v>
      </c>
      <c r="J495" s="17" t="s">
        <v>41</v>
      </c>
      <c r="K495" s="15">
        <v>46313.580555555556</v>
      </c>
      <c r="L495" s="16">
        <v>23</v>
      </c>
      <c r="M495" s="17"/>
      <c r="N495" s="17"/>
      <c r="O495" s="15">
        <v>46313.579861111109</v>
      </c>
      <c r="P495" s="17" t="s">
        <v>43</v>
      </c>
      <c r="Q495" s="17" t="s">
        <v>381</v>
      </c>
      <c r="R495" s="17" t="s">
        <v>1590</v>
      </c>
      <c r="S495" s="16">
        <v>4247</v>
      </c>
      <c r="T495" s="17" t="s">
        <v>41</v>
      </c>
      <c r="U495" s="15">
        <v>46313.585416666669</v>
      </c>
      <c r="V495" s="15">
        <v>46313.585416666669</v>
      </c>
      <c r="W495" s="18" t="s">
        <v>1591</v>
      </c>
      <c r="X495" s="16">
        <v>22411</v>
      </c>
      <c r="Y495" s="19"/>
      <c r="Z495" s="16">
        <v>0</v>
      </c>
      <c r="AA495" s="20">
        <v>0.57986111111111116</v>
      </c>
      <c r="AB495" s="16">
        <v>6</v>
      </c>
      <c r="AC495" s="17" t="s">
        <v>41</v>
      </c>
      <c r="AD495" s="9" t="str">
        <f t="shared" si="5"/>
        <v>Actual</v>
      </c>
      <c r="AE495" s="9" t="str">
        <f t="shared" si="6"/>
        <v>TMK7</v>
      </c>
      <c r="AF495" s="9">
        <f>HOUR(O495)</f>
        <v>13</v>
      </c>
      <c r="AG495" s="9">
        <f>DAY(O495)</f>
        <v>18</v>
      </c>
      <c r="AH495" s="9">
        <f>IFERROR((I495-K495)*24*60,0)</f>
        <v>1.000000003259629</v>
      </c>
      <c r="AI495" s="9">
        <f t="shared" si="7"/>
        <v>1.000000003259629</v>
      </c>
      <c r="AJ495" s="9">
        <f>C495</f>
        <v>1897</v>
      </c>
      <c r="AK495" s="9">
        <f>IF(P495="completed",((V495-K495)*24*60),0)</f>
        <v>7.0000000018626451</v>
      </c>
      <c r="AL495" s="9">
        <f>IF(P495="completed",((U495-K495)*24*60),0)</f>
        <v>7.0000000018626451</v>
      </c>
      <c r="AM495" s="9" t="str">
        <f t="shared" si="8"/>
        <v>OTP Breached</v>
      </c>
      <c r="AN495" s="9" t="str">
        <f t="shared" si="9"/>
        <v>OTP Achieved</v>
      </c>
    </row>
    <row r="496" spans="1:40" ht="15">
      <c r="A496" s="14" t="s">
        <v>1592</v>
      </c>
      <c r="B496" s="15">
        <v>46313.579861111109</v>
      </c>
      <c r="C496" s="16">
        <v>2982</v>
      </c>
      <c r="D496" s="17" t="s">
        <v>41</v>
      </c>
      <c r="E496" s="16">
        <v>11</v>
      </c>
      <c r="F496" s="17" t="s">
        <v>41</v>
      </c>
      <c r="G496" s="17" t="s">
        <v>41</v>
      </c>
      <c r="H496" s="17" t="s">
        <v>1593</v>
      </c>
      <c r="I496" s="15">
        <v>46313.581250000003</v>
      </c>
      <c r="J496" s="17" t="s">
        <v>41</v>
      </c>
      <c r="K496" s="15">
        <v>46313.581250000003</v>
      </c>
      <c r="L496" s="16">
        <v>12</v>
      </c>
      <c r="M496" s="17"/>
      <c r="N496" s="17"/>
      <c r="O496" s="15">
        <v>46313.579861111109</v>
      </c>
      <c r="P496" s="17" t="s">
        <v>43</v>
      </c>
      <c r="Q496" s="17" t="s">
        <v>1594</v>
      </c>
      <c r="R496" s="17" t="s">
        <v>1595</v>
      </c>
      <c r="S496" s="16">
        <v>4247</v>
      </c>
      <c r="T496" s="17" t="s">
        <v>41</v>
      </c>
      <c r="U496" s="15">
        <v>46313.589583333334</v>
      </c>
      <c r="V496" s="15">
        <v>46313.588888888888</v>
      </c>
      <c r="W496" s="18" t="s">
        <v>1596</v>
      </c>
      <c r="X496" s="16">
        <v>22411</v>
      </c>
      <c r="Y496" s="19"/>
      <c r="Z496" s="16">
        <v>0</v>
      </c>
      <c r="AA496" s="20">
        <v>0.57986111111111116</v>
      </c>
      <c r="AB496" s="16">
        <v>11</v>
      </c>
      <c r="AC496" s="17" t="s">
        <v>41</v>
      </c>
      <c r="AD496" s="9" t="str">
        <f t="shared" si="5"/>
        <v>Actual</v>
      </c>
      <c r="AE496" s="9" t="str">
        <f t="shared" si="6"/>
        <v>TMK7</v>
      </c>
      <c r="AF496" s="9">
        <f>HOUR(O496)</f>
        <v>13</v>
      </c>
      <c r="AG496" s="9">
        <f>DAY(O496)</f>
        <v>18</v>
      </c>
      <c r="AH496" s="9">
        <f>IFERROR((I496-K496)*24*60,0)</f>
        <v>0</v>
      </c>
      <c r="AI496" s="9">
        <f t="shared" si="7"/>
        <v>0</v>
      </c>
      <c r="AJ496" s="9">
        <f>C496</f>
        <v>2982</v>
      </c>
      <c r="AK496" s="9">
        <f>IF(P496="completed",((V496-K496)*24*60),0)</f>
        <v>10.999999993946403</v>
      </c>
      <c r="AL496" s="9">
        <f>IF(P496="completed",((U496-K496)*24*60),0)</f>
        <v>11.999999997206032</v>
      </c>
      <c r="AM496" s="9" t="str">
        <f t="shared" si="8"/>
        <v>OTP Achieved</v>
      </c>
      <c r="AN496" s="9" t="str">
        <f t="shared" si="9"/>
        <v>OTP Achieved</v>
      </c>
    </row>
    <row r="497" spans="1:40" ht="15">
      <c r="A497" s="14" t="s">
        <v>106</v>
      </c>
      <c r="B497" s="15">
        <v>46313.577777777777</v>
      </c>
      <c r="C497" s="16">
        <v>1541</v>
      </c>
      <c r="D497" s="17" t="s">
        <v>41</v>
      </c>
      <c r="E497" s="16">
        <v>6</v>
      </c>
      <c r="F497" s="17" t="s">
        <v>41</v>
      </c>
      <c r="G497" s="17" t="s">
        <v>41</v>
      </c>
      <c r="H497" s="17" t="s">
        <v>1597</v>
      </c>
      <c r="I497" s="15">
        <v>46313.580555555556</v>
      </c>
      <c r="J497" s="17" t="s">
        <v>41</v>
      </c>
      <c r="K497" s="15">
        <v>46313.580555555556</v>
      </c>
      <c r="L497" s="16">
        <v>13</v>
      </c>
      <c r="M497" s="17"/>
      <c r="N497" s="17"/>
      <c r="O497" s="15">
        <v>46313.57708333333</v>
      </c>
      <c r="P497" s="17" t="s">
        <v>43</v>
      </c>
      <c r="Q497" s="17" t="s">
        <v>108</v>
      </c>
      <c r="R497" s="17" t="s">
        <v>1598</v>
      </c>
      <c r="S497" s="16">
        <v>4247</v>
      </c>
      <c r="T497" s="17" t="s">
        <v>41</v>
      </c>
      <c r="U497" s="15">
        <v>46313.584027777775</v>
      </c>
      <c r="V497" s="15">
        <v>46313.584722222222</v>
      </c>
      <c r="W497" s="18" t="s">
        <v>1599</v>
      </c>
      <c r="X497" s="16">
        <v>22411</v>
      </c>
      <c r="Y497" s="19"/>
      <c r="Z497" s="16">
        <v>0</v>
      </c>
      <c r="AA497" s="20">
        <v>0.57777777777777772</v>
      </c>
      <c r="AB497" s="16">
        <v>6</v>
      </c>
      <c r="AC497" s="17" t="s">
        <v>41</v>
      </c>
      <c r="AD497" s="9" t="str">
        <f t="shared" si="5"/>
        <v>Actual</v>
      </c>
      <c r="AE497" s="9" t="str">
        <f t="shared" si="6"/>
        <v>TMK7</v>
      </c>
      <c r="AF497" s="9">
        <f>HOUR(O497)</f>
        <v>13</v>
      </c>
      <c r="AG497" s="9">
        <f>DAY(O497)</f>
        <v>18</v>
      </c>
      <c r="AH497" s="9">
        <f>IFERROR((I497-K497)*24*60,0)</f>
        <v>0</v>
      </c>
      <c r="AI497" s="9">
        <f t="shared" si="7"/>
        <v>0</v>
      </c>
      <c r="AJ497" s="9">
        <f>C497</f>
        <v>1541</v>
      </c>
      <c r="AK497" s="9">
        <f>IF(P497="completed",((V497-K497)*24*60),0)</f>
        <v>5.9999999986030161</v>
      </c>
      <c r="AL497" s="9">
        <f>IF(P497="completed",((U497-K497)*24*60),0)</f>
        <v>4.9999999953433871</v>
      </c>
      <c r="AM497" s="9" t="str">
        <f t="shared" si="8"/>
        <v>OTP Breached</v>
      </c>
      <c r="AN497" s="9" t="str">
        <f t="shared" si="9"/>
        <v>OTP Achieved</v>
      </c>
    </row>
    <row r="498" spans="1:40" ht="15">
      <c r="A498" s="14" t="s">
        <v>347</v>
      </c>
      <c r="B498" s="15">
        <v>46313.576388888891</v>
      </c>
      <c r="C498" s="16">
        <v>1267</v>
      </c>
      <c r="D498" s="17" t="s">
        <v>41</v>
      </c>
      <c r="E498" s="16">
        <v>4</v>
      </c>
      <c r="F498" s="17" t="s">
        <v>41</v>
      </c>
      <c r="G498" s="17" t="s">
        <v>41</v>
      </c>
      <c r="H498" s="17" t="s">
        <v>1600</v>
      </c>
      <c r="I498" s="15">
        <v>46313.577777777777</v>
      </c>
      <c r="J498" s="17" t="s">
        <v>41</v>
      </c>
      <c r="K498" s="15">
        <v>46313.577777777777</v>
      </c>
      <c r="L498" s="16">
        <v>12</v>
      </c>
      <c r="M498" s="17"/>
      <c r="N498" s="17"/>
      <c r="O498" s="15">
        <v>46313.576388888891</v>
      </c>
      <c r="P498" s="17" t="s">
        <v>43</v>
      </c>
      <c r="Q498" s="17" t="s">
        <v>349</v>
      </c>
      <c r="R498" s="17" t="s">
        <v>1601</v>
      </c>
      <c r="S498" s="16">
        <v>4247</v>
      </c>
      <c r="T498" s="17" t="s">
        <v>41</v>
      </c>
      <c r="U498" s="15">
        <v>46313.582638888889</v>
      </c>
      <c r="V498" s="15">
        <v>46313.580555555556</v>
      </c>
      <c r="W498" s="18" t="s">
        <v>1602</v>
      </c>
      <c r="X498" s="16">
        <v>22411</v>
      </c>
      <c r="Y498" s="19"/>
      <c r="Z498" s="16">
        <v>0</v>
      </c>
      <c r="AA498" s="20">
        <v>0.57638888888888884</v>
      </c>
      <c r="AB498" s="16">
        <v>4</v>
      </c>
      <c r="AC498" s="17" t="s">
        <v>41</v>
      </c>
      <c r="AD498" s="9" t="str">
        <f t="shared" si="5"/>
        <v>Actual</v>
      </c>
      <c r="AE498" s="9" t="str">
        <f t="shared" si="6"/>
        <v>TMK7</v>
      </c>
      <c r="AF498" s="9">
        <f>HOUR(O498)</f>
        <v>13</v>
      </c>
      <c r="AG498" s="9">
        <f>DAY(O498)</f>
        <v>18</v>
      </c>
      <c r="AH498" s="9">
        <f>IFERROR((I498-K498)*24*60,0)</f>
        <v>0</v>
      </c>
      <c r="AI498" s="9">
        <f t="shared" si="7"/>
        <v>0</v>
      </c>
      <c r="AJ498" s="9">
        <f>C498</f>
        <v>1267</v>
      </c>
      <c r="AK498" s="9">
        <f>IF(P498="completed",((V498-K498)*24*60),0)</f>
        <v>4.0000000025611371</v>
      </c>
      <c r="AL498" s="9">
        <f>IF(P498="completed",((U498-K498)*24*60),0)</f>
        <v>7.0000000018626451</v>
      </c>
      <c r="AM498" s="9" t="str">
        <f t="shared" si="8"/>
        <v>OTP Achieved</v>
      </c>
      <c r="AN498" s="9" t="str">
        <f t="shared" si="9"/>
        <v>OTP Achieved</v>
      </c>
    </row>
    <row r="499" spans="1:40" ht="15">
      <c r="A499" s="14" t="s">
        <v>62</v>
      </c>
      <c r="B499" s="15">
        <v>46313.576388888891</v>
      </c>
      <c r="C499" s="16">
        <v>2624</v>
      </c>
      <c r="D499" s="17" t="s">
        <v>41</v>
      </c>
      <c r="E499" s="16">
        <v>7</v>
      </c>
      <c r="F499" s="17" t="s">
        <v>41</v>
      </c>
      <c r="G499" s="17" t="s">
        <v>41</v>
      </c>
      <c r="H499" s="17" t="s">
        <v>1603</v>
      </c>
      <c r="I499" s="15">
        <v>46313.578472222223</v>
      </c>
      <c r="J499" s="17" t="s">
        <v>41</v>
      </c>
      <c r="K499" s="15">
        <v>46313.577777777777</v>
      </c>
      <c r="L499" s="16">
        <v>31</v>
      </c>
      <c r="M499" s="17"/>
      <c r="N499" s="17"/>
      <c r="O499" s="15">
        <v>46313.576388888891</v>
      </c>
      <c r="P499" s="17" t="s">
        <v>43</v>
      </c>
      <c r="Q499" s="17" t="s">
        <v>64</v>
      </c>
      <c r="R499" s="17" t="s">
        <v>1604</v>
      </c>
      <c r="S499" s="16">
        <v>4247</v>
      </c>
      <c r="T499" s="17" t="s">
        <v>41</v>
      </c>
      <c r="U499" s="15">
        <v>46313.584722222222</v>
      </c>
      <c r="V499" s="15">
        <v>46313.582638888889</v>
      </c>
      <c r="W499" s="18" t="s">
        <v>1605</v>
      </c>
      <c r="X499" s="16">
        <v>22411</v>
      </c>
      <c r="Y499" s="19"/>
      <c r="Z499" s="16">
        <v>0</v>
      </c>
      <c r="AA499" s="20">
        <v>0.57638888888888884</v>
      </c>
      <c r="AB499" s="16">
        <v>6</v>
      </c>
      <c r="AC499" s="17" t="s">
        <v>41</v>
      </c>
      <c r="AD499" s="9" t="str">
        <f t="shared" si="5"/>
        <v>Actual</v>
      </c>
      <c r="AE499" s="9" t="str">
        <f t="shared" si="6"/>
        <v>TMK7</v>
      </c>
      <c r="AF499" s="9">
        <f>HOUR(O499)</f>
        <v>13</v>
      </c>
      <c r="AG499" s="9">
        <f>DAY(O499)</f>
        <v>18</v>
      </c>
      <c r="AH499" s="9">
        <f>IFERROR((I499-K499)*24*60,0)</f>
        <v>1.000000003259629</v>
      </c>
      <c r="AI499" s="9">
        <f t="shared" si="7"/>
        <v>1.000000003259629</v>
      </c>
      <c r="AJ499" s="9">
        <f>C499</f>
        <v>2624</v>
      </c>
      <c r="AK499" s="9">
        <f>IF(P499="completed",((V499-K499)*24*60),0)</f>
        <v>7.0000000018626451</v>
      </c>
      <c r="AL499" s="9">
        <f>IF(P499="completed",((U499-K499)*24*60),0)</f>
        <v>10.000000001164153</v>
      </c>
      <c r="AM499" s="9" t="str">
        <f t="shared" si="8"/>
        <v>OTP Achieved</v>
      </c>
      <c r="AN499" s="9" t="str">
        <f t="shared" si="9"/>
        <v>OTP Achieved</v>
      </c>
    </row>
    <row r="500" spans="1:40" ht="15">
      <c r="A500" s="14" t="s">
        <v>1077</v>
      </c>
      <c r="B500" s="15">
        <v>46313.576388888891</v>
      </c>
      <c r="C500" s="16">
        <v>2739</v>
      </c>
      <c r="D500" s="17" t="s">
        <v>41</v>
      </c>
      <c r="E500" s="16">
        <v>6</v>
      </c>
      <c r="F500" s="17" t="s">
        <v>41</v>
      </c>
      <c r="G500" s="17" t="s">
        <v>41</v>
      </c>
      <c r="H500" s="17" t="s">
        <v>1606</v>
      </c>
      <c r="I500" s="15">
        <v>46313.57708333333</v>
      </c>
      <c r="J500" s="17" t="s">
        <v>41</v>
      </c>
      <c r="K500" s="15">
        <v>46313.57708333333</v>
      </c>
      <c r="L500" s="16">
        <v>17</v>
      </c>
      <c r="M500" s="17"/>
      <c r="N500" s="17"/>
      <c r="O500" s="15">
        <v>46313.576388888891</v>
      </c>
      <c r="P500" s="17" t="s">
        <v>43</v>
      </c>
      <c r="Q500" s="17" t="s">
        <v>1079</v>
      </c>
      <c r="R500" s="17" t="s">
        <v>1607</v>
      </c>
      <c r="S500" s="16">
        <v>4247</v>
      </c>
      <c r="T500" s="17" t="s">
        <v>41</v>
      </c>
      <c r="U500" s="15">
        <v>46313.584722222222</v>
      </c>
      <c r="V500" s="15">
        <v>46313.581944444442</v>
      </c>
      <c r="W500" s="18" t="s">
        <v>1608</v>
      </c>
      <c r="X500" s="16">
        <v>22411</v>
      </c>
      <c r="Y500" s="19"/>
      <c r="Z500" s="16">
        <v>0</v>
      </c>
      <c r="AA500" s="20">
        <v>0.57638888888888884</v>
      </c>
      <c r="AB500" s="16">
        <v>6</v>
      </c>
      <c r="AC500" s="17" t="s">
        <v>41</v>
      </c>
      <c r="AD500" s="9" t="str">
        <f t="shared" si="5"/>
        <v>Actual</v>
      </c>
      <c r="AE500" s="9" t="str">
        <f t="shared" si="6"/>
        <v>TMK7</v>
      </c>
      <c r="AF500" s="9">
        <f>HOUR(O500)</f>
        <v>13</v>
      </c>
      <c r="AG500" s="9">
        <f>DAY(O500)</f>
        <v>18</v>
      </c>
      <c r="AH500" s="9">
        <f>IFERROR((I500-K500)*24*60,0)</f>
        <v>0</v>
      </c>
      <c r="AI500" s="9">
        <f t="shared" si="7"/>
        <v>0</v>
      </c>
      <c r="AJ500" s="9">
        <f>C500</f>
        <v>2739</v>
      </c>
      <c r="AK500" s="9">
        <f>IF(P500="completed",((V500-K500)*24*60),0)</f>
        <v>7.0000000018626451</v>
      </c>
      <c r="AL500" s="9">
        <f>IF(P500="completed",((U500-K500)*24*60),0)</f>
        <v>11.000000004423782</v>
      </c>
      <c r="AM500" s="9" t="str">
        <f t="shared" si="8"/>
        <v>OTP Achieved</v>
      </c>
      <c r="AN500" s="9" t="str">
        <f t="shared" si="9"/>
        <v>OTP Achieved</v>
      </c>
    </row>
    <row r="501" spans="1:40" ht="15">
      <c r="A501" s="14" t="s">
        <v>1391</v>
      </c>
      <c r="B501" s="15">
        <v>46313.574999999997</v>
      </c>
      <c r="C501" s="16">
        <v>2083</v>
      </c>
      <c r="D501" s="17" t="s">
        <v>41</v>
      </c>
      <c r="E501" s="16">
        <v>6</v>
      </c>
      <c r="F501" s="17" t="s">
        <v>41</v>
      </c>
      <c r="G501" s="17" t="s">
        <v>41</v>
      </c>
      <c r="H501" s="17" t="s">
        <v>1609</v>
      </c>
      <c r="I501" s="15">
        <v>46313.57708333333</v>
      </c>
      <c r="J501" s="17" t="s">
        <v>41</v>
      </c>
      <c r="K501" s="15">
        <v>46313.57708333333</v>
      </c>
      <c r="L501" s="16">
        <v>18</v>
      </c>
      <c r="M501" s="17"/>
      <c r="N501" s="17"/>
      <c r="O501" s="15">
        <v>46313.574999999997</v>
      </c>
      <c r="P501" s="17" t="s">
        <v>43</v>
      </c>
      <c r="Q501" s="17" t="s">
        <v>1393</v>
      </c>
      <c r="R501" s="17" t="s">
        <v>1610</v>
      </c>
      <c r="S501" s="16">
        <v>4247</v>
      </c>
      <c r="T501" s="17" t="s">
        <v>41</v>
      </c>
      <c r="U501" s="15">
        <v>46313.582638888889</v>
      </c>
      <c r="V501" s="15">
        <v>46313.581250000003</v>
      </c>
      <c r="W501" s="18" t="s">
        <v>1611</v>
      </c>
      <c r="X501" s="16">
        <v>22411</v>
      </c>
      <c r="Y501" s="19"/>
      <c r="Z501" s="16">
        <v>0</v>
      </c>
      <c r="AA501" s="20">
        <v>0.57499999999999996</v>
      </c>
      <c r="AB501" s="16">
        <v>6</v>
      </c>
      <c r="AC501" s="17" t="s">
        <v>41</v>
      </c>
      <c r="AD501" s="9" t="str">
        <f t="shared" si="5"/>
        <v>Actual</v>
      </c>
      <c r="AE501" s="9" t="str">
        <f t="shared" si="6"/>
        <v>TMK7</v>
      </c>
      <c r="AF501" s="9">
        <f>HOUR(O501)</f>
        <v>13</v>
      </c>
      <c r="AG501" s="9">
        <f>DAY(O501)</f>
        <v>18</v>
      </c>
      <c r="AH501" s="9">
        <f>IFERROR((I501-K501)*24*60,0)</f>
        <v>0</v>
      </c>
      <c r="AI501" s="9">
        <f t="shared" si="7"/>
        <v>0</v>
      </c>
      <c r="AJ501" s="9">
        <f>C501</f>
        <v>2083</v>
      </c>
      <c r="AK501" s="9">
        <f>IF(P501="completed",((V501-K501)*24*60),0)</f>
        <v>6.0000000090803951</v>
      </c>
      <c r="AL501" s="9">
        <f>IF(P501="completed",((U501-K501)*24*60),0)</f>
        <v>8.0000000051222742</v>
      </c>
      <c r="AM501" s="9" t="str">
        <f t="shared" si="8"/>
        <v>OTP Achieved</v>
      </c>
      <c r="AN501" s="9" t="str">
        <f t="shared" si="9"/>
        <v>OTP Achieved</v>
      </c>
    </row>
    <row r="502" spans="1:40" ht="15">
      <c r="A502" s="14" t="s">
        <v>711</v>
      </c>
      <c r="B502" s="15">
        <v>46313.574999999997</v>
      </c>
      <c r="C502" s="16">
        <v>2386</v>
      </c>
      <c r="D502" s="17" t="s">
        <v>41</v>
      </c>
      <c r="E502" s="16">
        <v>10</v>
      </c>
      <c r="F502" s="17" t="s">
        <v>41</v>
      </c>
      <c r="G502" s="17" t="s">
        <v>41</v>
      </c>
      <c r="H502" s="17" t="s">
        <v>1612</v>
      </c>
      <c r="I502" s="15">
        <v>46313.575694444444</v>
      </c>
      <c r="J502" s="17" t="s">
        <v>41</v>
      </c>
      <c r="K502" s="15">
        <v>46313.575694444444</v>
      </c>
      <c r="L502" s="16">
        <v>28</v>
      </c>
      <c r="M502" s="17"/>
      <c r="N502" s="17"/>
      <c r="O502" s="15">
        <v>46313.574999999997</v>
      </c>
      <c r="P502" s="17" t="s">
        <v>43</v>
      </c>
      <c r="Q502" s="17" t="s">
        <v>713</v>
      </c>
      <c r="R502" s="17" t="s">
        <v>1613</v>
      </c>
      <c r="S502" s="16">
        <v>4247</v>
      </c>
      <c r="T502" s="17" t="s">
        <v>41</v>
      </c>
      <c r="U502" s="15">
        <v>46313.581944444442</v>
      </c>
      <c r="V502" s="15">
        <v>46313.581944444442</v>
      </c>
      <c r="W502" s="18" t="s">
        <v>1614</v>
      </c>
      <c r="X502" s="16">
        <v>22411</v>
      </c>
      <c r="Y502" s="19"/>
      <c r="Z502" s="16">
        <v>0</v>
      </c>
      <c r="AA502" s="20">
        <v>0.57499999999999996</v>
      </c>
      <c r="AB502" s="16">
        <v>9</v>
      </c>
      <c r="AC502" s="17" t="s">
        <v>41</v>
      </c>
      <c r="AD502" s="9" t="str">
        <f t="shared" si="5"/>
        <v>Actual</v>
      </c>
      <c r="AE502" s="9" t="str">
        <f t="shared" si="6"/>
        <v>TMK7</v>
      </c>
      <c r="AF502" s="9">
        <f>HOUR(O502)</f>
        <v>13</v>
      </c>
      <c r="AG502" s="9">
        <f>DAY(O502)</f>
        <v>18</v>
      </c>
      <c r="AH502" s="9">
        <f>IFERROR((I502-K502)*24*60,0)</f>
        <v>0</v>
      </c>
      <c r="AI502" s="9">
        <f t="shared" si="7"/>
        <v>0</v>
      </c>
      <c r="AJ502" s="9">
        <f>C502</f>
        <v>2386</v>
      </c>
      <c r="AK502" s="9">
        <f>IF(P502="completed",((V502-K502)*24*60),0)</f>
        <v>8.9999999979045242</v>
      </c>
      <c r="AL502" s="9">
        <f>IF(P502="completed",((U502-K502)*24*60),0)</f>
        <v>8.9999999979045242</v>
      </c>
      <c r="AM502" s="9" t="str">
        <f t="shared" si="8"/>
        <v>OTP Breached</v>
      </c>
      <c r="AN502" s="9" t="str">
        <f t="shared" si="9"/>
        <v>OTP Achieved</v>
      </c>
    </row>
    <row r="503" spans="1:40" ht="15">
      <c r="A503" s="14" t="s">
        <v>1171</v>
      </c>
      <c r="B503" s="15">
        <v>46313.574305555558</v>
      </c>
      <c r="C503" s="16">
        <v>2117</v>
      </c>
      <c r="D503" s="17" t="s">
        <v>41</v>
      </c>
      <c r="E503" s="16">
        <v>5</v>
      </c>
      <c r="F503" s="17" t="s">
        <v>41</v>
      </c>
      <c r="G503" s="17" t="s">
        <v>41</v>
      </c>
      <c r="H503" s="17" t="s">
        <v>1615</v>
      </c>
      <c r="I503" s="15">
        <v>46313.574305555558</v>
      </c>
      <c r="J503" s="17" t="s">
        <v>41</v>
      </c>
      <c r="K503" s="15">
        <v>46313.574305555558</v>
      </c>
      <c r="L503" s="16">
        <v>15</v>
      </c>
      <c r="M503" s="17"/>
      <c r="N503" s="17"/>
      <c r="O503" s="15">
        <v>46313.573611111111</v>
      </c>
      <c r="P503" s="17" t="s">
        <v>43</v>
      </c>
      <c r="Q503" s="17" t="s">
        <v>1173</v>
      </c>
      <c r="R503" s="17" t="s">
        <v>1616</v>
      </c>
      <c r="S503" s="16">
        <v>4247</v>
      </c>
      <c r="T503" s="17" t="s">
        <v>41</v>
      </c>
      <c r="U503" s="15">
        <v>46313.579861111109</v>
      </c>
      <c r="V503" s="15">
        <v>46313.578472222223</v>
      </c>
      <c r="W503" s="18" t="s">
        <v>1617</v>
      </c>
      <c r="X503" s="16">
        <v>22411</v>
      </c>
      <c r="Y503" s="19"/>
      <c r="Z503" s="16">
        <v>0</v>
      </c>
      <c r="AA503" s="20">
        <v>0.57430555555555551</v>
      </c>
      <c r="AB503" s="16">
        <v>5</v>
      </c>
      <c r="AC503" s="17" t="s">
        <v>41</v>
      </c>
      <c r="AD503" s="9" t="str">
        <f t="shared" si="5"/>
        <v>Actual</v>
      </c>
      <c r="AE503" s="9" t="str">
        <f t="shared" si="6"/>
        <v>TMK7</v>
      </c>
      <c r="AF503" s="9">
        <f>HOUR(O503)</f>
        <v>13</v>
      </c>
      <c r="AG503" s="9">
        <f>DAY(O503)</f>
        <v>18</v>
      </c>
      <c r="AH503" s="9">
        <f>IFERROR((I503-K503)*24*60,0)</f>
        <v>0</v>
      </c>
      <c r="AI503" s="9">
        <f t="shared" si="7"/>
        <v>0</v>
      </c>
      <c r="AJ503" s="9">
        <f>C503</f>
        <v>2117</v>
      </c>
      <c r="AK503" s="9">
        <f>IF(P503="completed",((V503-K503)*24*60),0)</f>
        <v>5.9999999986030161</v>
      </c>
      <c r="AL503" s="9">
        <f>IF(P503="completed",((U503-K503)*24*60),0)</f>
        <v>7.9999999946448952</v>
      </c>
      <c r="AM503" s="9" t="str">
        <f t="shared" si="8"/>
        <v>OTP Achieved</v>
      </c>
      <c r="AN503" s="9" t="str">
        <f t="shared" si="9"/>
        <v>OTP Achieved</v>
      </c>
    </row>
    <row r="504" spans="1:40" ht="15">
      <c r="A504" s="14" t="s">
        <v>1461</v>
      </c>
      <c r="B504" s="15">
        <v>46313.572222222225</v>
      </c>
      <c r="C504" s="16">
        <v>745</v>
      </c>
      <c r="D504" s="17" t="s">
        <v>41</v>
      </c>
      <c r="E504" s="16">
        <v>3</v>
      </c>
      <c r="F504" s="17" t="s">
        <v>41</v>
      </c>
      <c r="G504" s="17" t="s">
        <v>41</v>
      </c>
      <c r="H504" s="17" t="s">
        <v>1618</v>
      </c>
      <c r="I504" s="15">
        <v>46313.574305555558</v>
      </c>
      <c r="J504" s="17" t="s">
        <v>41</v>
      </c>
      <c r="K504" s="15">
        <v>46313.573611111111</v>
      </c>
      <c r="L504" s="16">
        <v>21</v>
      </c>
      <c r="M504" s="17"/>
      <c r="N504" s="17"/>
      <c r="O504" s="15">
        <v>46313.572222222225</v>
      </c>
      <c r="P504" s="17" t="s">
        <v>43</v>
      </c>
      <c r="Q504" s="17" t="s">
        <v>1463</v>
      </c>
      <c r="R504" s="17" t="s">
        <v>1619</v>
      </c>
      <c r="S504" s="16">
        <v>4247</v>
      </c>
      <c r="T504" s="17" t="s">
        <v>41</v>
      </c>
      <c r="U504" s="15">
        <v>46313.57708333333</v>
      </c>
      <c r="V504" s="15">
        <v>46313.576388888891</v>
      </c>
      <c r="W504" s="18" t="s">
        <v>1620</v>
      </c>
      <c r="X504" s="16">
        <v>22411</v>
      </c>
      <c r="Y504" s="19"/>
      <c r="Z504" s="16">
        <v>0</v>
      </c>
      <c r="AA504" s="20">
        <v>0.57222222222222219</v>
      </c>
      <c r="AB504" s="16">
        <v>3</v>
      </c>
      <c r="AC504" s="17" t="s">
        <v>41</v>
      </c>
      <c r="AD504" s="9" t="str">
        <f t="shared" si="5"/>
        <v>Actual</v>
      </c>
      <c r="AE504" s="9" t="str">
        <f t="shared" si="6"/>
        <v>TMK7</v>
      </c>
      <c r="AF504" s="9">
        <f>HOUR(O504)</f>
        <v>13</v>
      </c>
      <c r="AG504" s="9">
        <f>DAY(O504)</f>
        <v>18</v>
      </c>
      <c r="AH504" s="9">
        <f>IFERROR((I504-K504)*24*60,0)</f>
        <v>1.000000003259629</v>
      </c>
      <c r="AI504" s="9">
        <f t="shared" si="7"/>
        <v>1.000000003259629</v>
      </c>
      <c r="AJ504" s="9">
        <f>C504</f>
        <v>745</v>
      </c>
      <c r="AK504" s="9">
        <f>IF(P504="completed",((V504-K504)*24*60),0)</f>
        <v>4.0000000025611371</v>
      </c>
      <c r="AL504" s="9">
        <f>IF(P504="completed",((U504-K504)*24*60),0)</f>
        <v>4.9999999953433871</v>
      </c>
      <c r="AM504" s="9" t="str">
        <f t="shared" si="8"/>
        <v>OTP Achieved</v>
      </c>
      <c r="AN504" s="9" t="str">
        <f t="shared" si="9"/>
        <v>OTP Achieved</v>
      </c>
    </row>
    <row r="505" spans="1:40" ht="15">
      <c r="A505" s="14" t="s">
        <v>1365</v>
      </c>
      <c r="B505" s="15">
        <v>46313.571527777778</v>
      </c>
      <c r="C505" s="16">
        <v>1830</v>
      </c>
      <c r="D505" s="17" t="s">
        <v>41</v>
      </c>
      <c r="E505" s="16">
        <v>7</v>
      </c>
      <c r="F505" s="17" t="s">
        <v>41</v>
      </c>
      <c r="G505" s="17" t="s">
        <v>41</v>
      </c>
      <c r="H505" s="17" t="s">
        <v>1621</v>
      </c>
      <c r="I505" s="15">
        <v>46313.572916666664</v>
      </c>
      <c r="J505" s="17" t="s">
        <v>41</v>
      </c>
      <c r="K505" s="15">
        <v>46313.572916666664</v>
      </c>
      <c r="L505" s="16">
        <v>24</v>
      </c>
      <c r="M505" s="17"/>
      <c r="N505" s="17"/>
      <c r="O505" s="15">
        <v>46313.571527777778</v>
      </c>
      <c r="P505" s="17" t="s">
        <v>43</v>
      </c>
      <c r="Q505" s="17" t="s">
        <v>1367</v>
      </c>
      <c r="R505" s="17" t="s">
        <v>1622</v>
      </c>
      <c r="S505" s="16">
        <v>4247</v>
      </c>
      <c r="T505" s="17" t="s">
        <v>41</v>
      </c>
      <c r="U505" s="15">
        <v>46313.57916666667</v>
      </c>
      <c r="V505" s="15">
        <v>46313.577777777777</v>
      </c>
      <c r="W505" s="18" t="s">
        <v>1623</v>
      </c>
      <c r="X505" s="16">
        <v>22411</v>
      </c>
      <c r="Y505" s="19"/>
      <c r="Z505" s="16">
        <v>0</v>
      </c>
      <c r="AA505" s="20">
        <v>0.57152777777777775</v>
      </c>
      <c r="AB505" s="16">
        <v>7</v>
      </c>
      <c r="AC505" s="17" t="s">
        <v>41</v>
      </c>
      <c r="AD505" s="9" t="str">
        <f t="shared" si="5"/>
        <v>Actual</v>
      </c>
      <c r="AE505" s="9" t="str">
        <f t="shared" si="6"/>
        <v>TMK7</v>
      </c>
      <c r="AF505" s="9">
        <f>HOUR(O505)</f>
        <v>13</v>
      </c>
      <c r="AG505" s="9">
        <f>DAY(O505)</f>
        <v>18</v>
      </c>
      <c r="AH505" s="9">
        <f>IFERROR((I505-K505)*24*60,0)</f>
        <v>0</v>
      </c>
      <c r="AI505" s="9">
        <f t="shared" si="7"/>
        <v>0</v>
      </c>
      <c r="AJ505" s="9">
        <f>C505</f>
        <v>1830</v>
      </c>
      <c r="AK505" s="9">
        <f>IF(P505="completed",((V505-K505)*24*60),0)</f>
        <v>7.0000000018626451</v>
      </c>
      <c r="AL505" s="9">
        <f>IF(P505="completed",((U505-K505)*24*60),0)</f>
        <v>9.0000000083819032</v>
      </c>
      <c r="AM505" s="9" t="str">
        <f t="shared" si="8"/>
        <v>OTP Achieved</v>
      </c>
      <c r="AN505" s="9" t="str">
        <f t="shared" si="9"/>
        <v>OTP Achieved</v>
      </c>
    </row>
    <row r="506" spans="1:40" ht="15">
      <c r="A506" s="14" t="s">
        <v>1624</v>
      </c>
      <c r="B506" s="15">
        <v>46313.571527777778</v>
      </c>
      <c r="C506" s="16">
        <v>2386</v>
      </c>
      <c r="D506" s="17" t="s">
        <v>41</v>
      </c>
      <c r="E506" s="16">
        <v>7</v>
      </c>
      <c r="F506" s="17" t="s">
        <v>41</v>
      </c>
      <c r="G506" s="17" t="s">
        <v>41</v>
      </c>
      <c r="H506" s="17" t="s">
        <v>1625</v>
      </c>
      <c r="I506" s="15">
        <v>46313.572222222225</v>
      </c>
      <c r="J506" s="17" t="s">
        <v>41</v>
      </c>
      <c r="K506" s="15">
        <v>46313.572222222225</v>
      </c>
      <c r="L506" s="16">
        <v>13</v>
      </c>
      <c r="M506" s="17"/>
      <c r="N506" s="17"/>
      <c r="O506" s="15">
        <v>46313.571527777778</v>
      </c>
      <c r="P506" s="17" t="s">
        <v>43</v>
      </c>
      <c r="Q506" s="17" t="s">
        <v>1626</v>
      </c>
      <c r="R506" s="17" t="s">
        <v>1627</v>
      </c>
      <c r="S506" s="16">
        <v>4247</v>
      </c>
      <c r="T506" s="17" t="s">
        <v>41</v>
      </c>
      <c r="U506" s="15">
        <v>46313.577777777777</v>
      </c>
      <c r="V506" s="15">
        <v>46313.57708333333</v>
      </c>
      <c r="W506" s="18" t="s">
        <v>1628</v>
      </c>
      <c r="X506" s="16">
        <v>22411</v>
      </c>
      <c r="Y506" s="17"/>
      <c r="Z506" s="16">
        <v>0</v>
      </c>
      <c r="AA506" s="20">
        <v>0.57152777777777775</v>
      </c>
      <c r="AB506" s="16">
        <v>7</v>
      </c>
      <c r="AC506" s="17" t="s">
        <v>41</v>
      </c>
      <c r="AD506" s="9" t="str">
        <f t="shared" si="5"/>
        <v>Actual</v>
      </c>
      <c r="AE506" s="9" t="str">
        <f t="shared" si="6"/>
        <v>TMK7</v>
      </c>
      <c r="AF506" s="9">
        <f>HOUR(O506)</f>
        <v>13</v>
      </c>
      <c r="AG506" s="9">
        <f>DAY(O506)</f>
        <v>18</v>
      </c>
      <c r="AH506" s="9">
        <f>IFERROR((I506-K506)*24*60,0)</f>
        <v>0</v>
      </c>
      <c r="AI506" s="9">
        <f t="shared" si="7"/>
        <v>0</v>
      </c>
      <c r="AJ506" s="9">
        <f>C506</f>
        <v>2386</v>
      </c>
      <c r="AK506" s="9">
        <f>IF(P506="completed",((V506-K506)*24*60),0)</f>
        <v>6.9999999913852662</v>
      </c>
      <c r="AL506" s="9">
        <f>IF(P506="completed",((U506-K506)*24*60),0)</f>
        <v>7.9999999946448952</v>
      </c>
      <c r="AM506" s="9" t="str">
        <f t="shared" si="8"/>
        <v>OTP Achieved</v>
      </c>
      <c r="AN506" s="9" t="str">
        <f t="shared" si="9"/>
        <v>OTP Achieved</v>
      </c>
    </row>
    <row r="507" spans="1:40" ht="15">
      <c r="A507" s="14" t="s">
        <v>67</v>
      </c>
      <c r="B507" s="15">
        <v>46313.571527777778</v>
      </c>
      <c r="C507" s="16">
        <v>2327</v>
      </c>
      <c r="D507" s="17" t="s">
        <v>41</v>
      </c>
      <c r="E507" s="16">
        <v>9</v>
      </c>
      <c r="F507" s="17" t="s">
        <v>41</v>
      </c>
      <c r="G507" s="17" t="s">
        <v>41</v>
      </c>
      <c r="H507" s="17" t="s">
        <v>1629</v>
      </c>
      <c r="I507" s="15">
        <v>46313.574999999997</v>
      </c>
      <c r="J507" s="17" t="s">
        <v>41</v>
      </c>
      <c r="K507" s="15">
        <v>46313.574999999997</v>
      </c>
      <c r="L507" s="16">
        <v>10</v>
      </c>
      <c r="M507" s="17"/>
      <c r="N507" s="17"/>
      <c r="O507" s="15">
        <v>46313.571527777778</v>
      </c>
      <c r="P507" s="17" t="s">
        <v>43</v>
      </c>
      <c r="Q507" s="17" t="s">
        <v>69</v>
      </c>
      <c r="R507" s="17" t="s">
        <v>1630</v>
      </c>
      <c r="S507" s="16">
        <v>4247</v>
      </c>
      <c r="T507" s="17" t="s">
        <v>41</v>
      </c>
      <c r="U507" s="15">
        <v>46313.579861111109</v>
      </c>
      <c r="V507" s="15">
        <v>46313.581250000003</v>
      </c>
      <c r="W507" s="18" t="s">
        <v>1631</v>
      </c>
      <c r="X507" s="16">
        <v>22411</v>
      </c>
      <c r="Y507" s="19"/>
      <c r="Z507" s="16">
        <v>0</v>
      </c>
      <c r="AA507" s="20">
        <v>0.57152777777777775</v>
      </c>
      <c r="AB507" s="16">
        <v>9</v>
      </c>
      <c r="AC507" s="17" t="s">
        <v>41</v>
      </c>
      <c r="AD507" s="9" t="str">
        <f t="shared" si="5"/>
        <v>Actual</v>
      </c>
      <c r="AE507" s="9" t="str">
        <f t="shared" si="6"/>
        <v>TMK7</v>
      </c>
      <c r="AF507" s="9">
        <f>HOUR(O507)</f>
        <v>13</v>
      </c>
      <c r="AG507" s="9">
        <f>DAY(O507)</f>
        <v>18</v>
      </c>
      <c r="AH507" s="9">
        <f>IFERROR((I507-K507)*24*60,0)</f>
        <v>0</v>
      </c>
      <c r="AI507" s="9">
        <f t="shared" si="7"/>
        <v>0</v>
      </c>
      <c r="AJ507" s="9">
        <f>C507</f>
        <v>2327</v>
      </c>
      <c r="AK507" s="9">
        <f>IF(P507="completed",((V507-K507)*24*60),0)</f>
        <v>9.0000000083819032</v>
      </c>
      <c r="AL507" s="9">
        <f>IF(P507="completed",((U507-K507)*24*60),0)</f>
        <v>7.0000000018626451</v>
      </c>
      <c r="AM507" s="9" t="str">
        <f t="shared" si="8"/>
        <v>OTP Breached</v>
      </c>
      <c r="AN507" s="9" t="str">
        <f t="shared" si="9"/>
        <v>OTP Achieved</v>
      </c>
    </row>
    <row r="508" spans="1:40" ht="15">
      <c r="A508" s="14" t="s">
        <v>190</v>
      </c>
      <c r="B508" s="15">
        <v>46313.570138888892</v>
      </c>
      <c r="C508" s="16">
        <v>1177</v>
      </c>
      <c r="D508" s="17" t="s">
        <v>41</v>
      </c>
      <c r="E508" s="16">
        <v>4</v>
      </c>
      <c r="F508" s="17" t="s">
        <v>41</v>
      </c>
      <c r="G508" s="17" t="s">
        <v>41</v>
      </c>
      <c r="H508" s="17" t="s">
        <v>1632</v>
      </c>
      <c r="I508" s="15">
        <v>46313.572222222225</v>
      </c>
      <c r="J508" s="17" t="s">
        <v>41</v>
      </c>
      <c r="K508" s="15">
        <v>46313.572222222225</v>
      </c>
      <c r="L508" s="16">
        <v>22</v>
      </c>
      <c r="M508" s="17"/>
      <c r="N508" s="17"/>
      <c r="O508" s="15">
        <v>46313.570138888892</v>
      </c>
      <c r="P508" s="17" t="s">
        <v>43</v>
      </c>
      <c r="Q508" s="17" t="s">
        <v>192</v>
      </c>
      <c r="R508" s="17" t="s">
        <v>1633</v>
      </c>
      <c r="S508" s="16">
        <v>4247</v>
      </c>
      <c r="T508" s="17" t="s">
        <v>41</v>
      </c>
      <c r="U508" s="15">
        <v>46313.575694444444</v>
      </c>
      <c r="V508" s="15">
        <v>46313.574999999997</v>
      </c>
      <c r="W508" s="18" t="s">
        <v>1634</v>
      </c>
      <c r="X508" s="16">
        <v>22411</v>
      </c>
      <c r="Y508" s="19"/>
      <c r="Z508" s="16">
        <v>0</v>
      </c>
      <c r="AA508" s="20">
        <v>0.57013888888888886</v>
      </c>
      <c r="AB508" s="16">
        <v>4</v>
      </c>
      <c r="AC508" s="17" t="s">
        <v>41</v>
      </c>
      <c r="AD508" s="9" t="str">
        <f t="shared" si="5"/>
        <v>Actual</v>
      </c>
      <c r="AE508" s="9" t="str">
        <f t="shared" si="6"/>
        <v>TMK7</v>
      </c>
      <c r="AF508" s="9">
        <f>HOUR(O508)</f>
        <v>13</v>
      </c>
      <c r="AG508" s="9">
        <f>DAY(O508)</f>
        <v>18</v>
      </c>
      <c r="AH508" s="9">
        <f>IFERROR((I508-K508)*24*60,0)</f>
        <v>0</v>
      </c>
      <c r="AI508" s="9">
        <f t="shared" si="7"/>
        <v>0</v>
      </c>
      <c r="AJ508" s="9">
        <f>C508</f>
        <v>1177</v>
      </c>
      <c r="AK508" s="9">
        <f>IF(P508="completed",((V508-K508)*24*60),0)</f>
        <v>3.9999999920837581</v>
      </c>
      <c r="AL508" s="9">
        <f>IF(P508="completed",((U508-K508)*24*60),0)</f>
        <v>4.9999999953433871</v>
      </c>
      <c r="AM508" s="9" t="str">
        <f t="shared" si="8"/>
        <v>OTP Achieved</v>
      </c>
      <c r="AN508" s="9" t="str">
        <f t="shared" si="9"/>
        <v>OTP Achieved</v>
      </c>
    </row>
    <row r="509" spans="1:40" ht="15">
      <c r="A509" s="14" t="s">
        <v>40</v>
      </c>
      <c r="B509" s="15">
        <v>46313.569444444445</v>
      </c>
      <c r="C509" s="16">
        <v>868</v>
      </c>
      <c r="D509" s="17" t="s">
        <v>41</v>
      </c>
      <c r="E509" s="16">
        <v>4</v>
      </c>
      <c r="F509" s="17" t="s">
        <v>41</v>
      </c>
      <c r="G509" s="17" t="s">
        <v>41</v>
      </c>
      <c r="H509" s="17" t="s">
        <v>1635</v>
      </c>
      <c r="I509" s="15">
        <v>46313.571527777778</v>
      </c>
      <c r="J509" s="17" t="s">
        <v>41</v>
      </c>
      <c r="K509" s="15">
        <v>46313.571527777778</v>
      </c>
      <c r="L509" s="16">
        <v>15</v>
      </c>
      <c r="M509" s="17"/>
      <c r="N509" s="17"/>
      <c r="O509" s="15">
        <v>46313.569444444445</v>
      </c>
      <c r="P509" s="17" t="s">
        <v>43</v>
      </c>
      <c r="Q509" s="17" t="s">
        <v>44</v>
      </c>
      <c r="R509" s="17" t="s">
        <v>1636</v>
      </c>
      <c r="S509" s="16">
        <v>4247</v>
      </c>
      <c r="T509" s="17" t="s">
        <v>41</v>
      </c>
      <c r="U509" s="15">
        <v>46313.574305555558</v>
      </c>
      <c r="V509" s="15">
        <v>46313.574305555558</v>
      </c>
      <c r="W509" s="18" t="s">
        <v>1637</v>
      </c>
      <c r="X509" s="16">
        <v>22411</v>
      </c>
      <c r="Y509" s="19"/>
      <c r="Z509" s="16">
        <v>0</v>
      </c>
      <c r="AA509" s="20">
        <v>0.56944444444444442</v>
      </c>
      <c r="AB509" s="16">
        <v>4</v>
      </c>
      <c r="AC509" s="17" t="s">
        <v>41</v>
      </c>
      <c r="AD509" s="9" t="str">
        <f t="shared" si="5"/>
        <v>Actual</v>
      </c>
      <c r="AE509" s="9" t="str">
        <f t="shared" si="6"/>
        <v>TMK7</v>
      </c>
      <c r="AF509" s="9">
        <f>HOUR(O509)</f>
        <v>13</v>
      </c>
      <c r="AG509" s="9">
        <f>DAY(O509)</f>
        <v>18</v>
      </c>
      <c r="AH509" s="9">
        <f>IFERROR((I509-K509)*24*60,0)</f>
        <v>0</v>
      </c>
      <c r="AI509" s="9">
        <f t="shared" si="7"/>
        <v>0</v>
      </c>
      <c r="AJ509" s="9">
        <f>C509</f>
        <v>868</v>
      </c>
      <c r="AK509" s="9">
        <f>IF(P509="completed",((V509-K509)*24*60),0)</f>
        <v>4.0000000025611371</v>
      </c>
      <c r="AL509" s="9">
        <f>IF(P509="completed",((U509-K509)*24*60),0)</f>
        <v>4.0000000025611371</v>
      </c>
      <c r="AM509" s="9" t="str">
        <f t="shared" si="8"/>
        <v>OTP Breached</v>
      </c>
      <c r="AN509" s="9" t="str">
        <f t="shared" si="9"/>
        <v>OTP Achieved</v>
      </c>
    </row>
    <row r="510" spans="1:40" ht="15">
      <c r="A510" s="14" t="s">
        <v>57</v>
      </c>
      <c r="B510" s="15">
        <v>46313.568749999999</v>
      </c>
      <c r="C510" s="16">
        <v>2241</v>
      </c>
      <c r="D510" s="17" t="s">
        <v>41</v>
      </c>
      <c r="E510" s="16">
        <v>4</v>
      </c>
      <c r="F510" s="17" t="s">
        <v>41</v>
      </c>
      <c r="G510" s="17" t="s">
        <v>41</v>
      </c>
      <c r="H510" s="17" t="s">
        <v>1638</v>
      </c>
      <c r="I510" s="15">
        <v>46313.570138888892</v>
      </c>
      <c r="J510" s="17" t="s">
        <v>41</v>
      </c>
      <c r="K510" s="15">
        <v>46313.570138888892</v>
      </c>
      <c r="L510" s="16">
        <v>13</v>
      </c>
      <c r="M510" s="17"/>
      <c r="N510" s="17"/>
      <c r="O510" s="15">
        <v>46313.568749999999</v>
      </c>
      <c r="P510" s="17" t="s">
        <v>43</v>
      </c>
      <c r="Q510" s="17" t="s">
        <v>59</v>
      </c>
      <c r="R510" s="17" t="s">
        <v>1639</v>
      </c>
      <c r="S510" s="16">
        <v>4247</v>
      </c>
      <c r="T510" s="17" t="s">
        <v>41</v>
      </c>
      <c r="U510" s="15">
        <v>46313.576388888891</v>
      </c>
      <c r="V510" s="15">
        <v>46313.572916666664</v>
      </c>
      <c r="W510" s="18" t="s">
        <v>1640</v>
      </c>
      <c r="X510" s="16">
        <v>22411</v>
      </c>
      <c r="Y510" s="19"/>
      <c r="Z510" s="16">
        <v>0</v>
      </c>
      <c r="AA510" s="20">
        <v>0.56874999999999998</v>
      </c>
      <c r="AB510" s="16">
        <v>4</v>
      </c>
      <c r="AC510" s="17" t="s">
        <v>41</v>
      </c>
      <c r="AD510" s="9" t="str">
        <f t="shared" si="5"/>
        <v>Actual</v>
      </c>
      <c r="AE510" s="9" t="str">
        <f t="shared" si="6"/>
        <v>TMK7</v>
      </c>
      <c r="AF510" s="9">
        <f>HOUR(O510)</f>
        <v>13</v>
      </c>
      <c r="AG510" s="9">
        <f>DAY(O510)</f>
        <v>18</v>
      </c>
      <c r="AH510" s="9">
        <f>IFERROR((I510-K510)*24*60,0)</f>
        <v>0</v>
      </c>
      <c r="AI510" s="9">
        <f t="shared" si="7"/>
        <v>0</v>
      </c>
      <c r="AJ510" s="9">
        <f>C510</f>
        <v>2241</v>
      </c>
      <c r="AK510" s="9">
        <f>IF(P510="completed",((V510-K510)*24*60),0)</f>
        <v>3.9999999920837581</v>
      </c>
      <c r="AL510" s="9">
        <f>IF(P510="completed",((U510-K510)*24*60),0)</f>
        <v>8.9999999979045242</v>
      </c>
      <c r="AM510" s="9" t="str">
        <f t="shared" si="8"/>
        <v>OTP Achieved</v>
      </c>
      <c r="AN510" s="9" t="str">
        <f t="shared" si="9"/>
        <v>OTP Achieved</v>
      </c>
    </row>
    <row r="511" spans="1:40" ht="15">
      <c r="A511" s="14" t="s">
        <v>52</v>
      </c>
      <c r="B511" s="15">
        <v>46313.568749999999</v>
      </c>
      <c r="C511" s="16">
        <v>1567</v>
      </c>
      <c r="D511" s="17" t="s">
        <v>41</v>
      </c>
      <c r="E511" s="16">
        <v>4</v>
      </c>
      <c r="F511" s="17" t="s">
        <v>41</v>
      </c>
      <c r="G511" s="17" t="s">
        <v>41</v>
      </c>
      <c r="H511" s="17" t="s">
        <v>1641</v>
      </c>
      <c r="I511" s="15">
        <v>46313.569444444445</v>
      </c>
      <c r="J511" s="17" t="s">
        <v>41</v>
      </c>
      <c r="K511" s="15">
        <v>46313.569444444445</v>
      </c>
      <c r="L511" s="16">
        <v>18</v>
      </c>
      <c r="M511" s="17"/>
      <c r="N511" s="17"/>
      <c r="O511" s="15">
        <v>46313.568055555559</v>
      </c>
      <c r="P511" s="17" t="s">
        <v>43</v>
      </c>
      <c r="Q511" s="17" t="s">
        <v>54</v>
      </c>
      <c r="R511" s="17" t="s">
        <v>1642</v>
      </c>
      <c r="S511" s="16">
        <v>4247</v>
      </c>
      <c r="T511" s="17" t="s">
        <v>41</v>
      </c>
      <c r="U511" s="15">
        <v>46313.572916666664</v>
      </c>
      <c r="V511" s="15">
        <v>46313.572222222225</v>
      </c>
      <c r="W511" s="18" t="s">
        <v>1643</v>
      </c>
      <c r="X511" s="16">
        <v>22411</v>
      </c>
      <c r="Y511" s="19"/>
      <c r="Z511" s="16">
        <v>0</v>
      </c>
      <c r="AA511" s="20">
        <v>0.56874999999999998</v>
      </c>
      <c r="AB511" s="16">
        <v>4</v>
      </c>
      <c r="AC511" s="17" t="s">
        <v>41</v>
      </c>
      <c r="AD511" s="9" t="str">
        <f t="shared" si="5"/>
        <v>Actual</v>
      </c>
      <c r="AE511" s="9" t="str">
        <f t="shared" si="6"/>
        <v>TMK7</v>
      </c>
      <c r="AF511" s="9">
        <f>HOUR(O511)</f>
        <v>13</v>
      </c>
      <c r="AG511" s="9">
        <f>DAY(O511)</f>
        <v>18</v>
      </c>
      <c r="AH511" s="9">
        <f>IFERROR((I511-K511)*24*60,0)</f>
        <v>0</v>
      </c>
      <c r="AI511" s="9">
        <f t="shared" si="7"/>
        <v>0</v>
      </c>
      <c r="AJ511" s="9">
        <f>C511</f>
        <v>1567</v>
      </c>
      <c r="AK511" s="9">
        <f>IF(P511="completed",((V511-K511)*24*60),0)</f>
        <v>4.0000000025611371</v>
      </c>
      <c r="AL511" s="9">
        <f>IF(P511="completed",((U511-K511)*24*60),0)</f>
        <v>4.9999999953433871</v>
      </c>
      <c r="AM511" s="9" t="str">
        <f t="shared" si="8"/>
        <v>OTP Achieved</v>
      </c>
      <c r="AN511" s="9" t="str">
        <f t="shared" si="9"/>
        <v>OTP Achieved</v>
      </c>
    </row>
    <row r="512" spans="1:40" ht="15">
      <c r="A512" s="14" t="s">
        <v>72</v>
      </c>
      <c r="B512" s="15">
        <v>46313.566666666666</v>
      </c>
      <c r="C512" s="16">
        <v>2334</v>
      </c>
      <c r="D512" s="17" t="s">
        <v>41</v>
      </c>
      <c r="E512" s="16">
        <v>8</v>
      </c>
      <c r="F512" s="17" t="s">
        <v>41</v>
      </c>
      <c r="G512" s="17" t="s">
        <v>41</v>
      </c>
      <c r="H512" s="17" t="s">
        <v>1644</v>
      </c>
      <c r="I512" s="15">
        <v>46313.568055555559</v>
      </c>
      <c r="J512" s="17" t="s">
        <v>41</v>
      </c>
      <c r="K512" s="15">
        <v>46313.568055555559</v>
      </c>
      <c r="L512" s="16">
        <v>11</v>
      </c>
      <c r="M512" s="17"/>
      <c r="N512" s="17"/>
      <c r="O512" s="15">
        <v>46313.566666666666</v>
      </c>
      <c r="P512" s="17" t="s">
        <v>43</v>
      </c>
      <c r="Q512" s="17" t="s">
        <v>74</v>
      </c>
      <c r="R512" s="17" t="s">
        <v>1645</v>
      </c>
      <c r="S512" s="16">
        <v>4247</v>
      </c>
      <c r="T512" s="17" t="s">
        <v>41</v>
      </c>
      <c r="U512" s="15">
        <v>46313.574305555558</v>
      </c>
      <c r="V512" s="15">
        <v>46313.572916666664</v>
      </c>
      <c r="W512" s="18" t="s">
        <v>1646</v>
      </c>
      <c r="X512" s="16">
        <v>22411</v>
      </c>
      <c r="Y512" s="19"/>
      <c r="Z512" s="16">
        <v>0</v>
      </c>
      <c r="AA512" s="20">
        <v>0.56666666666666665</v>
      </c>
      <c r="AB512" s="16">
        <v>7</v>
      </c>
      <c r="AC512" s="17" t="s">
        <v>41</v>
      </c>
      <c r="AD512" s="9" t="str">
        <f t="shared" ref="AD512:AD766" si="10">IF(LEFT(R512,2)="AM","Dummy","Actual")</f>
        <v>Actual</v>
      </c>
      <c r="AE512" s="9" t="str">
        <f t="shared" ref="AE512:AE766" si="11">LEFT(H512,4)</f>
        <v>TMK7</v>
      </c>
      <c r="AF512" s="9">
        <f>HOUR(O512)</f>
        <v>13</v>
      </c>
      <c r="AG512" s="9">
        <f>DAY(O512)</f>
        <v>18</v>
      </c>
      <c r="AH512" s="9">
        <f>IFERROR((I512-K512)*24*60,0)</f>
        <v>0</v>
      </c>
      <c r="AI512" s="9">
        <f t="shared" ref="AI512:AI766" si="12">IF(AH512&gt;0,AH512,0)</f>
        <v>0</v>
      </c>
      <c r="AJ512" s="9">
        <f>C512</f>
        <v>2334</v>
      </c>
      <c r="AK512" s="9">
        <f>IF(P512="completed",((V512-K512)*24*60),0)</f>
        <v>6.9999999913852662</v>
      </c>
      <c r="AL512" s="9">
        <f>IF(P512="completed",((U512-K512)*24*60),0)</f>
        <v>8.9999999979045242</v>
      </c>
      <c r="AM512" s="9" t="str">
        <f t="shared" ref="AM512:AM766" si="13">IF(AK512&lt;AL512,"OTP Achieved","OTP Breached")</f>
        <v>OTP Achieved</v>
      </c>
      <c r="AN512" s="9" t="str">
        <f t="shared" ref="AN512:AN766" si="14">IF(AK512&lt;(AL512+3),"OTP Achieved","OTP Breached")</f>
        <v>OTP Achieved</v>
      </c>
    </row>
    <row r="513" spans="1:40" ht="15">
      <c r="A513" s="14" t="s">
        <v>1391</v>
      </c>
      <c r="B513" s="15">
        <v>46313.564583333333</v>
      </c>
      <c r="C513" s="16">
        <v>678</v>
      </c>
      <c r="D513" s="17" t="s">
        <v>41</v>
      </c>
      <c r="E513" s="16">
        <v>2</v>
      </c>
      <c r="F513" s="17" t="s">
        <v>41</v>
      </c>
      <c r="G513" s="17" t="s">
        <v>41</v>
      </c>
      <c r="H513" s="17" t="s">
        <v>1647</v>
      </c>
      <c r="I513" s="15">
        <v>46313.56527777778</v>
      </c>
      <c r="J513" s="17" t="s">
        <v>41</v>
      </c>
      <c r="K513" s="15">
        <v>46313.56527777778</v>
      </c>
      <c r="L513" s="16">
        <v>16</v>
      </c>
      <c r="M513" s="17"/>
      <c r="N513" s="17"/>
      <c r="O513" s="15">
        <v>46313.564583333333</v>
      </c>
      <c r="P513" s="17" t="s">
        <v>43</v>
      </c>
      <c r="Q513" s="17" t="s">
        <v>1393</v>
      </c>
      <c r="R513" s="17" t="s">
        <v>1648</v>
      </c>
      <c r="S513" s="16">
        <v>4247</v>
      </c>
      <c r="T513" s="17" t="s">
        <v>41</v>
      </c>
      <c r="U513" s="15">
        <v>46313.568055555559</v>
      </c>
      <c r="V513" s="15">
        <v>46313.566666666666</v>
      </c>
      <c r="W513" s="18" t="s">
        <v>1649</v>
      </c>
      <c r="X513" s="16">
        <v>22411</v>
      </c>
      <c r="Y513" s="19"/>
      <c r="Z513" s="16">
        <v>0</v>
      </c>
      <c r="AA513" s="20">
        <v>0.56458333333333333</v>
      </c>
      <c r="AB513" s="16">
        <v>2</v>
      </c>
      <c r="AC513" s="17" t="s">
        <v>41</v>
      </c>
      <c r="AD513" s="9" t="str">
        <f t="shared" si="10"/>
        <v>Actual</v>
      </c>
      <c r="AE513" s="9" t="str">
        <f t="shared" si="11"/>
        <v>TMK7</v>
      </c>
      <c r="AF513" s="9">
        <f>HOUR(O513)</f>
        <v>13</v>
      </c>
      <c r="AG513" s="9">
        <f>DAY(O513)</f>
        <v>18</v>
      </c>
      <c r="AH513" s="9">
        <f>IFERROR((I513-K513)*24*60,0)</f>
        <v>0</v>
      </c>
      <c r="AI513" s="9">
        <f t="shared" si="12"/>
        <v>0</v>
      </c>
      <c r="AJ513" s="9">
        <f>C513</f>
        <v>678</v>
      </c>
      <c r="AK513" s="9">
        <f>IF(P513="completed",((V513-K513)*24*60),0)</f>
        <v>1.9999999960418791</v>
      </c>
      <c r="AL513" s="9">
        <f>IF(P513="completed",((U513-K513)*24*60),0)</f>
        <v>4.0000000025611371</v>
      </c>
      <c r="AM513" s="9" t="str">
        <f t="shared" si="13"/>
        <v>OTP Achieved</v>
      </c>
      <c r="AN513" s="9" t="str">
        <f t="shared" si="14"/>
        <v>OTP Achieved</v>
      </c>
    </row>
    <row r="514" spans="1:40" ht="15">
      <c r="A514" s="14" t="s">
        <v>185</v>
      </c>
      <c r="B514" s="15">
        <v>46313.563888888886</v>
      </c>
      <c r="C514" s="16">
        <v>2703</v>
      </c>
      <c r="D514" s="17" t="s">
        <v>41</v>
      </c>
      <c r="E514" s="16">
        <v>8</v>
      </c>
      <c r="F514" s="17" t="s">
        <v>41</v>
      </c>
      <c r="G514" s="17" t="s">
        <v>41</v>
      </c>
      <c r="H514" s="17" t="s">
        <v>1650</v>
      </c>
      <c r="I514" s="15">
        <v>46313.56527777778</v>
      </c>
      <c r="J514" s="17" t="s">
        <v>41</v>
      </c>
      <c r="K514" s="15">
        <v>46313.564583333333</v>
      </c>
      <c r="L514" s="16">
        <v>22</v>
      </c>
      <c r="M514" s="17"/>
      <c r="N514" s="17"/>
      <c r="O514" s="15">
        <v>46313.563888888886</v>
      </c>
      <c r="P514" s="17" t="s">
        <v>43</v>
      </c>
      <c r="Q514" s="17" t="s">
        <v>187</v>
      </c>
      <c r="R514" s="17" t="s">
        <v>1651</v>
      </c>
      <c r="S514" s="16">
        <v>4247</v>
      </c>
      <c r="T514" s="17" t="s">
        <v>41</v>
      </c>
      <c r="U514" s="15">
        <v>46313.572222222225</v>
      </c>
      <c r="V514" s="15">
        <v>46313.570833333331</v>
      </c>
      <c r="W514" s="18" t="s">
        <v>1652</v>
      </c>
      <c r="X514" s="16">
        <v>22411</v>
      </c>
      <c r="Y514" s="21"/>
      <c r="Z514" s="16">
        <v>0</v>
      </c>
      <c r="AA514" s="20">
        <v>0.56388888888888888</v>
      </c>
      <c r="AB514" s="16">
        <v>8</v>
      </c>
      <c r="AC514" s="17" t="s">
        <v>41</v>
      </c>
      <c r="AD514" s="9" t="str">
        <f t="shared" si="10"/>
        <v>Actual</v>
      </c>
      <c r="AE514" s="9" t="str">
        <f t="shared" si="11"/>
        <v>TMK7</v>
      </c>
      <c r="AF514" s="9">
        <f>HOUR(O514)</f>
        <v>13</v>
      </c>
      <c r="AG514" s="9">
        <f>DAY(O514)</f>
        <v>18</v>
      </c>
      <c r="AH514" s="9">
        <f>IFERROR((I514-K514)*24*60,0)</f>
        <v>1.000000003259629</v>
      </c>
      <c r="AI514" s="9">
        <f t="shared" si="12"/>
        <v>1.000000003259629</v>
      </c>
      <c r="AJ514" s="9">
        <f>C514</f>
        <v>2703</v>
      </c>
      <c r="AK514" s="9">
        <f>IF(P514="completed",((V514-K514)*24*60),0)</f>
        <v>8.9999999979045242</v>
      </c>
      <c r="AL514" s="9">
        <f>IF(P514="completed",((U514-K514)*24*60),0)</f>
        <v>11.000000004423782</v>
      </c>
      <c r="AM514" s="9" t="str">
        <f t="shared" si="13"/>
        <v>OTP Achieved</v>
      </c>
      <c r="AN514" s="9" t="str">
        <f t="shared" si="14"/>
        <v>OTP Achieved</v>
      </c>
    </row>
    <row r="515" spans="1:40" ht="15">
      <c r="A515" s="14" t="s">
        <v>1136</v>
      </c>
      <c r="B515" s="15">
        <v>46313.563194444447</v>
      </c>
      <c r="C515" s="16">
        <v>1960</v>
      </c>
      <c r="D515" s="17" t="s">
        <v>41</v>
      </c>
      <c r="E515" s="16">
        <v>6</v>
      </c>
      <c r="F515" s="17" t="s">
        <v>41</v>
      </c>
      <c r="G515" s="17" t="s">
        <v>41</v>
      </c>
      <c r="H515" s="17" t="s">
        <v>1653</v>
      </c>
      <c r="I515" s="15">
        <v>46313.564583333333</v>
      </c>
      <c r="J515" s="17" t="s">
        <v>41</v>
      </c>
      <c r="K515" s="15">
        <v>46313.564583333333</v>
      </c>
      <c r="L515" s="16">
        <v>8</v>
      </c>
      <c r="M515" s="17"/>
      <c r="N515" s="17"/>
      <c r="O515" s="15">
        <v>46313.563194444447</v>
      </c>
      <c r="P515" s="17" t="s">
        <v>43</v>
      </c>
      <c r="Q515" s="17" t="s">
        <v>1138</v>
      </c>
      <c r="R515" s="17" t="s">
        <v>1654</v>
      </c>
      <c r="S515" s="16">
        <v>4247</v>
      </c>
      <c r="T515" s="17" t="s">
        <v>41</v>
      </c>
      <c r="U515" s="15">
        <v>46313.570833333331</v>
      </c>
      <c r="V515" s="15">
        <v>46313.568749999999</v>
      </c>
      <c r="W515" s="18" t="s">
        <v>1655</v>
      </c>
      <c r="X515" s="16">
        <v>22411</v>
      </c>
      <c r="Y515" s="19"/>
      <c r="Z515" s="16">
        <v>0</v>
      </c>
      <c r="AA515" s="20">
        <v>0.56319444444444444</v>
      </c>
      <c r="AB515" s="16">
        <v>6</v>
      </c>
      <c r="AC515" s="17" t="s">
        <v>41</v>
      </c>
      <c r="AD515" s="9" t="str">
        <f t="shared" si="10"/>
        <v>Actual</v>
      </c>
      <c r="AE515" s="9" t="str">
        <f t="shared" si="11"/>
        <v>TMK7</v>
      </c>
      <c r="AF515" s="9">
        <f>HOUR(O515)</f>
        <v>13</v>
      </c>
      <c r="AG515" s="9">
        <f>DAY(O515)</f>
        <v>18</v>
      </c>
      <c r="AH515" s="9">
        <f>IFERROR((I515-K515)*24*60,0)</f>
        <v>0</v>
      </c>
      <c r="AI515" s="9">
        <f t="shared" si="12"/>
        <v>0</v>
      </c>
      <c r="AJ515" s="9">
        <f>C515</f>
        <v>1960</v>
      </c>
      <c r="AK515" s="9">
        <f>IF(P515="completed",((V515-K515)*24*60),0)</f>
        <v>5.9999999986030161</v>
      </c>
      <c r="AL515" s="9">
        <f>IF(P515="completed",((U515-K515)*24*60),0)</f>
        <v>8.9999999979045242</v>
      </c>
      <c r="AM515" s="9" t="str">
        <f t="shared" si="13"/>
        <v>OTP Achieved</v>
      </c>
      <c r="AN515" s="9" t="str">
        <f t="shared" si="14"/>
        <v>OTP Achieved</v>
      </c>
    </row>
    <row r="516" spans="1:40" ht="15">
      <c r="A516" s="14" t="s">
        <v>190</v>
      </c>
      <c r="B516" s="15">
        <v>46313.563194444447</v>
      </c>
      <c r="C516" s="16">
        <v>324</v>
      </c>
      <c r="D516" s="17" t="s">
        <v>41</v>
      </c>
      <c r="E516" s="16">
        <v>2</v>
      </c>
      <c r="F516" s="17" t="s">
        <v>41</v>
      </c>
      <c r="G516" s="17" t="s">
        <v>41</v>
      </c>
      <c r="H516" s="17" t="s">
        <v>1656</v>
      </c>
      <c r="I516" s="15">
        <v>46313.563194444447</v>
      </c>
      <c r="J516" s="17" t="s">
        <v>41</v>
      </c>
      <c r="K516" s="15">
        <v>46313.563194444447</v>
      </c>
      <c r="L516" s="16">
        <v>22</v>
      </c>
      <c r="M516" s="17"/>
      <c r="N516" s="17"/>
      <c r="O516" s="15">
        <v>46313.5625</v>
      </c>
      <c r="P516" s="17" t="s">
        <v>43</v>
      </c>
      <c r="Q516" s="17" t="s">
        <v>192</v>
      </c>
      <c r="R516" s="17" t="s">
        <v>1657</v>
      </c>
      <c r="S516" s="16">
        <v>4247</v>
      </c>
      <c r="T516" s="17" t="s">
        <v>41</v>
      </c>
      <c r="U516" s="15">
        <v>46313.564583333333</v>
      </c>
      <c r="V516" s="15">
        <v>46313.563888888886</v>
      </c>
      <c r="W516" s="18" t="s">
        <v>1658</v>
      </c>
      <c r="X516" s="16">
        <v>22411</v>
      </c>
      <c r="Y516" s="21"/>
      <c r="Z516" s="16">
        <v>0</v>
      </c>
      <c r="AA516" s="20">
        <v>0.56319444444444444</v>
      </c>
      <c r="AB516" s="16">
        <v>1</v>
      </c>
      <c r="AC516" s="17" t="s">
        <v>41</v>
      </c>
      <c r="AD516" s="9" t="str">
        <f t="shared" si="10"/>
        <v>Actual</v>
      </c>
      <c r="AE516" s="9" t="str">
        <f t="shared" si="11"/>
        <v>TMK7</v>
      </c>
      <c r="AF516" s="9">
        <f>HOUR(O516)</f>
        <v>13</v>
      </c>
      <c r="AG516" s="9">
        <f>DAY(O516)</f>
        <v>18</v>
      </c>
      <c r="AH516" s="9">
        <f>IFERROR((I516-K516)*24*60,0)</f>
        <v>0</v>
      </c>
      <c r="AI516" s="9">
        <f t="shared" si="12"/>
        <v>0</v>
      </c>
      <c r="AJ516" s="9">
        <f>C516</f>
        <v>324</v>
      </c>
      <c r="AK516" s="9">
        <f>IF(P516="completed",((V516-K516)*24*60),0)</f>
        <v>0.99999999278225005</v>
      </c>
      <c r="AL516" s="9">
        <f>IF(P516="completed",((U516-K516)*24*60),0)</f>
        <v>1.9999999960418791</v>
      </c>
      <c r="AM516" s="9" t="str">
        <f t="shared" si="13"/>
        <v>OTP Achieved</v>
      </c>
      <c r="AN516" s="9" t="str">
        <f t="shared" si="14"/>
        <v>OTP Achieved</v>
      </c>
    </row>
    <row r="517" spans="1:40" ht="15">
      <c r="A517" s="14" t="s">
        <v>655</v>
      </c>
      <c r="B517" s="15">
        <v>46313.5625</v>
      </c>
      <c r="C517" s="16">
        <v>2085</v>
      </c>
      <c r="D517" s="17" t="s">
        <v>41</v>
      </c>
      <c r="E517" s="16">
        <v>4</v>
      </c>
      <c r="F517" s="17" t="s">
        <v>41</v>
      </c>
      <c r="G517" s="17" t="s">
        <v>41</v>
      </c>
      <c r="H517" s="17" t="s">
        <v>1659</v>
      </c>
      <c r="I517" s="15">
        <v>46313.563194444447</v>
      </c>
      <c r="J517" s="17" t="s">
        <v>41</v>
      </c>
      <c r="K517" s="15">
        <v>46313.563194444447</v>
      </c>
      <c r="L517" s="16">
        <v>9</v>
      </c>
      <c r="M517" s="17"/>
      <c r="N517" s="17"/>
      <c r="O517" s="15">
        <v>46313.561805555553</v>
      </c>
      <c r="P517" s="17" t="s">
        <v>43</v>
      </c>
      <c r="Q517" s="17" t="s">
        <v>657</v>
      </c>
      <c r="R517" s="17" t="s">
        <v>1660</v>
      </c>
      <c r="S517" s="16">
        <v>4247</v>
      </c>
      <c r="T517" s="17" t="s">
        <v>41</v>
      </c>
      <c r="U517" s="15">
        <v>46313.568055555559</v>
      </c>
      <c r="V517" s="15">
        <v>46313.566666666666</v>
      </c>
      <c r="W517" s="18" t="s">
        <v>1661</v>
      </c>
      <c r="X517" s="16">
        <v>22411</v>
      </c>
      <c r="Y517" s="19"/>
      <c r="Z517" s="16">
        <v>0</v>
      </c>
      <c r="AA517" s="20">
        <v>0.5625</v>
      </c>
      <c r="AB517" s="16">
        <v>4</v>
      </c>
      <c r="AC517" s="17" t="s">
        <v>41</v>
      </c>
      <c r="AD517" s="9" t="str">
        <f t="shared" si="10"/>
        <v>Actual</v>
      </c>
      <c r="AE517" s="9" t="str">
        <f t="shared" si="11"/>
        <v>TMK7</v>
      </c>
      <c r="AF517" s="9">
        <f>HOUR(O517)</f>
        <v>13</v>
      </c>
      <c r="AG517" s="9">
        <f>DAY(O517)</f>
        <v>18</v>
      </c>
      <c r="AH517" s="9">
        <f>IFERROR((I517-K517)*24*60,0)</f>
        <v>0</v>
      </c>
      <c r="AI517" s="9">
        <f t="shared" si="12"/>
        <v>0</v>
      </c>
      <c r="AJ517" s="9">
        <f>C517</f>
        <v>2085</v>
      </c>
      <c r="AK517" s="9">
        <f>IF(P517="completed",((V517-K517)*24*60),0)</f>
        <v>4.9999999953433871</v>
      </c>
      <c r="AL517" s="9">
        <f>IF(P517="completed",((U517-K517)*24*60),0)</f>
        <v>7.0000000018626451</v>
      </c>
      <c r="AM517" s="9" t="str">
        <f t="shared" si="13"/>
        <v>OTP Achieved</v>
      </c>
      <c r="AN517" s="9" t="str">
        <f t="shared" si="14"/>
        <v>OTP Achieved</v>
      </c>
    </row>
    <row r="518" spans="1:40" ht="15">
      <c r="A518" s="14" t="s">
        <v>77</v>
      </c>
      <c r="B518" s="15">
        <v>46313.5625</v>
      </c>
      <c r="C518" s="16">
        <v>2867</v>
      </c>
      <c r="D518" s="17" t="s">
        <v>41</v>
      </c>
      <c r="E518" s="16">
        <v>7</v>
      </c>
      <c r="F518" s="17" t="s">
        <v>41</v>
      </c>
      <c r="G518" s="17" t="s">
        <v>41</v>
      </c>
      <c r="H518" s="17" t="s">
        <v>1662</v>
      </c>
      <c r="I518" s="15">
        <v>46313.563888888886</v>
      </c>
      <c r="J518" s="17" t="s">
        <v>41</v>
      </c>
      <c r="K518" s="15">
        <v>46313.563888888886</v>
      </c>
      <c r="L518" s="16">
        <v>17</v>
      </c>
      <c r="M518" s="17"/>
      <c r="N518" s="17"/>
      <c r="O518" s="15">
        <v>46313.561111111114</v>
      </c>
      <c r="P518" s="17" t="s">
        <v>43</v>
      </c>
      <c r="Q518" s="17" t="s">
        <v>79</v>
      </c>
      <c r="R518" s="17" t="s">
        <v>1663</v>
      </c>
      <c r="S518" s="16">
        <v>4247</v>
      </c>
      <c r="T518" s="17" t="s">
        <v>41</v>
      </c>
      <c r="U518" s="15">
        <v>46313.571527777778</v>
      </c>
      <c r="V518" s="15">
        <v>46313.568749999999</v>
      </c>
      <c r="W518" s="18" t="s">
        <v>1664</v>
      </c>
      <c r="X518" s="16">
        <v>22411</v>
      </c>
      <c r="Y518" s="19"/>
      <c r="Z518" s="16">
        <v>0</v>
      </c>
      <c r="AA518" s="20">
        <v>0.5625</v>
      </c>
      <c r="AB518" s="16">
        <v>7</v>
      </c>
      <c r="AC518" s="17" t="s">
        <v>41</v>
      </c>
      <c r="AD518" s="9" t="str">
        <f t="shared" si="10"/>
        <v>Actual</v>
      </c>
      <c r="AE518" s="9" t="str">
        <f t="shared" si="11"/>
        <v>TMK7</v>
      </c>
      <c r="AF518" s="9">
        <f>HOUR(O518)</f>
        <v>13</v>
      </c>
      <c r="AG518" s="9">
        <f>DAY(O518)</f>
        <v>18</v>
      </c>
      <c r="AH518" s="9">
        <f>IFERROR((I518-K518)*24*60,0)</f>
        <v>0</v>
      </c>
      <c r="AI518" s="9">
        <f t="shared" si="12"/>
        <v>0</v>
      </c>
      <c r="AJ518" s="9">
        <f>C518</f>
        <v>2867</v>
      </c>
      <c r="AK518" s="9">
        <f>IF(P518="completed",((V518-K518)*24*60),0)</f>
        <v>7.0000000018626451</v>
      </c>
      <c r="AL518" s="9">
        <f>IF(P518="completed",((U518-K518)*24*60),0)</f>
        <v>11.000000004423782</v>
      </c>
      <c r="AM518" s="9" t="str">
        <f t="shared" si="13"/>
        <v>OTP Achieved</v>
      </c>
      <c r="AN518" s="9" t="str">
        <f t="shared" si="14"/>
        <v>OTP Achieved</v>
      </c>
    </row>
    <row r="519" spans="1:40" ht="15">
      <c r="A519" s="14" t="s">
        <v>347</v>
      </c>
      <c r="B519" s="15">
        <v>46313.5625</v>
      </c>
      <c r="C519" s="16">
        <v>1636</v>
      </c>
      <c r="D519" s="17" t="s">
        <v>41</v>
      </c>
      <c r="E519" s="16">
        <v>4</v>
      </c>
      <c r="F519" s="17" t="s">
        <v>41</v>
      </c>
      <c r="G519" s="17" t="s">
        <v>41</v>
      </c>
      <c r="H519" s="17" t="s">
        <v>1665</v>
      </c>
      <c r="I519" s="15">
        <v>46313.5625</v>
      </c>
      <c r="J519" s="17" t="s">
        <v>41</v>
      </c>
      <c r="K519" s="15">
        <v>46313.561111111114</v>
      </c>
      <c r="L519" s="16">
        <v>13</v>
      </c>
      <c r="M519" s="17"/>
      <c r="N519" s="17"/>
      <c r="O519" s="15">
        <v>46313.561111111114</v>
      </c>
      <c r="P519" s="17" t="s">
        <v>43</v>
      </c>
      <c r="Q519" s="17" t="s">
        <v>349</v>
      </c>
      <c r="R519" s="17" t="s">
        <v>1666</v>
      </c>
      <c r="S519" s="16">
        <v>4247</v>
      </c>
      <c r="T519" s="17" t="s">
        <v>41</v>
      </c>
      <c r="U519" s="15">
        <v>46313.566666666666</v>
      </c>
      <c r="V519" s="15">
        <v>46313.56527777778</v>
      </c>
      <c r="W519" s="18" t="s">
        <v>1667</v>
      </c>
      <c r="X519" s="16">
        <v>22411</v>
      </c>
      <c r="Y519" s="19"/>
      <c r="Z519" s="16">
        <v>0</v>
      </c>
      <c r="AA519" s="20">
        <v>0.5625</v>
      </c>
      <c r="AB519" s="16">
        <v>4</v>
      </c>
      <c r="AC519" s="17" t="s">
        <v>41</v>
      </c>
      <c r="AD519" s="9" t="str">
        <f t="shared" si="10"/>
        <v>Actual</v>
      </c>
      <c r="AE519" s="9" t="str">
        <f t="shared" si="11"/>
        <v>TMK7</v>
      </c>
      <c r="AF519" s="9">
        <f>HOUR(O519)</f>
        <v>13</v>
      </c>
      <c r="AG519" s="9">
        <f>DAY(O519)</f>
        <v>18</v>
      </c>
      <c r="AH519" s="9">
        <f>IFERROR((I519-K519)*24*60,0)</f>
        <v>1.9999999960418791</v>
      </c>
      <c r="AI519" s="9">
        <f t="shared" si="12"/>
        <v>1.9999999960418791</v>
      </c>
      <c r="AJ519" s="9">
        <f>C519</f>
        <v>1636</v>
      </c>
      <c r="AK519" s="9">
        <f>IF(P519="completed",((V519-K519)*24*60),0)</f>
        <v>5.9999999986030161</v>
      </c>
      <c r="AL519" s="9">
        <f>IF(P519="completed",((U519-K519)*24*60),0)</f>
        <v>7.9999999946448952</v>
      </c>
      <c r="AM519" s="9" t="str">
        <f t="shared" si="13"/>
        <v>OTP Achieved</v>
      </c>
      <c r="AN519" s="9" t="str">
        <f t="shared" si="14"/>
        <v>OTP Achieved</v>
      </c>
    </row>
    <row r="520" spans="1:40" ht="15">
      <c r="A520" s="14" t="s">
        <v>106</v>
      </c>
      <c r="B520" s="15">
        <v>46313.561805555553</v>
      </c>
      <c r="C520" s="16">
        <v>2353</v>
      </c>
      <c r="D520" s="17" t="s">
        <v>41</v>
      </c>
      <c r="E520" s="16">
        <v>7</v>
      </c>
      <c r="F520" s="17" t="s">
        <v>41</v>
      </c>
      <c r="G520" s="17" t="s">
        <v>41</v>
      </c>
      <c r="H520" s="17" t="s">
        <v>1668</v>
      </c>
      <c r="I520" s="15">
        <v>46313.5625</v>
      </c>
      <c r="J520" s="17" t="s">
        <v>41</v>
      </c>
      <c r="K520" s="15">
        <v>46313.5625</v>
      </c>
      <c r="L520" s="16">
        <v>21</v>
      </c>
      <c r="M520" s="17"/>
      <c r="N520" s="17"/>
      <c r="O520" s="15">
        <v>46313.560416666667</v>
      </c>
      <c r="P520" s="17" t="s">
        <v>43</v>
      </c>
      <c r="Q520" s="17" t="s">
        <v>108</v>
      </c>
      <c r="R520" s="17" t="s">
        <v>1669</v>
      </c>
      <c r="S520" s="16">
        <v>4247</v>
      </c>
      <c r="T520" s="17" t="s">
        <v>41</v>
      </c>
      <c r="U520" s="15">
        <v>46313.568749999999</v>
      </c>
      <c r="V520" s="15">
        <v>46313.567361111112</v>
      </c>
      <c r="W520" s="18" t="s">
        <v>1670</v>
      </c>
      <c r="X520" s="16">
        <v>22411</v>
      </c>
      <c r="Y520" s="19"/>
      <c r="Z520" s="16">
        <v>0</v>
      </c>
      <c r="AA520" s="20">
        <v>0.56180555555555556</v>
      </c>
      <c r="AB520" s="16">
        <v>7</v>
      </c>
      <c r="AC520" s="17" t="s">
        <v>41</v>
      </c>
      <c r="AD520" s="9" t="str">
        <f t="shared" si="10"/>
        <v>Actual</v>
      </c>
      <c r="AE520" s="9" t="str">
        <f t="shared" si="11"/>
        <v>TMK7</v>
      </c>
      <c r="AF520" s="9">
        <f>HOUR(O520)</f>
        <v>13</v>
      </c>
      <c r="AG520" s="9">
        <f>DAY(O520)</f>
        <v>18</v>
      </c>
      <c r="AH520" s="9">
        <f>IFERROR((I520-K520)*24*60,0)</f>
        <v>0</v>
      </c>
      <c r="AI520" s="9">
        <f t="shared" si="12"/>
        <v>0</v>
      </c>
      <c r="AJ520" s="9">
        <f>C520</f>
        <v>2353</v>
      </c>
      <c r="AK520" s="9">
        <f>IF(P520="completed",((V520-K520)*24*60),0)</f>
        <v>7.0000000018626451</v>
      </c>
      <c r="AL520" s="9">
        <f>IF(P520="completed",((U520-K520)*24*60),0)</f>
        <v>8.9999999979045242</v>
      </c>
      <c r="AM520" s="9" t="str">
        <f t="shared" si="13"/>
        <v>OTP Achieved</v>
      </c>
      <c r="AN520" s="9" t="str">
        <f t="shared" si="14"/>
        <v>OTP Achieved</v>
      </c>
    </row>
    <row r="521" spans="1:40" ht="15">
      <c r="A521" s="14" t="s">
        <v>67</v>
      </c>
      <c r="B521" s="15">
        <v>46313.561111111114</v>
      </c>
      <c r="C521" s="16">
        <v>1011</v>
      </c>
      <c r="D521" s="17" t="s">
        <v>41</v>
      </c>
      <c r="E521" s="16">
        <v>3</v>
      </c>
      <c r="F521" s="17" t="s">
        <v>41</v>
      </c>
      <c r="G521" s="17" t="s">
        <v>41</v>
      </c>
      <c r="H521" s="17" t="s">
        <v>1671</v>
      </c>
      <c r="I521" s="15">
        <v>46313.561805555553</v>
      </c>
      <c r="J521" s="17" t="s">
        <v>41</v>
      </c>
      <c r="K521" s="15">
        <v>46313.561111111114</v>
      </c>
      <c r="L521" s="16">
        <v>7</v>
      </c>
      <c r="M521" s="17"/>
      <c r="N521" s="17"/>
      <c r="O521" s="15">
        <v>46313.55972222222</v>
      </c>
      <c r="P521" s="17" t="s">
        <v>43</v>
      </c>
      <c r="Q521" s="17" t="s">
        <v>69</v>
      </c>
      <c r="R521" s="17" t="s">
        <v>1672</v>
      </c>
      <c r="S521" s="16">
        <v>4247</v>
      </c>
      <c r="T521" s="17" t="s">
        <v>41</v>
      </c>
      <c r="U521" s="15">
        <v>46313.56527777778</v>
      </c>
      <c r="V521" s="15">
        <v>46313.563888888886</v>
      </c>
      <c r="W521" s="18" t="s">
        <v>1673</v>
      </c>
      <c r="X521" s="16">
        <v>22411</v>
      </c>
      <c r="Y521" s="19"/>
      <c r="Z521" s="16">
        <v>0</v>
      </c>
      <c r="AA521" s="20">
        <v>0.56111111111111112</v>
      </c>
      <c r="AB521" s="16">
        <v>3</v>
      </c>
      <c r="AC521" s="17" t="s">
        <v>41</v>
      </c>
      <c r="AD521" s="9" t="str">
        <f t="shared" si="10"/>
        <v>Actual</v>
      </c>
      <c r="AE521" s="9" t="str">
        <f t="shared" si="11"/>
        <v>TMK7</v>
      </c>
      <c r="AF521" s="9">
        <f>HOUR(O521)</f>
        <v>13</v>
      </c>
      <c r="AG521" s="9">
        <f>DAY(O521)</f>
        <v>18</v>
      </c>
      <c r="AH521" s="9">
        <f>IFERROR((I521-K521)*24*60,0)</f>
        <v>0.99999999278225005</v>
      </c>
      <c r="AI521" s="9">
        <f t="shared" si="12"/>
        <v>0.99999999278225005</v>
      </c>
      <c r="AJ521" s="9">
        <f>C521</f>
        <v>1011</v>
      </c>
      <c r="AK521" s="9">
        <f>IF(P521="completed",((V521-K521)*24*60),0)</f>
        <v>3.9999999920837581</v>
      </c>
      <c r="AL521" s="9">
        <f>IF(P521="completed",((U521-K521)*24*60),0)</f>
        <v>5.9999999986030161</v>
      </c>
      <c r="AM521" s="9" t="str">
        <f t="shared" si="13"/>
        <v>OTP Achieved</v>
      </c>
      <c r="AN521" s="9" t="str">
        <f t="shared" si="14"/>
        <v>OTP Achieved</v>
      </c>
    </row>
    <row r="522" spans="1:40" ht="15">
      <c r="A522" s="14"/>
      <c r="B522" s="15">
        <v>46313.561111111114</v>
      </c>
      <c r="C522" s="16">
        <v>413</v>
      </c>
      <c r="D522" s="17" t="s">
        <v>41</v>
      </c>
      <c r="E522" s="16" t="s">
        <v>1674</v>
      </c>
      <c r="F522" s="17" t="s">
        <v>41</v>
      </c>
      <c r="G522" s="17" t="s">
        <v>41</v>
      </c>
      <c r="H522" s="17" t="s">
        <v>1675</v>
      </c>
      <c r="I522" s="15"/>
      <c r="J522" s="17" t="s">
        <v>41</v>
      </c>
      <c r="K522" s="22" t="s">
        <v>41</v>
      </c>
      <c r="L522" s="16" t="s">
        <v>1674</v>
      </c>
      <c r="M522" s="17"/>
      <c r="N522" s="17"/>
      <c r="O522" s="15">
        <v>46313.55972222222</v>
      </c>
      <c r="P522" s="17" t="s">
        <v>1676</v>
      </c>
      <c r="Q522" s="17" t="s">
        <v>1674</v>
      </c>
      <c r="R522" s="17" t="s">
        <v>1677</v>
      </c>
      <c r="S522" s="16">
        <v>4247</v>
      </c>
      <c r="T522" s="17" t="s">
        <v>41</v>
      </c>
      <c r="U522" s="15">
        <v>46313.564583333333</v>
      </c>
      <c r="V522" s="15"/>
      <c r="W522" s="18" t="s">
        <v>1678</v>
      </c>
      <c r="X522" s="16">
        <v>22411</v>
      </c>
      <c r="Y522" s="19"/>
      <c r="Z522" s="16">
        <v>0</v>
      </c>
      <c r="AA522" s="20">
        <v>0.56111111111111112</v>
      </c>
      <c r="AB522" s="16" t="s">
        <v>1674</v>
      </c>
      <c r="AC522" s="17" t="s">
        <v>41</v>
      </c>
      <c r="AD522" s="9" t="str">
        <f t="shared" si="10"/>
        <v>Actual</v>
      </c>
      <c r="AE522" s="9" t="str">
        <f t="shared" si="11"/>
        <v>TMK7</v>
      </c>
      <c r="AF522" s="9">
        <f>HOUR(O522)</f>
        <v>13</v>
      </c>
      <c r="AG522" s="9">
        <f>DAY(O522)</f>
        <v>18</v>
      </c>
      <c r="AH522" s="9">
        <f>IFERROR((I522-K522)*24*60,0)</f>
        <v>0</v>
      </c>
      <c r="AI522" s="9">
        <f t="shared" si="12"/>
        <v>0</v>
      </c>
      <c r="AJ522" s="9">
        <f>C522</f>
        <v>413</v>
      </c>
      <c r="AK522" s="9">
        <f>IF(P522="completed",((V522-K522)*24*60),0)</f>
        <v>0</v>
      </c>
      <c r="AL522" s="9">
        <f>IF(P522="completed",((U522-K522)*24*60),0)</f>
        <v>0</v>
      </c>
      <c r="AM522" s="9" t="str">
        <f t="shared" si="13"/>
        <v>OTP Breached</v>
      </c>
      <c r="AN522" s="9" t="str">
        <f t="shared" si="14"/>
        <v>OTP Achieved</v>
      </c>
    </row>
    <row r="523" spans="1:40" ht="15">
      <c r="A523" s="14" t="s">
        <v>62</v>
      </c>
      <c r="B523" s="15">
        <v>46313.561111111114</v>
      </c>
      <c r="C523" s="16">
        <v>1994</v>
      </c>
      <c r="D523" s="17" t="s">
        <v>41</v>
      </c>
      <c r="E523" s="16">
        <v>4</v>
      </c>
      <c r="F523" s="17" t="s">
        <v>41</v>
      </c>
      <c r="G523" s="17" t="s">
        <v>41</v>
      </c>
      <c r="H523" s="17" t="s">
        <v>1679</v>
      </c>
      <c r="I523" s="15">
        <v>46313.561111111114</v>
      </c>
      <c r="J523" s="17" t="s">
        <v>41</v>
      </c>
      <c r="K523" s="15">
        <v>46313.560416666667</v>
      </c>
      <c r="L523" s="16">
        <v>8</v>
      </c>
      <c r="M523" s="17"/>
      <c r="N523" s="17"/>
      <c r="O523" s="15">
        <v>46313.559027777781</v>
      </c>
      <c r="P523" s="17" t="s">
        <v>43</v>
      </c>
      <c r="Q523" s="17" t="s">
        <v>64</v>
      </c>
      <c r="R523" s="17" t="s">
        <v>1680</v>
      </c>
      <c r="S523" s="16">
        <v>4247</v>
      </c>
      <c r="T523" s="17" t="s">
        <v>41</v>
      </c>
      <c r="U523" s="15">
        <v>46313.565972222219</v>
      </c>
      <c r="V523" s="15">
        <v>46313.563888888886</v>
      </c>
      <c r="W523" s="18" t="s">
        <v>1681</v>
      </c>
      <c r="X523" s="16">
        <v>22411</v>
      </c>
      <c r="Y523" s="19"/>
      <c r="Z523" s="16">
        <v>0</v>
      </c>
      <c r="AA523" s="20">
        <v>0.56111111111111112</v>
      </c>
      <c r="AB523" s="16">
        <v>4</v>
      </c>
      <c r="AC523" s="17" t="s">
        <v>41</v>
      </c>
      <c r="AD523" s="9" t="str">
        <f t="shared" si="10"/>
        <v>Actual</v>
      </c>
      <c r="AE523" s="9" t="str">
        <f t="shared" si="11"/>
        <v>TMK7</v>
      </c>
      <c r="AF523" s="9">
        <f>HOUR(O523)</f>
        <v>13</v>
      </c>
      <c r="AG523" s="9">
        <f>DAY(O523)</f>
        <v>18</v>
      </c>
      <c r="AH523" s="9">
        <f>IFERROR((I523-K523)*24*60,0)</f>
        <v>1.000000003259629</v>
      </c>
      <c r="AI523" s="9">
        <f t="shared" si="12"/>
        <v>1.000000003259629</v>
      </c>
      <c r="AJ523" s="9">
        <f>C523</f>
        <v>1994</v>
      </c>
      <c r="AK523" s="9">
        <f>IF(P523="completed",((V523-K523)*24*60),0)</f>
        <v>4.9999999953433871</v>
      </c>
      <c r="AL523" s="9">
        <f>IF(P523="completed",((U523-K523)*24*60),0)</f>
        <v>7.9999999946448952</v>
      </c>
      <c r="AM523" s="9" t="str">
        <f t="shared" si="13"/>
        <v>OTP Achieved</v>
      </c>
      <c r="AN523" s="9" t="str">
        <f t="shared" si="14"/>
        <v>OTP Achieved</v>
      </c>
    </row>
    <row r="524" spans="1:40" ht="15">
      <c r="A524" s="14" t="s">
        <v>1171</v>
      </c>
      <c r="B524" s="15">
        <v>46313.560416666667</v>
      </c>
      <c r="C524" s="16">
        <v>2495</v>
      </c>
      <c r="D524" s="17" t="s">
        <v>41</v>
      </c>
      <c r="E524" s="16">
        <v>6</v>
      </c>
      <c r="F524" s="17" t="s">
        <v>41</v>
      </c>
      <c r="G524" s="17" t="s">
        <v>41</v>
      </c>
      <c r="H524" s="17" t="s">
        <v>1682</v>
      </c>
      <c r="I524" s="15">
        <v>46313.560416666667</v>
      </c>
      <c r="J524" s="17" t="s">
        <v>41</v>
      </c>
      <c r="K524" s="15">
        <v>46313.560416666667</v>
      </c>
      <c r="L524" s="16">
        <v>21</v>
      </c>
      <c r="M524" s="17"/>
      <c r="N524" s="17"/>
      <c r="O524" s="15">
        <v>46313.559027777781</v>
      </c>
      <c r="P524" s="17" t="s">
        <v>43</v>
      </c>
      <c r="Q524" s="17" t="s">
        <v>1173</v>
      </c>
      <c r="R524" s="17" t="s">
        <v>1683</v>
      </c>
      <c r="S524" s="16">
        <v>4247</v>
      </c>
      <c r="T524" s="17" t="s">
        <v>41</v>
      </c>
      <c r="U524" s="15">
        <v>46313.566666666666</v>
      </c>
      <c r="V524" s="15">
        <v>46313.564583333333</v>
      </c>
      <c r="W524" s="18" t="s">
        <v>1684</v>
      </c>
      <c r="X524" s="16">
        <v>22411</v>
      </c>
      <c r="Y524" s="19"/>
      <c r="Z524" s="16">
        <v>0</v>
      </c>
      <c r="AA524" s="20">
        <v>0.56041666666666667</v>
      </c>
      <c r="AB524" s="16">
        <v>6</v>
      </c>
      <c r="AC524" s="17" t="s">
        <v>41</v>
      </c>
      <c r="AD524" s="9" t="str">
        <f t="shared" si="10"/>
        <v>Actual</v>
      </c>
      <c r="AE524" s="9" t="str">
        <f t="shared" si="11"/>
        <v>TMK7</v>
      </c>
      <c r="AF524" s="9">
        <f>HOUR(O524)</f>
        <v>13</v>
      </c>
      <c r="AG524" s="9">
        <f>DAY(O524)</f>
        <v>18</v>
      </c>
      <c r="AH524" s="9">
        <f>IFERROR((I524-K524)*24*60,0)</f>
        <v>0</v>
      </c>
      <c r="AI524" s="9">
        <f t="shared" si="12"/>
        <v>0</v>
      </c>
      <c r="AJ524" s="9">
        <f>C524</f>
        <v>2495</v>
      </c>
      <c r="AK524" s="9">
        <f>IF(P524="completed",((V524-K524)*24*60),0)</f>
        <v>5.9999999986030161</v>
      </c>
      <c r="AL524" s="9">
        <f>IF(P524="completed",((U524-K524)*24*60),0)</f>
        <v>8.9999999979045242</v>
      </c>
      <c r="AM524" s="9" t="str">
        <f t="shared" si="13"/>
        <v>OTP Achieved</v>
      </c>
      <c r="AN524" s="9" t="str">
        <f t="shared" si="14"/>
        <v>OTP Achieved</v>
      </c>
    </row>
    <row r="525" spans="1:40" ht="15">
      <c r="A525" s="14" t="s">
        <v>1461</v>
      </c>
      <c r="B525" s="15">
        <v>46313.560416666667</v>
      </c>
      <c r="C525" s="16">
        <v>1369</v>
      </c>
      <c r="D525" s="17" t="s">
        <v>41</v>
      </c>
      <c r="E525" s="16">
        <v>5</v>
      </c>
      <c r="F525" s="17" t="s">
        <v>41</v>
      </c>
      <c r="G525" s="17" t="s">
        <v>41</v>
      </c>
      <c r="H525" s="17" t="s">
        <v>1685</v>
      </c>
      <c r="I525" s="15">
        <v>46313.560416666667</v>
      </c>
      <c r="J525" s="17" t="s">
        <v>41</v>
      </c>
      <c r="K525" s="15">
        <v>46313.55972222222</v>
      </c>
      <c r="L525" s="16">
        <v>34</v>
      </c>
      <c r="M525" s="17"/>
      <c r="N525" s="17"/>
      <c r="O525" s="15">
        <v>46313.558333333334</v>
      </c>
      <c r="P525" s="17" t="s">
        <v>43</v>
      </c>
      <c r="Q525" s="17" t="s">
        <v>1463</v>
      </c>
      <c r="R525" s="17" t="s">
        <v>1686</v>
      </c>
      <c r="S525" s="16">
        <v>4247</v>
      </c>
      <c r="T525" s="17" t="s">
        <v>41</v>
      </c>
      <c r="U525" s="15">
        <v>46313.56527777778</v>
      </c>
      <c r="V525" s="15">
        <v>46313.563194444447</v>
      </c>
      <c r="W525" s="18" t="s">
        <v>1687</v>
      </c>
      <c r="X525" s="16">
        <v>22411</v>
      </c>
      <c r="Y525" s="19"/>
      <c r="Z525" s="16">
        <v>0</v>
      </c>
      <c r="AA525" s="20">
        <v>0.56041666666666667</v>
      </c>
      <c r="AB525" s="16">
        <v>4</v>
      </c>
      <c r="AC525" s="17" t="s">
        <v>41</v>
      </c>
      <c r="AD525" s="9" t="str">
        <f t="shared" si="10"/>
        <v>Actual</v>
      </c>
      <c r="AE525" s="9" t="str">
        <f t="shared" si="11"/>
        <v>TMK7</v>
      </c>
      <c r="AF525" s="9">
        <f>HOUR(O525)</f>
        <v>13</v>
      </c>
      <c r="AG525" s="9">
        <f>DAY(O525)</f>
        <v>18</v>
      </c>
      <c r="AH525" s="9">
        <f>IFERROR((I525-K525)*24*60,0)</f>
        <v>1.000000003259629</v>
      </c>
      <c r="AI525" s="9">
        <f t="shared" si="12"/>
        <v>1.000000003259629</v>
      </c>
      <c r="AJ525" s="9">
        <f>C525</f>
        <v>1369</v>
      </c>
      <c r="AK525" s="9">
        <f>IF(P525="completed",((V525-K525)*24*60),0)</f>
        <v>5.0000000058207661</v>
      </c>
      <c r="AL525" s="9">
        <f>IF(P525="completed",((U525-K525)*24*60),0)</f>
        <v>8.0000000051222742</v>
      </c>
      <c r="AM525" s="9" t="str">
        <f t="shared" si="13"/>
        <v>OTP Achieved</v>
      </c>
      <c r="AN525" s="9" t="str">
        <f t="shared" si="14"/>
        <v>OTP Achieved</v>
      </c>
    </row>
    <row r="526" spans="1:40" ht="15">
      <c r="A526" s="14" t="s">
        <v>1592</v>
      </c>
      <c r="B526" s="15">
        <v>46313.559027777781</v>
      </c>
      <c r="C526" s="16">
        <v>3051</v>
      </c>
      <c r="D526" s="17" t="s">
        <v>41</v>
      </c>
      <c r="E526" s="16">
        <v>9</v>
      </c>
      <c r="F526" s="17" t="s">
        <v>41</v>
      </c>
      <c r="G526" s="17" t="s">
        <v>41</v>
      </c>
      <c r="H526" s="17" t="s">
        <v>1688</v>
      </c>
      <c r="I526" s="15">
        <v>46313.5625</v>
      </c>
      <c r="J526" s="17" t="s">
        <v>41</v>
      </c>
      <c r="K526" s="15">
        <v>46313.561805555553</v>
      </c>
      <c r="L526" s="16">
        <v>12</v>
      </c>
      <c r="M526" s="17"/>
      <c r="N526" s="17"/>
      <c r="O526" s="15">
        <v>46313.558333333334</v>
      </c>
      <c r="P526" s="17" t="s">
        <v>43</v>
      </c>
      <c r="Q526" s="17" t="s">
        <v>1594</v>
      </c>
      <c r="R526" s="17" t="s">
        <v>1689</v>
      </c>
      <c r="S526" s="16">
        <v>4247</v>
      </c>
      <c r="T526" s="17" t="s">
        <v>41</v>
      </c>
      <c r="U526" s="15">
        <v>46313.570138888892</v>
      </c>
      <c r="V526" s="15">
        <v>46313.568749999999</v>
      </c>
      <c r="W526" s="18" t="s">
        <v>1690</v>
      </c>
      <c r="X526" s="16">
        <v>22411</v>
      </c>
      <c r="Y526" s="19"/>
      <c r="Z526" s="16">
        <v>0</v>
      </c>
      <c r="AA526" s="20">
        <v>0.55902777777777779</v>
      </c>
      <c r="AB526" s="16">
        <v>9</v>
      </c>
      <c r="AC526" s="17" t="s">
        <v>41</v>
      </c>
      <c r="AD526" s="9" t="str">
        <f t="shared" si="10"/>
        <v>Actual</v>
      </c>
      <c r="AE526" s="9" t="str">
        <f t="shared" si="11"/>
        <v>TMK7</v>
      </c>
      <c r="AF526" s="9">
        <f>HOUR(O526)</f>
        <v>13</v>
      </c>
      <c r="AG526" s="9">
        <f>DAY(O526)</f>
        <v>18</v>
      </c>
      <c r="AH526" s="9">
        <f>IFERROR((I526-K526)*24*60,0)</f>
        <v>1.000000003259629</v>
      </c>
      <c r="AI526" s="9">
        <f t="shared" si="12"/>
        <v>1.000000003259629</v>
      </c>
      <c r="AJ526" s="9">
        <f>C526</f>
        <v>3051</v>
      </c>
      <c r="AK526" s="9">
        <f>IF(P526="completed",((V526-K526)*24*60),0)</f>
        <v>10.000000001164153</v>
      </c>
      <c r="AL526" s="9">
        <f>IF(P526="completed",((U526-K526)*24*60),0)</f>
        <v>12.000000007683411</v>
      </c>
      <c r="AM526" s="9" t="str">
        <f t="shared" si="13"/>
        <v>OTP Achieved</v>
      </c>
      <c r="AN526" s="9" t="str">
        <f t="shared" si="14"/>
        <v>OTP Achieved</v>
      </c>
    </row>
    <row r="527" spans="1:40" ht="15">
      <c r="A527" s="14" t="s">
        <v>57</v>
      </c>
      <c r="B527" s="15">
        <v>46313.559027777781</v>
      </c>
      <c r="C527" s="16">
        <v>944</v>
      </c>
      <c r="D527" s="17" t="s">
        <v>41</v>
      </c>
      <c r="E527" s="16">
        <v>3</v>
      </c>
      <c r="F527" s="17" t="s">
        <v>41</v>
      </c>
      <c r="G527" s="17" t="s">
        <v>41</v>
      </c>
      <c r="H527" s="17" t="s">
        <v>1691</v>
      </c>
      <c r="I527" s="15">
        <v>46313.560416666667</v>
      </c>
      <c r="J527" s="17" t="s">
        <v>41</v>
      </c>
      <c r="K527" s="15">
        <v>46313.560416666667</v>
      </c>
      <c r="L527" s="16">
        <v>14</v>
      </c>
      <c r="M527" s="17"/>
      <c r="N527" s="17"/>
      <c r="O527" s="15">
        <v>46313.557638888888</v>
      </c>
      <c r="P527" s="17" t="s">
        <v>43</v>
      </c>
      <c r="Q527" s="17" t="s">
        <v>59</v>
      </c>
      <c r="R527" s="17" t="s">
        <v>1692</v>
      </c>
      <c r="S527" s="16">
        <v>4247</v>
      </c>
      <c r="T527" s="17" t="s">
        <v>41</v>
      </c>
      <c r="U527" s="15">
        <v>46313.563194444447</v>
      </c>
      <c r="V527" s="15">
        <v>46313.5625</v>
      </c>
      <c r="W527" s="18" t="s">
        <v>1693</v>
      </c>
      <c r="X527" s="16">
        <v>22411</v>
      </c>
      <c r="Y527" s="19"/>
      <c r="Z527" s="16">
        <v>0</v>
      </c>
      <c r="AA527" s="20">
        <v>0.55902777777777779</v>
      </c>
      <c r="AB527" s="16">
        <v>3</v>
      </c>
      <c r="AC527" s="17" t="s">
        <v>41</v>
      </c>
      <c r="AD527" s="9" t="str">
        <f t="shared" si="10"/>
        <v>Actual</v>
      </c>
      <c r="AE527" s="9" t="str">
        <f t="shared" si="11"/>
        <v>TMK7</v>
      </c>
      <c r="AF527" s="9">
        <f>HOUR(O527)</f>
        <v>13</v>
      </c>
      <c r="AG527" s="9">
        <f>DAY(O527)</f>
        <v>18</v>
      </c>
      <c r="AH527" s="9">
        <f>IFERROR((I527-K527)*24*60,0)</f>
        <v>0</v>
      </c>
      <c r="AI527" s="9">
        <f t="shared" si="12"/>
        <v>0</v>
      </c>
      <c r="AJ527" s="9">
        <f>C527</f>
        <v>944</v>
      </c>
      <c r="AK527" s="9">
        <f>IF(P527="completed",((V527-K527)*24*60),0)</f>
        <v>2.9999999993015081</v>
      </c>
      <c r="AL527" s="9">
        <f>IF(P527="completed",((U527-K527)*24*60),0)</f>
        <v>4.0000000025611371</v>
      </c>
      <c r="AM527" s="9" t="str">
        <f t="shared" si="13"/>
        <v>OTP Achieved</v>
      </c>
      <c r="AN527" s="9" t="str">
        <f t="shared" si="14"/>
        <v>OTP Achieved</v>
      </c>
    </row>
    <row r="528" spans="1:40" ht="15">
      <c r="A528" s="14" t="s">
        <v>379</v>
      </c>
      <c r="B528" s="15">
        <v>46313.559027777781</v>
      </c>
      <c r="C528" s="16">
        <v>1981</v>
      </c>
      <c r="D528" s="17" t="s">
        <v>41</v>
      </c>
      <c r="E528" s="16">
        <v>7</v>
      </c>
      <c r="F528" s="17" t="s">
        <v>41</v>
      </c>
      <c r="G528" s="17" t="s">
        <v>41</v>
      </c>
      <c r="H528" s="17" t="s">
        <v>1694</v>
      </c>
      <c r="I528" s="15">
        <v>46313.55972222222</v>
      </c>
      <c r="J528" s="17" t="s">
        <v>41</v>
      </c>
      <c r="K528" s="15">
        <v>46313.55972222222</v>
      </c>
      <c r="L528" s="16">
        <v>19</v>
      </c>
      <c r="M528" s="17"/>
      <c r="N528" s="17"/>
      <c r="O528" s="15">
        <v>46313.557638888888</v>
      </c>
      <c r="P528" s="17" t="s">
        <v>43</v>
      </c>
      <c r="Q528" s="17" t="s">
        <v>381</v>
      </c>
      <c r="R528" s="17" t="s">
        <v>1695</v>
      </c>
      <c r="S528" s="16">
        <v>4247</v>
      </c>
      <c r="T528" s="17" t="s">
        <v>41</v>
      </c>
      <c r="U528" s="15">
        <v>46313.565972222219</v>
      </c>
      <c r="V528" s="15">
        <v>46313.564583333333</v>
      </c>
      <c r="W528" s="18" t="s">
        <v>1696</v>
      </c>
      <c r="X528" s="16">
        <v>22411</v>
      </c>
      <c r="Y528" s="19"/>
      <c r="Z528" s="16">
        <v>0</v>
      </c>
      <c r="AA528" s="20">
        <v>0.55902777777777779</v>
      </c>
      <c r="AB528" s="16">
        <v>7</v>
      </c>
      <c r="AC528" s="17" t="s">
        <v>41</v>
      </c>
      <c r="AD528" s="9" t="str">
        <f t="shared" si="10"/>
        <v>Actual</v>
      </c>
      <c r="AE528" s="9" t="str">
        <f t="shared" si="11"/>
        <v>TMK7</v>
      </c>
      <c r="AF528" s="9">
        <f>HOUR(O528)</f>
        <v>13</v>
      </c>
      <c r="AG528" s="9">
        <f>DAY(O528)</f>
        <v>18</v>
      </c>
      <c r="AH528" s="9">
        <f>IFERROR((I528-K528)*24*60,0)</f>
        <v>0</v>
      </c>
      <c r="AI528" s="9">
        <f t="shared" si="12"/>
        <v>0</v>
      </c>
      <c r="AJ528" s="9">
        <f>C528</f>
        <v>1981</v>
      </c>
      <c r="AK528" s="9">
        <f>IF(P528="completed",((V528-K528)*24*60),0)</f>
        <v>7.0000000018626451</v>
      </c>
      <c r="AL528" s="9">
        <f>IF(P528="completed",((U528-K528)*24*60),0)</f>
        <v>8.9999999979045242</v>
      </c>
      <c r="AM528" s="9" t="str">
        <f t="shared" si="13"/>
        <v>OTP Achieved</v>
      </c>
      <c r="AN528" s="9" t="str">
        <f t="shared" si="14"/>
        <v>OTP Achieved</v>
      </c>
    </row>
    <row r="529" spans="1:40" ht="15">
      <c r="A529" s="14" t="s">
        <v>1624</v>
      </c>
      <c r="B529" s="15">
        <v>46313.559027777781</v>
      </c>
      <c r="C529" s="16">
        <v>1202</v>
      </c>
      <c r="D529" s="17" t="s">
        <v>41</v>
      </c>
      <c r="E529" s="16">
        <v>6</v>
      </c>
      <c r="F529" s="17" t="s">
        <v>41</v>
      </c>
      <c r="G529" s="17" t="s">
        <v>41</v>
      </c>
      <c r="H529" s="17" t="s">
        <v>1697</v>
      </c>
      <c r="I529" s="15">
        <v>46313.559027777781</v>
      </c>
      <c r="J529" s="17" t="s">
        <v>41</v>
      </c>
      <c r="K529" s="15">
        <v>46313.559027777781</v>
      </c>
      <c r="L529" s="16">
        <v>10</v>
      </c>
      <c r="M529" s="17"/>
      <c r="N529" s="17"/>
      <c r="O529" s="15">
        <v>46313.557638888888</v>
      </c>
      <c r="P529" s="17" t="s">
        <v>43</v>
      </c>
      <c r="Q529" s="17" t="s">
        <v>1626</v>
      </c>
      <c r="R529" s="17" t="s">
        <v>1698</v>
      </c>
      <c r="S529" s="16">
        <v>4247</v>
      </c>
      <c r="T529" s="17" t="s">
        <v>41</v>
      </c>
      <c r="U529" s="15">
        <v>46313.563194444447</v>
      </c>
      <c r="V529" s="15">
        <v>46313.563194444447</v>
      </c>
      <c r="W529" s="18" t="s">
        <v>1699</v>
      </c>
      <c r="X529" s="16">
        <v>22411</v>
      </c>
      <c r="Y529" s="17"/>
      <c r="Z529" s="16">
        <v>0</v>
      </c>
      <c r="AA529" s="20">
        <v>0.55902777777777779</v>
      </c>
      <c r="AB529" s="16">
        <v>6</v>
      </c>
      <c r="AC529" s="17" t="s">
        <v>41</v>
      </c>
      <c r="AD529" s="9" t="str">
        <f t="shared" si="10"/>
        <v>Actual</v>
      </c>
      <c r="AE529" s="9" t="str">
        <f t="shared" si="11"/>
        <v>TMK7</v>
      </c>
      <c r="AF529" s="9">
        <f>HOUR(O529)</f>
        <v>13</v>
      </c>
      <c r="AG529" s="9">
        <f>DAY(O529)</f>
        <v>18</v>
      </c>
      <c r="AH529" s="9">
        <f>IFERROR((I529-K529)*24*60,0)</f>
        <v>0</v>
      </c>
      <c r="AI529" s="9">
        <f t="shared" si="12"/>
        <v>0</v>
      </c>
      <c r="AJ529" s="9">
        <f>C529</f>
        <v>1202</v>
      </c>
      <c r="AK529" s="9">
        <f>IF(P529="completed",((V529-K529)*24*60),0)</f>
        <v>5.9999999986030161</v>
      </c>
      <c r="AL529" s="9">
        <f>IF(P529="completed",((U529-K529)*24*60),0)</f>
        <v>5.9999999986030161</v>
      </c>
      <c r="AM529" s="9" t="str">
        <f t="shared" si="13"/>
        <v>OTP Breached</v>
      </c>
      <c r="AN529" s="9" t="str">
        <f t="shared" si="14"/>
        <v>OTP Achieved</v>
      </c>
    </row>
    <row r="530" spans="1:40" ht="15">
      <c r="A530" s="14" t="s">
        <v>711</v>
      </c>
      <c r="B530" s="15">
        <v>46313.558333333334</v>
      </c>
      <c r="C530" s="16">
        <v>1521</v>
      </c>
      <c r="D530" s="17" t="s">
        <v>41</v>
      </c>
      <c r="E530" s="16">
        <v>5</v>
      </c>
      <c r="F530" s="17" t="s">
        <v>41</v>
      </c>
      <c r="G530" s="17" t="s">
        <v>41</v>
      </c>
      <c r="H530" s="17" t="s">
        <v>1700</v>
      </c>
      <c r="I530" s="15">
        <v>46313.559027777781</v>
      </c>
      <c r="J530" s="17" t="s">
        <v>41</v>
      </c>
      <c r="K530" s="15">
        <v>46313.559027777781</v>
      </c>
      <c r="L530" s="16">
        <v>9</v>
      </c>
      <c r="M530" s="17"/>
      <c r="N530" s="17"/>
      <c r="O530" s="15">
        <v>46313.557638888888</v>
      </c>
      <c r="P530" s="17" t="s">
        <v>43</v>
      </c>
      <c r="Q530" s="17" t="s">
        <v>713</v>
      </c>
      <c r="R530" s="17" t="s">
        <v>1701</v>
      </c>
      <c r="S530" s="16">
        <v>4247</v>
      </c>
      <c r="T530" s="17" t="s">
        <v>41</v>
      </c>
      <c r="U530" s="15">
        <v>46313.563888888886</v>
      </c>
      <c r="V530" s="15">
        <v>46313.5625</v>
      </c>
      <c r="W530" s="18" t="s">
        <v>1702</v>
      </c>
      <c r="X530" s="16">
        <v>22411</v>
      </c>
      <c r="Y530" s="17"/>
      <c r="Z530" s="16">
        <v>0</v>
      </c>
      <c r="AA530" s="20">
        <v>0.55833333333333335</v>
      </c>
      <c r="AB530" s="16">
        <v>5</v>
      </c>
      <c r="AC530" s="17" t="s">
        <v>41</v>
      </c>
      <c r="AD530" s="9" t="str">
        <f t="shared" si="10"/>
        <v>Actual</v>
      </c>
      <c r="AE530" s="9" t="str">
        <f t="shared" si="11"/>
        <v>TMK7</v>
      </c>
      <c r="AF530" s="9">
        <f>HOUR(O530)</f>
        <v>13</v>
      </c>
      <c r="AG530" s="9">
        <f>DAY(O530)</f>
        <v>18</v>
      </c>
      <c r="AH530" s="9">
        <f>IFERROR((I530-K530)*24*60,0)</f>
        <v>0</v>
      </c>
      <c r="AI530" s="9">
        <f t="shared" si="12"/>
        <v>0</v>
      </c>
      <c r="AJ530" s="9">
        <f>C530</f>
        <v>1521</v>
      </c>
      <c r="AK530" s="9">
        <f>IF(P530="completed",((V530-K530)*24*60),0)</f>
        <v>4.9999999953433871</v>
      </c>
      <c r="AL530" s="9">
        <f>IF(P530="completed",((U530-K530)*24*60),0)</f>
        <v>6.9999999913852662</v>
      </c>
      <c r="AM530" s="9" t="str">
        <f t="shared" si="13"/>
        <v>OTP Achieved</v>
      </c>
      <c r="AN530" s="9" t="str">
        <f t="shared" si="14"/>
        <v>OTP Achieved</v>
      </c>
    </row>
    <row r="531" spans="1:40" ht="15">
      <c r="A531" s="14" t="s">
        <v>72</v>
      </c>
      <c r="B531" s="15">
        <v>46313.557638888888</v>
      </c>
      <c r="C531" s="16">
        <v>507</v>
      </c>
      <c r="D531" s="17" t="s">
        <v>41</v>
      </c>
      <c r="E531" s="16">
        <v>3</v>
      </c>
      <c r="F531" s="17" t="s">
        <v>41</v>
      </c>
      <c r="G531" s="17" t="s">
        <v>41</v>
      </c>
      <c r="H531" s="17" t="s">
        <v>1703</v>
      </c>
      <c r="I531" s="15">
        <v>46313.558333333334</v>
      </c>
      <c r="J531" s="17" t="s">
        <v>41</v>
      </c>
      <c r="K531" s="15">
        <v>46313.558333333334</v>
      </c>
      <c r="L531" s="16">
        <v>10</v>
      </c>
      <c r="M531" s="17"/>
      <c r="N531" s="17"/>
      <c r="O531" s="15">
        <v>46313.556250000001</v>
      </c>
      <c r="P531" s="17" t="s">
        <v>43</v>
      </c>
      <c r="Q531" s="17" t="s">
        <v>74</v>
      </c>
      <c r="R531" s="17" t="s">
        <v>1704</v>
      </c>
      <c r="S531" s="16">
        <v>4247</v>
      </c>
      <c r="T531" s="17" t="s">
        <v>41</v>
      </c>
      <c r="U531" s="15">
        <v>46313.560416666667</v>
      </c>
      <c r="V531" s="15">
        <v>46313.55972222222</v>
      </c>
      <c r="W531" s="18" t="s">
        <v>1705</v>
      </c>
      <c r="X531" s="16">
        <v>22411</v>
      </c>
      <c r="Y531" s="17"/>
      <c r="Z531" s="16">
        <v>0</v>
      </c>
      <c r="AA531" s="20">
        <v>0.55763888888888891</v>
      </c>
      <c r="AB531" s="16">
        <v>2</v>
      </c>
      <c r="AC531" s="17" t="s">
        <v>41</v>
      </c>
      <c r="AD531" s="9" t="str">
        <f t="shared" si="10"/>
        <v>Actual</v>
      </c>
      <c r="AE531" s="9" t="str">
        <f t="shared" si="11"/>
        <v>TMK7</v>
      </c>
      <c r="AF531" s="9">
        <f>HOUR(O531)</f>
        <v>13</v>
      </c>
      <c r="AG531" s="9">
        <f>DAY(O531)</f>
        <v>18</v>
      </c>
      <c r="AH531" s="9">
        <f>IFERROR((I531-K531)*24*60,0)</f>
        <v>0</v>
      </c>
      <c r="AI531" s="9">
        <f t="shared" si="12"/>
        <v>0</v>
      </c>
      <c r="AJ531" s="9">
        <f>C531</f>
        <v>507</v>
      </c>
      <c r="AK531" s="9">
        <f>IF(P531="completed",((V531-K531)*24*60),0)</f>
        <v>1.9999999960418791</v>
      </c>
      <c r="AL531" s="9">
        <f>IF(P531="completed",((U531-K531)*24*60),0)</f>
        <v>2.9999999993015081</v>
      </c>
      <c r="AM531" s="9" t="str">
        <f t="shared" si="13"/>
        <v>OTP Achieved</v>
      </c>
      <c r="AN531" s="9" t="str">
        <f t="shared" si="14"/>
        <v>OTP Achieved</v>
      </c>
    </row>
    <row r="532" spans="1:40" ht="15">
      <c r="A532" s="14" t="s">
        <v>1391</v>
      </c>
      <c r="B532" s="15">
        <v>46313.555555555555</v>
      </c>
      <c r="C532" s="16">
        <v>1187</v>
      </c>
      <c r="D532" s="17" t="s">
        <v>41</v>
      </c>
      <c r="E532" s="16">
        <v>4</v>
      </c>
      <c r="F532" s="17" t="s">
        <v>41</v>
      </c>
      <c r="G532" s="17" t="s">
        <v>41</v>
      </c>
      <c r="H532" s="17" t="s">
        <v>1706</v>
      </c>
      <c r="I532" s="15">
        <v>46313.556250000001</v>
      </c>
      <c r="J532" s="17" t="s">
        <v>41</v>
      </c>
      <c r="K532" s="15">
        <v>46313.554861111108</v>
      </c>
      <c r="L532" s="16">
        <v>19</v>
      </c>
      <c r="M532" s="17"/>
      <c r="N532" s="17"/>
      <c r="O532" s="15">
        <v>46313.554166666669</v>
      </c>
      <c r="P532" s="17" t="s">
        <v>43</v>
      </c>
      <c r="Q532" s="17" t="s">
        <v>1393</v>
      </c>
      <c r="R532" s="17" t="s">
        <v>1707</v>
      </c>
      <c r="S532" s="16">
        <v>4247</v>
      </c>
      <c r="T532" s="17" t="s">
        <v>41</v>
      </c>
      <c r="U532" s="15">
        <v>46313.55972222222</v>
      </c>
      <c r="V532" s="15">
        <v>46313.559027777781</v>
      </c>
      <c r="W532" s="18" t="s">
        <v>1708</v>
      </c>
      <c r="X532" s="16">
        <v>22411</v>
      </c>
      <c r="Y532" s="17"/>
      <c r="Z532" s="16">
        <v>0</v>
      </c>
      <c r="AA532" s="20">
        <v>0.55555555555555558</v>
      </c>
      <c r="AB532" s="16">
        <v>4</v>
      </c>
      <c r="AC532" s="17" t="s">
        <v>41</v>
      </c>
      <c r="AD532" s="9" t="str">
        <f t="shared" si="10"/>
        <v>Actual</v>
      </c>
      <c r="AE532" s="9" t="str">
        <f t="shared" si="11"/>
        <v>TMK7</v>
      </c>
      <c r="AF532" s="9">
        <f>HOUR(O532)</f>
        <v>13</v>
      </c>
      <c r="AG532" s="9">
        <f>DAY(O532)</f>
        <v>18</v>
      </c>
      <c r="AH532" s="9">
        <f>IFERROR((I532-K532)*24*60,0)</f>
        <v>2.000000006519258</v>
      </c>
      <c r="AI532" s="9">
        <f t="shared" si="12"/>
        <v>2.000000006519258</v>
      </c>
      <c r="AJ532" s="9">
        <f>C532</f>
        <v>1187</v>
      </c>
      <c r="AK532" s="9">
        <f>IF(P532="completed",((V532-K532)*24*60),0)</f>
        <v>6.0000000090803951</v>
      </c>
      <c r="AL532" s="9">
        <f>IF(P532="completed",((U532-K532)*24*60),0)</f>
        <v>7.0000000018626451</v>
      </c>
      <c r="AM532" s="9" t="str">
        <f t="shared" si="13"/>
        <v>OTP Achieved</v>
      </c>
      <c r="AN532" s="9" t="str">
        <f t="shared" si="14"/>
        <v>OTP Achieved</v>
      </c>
    </row>
    <row r="533" spans="1:40" ht="15">
      <c r="A533" s="14" t="s">
        <v>40</v>
      </c>
      <c r="B533" s="15">
        <v>46313.555555555555</v>
      </c>
      <c r="C533" s="16">
        <v>2011</v>
      </c>
      <c r="D533" s="17" t="s">
        <v>41</v>
      </c>
      <c r="E533" s="16">
        <v>7</v>
      </c>
      <c r="F533" s="17" t="s">
        <v>41</v>
      </c>
      <c r="G533" s="17" t="s">
        <v>41</v>
      </c>
      <c r="H533" s="17" t="s">
        <v>1709</v>
      </c>
      <c r="I533" s="15">
        <v>46313.555555555555</v>
      </c>
      <c r="J533" s="17" t="s">
        <v>41</v>
      </c>
      <c r="K533" s="15">
        <v>46313.555555555555</v>
      </c>
      <c r="L533" s="16">
        <v>22</v>
      </c>
      <c r="M533" s="17"/>
      <c r="N533" s="17"/>
      <c r="O533" s="15">
        <v>46313.554166666669</v>
      </c>
      <c r="P533" s="17" t="s">
        <v>43</v>
      </c>
      <c r="Q533" s="17" t="s">
        <v>44</v>
      </c>
      <c r="R533" s="17" t="s">
        <v>1710</v>
      </c>
      <c r="S533" s="16">
        <v>4247</v>
      </c>
      <c r="T533" s="17" t="s">
        <v>41</v>
      </c>
      <c r="U533" s="15">
        <v>46313.561805555553</v>
      </c>
      <c r="V533" s="15">
        <v>46313.560416666667</v>
      </c>
      <c r="W533" s="18" t="s">
        <v>1711</v>
      </c>
      <c r="X533" s="16">
        <v>22411</v>
      </c>
      <c r="Y533" s="19"/>
      <c r="Z533" s="16">
        <v>0</v>
      </c>
      <c r="AA533" s="20">
        <v>0.55555555555555558</v>
      </c>
      <c r="AB533" s="16">
        <v>6</v>
      </c>
      <c r="AC533" s="17" t="s">
        <v>41</v>
      </c>
      <c r="AD533" s="9" t="str">
        <f t="shared" si="10"/>
        <v>Actual</v>
      </c>
      <c r="AE533" s="9" t="str">
        <f t="shared" si="11"/>
        <v>TMK7</v>
      </c>
      <c r="AF533" s="9">
        <f>HOUR(O533)</f>
        <v>13</v>
      </c>
      <c r="AG533" s="9">
        <f>DAY(O533)</f>
        <v>18</v>
      </c>
      <c r="AH533" s="9">
        <f>IFERROR((I533-K533)*24*60,0)</f>
        <v>0</v>
      </c>
      <c r="AI533" s="9">
        <f t="shared" si="12"/>
        <v>0</v>
      </c>
      <c r="AJ533" s="9">
        <f>C533</f>
        <v>2011</v>
      </c>
      <c r="AK533" s="9">
        <f>IF(P533="completed",((V533-K533)*24*60),0)</f>
        <v>7.0000000018626451</v>
      </c>
      <c r="AL533" s="9">
        <f>IF(P533="completed",((U533-K533)*24*60),0)</f>
        <v>8.9999999979045242</v>
      </c>
      <c r="AM533" s="9" t="str">
        <f t="shared" si="13"/>
        <v>OTP Achieved</v>
      </c>
      <c r="AN533" s="9" t="str">
        <f t="shared" si="14"/>
        <v>OTP Achieved</v>
      </c>
    </row>
    <row r="534" spans="1:40" ht="15">
      <c r="A534" s="14" t="s">
        <v>655</v>
      </c>
      <c r="B534" s="15">
        <v>46313.555555555555</v>
      </c>
      <c r="C534" s="16">
        <v>814</v>
      </c>
      <c r="D534" s="17" t="s">
        <v>41</v>
      </c>
      <c r="E534" s="16">
        <v>4</v>
      </c>
      <c r="F534" s="17" t="s">
        <v>41</v>
      </c>
      <c r="G534" s="17" t="s">
        <v>41</v>
      </c>
      <c r="H534" s="17" t="s">
        <v>1712</v>
      </c>
      <c r="I534" s="15">
        <v>46313.556250000001</v>
      </c>
      <c r="J534" s="17" t="s">
        <v>41</v>
      </c>
      <c r="K534" s="15">
        <v>46313.556250000001</v>
      </c>
      <c r="L534" s="16">
        <v>28</v>
      </c>
      <c r="M534" s="17"/>
      <c r="N534" s="17"/>
      <c r="O534" s="15">
        <v>46313.554166666669</v>
      </c>
      <c r="P534" s="17" t="s">
        <v>43</v>
      </c>
      <c r="Q534" s="17" t="s">
        <v>657</v>
      </c>
      <c r="R534" s="17" t="s">
        <v>1713</v>
      </c>
      <c r="S534" s="16">
        <v>4247</v>
      </c>
      <c r="T534" s="17" t="s">
        <v>41</v>
      </c>
      <c r="U534" s="15">
        <v>46313.559027777781</v>
      </c>
      <c r="V534" s="15">
        <v>46313.558333333334</v>
      </c>
      <c r="W534" s="18" t="s">
        <v>1714</v>
      </c>
      <c r="X534" s="16">
        <v>22411</v>
      </c>
      <c r="Y534" s="17"/>
      <c r="Z534" s="16">
        <v>0</v>
      </c>
      <c r="AA534" s="20">
        <v>0.55555555555555558</v>
      </c>
      <c r="AB534" s="16">
        <v>3</v>
      </c>
      <c r="AC534" s="17" t="s">
        <v>41</v>
      </c>
      <c r="AD534" s="9" t="str">
        <f t="shared" si="10"/>
        <v>Actual</v>
      </c>
      <c r="AE534" s="9" t="str">
        <f t="shared" si="11"/>
        <v>TMK7</v>
      </c>
      <c r="AF534" s="9">
        <f>HOUR(O534)</f>
        <v>13</v>
      </c>
      <c r="AG534" s="9">
        <f>DAY(O534)</f>
        <v>18</v>
      </c>
      <c r="AH534" s="9">
        <f>IFERROR((I534-K534)*24*60,0)</f>
        <v>0</v>
      </c>
      <c r="AI534" s="9">
        <f t="shared" si="12"/>
        <v>0</v>
      </c>
      <c r="AJ534" s="9">
        <f>C534</f>
        <v>814</v>
      </c>
      <c r="AK534" s="9">
        <f>IF(P534="completed",((V534-K534)*24*60),0)</f>
        <v>2.9999999993015081</v>
      </c>
      <c r="AL534" s="9">
        <f>IF(P534="completed",((U534-K534)*24*60),0)</f>
        <v>4.0000000025611371</v>
      </c>
      <c r="AM534" s="9" t="str">
        <f t="shared" si="13"/>
        <v>OTP Achieved</v>
      </c>
      <c r="AN534" s="9" t="str">
        <f t="shared" si="14"/>
        <v>OTP Achieved</v>
      </c>
    </row>
    <row r="535" spans="1:40" ht="15">
      <c r="A535" s="14" t="s">
        <v>67</v>
      </c>
      <c r="B535" s="15">
        <v>46313.554861111108</v>
      </c>
      <c r="C535" s="16">
        <v>1061</v>
      </c>
      <c r="D535" s="17" t="s">
        <v>41</v>
      </c>
      <c r="E535" s="16">
        <v>5</v>
      </c>
      <c r="F535" s="17" t="s">
        <v>41</v>
      </c>
      <c r="G535" s="17" t="s">
        <v>41</v>
      </c>
      <c r="H535" s="17" t="s">
        <v>1715</v>
      </c>
      <c r="I535" s="15">
        <v>46313.554861111108</v>
      </c>
      <c r="J535" s="17" t="s">
        <v>41</v>
      </c>
      <c r="K535" s="15">
        <v>46313.554166666669</v>
      </c>
      <c r="L535" s="16">
        <v>19</v>
      </c>
      <c r="M535" s="17"/>
      <c r="N535" s="17"/>
      <c r="O535" s="15">
        <v>46313.553472222222</v>
      </c>
      <c r="P535" s="17" t="s">
        <v>43</v>
      </c>
      <c r="Q535" s="17" t="s">
        <v>69</v>
      </c>
      <c r="R535" s="17" t="s">
        <v>1716</v>
      </c>
      <c r="S535" s="16">
        <v>4247</v>
      </c>
      <c r="T535" s="17" t="s">
        <v>41</v>
      </c>
      <c r="U535" s="15">
        <v>46313.558333333334</v>
      </c>
      <c r="V535" s="15">
        <v>46313.558333333334</v>
      </c>
      <c r="W535" s="18" t="s">
        <v>1717</v>
      </c>
      <c r="X535" s="16">
        <v>22411</v>
      </c>
      <c r="Y535" s="19"/>
      <c r="Z535" s="16">
        <v>0</v>
      </c>
      <c r="AA535" s="20">
        <v>0.55486111111111114</v>
      </c>
      <c r="AB535" s="16">
        <v>5</v>
      </c>
      <c r="AC535" s="17" t="s">
        <v>41</v>
      </c>
      <c r="AD535" s="9" t="str">
        <f t="shared" si="10"/>
        <v>Actual</v>
      </c>
      <c r="AE535" s="9" t="str">
        <f t="shared" si="11"/>
        <v>TMK7</v>
      </c>
      <c r="AF535" s="9">
        <f>HOUR(O535)</f>
        <v>13</v>
      </c>
      <c r="AG535" s="9">
        <f>DAY(O535)</f>
        <v>18</v>
      </c>
      <c r="AH535" s="9">
        <f>IFERROR((I535-K535)*24*60,0)</f>
        <v>0.99999999278225005</v>
      </c>
      <c r="AI535" s="9">
        <f t="shared" si="12"/>
        <v>0.99999999278225005</v>
      </c>
      <c r="AJ535" s="9">
        <f>C535</f>
        <v>1061</v>
      </c>
      <c r="AK535" s="9">
        <f>IF(P535="completed",((V535-K535)*24*60),0)</f>
        <v>5.9999999986030161</v>
      </c>
      <c r="AL535" s="9">
        <f>IF(P535="completed",((U535-K535)*24*60),0)</f>
        <v>5.9999999986030161</v>
      </c>
      <c r="AM535" s="9" t="str">
        <f t="shared" si="13"/>
        <v>OTP Breached</v>
      </c>
      <c r="AN535" s="9" t="str">
        <f t="shared" si="14"/>
        <v>OTP Achieved</v>
      </c>
    </row>
    <row r="536" spans="1:40" ht="15">
      <c r="A536" s="14" t="s">
        <v>57</v>
      </c>
      <c r="B536" s="15">
        <v>46313.554861111108</v>
      </c>
      <c r="C536" s="16">
        <v>236</v>
      </c>
      <c r="D536" s="17" t="s">
        <v>41</v>
      </c>
      <c r="E536" s="16">
        <v>0</v>
      </c>
      <c r="F536" s="17" t="s">
        <v>41</v>
      </c>
      <c r="G536" s="17" t="s">
        <v>41</v>
      </c>
      <c r="H536" s="17" t="s">
        <v>1718</v>
      </c>
      <c r="I536" s="15">
        <v>46313.554861111108</v>
      </c>
      <c r="J536" s="17" t="s">
        <v>41</v>
      </c>
      <c r="K536" s="15">
        <v>46313.553472222222</v>
      </c>
      <c r="L536" s="16">
        <v>17</v>
      </c>
      <c r="M536" s="17"/>
      <c r="N536" s="17"/>
      <c r="O536" s="15">
        <v>46313.552083333336</v>
      </c>
      <c r="P536" s="17" t="s">
        <v>43</v>
      </c>
      <c r="Q536" s="17" t="s">
        <v>59</v>
      </c>
      <c r="R536" s="17" t="s">
        <v>1719</v>
      </c>
      <c r="S536" s="16">
        <v>4247</v>
      </c>
      <c r="T536" s="17" t="s">
        <v>41</v>
      </c>
      <c r="U536" s="15">
        <v>46313.556250000001</v>
      </c>
      <c r="V536" s="15">
        <v>46313.554861111108</v>
      </c>
      <c r="W536" s="18" t="s">
        <v>1720</v>
      </c>
      <c r="X536" s="16">
        <v>22411</v>
      </c>
      <c r="Y536" s="19"/>
      <c r="Z536" s="16">
        <v>0</v>
      </c>
      <c r="AA536" s="20">
        <v>0.55486111111111114</v>
      </c>
      <c r="AB536" s="16">
        <v>0</v>
      </c>
      <c r="AC536" s="17" t="s">
        <v>41</v>
      </c>
      <c r="AD536" s="9" t="str">
        <f t="shared" si="10"/>
        <v>Actual</v>
      </c>
      <c r="AE536" s="9" t="str">
        <f t="shared" si="11"/>
        <v>TMK7</v>
      </c>
      <c r="AF536" s="9">
        <f>HOUR(O536)</f>
        <v>13</v>
      </c>
      <c r="AG536" s="9">
        <f>DAY(O536)</f>
        <v>18</v>
      </c>
      <c r="AH536" s="9">
        <f>IFERROR((I536-K536)*24*60,0)</f>
        <v>1.9999999960418791</v>
      </c>
      <c r="AI536" s="9">
        <f t="shared" si="12"/>
        <v>1.9999999960418791</v>
      </c>
      <c r="AJ536" s="9">
        <f>C536</f>
        <v>236</v>
      </c>
      <c r="AK536" s="9">
        <f>IF(P536="completed",((V536-K536)*24*60),0)</f>
        <v>1.9999999960418791</v>
      </c>
      <c r="AL536" s="9">
        <f>IF(P536="completed",((U536-K536)*24*60),0)</f>
        <v>4.0000000025611371</v>
      </c>
      <c r="AM536" s="9" t="str">
        <f t="shared" si="13"/>
        <v>OTP Achieved</v>
      </c>
      <c r="AN536" s="9" t="str">
        <f t="shared" si="14"/>
        <v>OTP Achieved</v>
      </c>
    </row>
    <row r="537" spans="1:40" ht="15">
      <c r="A537" s="14" t="s">
        <v>52</v>
      </c>
      <c r="B537" s="15">
        <v>46313.554166666669</v>
      </c>
      <c r="C537" s="16">
        <v>2358</v>
      </c>
      <c r="D537" s="17" t="s">
        <v>41</v>
      </c>
      <c r="E537" s="16">
        <v>8</v>
      </c>
      <c r="F537" s="17" t="s">
        <v>41</v>
      </c>
      <c r="G537" s="17" t="s">
        <v>41</v>
      </c>
      <c r="H537" s="17" t="s">
        <v>1721</v>
      </c>
      <c r="I537" s="15">
        <v>46313.554861111108</v>
      </c>
      <c r="J537" s="17" t="s">
        <v>41</v>
      </c>
      <c r="K537" s="15">
        <v>46313.553472222222</v>
      </c>
      <c r="L537" s="16">
        <v>27</v>
      </c>
      <c r="M537" s="17"/>
      <c r="N537" s="17"/>
      <c r="O537" s="15">
        <v>46313.552083333336</v>
      </c>
      <c r="P537" s="17" t="s">
        <v>43</v>
      </c>
      <c r="Q537" s="17" t="s">
        <v>54</v>
      </c>
      <c r="R537" s="17" t="s">
        <v>1722</v>
      </c>
      <c r="S537" s="16">
        <v>4247</v>
      </c>
      <c r="T537" s="17" t="s">
        <v>41</v>
      </c>
      <c r="U537" s="15">
        <v>46313.561805555553</v>
      </c>
      <c r="V537" s="15">
        <v>46313.55972222222</v>
      </c>
      <c r="W537" s="18" t="s">
        <v>1723</v>
      </c>
      <c r="X537" s="16">
        <v>22411</v>
      </c>
      <c r="Y537" s="19"/>
      <c r="Z537" s="16">
        <v>0</v>
      </c>
      <c r="AA537" s="20">
        <v>0.5541666666666667</v>
      </c>
      <c r="AB537" s="16">
        <v>7</v>
      </c>
      <c r="AC537" s="17" t="s">
        <v>41</v>
      </c>
      <c r="AD537" s="9" t="str">
        <f t="shared" si="10"/>
        <v>Actual</v>
      </c>
      <c r="AE537" s="9" t="str">
        <f t="shared" si="11"/>
        <v>TMK7</v>
      </c>
      <c r="AF537" s="9">
        <f>HOUR(O537)</f>
        <v>13</v>
      </c>
      <c r="AG537" s="9">
        <f>DAY(O537)</f>
        <v>18</v>
      </c>
      <c r="AH537" s="9">
        <f>IFERROR((I537-K537)*24*60,0)</f>
        <v>1.9999999960418791</v>
      </c>
      <c r="AI537" s="9">
        <f t="shared" si="12"/>
        <v>1.9999999960418791</v>
      </c>
      <c r="AJ537" s="9">
        <f>C537</f>
        <v>2358</v>
      </c>
      <c r="AK537" s="9">
        <f>IF(P537="completed",((V537-K537)*24*60),0)</f>
        <v>8.9999999979045242</v>
      </c>
      <c r="AL537" s="9">
        <f>IF(P537="completed",((U537-K537)*24*60),0)</f>
        <v>11.999999997206032</v>
      </c>
      <c r="AM537" s="9" t="str">
        <f t="shared" si="13"/>
        <v>OTP Achieved</v>
      </c>
      <c r="AN537" s="9" t="str">
        <f t="shared" si="14"/>
        <v>OTP Achieved</v>
      </c>
    </row>
    <row r="538" spans="1:40" ht="15">
      <c r="A538" s="14" t="s">
        <v>1077</v>
      </c>
      <c r="B538" s="15">
        <v>46313.554166666669</v>
      </c>
      <c r="C538" s="16">
        <v>1438</v>
      </c>
      <c r="D538" s="17" t="s">
        <v>41</v>
      </c>
      <c r="E538" s="16">
        <v>5</v>
      </c>
      <c r="F538" s="17" t="s">
        <v>41</v>
      </c>
      <c r="G538" s="17" t="s">
        <v>41</v>
      </c>
      <c r="H538" s="17" t="s">
        <v>1724</v>
      </c>
      <c r="I538" s="15">
        <v>46313.554166666669</v>
      </c>
      <c r="J538" s="17" t="s">
        <v>41</v>
      </c>
      <c r="K538" s="15">
        <v>46313.552777777775</v>
      </c>
      <c r="L538" s="16">
        <v>16</v>
      </c>
      <c r="M538" s="17"/>
      <c r="N538" s="17"/>
      <c r="O538" s="15">
        <v>46313.552083333336</v>
      </c>
      <c r="P538" s="17" t="s">
        <v>43</v>
      </c>
      <c r="Q538" s="17" t="s">
        <v>1079</v>
      </c>
      <c r="R538" s="17" t="s">
        <v>1725</v>
      </c>
      <c r="S538" s="16">
        <v>4247</v>
      </c>
      <c r="T538" s="17" t="s">
        <v>41</v>
      </c>
      <c r="U538" s="15">
        <v>46313.558333333334</v>
      </c>
      <c r="V538" s="15">
        <v>46313.557638888888</v>
      </c>
      <c r="W538" s="18" t="s">
        <v>1726</v>
      </c>
      <c r="X538" s="16">
        <v>22411</v>
      </c>
      <c r="Y538" s="17"/>
      <c r="Z538" s="16">
        <v>0</v>
      </c>
      <c r="AA538" s="20">
        <v>0.5541666666666667</v>
      </c>
      <c r="AB538" s="16">
        <v>5</v>
      </c>
      <c r="AC538" s="17" t="s">
        <v>41</v>
      </c>
      <c r="AD538" s="9" t="str">
        <f t="shared" si="10"/>
        <v>Actual</v>
      </c>
      <c r="AE538" s="9" t="str">
        <f t="shared" si="11"/>
        <v>TMK7</v>
      </c>
      <c r="AF538" s="9">
        <f>HOUR(O538)</f>
        <v>13</v>
      </c>
      <c r="AG538" s="9">
        <f>DAY(O538)</f>
        <v>18</v>
      </c>
      <c r="AH538" s="9">
        <f>IFERROR((I538-K538)*24*60,0)</f>
        <v>2.000000006519258</v>
      </c>
      <c r="AI538" s="9">
        <f t="shared" si="12"/>
        <v>2.000000006519258</v>
      </c>
      <c r="AJ538" s="9">
        <f>C538</f>
        <v>1438</v>
      </c>
      <c r="AK538" s="9">
        <f>IF(P538="completed",((V538-K538)*24*60),0)</f>
        <v>7.0000000018626451</v>
      </c>
      <c r="AL538" s="9">
        <f>IF(P538="completed",((U538-K538)*24*60),0)</f>
        <v>8.0000000051222742</v>
      </c>
      <c r="AM538" s="9" t="str">
        <f t="shared" si="13"/>
        <v>OTP Achieved</v>
      </c>
      <c r="AN538" s="9" t="str">
        <f t="shared" si="14"/>
        <v>OTP Achieved</v>
      </c>
    </row>
    <row r="539" spans="1:40" ht="15">
      <c r="A539" s="14" t="s">
        <v>347</v>
      </c>
      <c r="B539" s="15">
        <v>46313.553472222222</v>
      </c>
      <c r="C539" s="16">
        <v>1312</v>
      </c>
      <c r="D539" s="17" t="s">
        <v>41</v>
      </c>
      <c r="E539" s="16">
        <v>4</v>
      </c>
      <c r="F539" s="17" t="s">
        <v>41</v>
      </c>
      <c r="G539" s="17" t="s">
        <v>41</v>
      </c>
      <c r="H539" s="17" t="s">
        <v>1727</v>
      </c>
      <c r="I539" s="15">
        <v>46313.554166666669</v>
      </c>
      <c r="J539" s="17" t="s">
        <v>41</v>
      </c>
      <c r="K539" s="15">
        <v>46313.551388888889</v>
      </c>
      <c r="L539" s="16">
        <v>20</v>
      </c>
      <c r="M539" s="17"/>
      <c r="N539" s="17"/>
      <c r="O539" s="15">
        <v>46313.550694444442</v>
      </c>
      <c r="P539" s="17" t="s">
        <v>43</v>
      </c>
      <c r="Q539" s="17" t="s">
        <v>349</v>
      </c>
      <c r="R539" s="17" t="s">
        <v>1728</v>
      </c>
      <c r="S539" s="16">
        <v>4247</v>
      </c>
      <c r="T539" s="17" t="s">
        <v>41</v>
      </c>
      <c r="U539" s="15">
        <v>46313.558333333334</v>
      </c>
      <c r="V539" s="15">
        <v>46313.556250000001</v>
      </c>
      <c r="W539" s="18" t="s">
        <v>1729</v>
      </c>
      <c r="X539" s="16">
        <v>22411</v>
      </c>
      <c r="Y539" s="19"/>
      <c r="Z539" s="16">
        <v>0</v>
      </c>
      <c r="AA539" s="20">
        <v>0.55347222222222225</v>
      </c>
      <c r="AB539" s="16">
        <v>3</v>
      </c>
      <c r="AC539" s="17" t="s">
        <v>41</v>
      </c>
      <c r="AD539" s="9" t="str">
        <f t="shared" si="10"/>
        <v>Actual</v>
      </c>
      <c r="AE539" s="9" t="str">
        <f t="shared" si="11"/>
        <v>TMK7</v>
      </c>
      <c r="AF539" s="9">
        <f>HOUR(O539)</f>
        <v>13</v>
      </c>
      <c r="AG539" s="9">
        <f>DAY(O539)</f>
        <v>18</v>
      </c>
      <c r="AH539" s="9">
        <f>IFERROR((I539-K539)*24*60,0)</f>
        <v>4.0000000025611371</v>
      </c>
      <c r="AI539" s="9">
        <f t="shared" si="12"/>
        <v>4.0000000025611371</v>
      </c>
      <c r="AJ539" s="9">
        <f>C539</f>
        <v>1312</v>
      </c>
      <c r="AK539" s="9">
        <f>IF(P539="completed",((V539-K539)*24*60),0)</f>
        <v>7.0000000018626451</v>
      </c>
      <c r="AL539" s="9">
        <f>IF(P539="completed",((U539-K539)*24*60),0)</f>
        <v>10.000000001164153</v>
      </c>
      <c r="AM539" s="9" t="str">
        <f t="shared" si="13"/>
        <v>OTP Achieved</v>
      </c>
      <c r="AN539" s="9" t="str">
        <f t="shared" si="14"/>
        <v>OTP Achieved</v>
      </c>
    </row>
    <row r="540" spans="1:40" ht="15">
      <c r="A540" s="14" t="s">
        <v>1136</v>
      </c>
      <c r="B540" s="15">
        <v>46313.552777777775</v>
      </c>
      <c r="C540" s="16">
        <v>1045</v>
      </c>
      <c r="D540" s="17" t="s">
        <v>41</v>
      </c>
      <c r="E540" s="16">
        <v>4</v>
      </c>
      <c r="F540" s="17" t="s">
        <v>41</v>
      </c>
      <c r="G540" s="17" t="s">
        <v>41</v>
      </c>
      <c r="H540" s="17" t="s">
        <v>1730</v>
      </c>
      <c r="I540" s="15">
        <v>46313.553472222222</v>
      </c>
      <c r="J540" s="17" t="s">
        <v>41</v>
      </c>
      <c r="K540" s="15">
        <v>46313.550694444442</v>
      </c>
      <c r="L540" s="16">
        <v>19</v>
      </c>
      <c r="M540" s="17"/>
      <c r="N540" s="17"/>
      <c r="O540" s="15">
        <v>46313.549305555556</v>
      </c>
      <c r="P540" s="17" t="s">
        <v>43</v>
      </c>
      <c r="Q540" s="17" t="s">
        <v>1138</v>
      </c>
      <c r="R540" s="17" t="s">
        <v>1731</v>
      </c>
      <c r="S540" s="16">
        <v>4247</v>
      </c>
      <c r="T540" s="17" t="s">
        <v>41</v>
      </c>
      <c r="U540" s="15">
        <v>46313.556250000001</v>
      </c>
      <c r="V540" s="15">
        <v>46313.556250000001</v>
      </c>
      <c r="W540" s="18" t="s">
        <v>1732</v>
      </c>
      <c r="X540" s="16">
        <v>22411</v>
      </c>
      <c r="Y540" s="19"/>
      <c r="Z540" s="16">
        <v>0</v>
      </c>
      <c r="AA540" s="20">
        <v>0.55277777777777781</v>
      </c>
      <c r="AB540" s="16">
        <v>4</v>
      </c>
      <c r="AC540" s="17" t="s">
        <v>41</v>
      </c>
      <c r="AD540" s="9" t="str">
        <f t="shared" si="10"/>
        <v>Actual</v>
      </c>
      <c r="AE540" s="9" t="str">
        <f t="shared" si="11"/>
        <v>TMK7</v>
      </c>
      <c r="AF540" s="9">
        <f>HOUR(O540)</f>
        <v>13</v>
      </c>
      <c r="AG540" s="9">
        <f>DAY(O540)</f>
        <v>18</v>
      </c>
      <c r="AH540" s="9">
        <f>IFERROR((I540-K540)*24*60,0)</f>
        <v>4.0000000025611371</v>
      </c>
      <c r="AI540" s="9">
        <f t="shared" si="12"/>
        <v>4.0000000025611371</v>
      </c>
      <c r="AJ540" s="9">
        <f>C540</f>
        <v>1045</v>
      </c>
      <c r="AK540" s="9">
        <f>IF(P540="completed",((V540-K540)*24*60),0)</f>
        <v>8.0000000051222742</v>
      </c>
      <c r="AL540" s="9">
        <f>IF(P540="completed",((U540-K540)*24*60),0)</f>
        <v>8.0000000051222742</v>
      </c>
      <c r="AM540" s="9" t="str">
        <f t="shared" si="13"/>
        <v>OTP Breached</v>
      </c>
      <c r="AN540" s="9" t="str">
        <f t="shared" si="14"/>
        <v>OTP Achieved</v>
      </c>
    </row>
    <row r="541" spans="1:40" ht="15">
      <c r="A541" s="14" t="s">
        <v>1365</v>
      </c>
      <c r="B541" s="15">
        <v>46313.552777777775</v>
      </c>
      <c r="C541" s="16">
        <v>3143</v>
      </c>
      <c r="D541" s="17" t="s">
        <v>41</v>
      </c>
      <c r="E541" s="16">
        <v>9</v>
      </c>
      <c r="F541" s="17" t="s">
        <v>41</v>
      </c>
      <c r="G541" s="17" t="s">
        <v>41</v>
      </c>
      <c r="H541" s="17" t="s">
        <v>1733</v>
      </c>
      <c r="I541" s="15">
        <v>46313.552777777775</v>
      </c>
      <c r="J541" s="17" t="s">
        <v>41</v>
      </c>
      <c r="K541" s="15">
        <v>46313.550694444442</v>
      </c>
      <c r="L541" s="16">
        <v>15</v>
      </c>
      <c r="M541" s="17"/>
      <c r="N541" s="17"/>
      <c r="O541" s="15">
        <v>46313.548611111109</v>
      </c>
      <c r="P541" s="17" t="s">
        <v>43</v>
      </c>
      <c r="Q541" s="17" t="s">
        <v>1367</v>
      </c>
      <c r="R541" s="17" t="s">
        <v>1734</v>
      </c>
      <c r="S541" s="16">
        <v>4247</v>
      </c>
      <c r="T541" s="17" t="s">
        <v>41</v>
      </c>
      <c r="U541" s="15">
        <v>46313.561111111114</v>
      </c>
      <c r="V541" s="15">
        <v>46313.558333333334</v>
      </c>
      <c r="W541" s="18" t="s">
        <v>1735</v>
      </c>
      <c r="X541" s="16">
        <v>22411</v>
      </c>
      <c r="Y541" s="19"/>
      <c r="Z541" s="16">
        <v>0</v>
      </c>
      <c r="AA541" s="20">
        <v>0.55277777777777781</v>
      </c>
      <c r="AB541" s="16">
        <v>8</v>
      </c>
      <c r="AC541" s="17" t="s">
        <v>41</v>
      </c>
      <c r="AD541" s="9" t="str">
        <f t="shared" si="10"/>
        <v>Actual</v>
      </c>
      <c r="AE541" s="9" t="str">
        <f t="shared" si="11"/>
        <v>TMK7</v>
      </c>
      <c r="AF541" s="9">
        <f>HOUR(O541)</f>
        <v>13</v>
      </c>
      <c r="AG541" s="9">
        <f>DAY(O541)</f>
        <v>18</v>
      </c>
      <c r="AH541" s="9">
        <f>IFERROR((I541-K541)*24*60,0)</f>
        <v>2.9999999993015081</v>
      </c>
      <c r="AI541" s="9">
        <f t="shared" si="12"/>
        <v>2.9999999993015081</v>
      </c>
      <c r="AJ541" s="9">
        <f>C541</f>
        <v>3143</v>
      </c>
      <c r="AK541" s="9">
        <f>IF(P541="completed",((V541-K541)*24*60),0)</f>
        <v>11.000000004423782</v>
      </c>
      <c r="AL541" s="9">
        <f>IF(P541="completed",((U541-K541)*24*60),0)</f>
        <v>15.000000006984919</v>
      </c>
      <c r="AM541" s="9" t="str">
        <f t="shared" si="13"/>
        <v>OTP Achieved</v>
      </c>
      <c r="AN541" s="9" t="str">
        <f t="shared" si="14"/>
        <v>OTP Achieved</v>
      </c>
    </row>
    <row r="542" spans="1:40" ht="15">
      <c r="A542" s="14" t="s">
        <v>190</v>
      </c>
      <c r="B542" s="15">
        <v>46313.552777777775</v>
      </c>
      <c r="C542" s="16">
        <v>2301</v>
      </c>
      <c r="D542" s="17" t="s">
        <v>41</v>
      </c>
      <c r="E542" s="16">
        <v>6</v>
      </c>
      <c r="F542" s="17" t="s">
        <v>41</v>
      </c>
      <c r="G542" s="17" t="s">
        <v>41</v>
      </c>
      <c r="H542" s="17" t="s">
        <v>1736</v>
      </c>
      <c r="I542" s="15">
        <v>46313.552777777775</v>
      </c>
      <c r="J542" s="17" t="s">
        <v>41</v>
      </c>
      <c r="K542" s="15">
        <v>46313.55</v>
      </c>
      <c r="L542" s="16">
        <v>9</v>
      </c>
      <c r="M542" s="17"/>
      <c r="N542" s="17"/>
      <c r="O542" s="15">
        <v>46313.548611111109</v>
      </c>
      <c r="P542" s="17" t="s">
        <v>43</v>
      </c>
      <c r="Q542" s="17" t="s">
        <v>192</v>
      </c>
      <c r="R542" s="17" t="s">
        <v>1737</v>
      </c>
      <c r="S542" s="16">
        <v>4247</v>
      </c>
      <c r="T542" s="17" t="s">
        <v>41</v>
      </c>
      <c r="U542" s="15">
        <v>46313.55972222222</v>
      </c>
      <c r="V542" s="15">
        <v>46313.556944444441</v>
      </c>
      <c r="W542" s="18" t="s">
        <v>1738</v>
      </c>
      <c r="X542" s="16">
        <v>22411</v>
      </c>
      <c r="Y542" s="19"/>
      <c r="Z542" s="16">
        <v>0</v>
      </c>
      <c r="AA542" s="20">
        <v>0.55277777777777781</v>
      </c>
      <c r="AB542" s="16">
        <v>6</v>
      </c>
      <c r="AC542" s="17" t="s">
        <v>41</v>
      </c>
      <c r="AD542" s="9" t="str">
        <f t="shared" si="10"/>
        <v>Actual</v>
      </c>
      <c r="AE542" s="9" t="str">
        <f t="shared" si="11"/>
        <v>TMK7</v>
      </c>
      <c r="AF542" s="9">
        <f>HOUR(O542)</f>
        <v>13</v>
      </c>
      <c r="AG542" s="9">
        <f>DAY(O542)</f>
        <v>18</v>
      </c>
      <c r="AH542" s="9">
        <f>IFERROR((I542-K542)*24*60,0)</f>
        <v>3.9999999920837581</v>
      </c>
      <c r="AI542" s="9">
        <f t="shared" si="12"/>
        <v>3.9999999920837581</v>
      </c>
      <c r="AJ542" s="9">
        <f>C542</f>
        <v>2301</v>
      </c>
      <c r="AK542" s="9">
        <f>IF(P542="completed",((V542-K542)*24*60),0)</f>
        <v>9.9999999906867743</v>
      </c>
      <c r="AL542" s="9">
        <f>IF(P542="completed",((U542-K542)*24*60),0)</f>
        <v>13.999999993247911</v>
      </c>
      <c r="AM542" s="9" t="str">
        <f t="shared" si="13"/>
        <v>OTP Achieved</v>
      </c>
      <c r="AN542" s="9" t="str">
        <f t="shared" si="14"/>
        <v>OTP Achieved</v>
      </c>
    </row>
    <row r="543" spans="1:40" ht="15">
      <c r="A543" s="14" t="s">
        <v>1171</v>
      </c>
      <c r="B543" s="15">
        <v>46313.552083333336</v>
      </c>
      <c r="C543" s="16">
        <v>1884</v>
      </c>
      <c r="D543" s="17" t="s">
        <v>41</v>
      </c>
      <c r="E543" s="16">
        <v>5</v>
      </c>
      <c r="F543" s="17" t="s">
        <v>41</v>
      </c>
      <c r="G543" s="17" t="s">
        <v>41</v>
      </c>
      <c r="H543" s="17" t="s">
        <v>1739</v>
      </c>
      <c r="I543" s="15">
        <v>46313.552083333336</v>
      </c>
      <c r="J543" s="17" t="s">
        <v>41</v>
      </c>
      <c r="K543" s="15">
        <v>46313.55</v>
      </c>
      <c r="L543" s="16">
        <v>12</v>
      </c>
      <c r="M543" s="17"/>
      <c r="N543" s="17"/>
      <c r="O543" s="15">
        <v>46313.548611111109</v>
      </c>
      <c r="P543" s="17" t="s">
        <v>43</v>
      </c>
      <c r="Q543" s="17" t="s">
        <v>1173</v>
      </c>
      <c r="R543" s="17" t="s">
        <v>1740</v>
      </c>
      <c r="S543" s="16">
        <v>4247</v>
      </c>
      <c r="T543" s="17" t="s">
        <v>41</v>
      </c>
      <c r="U543" s="15">
        <v>46313.556944444441</v>
      </c>
      <c r="V543" s="15">
        <v>46313.556250000001</v>
      </c>
      <c r="W543" s="18" t="s">
        <v>1741</v>
      </c>
      <c r="X543" s="16">
        <v>22411</v>
      </c>
      <c r="Y543" s="19"/>
      <c r="Z543" s="16">
        <v>0</v>
      </c>
      <c r="AA543" s="20">
        <v>0.55208333333333337</v>
      </c>
      <c r="AB543" s="16">
        <v>5</v>
      </c>
      <c r="AC543" s="17" t="s">
        <v>41</v>
      </c>
      <c r="AD543" s="9" t="str">
        <f t="shared" si="10"/>
        <v>Actual</v>
      </c>
      <c r="AE543" s="9" t="str">
        <f t="shared" si="11"/>
        <v>TMK7</v>
      </c>
      <c r="AF543" s="9">
        <f>HOUR(O543)</f>
        <v>13</v>
      </c>
      <c r="AG543" s="9">
        <f>DAY(O543)</f>
        <v>18</v>
      </c>
      <c r="AH543" s="9">
        <f>IFERROR((I543-K543)*24*60,0)</f>
        <v>2.9999999993015081</v>
      </c>
      <c r="AI543" s="9">
        <f t="shared" si="12"/>
        <v>2.9999999993015081</v>
      </c>
      <c r="AJ543" s="9">
        <f>C543</f>
        <v>1884</v>
      </c>
      <c r="AK543" s="9">
        <f>IF(P543="completed",((V543-K543)*24*60),0)</f>
        <v>8.9999999979045242</v>
      </c>
      <c r="AL543" s="9">
        <f>IF(P543="completed",((U543-K543)*24*60),0)</f>
        <v>9.9999999906867743</v>
      </c>
      <c r="AM543" s="9" t="str">
        <f t="shared" si="13"/>
        <v>OTP Achieved</v>
      </c>
      <c r="AN543" s="9" t="str">
        <f t="shared" si="14"/>
        <v>OTP Achieved</v>
      </c>
    </row>
    <row r="544" spans="1:40" ht="15">
      <c r="A544" s="14" t="s">
        <v>57</v>
      </c>
      <c r="B544" s="15">
        <v>46313.550694444442</v>
      </c>
      <c r="C544" s="16">
        <v>433</v>
      </c>
      <c r="D544" s="17" t="s">
        <v>41</v>
      </c>
      <c r="E544" s="16">
        <v>2</v>
      </c>
      <c r="F544" s="17" t="s">
        <v>41</v>
      </c>
      <c r="G544" s="17" t="s">
        <v>41</v>
      </c>
      <c r="H544" s="17" t="s">
        <v>1742</v>
      </c>
      <c r="I544" s="15">
        <v>46313.551388888889</v>
      </c>
      <c r="J544" s="17" t="s">
        <v>41</v>
      </c>
      <c r="K544" s="15">
        <v>46313.549305555556</v>
      </c>
      <c r="L544" s="16">
        <v>18</v>
      </c>
      <c r="M544" s="17"/>
      <c r="N544" s="17"/>
      <c r="O544" s="15">
        <v>46313.54791666667</v>
      </c>
      <c r="P544" s="17" t="s">
        <v>43</v>
      </c>
      <c r="Q544" s="17" t="s">
        <v>59</v>
      </c>
      <c r="R544" s="17" t="s">
        <v>1743</v>
      </c>
      <c r="S544" s="16">
        <v>4247</v>
      </c>
      <c r="T544" s="17" t="s">
        <v>41</v>
      </c>
      <c r="U544" s="15">
        <v>46313.553472222222</v>
      </c>
      <c r="V544" s="15">
        <v>46313.552777777775</v>
      </c>
      <c r="W544" s="18" t="s">
        <v>1744</v>
      </c>
      <c r="X544" s="16">
        <v>22411</v>
      </c>
      <c r="Y544" s="17"/>
      <c r="Z544" s="16">
        <v>0</v>
      </c>
      <c r="AA544" s="20">
        <v>0.55069444444444449</v>
      </c>
      <c r="AB544" s="16">
        <v>2</v>
      </c>
      <c r="AC544" s="17" t="s">
        <v>41</v>
      </c>
      <c r="AD544" s="9" t="str">
        <f t="shared" si="10"/>
        <v>Actual</v>
      </c>
      <c r="AE544" s="9" t="str">
        <f t="shared" si="11"/>
        <v>TMK7</v>
      </c>
      <c r="AF544" s="9">
        <f>HOUR(O544)</f>
        <v>13</v>
      </c>
      <c r="AG544" s="9">
        <f>DAY(O544)</f>
        <v>18</v>
      </c>
      <c r="AH544" s="9">
        <f>IFERROR((I544-K544)*24*60,0)</f>
        <v>2.9999999993015081</v>
      </c>
      <c r="AI544" s="9">
        <f t="shared" si="12"/>
        <v>2.9999999993015081</v>
      </c>
      <c r="AJ544" s="9">
        <f>C544</f>
        <v>433</v>
      </c>
      <c r="AK544" s="9">
        <f>IF(P544="completed",((V544-K544)*24*60),0)</f>
        <v>4.9999999953433871</v>
      </c>
      <c r="AL544" s="9">
        <f>IF(P544="completed",((U544-K544)*24*60),0)</f>
        <v>5.9999999986030161</v>
      </c>
      <c r="AM544" s="9" t="str">
        <f t="shared" si="13"/>
        <v>OTP Achieved</v>
      </c>
      <c r="AN544" s="9" t="str">
        <f t="shared" si="14"/>
        <v>OTP Achieved</v>
      </c>
    </row>
    <row r="545" spans="1:40" ht="15">
      <c r="A545" s="14" t="s">
        <v>1624</v>
      </c>
      <c r="B545" s="15">
        <v>46313.550694444442</v>
      </c>
      <c r="C545" s="16">
        <v>1060</v>
      </c>
      <c r="D545" s="17" t="s">
        <v>41</v>
      </c>
      <c r="E545" s="16">
        <v>5</v>
      </c>
      <c r="F545" s="17" t="s">
        <v>41</v>
      </c>
      <c r="G545" s="17" t="s">
        <v>41</v>
      </c>
      <c r="H545" s="17" t="s">
        <v>1745</v>
      </c>
      <c r="I545" s="15">
        <v>46313.551388888889</v>
      </c>
      <c r="J545" s="17" t="s">
        <v>41</v>
      </c>
      <c r="K545" s="15">
        <v>46313.549305555556</v>
      </c>
      <c r="L545" s="16">
        <v>40</v>
      </c>
      <c r="M545" s="17"/>
      <c r="N545" s="17"/>
      <c r="O545" s="15">
        <v>46313.54791666667</v>
      </c>
      <c r="P545" s="17" t="s">
        <v>43</v>
      </c>
      <c r="Q545" s="17" t="s">
        <v>1626</v>
      </c>
      <c r="R545" s="17" t="s">
        <v>1746</v>
      </c>
      <c r="S545" s="16">
        <v>4247</v>
      </c>
      <c r="T545" s="17" t="s">
        <v>41</v>
      </c>
      <c r="U545" s="15">
        <v>46313.554861111108</v>
      </c>
      <c r="V545" s="15">
        <v>46313.554166666669</v>
      </c>
      <c r="W545" s="18" t="s">
        <v>1747</v>
      </c>
      <c r="X545" s="16">
        <v>22411</v>
      </c>
      <c r="Y545" s="19"/>
      <c r="Z545" s="16">
        <v>0</v>
      </c>
      <c r="AA545" s="20">
        <v>0.55069444444444449</v>
      </c>
      <c r="AB545" s="16">
        <v>4</v>
      </c>
      <c r="AC545" s="17" t="s">
        <v>41</v>
      </c>
      <c r="AD545" s="9" t="str">
        <f t="shared" si="10"/>
        <v>Actual</v>
      </c>
      <c r="AE545" s="9" t="str">
        <f t="shared" si="11"/>
        <v>TMK7</v>
      </c>
      <c r="AF545" s="9">
        <f>HOUR(O545)</f>
        <v>13</v>
      </c>
      <c r="AG545" s="9">
        <f>DAY(O545)</f>
        <v>18</v>
      </c>
      <c r="AH545" s="9">
        <f>IFERROR((I545-K545)*24*60,0)</f>
        <v>2.9999999993015081</v>
      </c>
      <c r="AI545" s="9">
        <f t="shared" si="12"/>
        <v>2.9999999993015081</v>
      </c>
      <c r="AJ545" s="9">
        <f>C545</f>
        <v>1060</v>
      </c>
      <c r="AK545" s="9">
        <f>IF(P545="completed",((V545-K545)*24*60),0)</f>
        <v>7.0000000018626451</v>
      </c>
      <c r="AL545" s="9">
        <f>IF(P545="completed",((U545-K545)*24*60),0)</f>
        <v>7.9999999946448952</v>
      </c>
      <c r="AM545" s="9" t="str">
        <f t="shared" si="13"/>
        <v>OTP Achieved</v>
      </c>
      <c r="AN545" s="9" t="str">
        <f t="shared" si="14"/>
        <v>OTP Achieved</v>
      </c>
    </row>
    <row r="546" spans="1:40" ht="15">
      <c r="A546" s="14" t="s">
        <v>62</v>
      </c>
      <c r="B546" s="15">
        <v>46313.550694444442</v>
      </c>
      <c r="C546" s="16">
        <v>1566</v>
      </c>
      <c r="D546" s="17" t="s">
        <v>41</v>
      </c>
      <c r="E546" s="16">
        <v>4</v>
      </c>
      <c r="F546" s="17" t="s">
        <v>41</v>
      </c>
      <c r="G546" s="17" t="s">
        <v>41</v>
      </c>
      <c r="H546" s="17" t="s">
        <v>1748</v>
      </c>
      <c r="I546" s="15">
        <v>46313.550694444442</v>
      </c>
      <c r="J546" s="17" t="s">
        <v>41</v>
      </c>
      <c r="K546" s="15">
        <v>46313.54791666667</v>
      </c>
      <c r="L546" s="16">
        <v>14</v>
      </c>
      <c r="M546" s="17"/>
      <c r="N546" s="17"/>
      <c r="O546" s="15">
        <v>46313.54791666667</v>
      </c>
      <c r="P546" s="17" t="s">
        <v>43</v>
      </c>
      <c r="Q546" s="17" t="s">
        <v>64</v>
      </c>
      <c r="R546" s="17" t="s">
        <v>1749</v>
      </c>
      <c r="S546" s="16">
        <v>4247</v>
      </c>
      <c r="T546" s="17" t="s">
        <v>41</v>
      </c>
      <c r="U546" s="15">
        <v>46313.554166666669</v>
      </c>
      <c r="V546" s="15">
        <v>46313.553472222222</v>
      </c>
      <c r="W546" s="18" t="s">
        <v>1750</v>
      </c>
      <c r="X546" s="16">
        <v>22411</v>
      </c>
      <c r="Y546" s="19"/>
      <c r="Z546" s="16">
        <v>0</v>
      </c>
      <c r="AA546" s="20">
        <v>0.55069444444444449</v>
      </c>
      <c r="AB546" s="16">
        <v>4</v>
      </c>
      <c r="AC546" s="17" t="s">
        <v>41</v>
      </c>
      <c r="AD546" s="9" t="str">
        <f t="shared" si="10"/>
        <v>Actual</v>
      </c>
      <c r="AE546" s="9" t="str">
        <f t="shared" si="11"/>
        <v>TMK7</v>
      </c>
      <c r="AF546" s="9">
        <f>HOUR(O546)</f>
        <v>13</v>
      </c>
      <c r="AG546" s="9">
        <f>DAY(O546)</f>
        <v>18</v>
      </c>
      <c r="AH546" s="9">
        <f>IFERROR((I546-K546)*24*60,0)</f>
        <v>3.9999999920837581</v>
      </c>
      <c r="AI546" s="9">
        <f t="shared" si="12"/>
        <v>3.9999999920837581</v>
      </c>
      <c r="AJ546" s="9">
        <f>C546</f>
        <v>1566</v>
      </c>
      <c r="AK546" s="9">
        <f>IF(P546="completed",((V546-K546)*24*60),0)</f>
        <v>7.9999999946448952</v>
      </c>
      <c r="AL546" s="9">
        <f>IF(P546="completed",((U546-K546)*24*60),0)</f>
        <v>8.9999999979045242</v>
      </c>
      <c r="AM546" s="9" t="str">
        <f t="shared" si="13"/>
        <v>OTP Achieved</v>
      </c>
      <c r="AN546" s="9" t="str">
        <f t="shared" si="14"/>
        <v>OTP Achieved</v>
      </c>
    </row>
    <row r="547" spans="1:40" ht="15">
      <c r="A547" s="14" t="s">
        <v>1592</v>
      </c>
      <c r="B547" s="15">
        <v>46313.549305555556</v>
      </c>
      <c r="C547" s="16">
        <v>1389</v>
      </c>
      <c r="D547" s="17" t="s">
        <v>41</v>
      </c>
      <c r="E547" s="16">
        <v>5</v>
      </c>
      <c r="F547" s="17" t="s">
        <v>41</v>
      </c>
      <c r="G547" s="17" t="s">
        <v>41</v>
      </c>
      <c r="H547" s="17" t="s">
        <v>1751</v>
      </c>
      <c r="I547" s="15">
        <v>46313.549305555556</v>
      </c>
      <c r="J547" s="17" t="s">
        <v>41</v>
      </c>
      <c r="K547" s="15">
        <v>46313.548611111109</v>
      </c>
      <c r="L547" s="16">
        <v>32</v>
      </c>
      <c r="M547" s="17"/>
      <c r="N547" s="17"/>
      <c r="O547" s="15">
        <v>46313.547222222223</v>
      </c>
      <c r="P547" s="17" t="s">
        <v>43</v>
      </c>
      <c r="Q547" s="17" t="s">
        <v>1594</v>
      </c>
      <c r="R547" s="17" t="s">
        <v>1752</v>
      </c>
      <c r="S547" s="16">
        <v>4247</v>
      </c>
      <c r="T547" s="17" t="s">
        <v>41</v>
      </c>
      <c r="U547" s="15">
        <v>46313.554166666669</v>
      </c>
      <c r="V547" s="15">
        <v>46313.552777777775</v>
      </c>
      <c r="W547" s="18" t="s">
        <v>1753</v>
      </c>
      <c r="X547" s="16">
        <v>22411</v>
      </c>
      <c r="Y547" s="19"/>
      <c r="Z547" s="16">
        <v>0</v>
      </c>
      <c r="AA547" s="20">
        <v>0.5493055555555556</v>
      </c>
      <c r="AB547" s="16">
        <v>5</v>
      </c>
      <c r="AC547" s="17" t="s">
        <v>41</v>
      </c>
      <c r="AD547" s="9" t="str">
        <f t="shared" si="10"/>
        <v>Actual</v>
      </c>
      <c r="AE547" s="9" t="str">
        <f t="shared" si="11"/>
        <v>TMK7</v>
      </c>
      <c r="AF547" s="9">
        <f>HOUR(O547)</f>
        <v>13</v>
      </c>
      <c r="AG547" s="9">
        <f>DAY(O547)</f>
        <v>18</v>
      </c>
      <c r="AH547" s="9">
        <f>IFERROR((I547-K547)*24*60,0)</f>
        <v>1.000000003259629</v>
      </c>
      <c r="AI547" s="9">
        <f t="shared" si="12"/>
        <v>1.000000003259629</v>
      </c>
      <c r="AJ547" s="9">
        <f>C547</f>
        <v>1389</v>
      </c>
      <c r="AK547" s="9">
        <f>IF(P547="completed",((V547-K547)*24*60),0)</f>
        <v>5.9999999986030161</v>
      </c>
      <c r="AL547" s="9">
        <f>IF(P547="completed",((U547-K547)*24*60),0)</f>
        <v>8.0000000051222742</v>
      </c>
      <c r="AM547" s="9" t="str">
        <f t="shared" si="13"/>
        <v>OTP Achieved</v>
      </c>
      <c r="AN547" s="9" t="str">
        <f t="shared" si="14"/>
        <v>OTP Achieved</v>
      </c>
    </row>
    <row r="548" spans="1:40" ht="15">
      <c r="A548" s="14" t="s">
        <v>106</v>
      </c>
      <c r="B548" s="15">
        <v>46313.549305555556</v>
      </c>
      <c r="C548" s="16">
        <v>1419</v>
      </c>
      <c r="D548" s="17" t="s">
        <v>41</v>
      </c>
      <c r="E548" s="16">
        <v>5</v>
      </c>
      <c r="F548" s="17" t="s">
        <v>41</v>
      </c>
      <c r="G548" s="17" t="s">
        <v>41</v>
      </c>
      <c r="H548" s="17" t="s">
        <v>1754</v>
      </c>
      <c r="I548" s="15">
        <v>46313.549305555556</v>
      </c>
      <c r="J548" s="17" t="s">
        <v>41</v>
      </c>
      <c r="K548" s="15">
        <v>46313.54791666667</v>
      </c>
      <c r="L548" s="16">
        <v>27</v>
      </c>
      <c r="M548" s="17"/>
      <c r="N548" s="17"/>
      <c r="O548" s="15">
        <v>46313.546527777777</v>
      </c>
      <c r="P548" s="17" t="s">
        <v>43</v>
      </c>
      <c r="Q548" s="17" t="s">
        <v>108</v>
      </c>
      <c r="R548" s="17" t="s">
        <v>1755</v>
      </c>
      <c r="S548" s="16">
        <v>4247</v>
      </c>
      <c r="T548" s="17" t="s">
        <v>41</v>
      </c>
      <c r="U548" s="15">
        <v>46313.553472222222</v>
      </c>
      <c r="V548" s="15">
        <v>46313.552083333336</v>
      </c>
      <c r="W548" s="18" t="s">
        <v>1756</v>
      </c>
      <c r="X548" s="16">
        <v>22411</v>
      </c>
      <c r="Y548" s="19"/>
      <c r="Z548" s="16">
        <v>0</v>
      </c>
      <c r="AA548" s="20">
        <v>0.5493055555555556</v>
      </c>
      <c r="AB548" s="16">
        <v>4</v>
      </c>
      <c r="AC548" s="17" t="s">
        <v>41</v>
      </c>
      <c r="AD548" s="9" t="str">
        <f t="shared" si="10"/>
        <v>Actual</v>
      </c>
      <c r="AE548" s="9" t="str">
        <f t="shared" si="11"/>
        <v>TMK7</v>
      </c>
      <c r="AF548" s="9">
        <f>HOUR(O548)</f>
        <v>13</v>
      </c>
      <c r="AG548" s="9">
        <f>DAY(O548)</f>
        <v>18</v>
      </c>
      <c r="AH548" s="9">
        <f>IFERROR((I548-K548)*24*60,0)</f>
        <v>1.9999999960418791</v>
      </c>
      <c r="AI548" s="9">
        <f t="shared" si="12"/>
        <v>1.9999999960418791</v>
      </c>
      <c r="AJ548" s="9">
        <f>C548</f>
        <v>1419</v>
      </c>
      <c r="AK548" s="9">
        <f>IF(P548="completed",((V548-K548)*24*60),0)</f>
        <v>5.9999999986030161</v>
      </c>
      <c r="AL548" s="9">
        <f>IF(P548="completed",((U548-K548)*24*60),0)</f>
        <v>7.9999999946448952</v>
      </c>
      <c r="AM548" s="9" t="str">
        <f t="shared" si="13"/>
        <v>OTP Achieved</v>
      </c>
      <c r="AN548" s="9" t="str">
        <f t="shared" si="14"/>
        <v>OTP Achieved</v>
      </c>
    </row>
    <row r="549" spans="1:40" ht="15">
      <c r="A549" s="14" t="s">
        <v>52</v>
      </c>
      <c r="B549" s="15">
        <v>46313.548611111109</v>
      </c>
      <c r="C549" s="16">
        <v>691</v>
      </c>
      <c r="D549" s="17" t="s">
        <v>41</v>
      </c>
      <c r="E549" s="16">
        <v>3</v>
      </c>
      <c r="F549" s="17" t="s">
        <v>41</v>
      </c>
      <c r="G549" s="17" t="s">
        <v>41</v>
      </c>
      <c r="H549" s="17" t="s">
        <v>1757</v>
      </c>
      <c r="I549" s="15">
        <v>46313.548611111109</v>
      </c>
      <c r="J549" s="17" t="s">
        <v>41</v>
      </c>
      <c r="K549" s="15">
        <v>46313.547222222223</v>
      </c>
      <c r="L549" s="16">
        <v>20</v>
      </c>
      <c r="M549" s="17"/>
      <c r="N549" s="17"/>
      <c r="O549" s="15">
        <v>46313.54583333333</v>
      </c>
      <c r="P549" s="17" t="s">
        <v>43</v>
      </c>
      <c r="Q549" s="17" t="s">
        <v>54</v>
      </c>
      <c r="R549" s="17" t="s">
        <v>1758</v>
      </c>
      <c r="S549" s="16">
        <v>4247</v>
      </c>
      <c r="T549" s="17" t="s">
        <v>41</v>
      </c>
      <c r="U549" s="15">
        <v>46313.551388888889</v>
      </c>
      <c r="V549" s="15">
        <v>46313.55</v>
      </c>
      <c r="W549" s="18" t="s">
        <v>1759</v>
      </c>
      <c r="X549" s="16">
        <v>22411</v>
      </c>
      <c r="Y549" s="17"/>
      <c r="Z549" s="16">
        <v>0</v>
      </c>
      <c r="AA549" s="20">
        <v>0.54861111111111116</v>
      </c>
      <c r="AB549" s="16">
        <v>2</v>
      </c>
      <c r="AC549" s="17" t="s">
        <v>41</v>
      </c>
      <c r="AD549" s="9" t="str">
        <f t="shared" si="10"/>
        <v>Actual</v>
      </c>
      <c r="AE549" s="9" t="str">
        <f t="shared" si="11"/>
        <v>TMK7</v>
      </c>
      <c r="AF549" s="9">
        <f>HOUR(O549)</f>
        <v>13</v>
      </c>
      <c r="AG549" s="9">
        <f>DAY(O549)</f>
        <v>18</v>
      </c>
      <c r="AH549" s="9">
        <f>IFERROR((I549-K549)*24*60,0)</f>
        <v>1.9999999960418791</v>
      </c>
      <c r="AI549" s="9">
        <f t="shared" si="12"/>
        <v>1.9999999960418791</v>
      </c>
      <c r="AJ549" s="9">
        <f>C549</f>
        <v>691</v>
      </c>
      <c r="AK549" s="9">
        <f>IF(P549="completed",((V549-K549)*24*60),0)</f>
        <v>4.0000000025611371</v>
      </c>
      <c r="AL549" s="9">
        <f>IF(P549="completed",((U549-K549)*24*60),0)</f>
        <v>5.9999999986030161</v>
      </c>
      <c r="AM549" s="9" t="str">
        <f t="shared" si="13"/>
        <v>OTP Achieved</v>
      </c>
      <c r="AN549" s="9" t="str">
        <f t="shared" si="14"/>
        <v>OTP Achieved</v>
      </c>
    </row>
    <row r="550" spans="1:40" ht="15">
      <c r="A550" s="14" t="s">
        <v>711</v>
      </c>
      <c r="B550" s="15">
        <v>46313.54791666667</v>
      </c>
      <c r="C550" s="16">
        <v>1831</v>
      </c>
      <c r="D550" s="17" t="s">
        <v>41</v>
      </c>
      <c r="E550" s="16">
        <v>5</v>
      </c>
      <c r="F550" s="17" t="s">
        <v>41</v>
      </c>
      <c r="G550" s="17" t="s">
        <v>41</v>
      </c>
      <c r="H550" s="17" t="s">
        <v>1760</v>
      </c>
      <c r="I550" s="15">
        <v>46313.548611111109</v>
      </c>
      <c r="J550" s="17" t="s">
        <v>41</v>
      </c>
      <c r="K550" s="15">
        <v>46313.545138888891</v>
      </c>
      <c r="L550" s="16">
        <v>20</v>
      </c>
      <c r="M550" s="17"/>
      <c r="N550" s="17"/>
      <c r="O550" s="15">
        <v>46313.544444444444</v>
      </c>
      <c r="P550" s="17" t="s">
        <v>43</v>
      </c>
      <c r="Q550" s="17" t="s">
        <v>713</v>
      </c>
      <c r="R550" s="17" t="s">
        <v>1761</v>
      </c>
      <c r="S550" s="16">
        <v>4247</v>
      </c>
      <c r="T550" s="17" t="s">
        <v>41</v>
      </c>
      <c r="U550" s="15">
        <v>46313.552777777775</v>
      </c>
      <c r="V550" s="15">
        <v>46313.551388888889</v>
      </c>
      <c r="W550" s="18" t="s">
        <v>1762</v>
      </c>
      <c r="X550" s="16">
        <v>22411</v>
      </c>
      <c r="Y550" s="19"/>
      <c r="Z550" s="16">
        <v>0</v>
      </c>
      <c r="AA550" s="20">
        <v>0.54791666666666672</v>
      </c>
      <c r="AB550" s="16">
        <v>4</v>
      </c>
      <c r="AC550" s="17" t="s">
        <v>41</v>
      </c>
      <c r="AD550" s="9" t="str">
        <f t="shared" si="10"/>
        <v>Actual</v>
      </c>
      <c r="AE550" s="9" t="str">
        <f t="shared" si="11"/>
        <v>TMK7</v>
      </c>
      <c r="AF550" s="9">
        <f>HOUR(O550)</f>
        <v>13</v>
      </c>
      <c r="AG550" s="9">
        <f>DAY(O550)</f>
        <v>18</v>
      </c>
      <c r="AH550" s="9">
        <f>IFERROR((I550-K550)*24*60,0)</f>
        <v>4.9999999953433871</v>
      </c>
      <c r="AI550" s="9">
        <f t="shared" si="12"/>
        <v>4.9999999953433871</v>
      </c>
      <c r="AJ550" s="9">
        <f>C550</f>
        <v>1831</v>
      </c>
      <c r="AK550" s="9">
        <f>IF(P550="completed",((V550-K550)*24*60),0)</f>
        <v>8.9999999979045242</v>
      </c>
      <c r="AL550" s="9">
        <f>IF(P550="completed",((U550-K550)*24*60),0)</f>
        <v>10.999999993946403</v>
      </c>
      <c r="AM550" s="9" t="str">
        <f t="shared" si="13"/>
        <v>OTP Achieved</v>
      </c>
      <c r="AN550" s="9" t="str">
        <f t="shared" si="14"/>
        <v>OTP Achieved</v>
      </c>
    </row>
    <row r="551" spans="1:40" ht="15">
      <c r="A551" s="14" t="s">
        <v>347</v>
      </c>
      <c r="B551" s="15">
        <v>46313.54583333333</v>
      </c>
      <c r="C551" s="16">
        <v>1358</v>
      </c>
      <c r="D551" s="17" t="s">
        <v>41</v>
      </c>
      <c r="E551" s="16">
        <v>4</v>
      </c>
      <c r="F551" s="17" t="s">
        <v>41</v>
      </c>
      <c r="G551" s="17" t="s">
        <v>41</v>
      </c>
      <c r="H551" s="17" t="s">
        <v>1763</v>
      </c>
      <c r="I551" s="15">
        <v>46313.546527777777</v>
      </c>
      <c r="J551" s="17" t="s">
        <v>41</v>
      </c>
      <c r="K551" s="15">
        <v>46313.544444444444</v>
      </c>
      <c r="L551" s="16">
        <v>22</v>
      </c>
      <c r="M551" s="17"/>
      <c r="N551" s="17"/>
      <c r="O551" s="15">
        <v>46313.543749999997</v>
      </c>
      <c r="P551" s="17" t="s">
        <v>43</v>
      </c>
      <c r="Q551" s="17" t="s">
        <v>349</v>
      </c>
      <c r="R551" s="17" t="s">
        <v>1764</v>
      </c>
      <c r="S551" s="16">
        <v>4247</v>
      </c>
      <c r="T551" s="17" t="s">
        <v>41</v>
      </c>
      <c r="U551" s="15">
        <v>46313.549305555556</v>
      </c>
      <c r="V551" s="15">
        <v>46313.548611111109</v>
      </c>
      <c r="W551" s="18" t="s">
        <v>1765</v>
      </c>
      <c r="X551" s="16">
        <v>22411</v>
      </c>
      <c r="Y551" s="19"/>
      <c r="Z551" s="16">
        <v>0</v>
      </c>
      <c r="AA551" s="20">
        <v>0.54583333333333328</v>
      </c>
      <c r="AB551" s="16">
        <v>4</v>
      </c>
      <c r="AC551" s="17" t="s">
        <v>41</v>
      </c>
      <c r="AD551" s="9" t="str">
        <f t="shared" si="10"/>
        <v>Actual</v>
      </c>
      <c r="AE551" s="9" t="str">
        <f t="shared" si="11"/>
        <v>TMK7</v>
      </c>
      <c r="AF551" s="9">
        <f>HOUR(O551)</f>
        <v>13</v>
      </c>
      <c r="AG551" s="9">
        <f>DAY(O551)</f>
        <v>18</v>
      </c>
      <c r="AH551" s="9">
        <f>IFERROR((I551-K551)*24*60,0)</f>
        <v>2.9999999993015081</v>
      </c>
      <c r="AI551" s="9">
        <f t="shared" si="12"/>
        <v>2.9999999993015081</v>
      </c>
      <c r="AJ551" s="9">
        <f>C551</f>
        <v>1358</v>
      </c>
      <c r="AK551" s="9">
        <f>IF(P551="completed",((V551-K551)*24*60),0)</f>
        <v>5.9999999986030161</v>
      </c>
      <c r="AL551" s="9">
        <f>IF(P551="completed",((U551-K551)*24*60),0)</f>
        <v>7.0000000018626451</v>
      </c>
      <c r="AM551" s="9" t="str">
        <f t="shared" si="13"/>
        <v>OTP Achieved</v>
      </c>
      <c r="AN551" s="9" t="str">
        <f t="shared" si="14"/>
        <v>OTP Achieved</v>
      </c>
    </row>
    <row r="552" spans="1:40" ht="15">
      <c r="A552" s="14" t="s">
        <v>734</v>
      </c>
      <c r="B552" s="15">
        <v>46313.54583333333</v>
      </c>
      <c r="C552" s="16">
        <v>3728</v>
      </c>
      <c r="D552" s="17" t="s">
        <v>41</v>
      </c>
      <c r="E552" s="16">
        <v>12</v>
      </c>
      <c r="F552" s="17" t="s">
        <v>41</v>
      </c>
      <c r="G552" s="17" t="s">
        <v>41</v>
      </c>
      <c r="H552" s="17" t="s">
        <v>1766</v>
      </c>
      <c r="I552" s="15">
        <v>46313.54583333333</v>
      </c>
      <c r="J552" s="17" t="s">
        <v>41</v>
      </c>
      <c r="K552" s="15">
        <v>46313.543055555558</v>
      </c>
      <c r="L552" s="16">
        <v>25</v>
      </c>
      <c r="M552" s="17"/>
      <c r="N552" s="17"/>
      <c r="O552" s="15">
        <v>46313.542361111111</v>
      </c>
      <c r="P552" s="17" t="s">
        <v>43</v>
      </c>
      <c r="Q552" s="17" t="s">
        <v>736</v>
      </c>
      <c r="R552" s="17" t="s">
        <v>1767</v>
      </c>
      <c r="S552" s="16">
        <v>4247</v>
      </c>
      <c r="T552" s="17" t="s">
        <v>41</v>
      </c>
      <c r="U552" s="15">
        <v>46313.554861111108</v>
      </c>
      <c r="V552" s="15">
        <v>46313.553472222222</v>
      </c>
      <c r="W552" s="18" t="s">
        <v>1768</v>
      </c>
      <c r="X552" s="16">
        <v>22411</v>
      </c>
      <c r="Y552" s="19"/>
      <c r="Z552" s="16">
        <v>0</v>
      </c>
      <c r="AA552" s="20">
        <v>0.54583333333333328</v>
      </c>
      <c r="AB552" s="16">
        <v>11</v>
      </c>
      <c r="AC552" s="17" t="s">
        <v>41</v>
      </c>
      <c r="AD552" s="9" t="str">
        <f t="shared" si="10"/>
        <v>Actual</v>
      </c>
      <c r="AE552" s="9" t="str">
        <f t="shared" si="11"/>
        <v>TMK7</v>
      </c>
      <c r="AF552" s="9">
        <f>HOUR(O552)</f>
        <v>13</v>
      </c>
      <c r="AG552" s="9">
        <f>DAY(O552)</f>
        <v>18</v>
      </c>
      <c r="AH552" s="9">
        <f>IFERROR((I552-K552)*24*60,0)</f>
        <v>3.9999999920837581</v>
      </c>
      <c r="AI552" s="9">
        <f t="shared" si="12"/>
        <v>3.9999999920837581</v>
      </c>
      <c r="AJ552" s="9">
        <f>C552</f>
        <v>3728</v>
      </c>
      <c r="AK552" s="9">
        <f>IF(P552="completed",((V552-K552)*24*60),0)</f>
        <v>14.99999999650754</v>
      </c>
      <c r="AL552" s="9">
        <f>IF(P552="completed",((U552-K552)*24*60),0)</f>
        <v>16.999999992549419</v>
      </c>
      <c r="AM552" s="9" t="str">
        <f t="shared" si="13"/>
        <v>OTP Achieved</v>
      </c>
      <c r="AN552" s="9" t="str">
        <f t="shared" si="14"/>
        <v>OTP Achieved</v>
      </c>
    </row>
    <row r="553" spans="1:40" ht="15">
      <c r="A553" s="14" t="s">
        <v>379</v>
      </c>
      <c r="B553" s="15">
        <v>46313.545138888891</v>
      </c>
      <c r="C553" s="16">
        <v>2294</v>
      </c>
      <c r="D553" s="17" t="s">
        <v>41</v>
      </c>
      <c r="E553" s="16">
        <v>8</v>
      </c>
      <c r="F553" s="17" t="s">
        <v>41</v>
      </c>
      <c r="G553" s="17" t="s">
        <v>41</v>
      </c>
      <c r="H553" s="17" t="s">
        <v>1769</v>
      </c>
      <c r="I553" s="15">
        <v>46313.54583333333</v>
      </c>
      <c r="J553" s="17" t="s">
        <v>41</v>
      </c>
      <c r="K553" s="15">
        <v>46313.542361111111</v>
      </c>
      <c r="L553" s="16">
        <v>31</v>
      </c>
      <c r="M553" s="17"/>
      <c r="N553" s="17"/>
      <c r="O553" s="15">
        <v>46313.541666666664</v>
      </c>
      <c r="P553" s="17" t="s">
        <v>43</v>
      </c>
      <c r="Q553" s="17" t="s">
        <v>381</v>
      </c>
      <c r="R553" s="17" t="s">
        <v>1770</v>
      </c>
      <c r="S553" s="16">
        <v>4247</v>
      </c>
      <c r="T553" s="17" t="s">
        <v>41</v>
      </c>
      <c r="U553" s="15">
        <v>46313.552777777775</v>
      </c>
      <c r="V553" s="15">
        <v>46313.550694444442</v>
      </c>
      <c r="W553" s="18" t="s">
        <v>1771</v>
      </c>
      <c r="X553" s="16">
        <v>22411</v>
      </c>
      <c r="Y553" s="17"/>
      <c r="Z553" s="16">
        <v>0</v>
      </c>
      <c r="AA553" s="20">
        <v>0.54513888888888884</v>
      </c>
      <c r="AB553" s="16">
        <v>7</v>
      </c>
      <c r="AC553" s="17" t="s">
        <v>41</v>
      </c>
      <c r="AD553" s="9" t="str">
        <f t="shared" si="10"/>
        <v>Actual</v>
      </c>
      <c r="AE553" s="9" t="str">
        <f t="shared" si="11"/>
        <v>TMK7</v>
      </c>
      <c r="AF553" s="9">
        <f>HOUR(O553)</f>
        <v>13</v>
      </c>
      <c r="AG553" s="9">
        <f>DAY(O553)</f>
        <v>18</v>
      </c>
      <c r="AH553" s="9">
        <f>IFERROR((I553-K553)*24*60,0)</f>
        <v>4.9999999953433871</v>
      </c>
      <c r="AI553" s="9">
        <f t="shared" si="12"/>
        <v>4.9999999953433871</v>
      </c>
      <c r="AJ553" s="9">
        <f>C553</f>
        <v>2294</v>
      </c>
      <c r="AK553" s="9">
        <f>IF(P553="completed",((V553-K553)*24*60),0)</f>
        <v>11.999999997206032</v>
      </c>
      <c r="AL553" s="9">
        <f>IF(P553="completed",((U553-K553)*24*60),0)</f>
        <v>14.99999999650754</v>
      </c>
      <c r="AM553" s="9" t="str">
        <f t="shared" si="13"/>
        <v>OTP Achieved</v>
      </c>
      <c r="AN553" s="9" t="str">
        <f t="shared" si="14"/>
        <v>OTP Achieved</v>
      </c>
    </row>
    <row r="554" spans="1:40" ht="15">
      <c r="A554" s="14" t="s">
        <v>1391</v>
      </c>
      <c r="B554" s="15">
        <v>46313.545138888891</v>
      </c>
      <c r="C554" s="16">
        <v>1244</v>
      </c>
      <c r="D554" s="17" t="s">
        <v>41</v>
      </c>
      <c r="E554" s="16">
        <v>4</v>
      </c>
      <c r="F554" s="17" t="s">
        <v>41</v>
      </c>
      <c r="G554" s="17" t="s">
        <v>41</v>
      </c>
      <c r="H554" s="17" t="s">
        <v>1772</v>
      </c>
      <c r="I554" s="15">
        <v>46313.54583333333</v>
      </c>
      <c r="J554" s="17" t="s">
        <v>41</v>
      </c>
      <c r="K554" s="15">
        <v>46313.543055555558</v>
      </c>
      <c r="L554" s="16">
        <v>15</v>
      </c>
      <c r="M554" s="17"/>
      <c r="N554" s="17"/>
      <c r="O554" s="15">
        <v>46313.540972222225</v>
      </c>
      <c r="P554" s="17" t="s">
        <v>43</v>
      </c>
      <c r="Q554" s="17" t="s">
        <v>1393</v>
      </c>
      <c r="R554" s="17" t="s">
        <v>1773</v>
      </c>
      <c r="S554" s="16">
        <v>4247</v>
      </c>
      <c r="T554" s="17" t="s">
        <v>41</v>
      </c>
      <c r="U554" s="15">
        <v>46313.549305555556</v>
      </c>
      <c r="V554" s="15">
        <v>46313.548611111109</v>
      </c>
      <c r="W554" s="18" t="s">
        <v>1774</v>
      </c>
      <c r="X554" s="16">
        <v>22411</v>
      </c>
      <c r="Y554" s="19"/>
      <c r="Z554" s="16">
        <v>0</v>
      </c>
      <c r="AA554" s="20">
        <v>0.54513888888888884</v>
      </c>
      <c r="AB554" s="16">
        <v>4</v>
      </c>
      <c r="AC554" s="17" t="s">
        <v>41</v>
      </c>
      <c r="AD554" s="9" t="str">
        <f t="shared" si="10"/>
        <v>Actual</v>
      </c>
      <c r="AE554" s="9" t="str">
        <f t="shared" si="11"/>
        <v>TMK7</v>
      </c>
      <c r="AF554" s="9">
        <f>HOUR(O554)</f>
        <v>12</v>
      </c>
      <c r="AG554" s="9">
        <f>DAY(O554)</f>
        <v>18</v>
      </c>
      <c r="AH554" s="9">
        <f>IFERROR((I554-K554)*24*60,0)</f>
        <v>3.9999999920837581</v>
      </c>
      <c r="AI554" s="9">
        <f t="shared" si="12"/>
        <v>3.9999999920837581</v>
      </c>
      <c r="AJ554" s="9">
        <f>C554</f>
        <v>1244</v>
      </c>
      <c r="AK554" s="9">
        <f>IF(P554="completed",((V554-K554)*24*60),0)</f>
        <v>7.9999999946448952</v>
      </c>
      <c r="AL554" s="9">
        <f>IF(P554="completed",((U554-K554)*24*60),0)</f>
        <v>8.9999999979045242</v>
      </c>
      <c r="AM554" s="9" t="str">
        <f t="shared" si="13"/>
        <v>OTP Achieved</v>
      </c>
      <c r="AN554" s="9" t="str">
        <f t="shared" si="14"/>
        <v>OTP Achieved</v>
      </c>
    </row>
    <row r="555" spans="1:40" ht="15">
      <c r="A555" s="14" t="s">
        <v>1461</v>
      </c>
      <c r="B555" s="15">
        <v>46313.545138888891</v>
      </c>
      <c r="C555" s="16">
        <v>2761</v>
      </c>
      <c r="D555" s="17" t="s">
        <v>41</v>
      </c>
      <c r="E555" s="16">
        <v>9</v>
      </c>
      <c r="F555" s="17" t="s">
        <v>41</v>
      </c>
      <c r="G555" s="17" t="s">
        <v>41</v>
      </c>
      <c r="H555" s="17" t="s">
        <v>1775</v>
      </c>
      <c r="I555" s="15">
        <v>46313.545138888891</v>
      </c>
      <c r="J555" s="17" t="s">
        <v>41</v>
      </c>
      <c r="K555" s="15">
        <v>46313.541666666664</v>
      </c>
      <c r="L555" s="16">
        <v>22</v>
      </c>
      <c r="M555" s="17"/>
      <c r="N555" s="17"/>
      <c r="O555" s="15">
        <v>46313.540972222225</v>
      </c>
      <c r="P555" s="17" t="s">
        <v>43</v>
      </c>
      <c r="Q555" s="17" t="s">
        <v>1463</v>
      </c>
      <c r="R555" s="17" t="s">
        <v>1776</v>
      </c>
      <c r="S555" s="16">
        <v>4247</v>
      </c>
      <c r="T555" s="17" t="s">
        <v>41</v>
      </c>
      <c r="U555" s="15">
        <v>46313.552777777775</v>
      </c>
      <c r="V555" s="15">
        <v>46313.550694444442</v>
      </c>
      <c r="W555" s="18" t="s">
        <v>1777</v>
      </c>
      <c r="X555" s="16">
        <v>22411</v>
      </c>
      <c r="Y555" s="17"/>
      <c r="Z555" s="16">
        <v>0</v>
      </c>
      <c r="AA555" s="20">
        <v>0.54513888888888884</v>
      </c>
      <c r="AB555" s="16">
        <v>8</v>
      </c>
      <c r="AC555" s="17" t="s">
        <v>41</v>
      </c>
      <c r="AD555" s="9" t="str">
        <f t="shared" si="10"/>
        <v>Actual</v>
      </c>
      <c r="AE555" s="9" t="str">
        <f t="shared" si="11"/>
        <v>TMK7</v>
      </c>
      <c r="AF555" s="9">
        <f>HOUR(O555)</f>
        <v>12</v>
      </c>
      <c r="AG555" s="9">
        <f>DAY(O555)</f>
        <v>18</v>
      </c>
      <c r="AH555" s="9">
        <f>IFERROR((I555-K555)*24*60,0)</f>
        <v>5.0000000058207661</v>
      </c>
      <c r="AI555" s="9">
        <f t="shared" si="12"/>
        <v>5.0000000058207661</v>
      </c>
      <c r="AJ555" s="9">
        <f>C555</f>
        <v>2761</v>
      </c>
      <c r="AK555" s="9">
        <f>IF(P555="completed",((V555-K555)*24*60),0)</f>
        <v>13.000000000465661</v>
      </c>
      <c r="AL555" s="9">
        <f>IF(P555="completed",((U555-K555)*24*60),0)</f>
        <v>15.999999999767169</v>
      </c>
      <c r="AM555" s="9" t="str">
        <f t="shared" si="13"/>
        <v>OTP Achieved</v>
      </c>
      <c r="AN555" s="9" t="str">
        <f t="shared" si="14"/>
        <v>OTP Achieved</v>
      </c>
    </row>
    <row r="556" spans="1:40" ht="15">
      <c r="A556" s="14" t="s">
        <v>1336</v>
      </c>
      <c r="B556" s="15">
        <v>46313.544444444444</v>
      </c>
      <c r="C556" s="16">
        <v>2036</v>
      </c>
      <c r="D556" s="17" t="s">
        <v>41</v>
      </c>
      <c r="E556" s="16">
        <v>6</v>
      </c>
      <c r="F556" s="17" t="s">
        <v>41</v>
      </c>
      <c r="G556" s="17" t="s">
        <v>41</v>
      </c>
      <c r="H556" s="17" t="s">
        <v>1778</v>
      </c>
      <c r="I556" s="15">
        <v>46313.544444444444</v>
      </c>
      <c r="J556" s="17" t="s">
        <v>41</v>
      </c>
      <c r="K556" s="15">
        <v>46313.540972222225</v>
      </c>
      <c r="L556" s="16">
        <v>20</v>
      </c>
      <c r="M556" s="17"/>
      <c r="N556" s="17"/>
      <c r="O556" s="15">
        <v>46313.540277777778</v>
      </c>
      <c r="P556" s="17" t="s">
        <v>43</v>
      </c>
      <c r="Q556" s="17" t="s">
        <v>1338</v>
      </c>
      <c r="R556" s="17" t="s">
        <v>1779</v>
      </c>
      <c r="S556" s="16">
        <v>4247</v>
      </c>
      <c r="T556" s="17" t="s">
        <v>41</v>
      </c>
      <c r="U556" s="15">
        <v>46313.551388888889</v>
      </c>
      <c r="V556" s="15">
        <v>46313.548611111109</v>
      </c>
      <c r="W556" s="18" t="s">
        <v>1780</v>
      </c>
      <c r="X556" s="16">
        <v>22411</v>
      </c>
      <c r="Y556" s="19"/>
      <c r="Z556" s="16">
        <v>0</v>
      </c>
      <c r="AA556" s="20">
        <v>0.5444444444444444</v>
      </c>
      <c r="AB556" s="16">
        <v>6</v>
      </c>
      <c r="AC556" s="17" t="s">
        <v>41</v>
      </c>
      <c r="AD556" s="9" t="str">
        <f t="shared" si="10"/>
        <v>Actual</v>
      </c>
      <c r="AE556" s="9" t="str">
        <f t="shared" si="11"/>
        <v>TMK7</v>
      </c>
      <c r="AF556" s="9">
        <f>HOUR(O556)</f>
        <v>12</v>
      </c>
      <c r="AG556" s="9">
        <f>DAY(O556)</f>
        <v>18</v>
      </c>
      <c r="AH556" s="9">
        <f>IFERROR((I556-K556)*24*60,0)</f>
        <v>4.9999999953433871</v>
      </c>
      <c r="AI556" s="9">
        <f t="shared" si="12"/>
        <v>4.9999999953433871</v>
      </c>
      <c r="AJ556" s="9">
        <f>C556</f>
        <v>2036</v>
      </c>
      <c r="AK556" s="9">
        <f>IF(P556="completed",((V556-K556)*24*60),0)</f>
        <v>10.999999993946403</v>
      </c>
      <c r="AL556" s="9">
        <f>IF(P556="completed",((U556-K556)*24*60),0)</f>
        <v>14.99999999650754</v>
      </c>
      <c r="AM556" s="9" t="str">
        <f t="shared" si="13"/>
        <v>OTP Achieved</v>
      </c>
      <c r="AN556" s="9" t="str">
        <f t="shared" si="14"/>
        <v>OTP Achieved</v>
      </c>
    </row>
    <row r="557" spans="1:40" ht="15">
      <c r="A557" s="14" t="s">
        <v>1310</v>
      </c>
      <c r="B557" s="15">
        <v>46313.544444444444</v>
      </c>
      <c r="C557" s="16">
        <v>1983</v>
      </c>
      <c r="D557" s="17" t="s">
        <v>41</v>
      </c>
      <c r="E557" s="16">
        <v>7</v>
      </c>
      <c r="F557" s="17" t="s">
        <v>41</v>
      </c>
      <c r="G557" s="17" t="s">
        <v>41</v>
      </c>
      <c r="H557" s="17" t="s">
        <v>1778</v>
      </c>
      <c r="I557" s="15">
        <v>46313.544444444444</v>
      </c>
      <c r="J557" s="17" t="s">
        <v>41</v>
      </c>
      <c r="K557" s="15">
        <v>46313.540277777778</v>
      </c>
      <c r="L557" s="16">
        <v>8</v>
      </c>
      <c r="M557" s="17"/>
      <c r="N557" s="17"/>
      <c r="O557" s="15">
        <v>46313.540277777778</v>
      </c>
      <c r="P557" s="17" t="s">
        <v>43</v>
      </c>
      <c r="Q557" s="17" t="s">
        <v>1312</v>
      </c>
      <c r="R557" s="17" t="s">
        <v>1781</v>
      </c>
      <c r="S557" s="16">
        <v>4247</v>
      </c>
      <c r="T557" s="17" t="s">
        <v>41</v>
      </c>
      <c r="U557" s="15">
        <v>46313.549305555556</v>
      </c>
      <c r="V557" s="15">
        <v>46313.549305555556</v>
      </c>
      <c r="W557" s="18" t="s">
        <v>1782</v>
      </c>
      <c r="X557" s="16">
        <v>22411</v>
      </c>
      <c r="Y557" s="17"/>
      <c r="Z557" s="16">
        <v>0</v>
      </c>
      <c r="AA557" s="20">
        <v>0.5444444444444444</v>
      </c>
      <c r="AB557" s="16">
        <v>7</v>
      </c>
      <c r="AC557" s="17" t="s">
        <v>41</v>
      </c>
      <c r="AD557" s="9" t="str">
        <f t="shared" si="10"/>
        <v>Actual</v>
      </c>
      <c r="AE557" s="9" t="str">
        <f t="shared" si="11"/>
        <v>TMK7</v>
      </c>
      <c r="AF557" s="9">
        <f>HOUR(O557)</f>
        <v>12</v>
      </c>
      <c r="AG557" s="9">
        <f>DAY(O557)</f>
        <v>18</v>
      </c>
      <c r="AH557" s="9">
        <f>IFERROR((I557-K557)*24*60,0)</f>
        <v>5.9999999986030161</v>
      </c>
      <c r="AI557" s="9">
        <f t="shared" si="12"/>
        <v>5.9999999986030161</v>
      </c>
      <c r="AJ557" s="9">
        <f>C557</f>
        <v>1983</v>
      </c>
      <c r="AK557" s="9">
        <f>IF(P557="completed",((V557-K557)*24*60),0)</f>
        <v>13.000000000465661</v>
      </c>
      <c r="AL557" s="9">
        <f>IF(P557="completed",((U557-K557)*24*60),0)</f>
        <v>13.000000000465661</v>
      </c>
      <c r="AM557" s="9" t="str">
        <f t="shared" si="13"/>
        <v>OTP Breached</v>
      </c>
      <c r="AN557" s="9" t="str">
        <f t="shared" si="14"/>
        <v>OTP Achieved</v>
      </c>
    </row>
    <row r="558" spans="1:40" ht="15">
      <c r="A558" s="14" t="s">
        <v>106</v>
      </c>
      <c r="B558" s="15">
        <v>46313.544444444444</v>
      </c>
      <c r="C558" s="16">
        <v>201</v>
      </c>
      <c r="D558" s="17" t="s">
        <v>41</v>
      </c>
      <c r="E558" s="16">
        <v>1</v>
      </c>
      <c r="F558" s="17" t="s">
        <v>41</v>
      </c>
      <c r="G558" s="17" t="s">
        <v>41</v>
      </c>
      <c r="H558" s="17" t="s">
        <v>1783</v>
      </c>
      <c r="I558" s="15">
        <v>46313.544444444444</v>
      </c>
      <c r="J558" s="17" t="s">
        <v>41</v>
      </c>
      <c r="K558" s="15">
        <v>46313.540972222225</v>
      </c>
      <c r="L558" s="16">
        <v>18</v>
      </c>
      <c r="M558" s="17"/>
      <c r="N558" s="17"/>
      <c r="O558" s="15">
        <v>46313.539583333331</v>
      </c>
      <c r="P558" s="17" t="s">
        <v>43</v>
      </c>
      <c r="Q558" s="17" t="s">
        <v>108</v>
      </c>
      <c r="R558" s="17" t="s">
        <v>1784</v>
      </c>
      <c r="S558" s="16">
        <v>4247</v>
      </c>
      <c r="T558" s="17" t="s">
        <v>41</v>
      </c>
      <c r="U558" s="15">
        <v>46313.54583333333</v>
      </c>
      <c r="V558" s="15">
        <v>46313.545138888891</v>
      </c>
      <c r="W558" s="18" t="s">
        <v>1785</v>
      </c>
      <c r="X558" s="16">
        <v>22411</v>
      </c>
      <c r="Y558" s="19"/>
      <c r="Z558" s="16">
        <v>0</v>
      </c>
      <c r="AA558" s="20">
        <v>0.5444444444444444</v>
      </c>
      <c r="AB558" s="16">
        <v>0</v>
      </c>
      <c r="AC558" s="17" t="s">
        <v>41</v>
      </c>
      <c r="AD558" s="9" t="str">
        <f t="shared" si="10"/>
        <v>Actual</v>
      </c>
      <c r="AE558" s="9" t="str">
        <f t="shared" si="11"/>
        <v>TMK7</v>
      </c>
      <c r="AF558" s="9">
        <f>HOUR(O558)</f>
        <v>12</v>
      </c>
      <c r="AG558" s="9">
        <f>DAY(O558)</f>
        <v>18</v>
      </c>
      <c r="AH558" s="9">
        <f>IFERROR((I558-K558)*24*60,0)</f>
        <v>4.9999999953433871</v>
      </c>
      <c r="AI558" s="9">
        <f t="shared" si="12"/>
        <v>4.9999999953433871</v>
      </c>
      <c r="AJ558" s="9">
        <f>C558</f>
        <v>201</v>
      </c>
      <c r="AK558" s="9">
        <f>IF(P558="completed",((V558-K558)*24*60),0)</f>
        <v>5.9999999986030161</v>
      </c>
      <c r="AL558" s="9">
        <f>IF(P558="completed",((U558-K558)*24*60),0)</f>
        <v>6.9999999913852662</v>
      </c>
      <c r="AM558" s="9" t="str">
        <f t="shared" si="13"/>
        <v>OTP Achieved</v>
      </c>
      <c r="AN558" s="9" t="str">
        <f t="shared" si="14"/>
        <v>OTP Achieved</v>
      </c>
    </row>
    <row r="559" spans="1:40" ht="15">
      <c r="A559" s="14" t="s">
        <v>190</v>
      </c>
      <c r="B559" s="15">
        <v>46313.543749999997</v>
      </c>
      <c r="C559" s="16">
        <v>1293</v>
      </c>
      <c r="D559" s="17" t="s">
        <v>41</v>
      </c>
      <c r="E559" s="16">
        <v>4</v>
      </c>
      <c r="F559" s="17" t="s">
        <v>41</v>
      </c>
      <c r="G559" s="17" t="s">
        <v>41</v>
      </c>
      <c r="H559" s="17" t="s">
        <v>1786</v>
      </c>
      <c r="I559" s="15">
        <v>46313.544444444444</v>
      </c>
      <c r="J559" s="17" t="s">
        <v>41</v>
      </c>
      <c r="K559" s="15">
        <v>46313.540972222225</v>
      </c>
      <c r="L559" s="16">
        <v>19</v>
      </c>
      <c r="M559" s="17"/>
      <c r="N559" s="17"/>
      <c r="O559" s="15">
        <v>46313.538888888892</v>
      </c>
      <c r="P559" s="17" t="s">
        <v>43</v>
      </c>
      <c r="Q559" s="17" t="s">
        <v>192</v>
      </c>
      <c r="R559" s="17" t="s">
        <v>1787</v>
      </c>
      <c r="S559" s="16">
        <v>4247</v>
      </c>
      <c r="T559" s="17" t="s">
        <v>41</v>
      </c>
      <c r="U559" s="15">
        <v>46313.548611111109</v>
      </c>
      <c r="V559" s="15">
        <v>46313.547222222223</v>
      </c>
      <c r="W559" s="18" t="s">
        <v>1788</v>
      </c>
      <c r="X559" s="16">
        <v>22411</v>
      </c>
      <c r="Y559" s="19"/>
      <c r="Z559" s="16">
        <v>0</v>
      </c>
      <c r="AA559" s="20">
        <v>0.54374999999999996</v>
      </c>
      <c r="AB559" s="16">
        <v>4</v>
      </c>
      <c r="AC559" s="17" t="s">
        <v>41</v>
      </c>
      <c r="AD559" s="9" t="str">
        <f t="shared" si="10"/>
        <v>Actual</v>
      </c>
      <c r="AE559" s="9" t="str">
        <f t="shared" si="11"/>
        <v>TMK7</v>
      </c>
      <c r="AF559" s="9">
        <f>HOUR(O559)</f>
        <v>12</v>
      </c>
      <c r="AG559" s="9">
        <f>DAY(O559)</f>
        <v>18</v>
      </c>
      <c r="AH559" s="9">
        <f>IFERROR((I559-K559)*24*60,0)</f>
        <v>4.9999999953433871</v>
      </c>
      <c r="AI559" s="9">
        <f t="shared" si="12"/>
        <v>4.9999999953433871</v>
      </c>
      <c r="AJ559" s="9">
        <f>C559</f>
        <v>1293</v>
      </c>
      <c r="AK559" s="9">
        <f>IF(P559="completed",((V559-K559)*24*60),0)</f>
        <v>8.9999999979045242</v>
      </c>
      <c r="AL559" s="9">
        <f>IF(P559="completed",((U559-K559)*24*60),0)</f>
        <v>10.999999993946403</v>
      </c>
      <c r="AM559" s="9" t="str">
        <f t="shared" si="13"/>
        <v>OTP Achieved</v>
      </c>
      <c r="AN559" s="9" t="str">
        <f t="shared" si="14"/>
        <v>OTP Achieved</v>
      </c>
    </row>
    <row r="560" spans="1:40" ht="15">
      <c r="A560" s="14" t="s">
        <v>711</v>
      </c>
      <c r="B560" s="15">
        <v>46313.543055555558</v>
      </c>
      <c r="C560" s="16">
        <v>341</v>
      </c>
      <c r="D560" s="17" t="s">
        <v>41</v>
      </c>
      <c r="E560" s="16">
        <v>3</v>
      </c>
      <c r="F560" s="17" t="s">
        <v>41</v>
      </c>
      <c r="G560" s="17" t="s">
        <v>41</v>
      </c>
      <c r="H560" s="17" t="s">
        <v>1789</v>
      </c>
      <c r="I560" s="15">
        <v>46313.543749999997</v>
      </c>
      <c r="J560" s="17" t="s">
        <v>41</v>
      </c>
      <c r="K560" s="15">
        <v>46313.540277777778</v>
      </c>
      <c r="L560" s="16">
        <v>13</v>
      </c>
      <c r="M560" s="17"/>
      <c r="N560" s="17"/>
      <c r="O560" s="15">
        <v>46313.538888888892</v>
      </c>
      <c r="P560" s="17" t="s">
        <v>43</v>
      </c>
      <c r="Q560" s="17" t="s">
        <v>713</v>
      </c>
      <c r="R560" s="17" t="s">
        <v>1790</v>
      </c>
      <c r="S560" s="16">
        <v>4247</v>
      </c>
      <c r="T560" s="17" t="s">
        <v>41</v>
      </c>
      <c r="U560" s="15">
        <v>46313.545138888891</v>
      </c>
      <c r="V560" s="15">
        <v>46313.545138888891</v>
      </c>
      <c r="W560" s="18" t="s">
        <v>1791</v>
      </c>
      <c r="X560" s="16">
        <v>22411</v>
      </c>
      <c r="Y560" s="17"/>
      <c r="Z560" s="16">
        <v>0</v>
      </c>
      <c r="AA560" s="20">
        <v>0.54305555555555551</v>
      </c>
      <c r="AB560" s="16">
        <v>2</v>
      </c>
      <c r="AC560" s="17" t="s">
        <v>41</v>
      </c>
      <c r="AD560" s="9" t="str">
        <f t="shared" si="10"/>
        <v>Actual</v>
      </c>
      <c r="AE560" s="9" t="str">
        <f t="shared" si="11"/>
        <v>TMK7</v>
      </c>
      <c r="AF560" s="9">
        <f>HOUR(O560)</f>
        <v>12</v>
      </c>
      <c r="AG560" s="9">
        <f>DAY(O560)</f>
        <v>18</v>
      </c>
      <c r="AH560" s="9">
        <f>IFERROR((I560-K560)*24*60,0)</f>
        <v>4.9999999953433871</v>
      </c>
      <c r="AI560" s="9">
        <f t="shared" si="12"/>
        <v>4.9999999953433871</v>
      </c>
      <c r="AJ560" s="9">
        <f>C560</f>
        <v>341</v>
      </c>
      <c r="AK560" s="9">
        <f>IF(P560="completed",((V560-K560)*24*60),0)</f>
        <v>7.0000000018626451</v>
      </c>
      <c r="AL560" s="9">
        <f>IF(P560="completed",((U560-K560)*24*60),0)</f>
        <v>7.0000000018626451</v>
      </c>
      <c r="AM560" s="9" t="str">
        <f t="shared" si="13"/>
        <v>OTP Breached</v>
      </c>
      <c r="AN560" s="9" t="str">
        <f t="shared" si="14"/>
        <v>OTP Achieved</v>
      </c>
    </row>
    <row r="561" spans="1:40" ht="15">
      <c r="A561" s="14" t="s">
        <v>1365</v>
      </c>
      <c r="B561" s="15">
        <v>46313.543055555558</v>
      </c>
      <c r="C561" s="16">
        <v>1189</v>
      </c>
      <c r="D561" s="17" t="s">
        <v>41</v>
      </c>
      <c r="E561" s="16">
        <v>4</v>
      </c>
      <c r="F561" s="17" t="s">
        <v>41</v>
      </c>
      <c r="G561" s="17" t="s">
        <v>41</v>
      </c>
      <c r="H561" s="17" t="s">
        <v>1792</v>
      </c>
      <c r="I561" s="15">
        <v>46313.543055555558</v>
      </c>
      <c r="J561" s="17" t="s">
        <v>41</v>
      </c>
      <c r="K561" s="15">
        <v>46313.540277777778</v>
      </c>
      <c r="L561" s="16">
        <v>21</v>
      </c>
      <c r="M561" s="17"/>
      <c r="N561" s="17"/>
      <c r="O561" s="15">
        <v>46313.538194444445</v>
      </c>
      <c r="P561" s="17" t="s">
        <v>43</v>
      </c>
      <c r="Q561" s="17" t="s">
        <v>1367</v>
      </c>
      <c r="R561" s="17" t="s">
        <v>1793</v>
      </c>
      <c r="S561" s="16">
        <v>4247</v>
      </c>
      <c r="T561" s="17" t="s">
        <v>41</v>
      </c>
      <c r="U561" s="15">
        <v>46313.547222222223</v>
      </c>
      <c r="V561" s="15">
        <v>46313.54583333333</v>
      </c>
      <c r="W561" s="18" t="s">
        <v>1794</v>
      </c>
      <c r="X561" s="16">
        <v>22411</v>
      </c>
      <c r="Y561" s="19"/>
      <c r="Z561" s="16">
        <v>0</v>
      </c>
      <c r="AA561" s="20">
        <v>0.54305555555555551</v>
      </c>
      <c r="AB561" s="16">
        <v>4</v>
      </c>
      <c r="AC561" s="17" t="s">
        <v>41</v>
      </c>
      <c r="AD561" s="9" t="str">
        <f t="shared" si="10"/>
        <v>Actual</v>
      </c>
      <c r="AE561" s="9" t="str">
        <f t="shared" si="11"/>
        <v>TMK7</v>
      </c>
      <c r="AF561" s="9">
        <f>HOUR(O561)</f>
        <v>12</v>
      </c>
      <c r="AG561" s="9">
        <f>DAY(O561)</f>
        <v>18</v>
      </c>
      <c r="AH561" s="9">
        <f>IFERROR((I561-K561)*24*60,0)</f>
        <v>4.0000000025611371</v>
      </c>
      <c r="AI561" s="9">
        <f t="shared" si="12"/>
        <v>4.0000000025611371</v>
      </c>
      <c r="AJ561" s="9">
        <f>C561</f>
        <v>1189</v>
      </c>
      <c r="AK561" s="9">
        <f>IF(P561="completed",((V561-K561)*24*60),0)</f>
        <v>7.9999999946448952</v>
      </c>
      <c r="AL561" s="9">
        <f>IF(P561="completed",((U561-K561)*24*60),0)</f>
        <v>10.000000001164153</v>
      </c>
      <c r="AM561" s="9" t="str">
        <f t="shared" si="13"/>
        <v>OTP Achieved</v>
      </c>
      <c r="AN561" s="9" t="str">
        <f t="shared" si="14"/>
        <v>OTP Achieved</v>
      </c>
    </row>
    <row r="562" spans="1:40" ht="15">
      <c r="A562" s="14" t="s">
        <v>1136</v>
      </c>
      <c r="B562" s="15">
        <v>46313.541666666664</v>
      </c>
      <c r="C562" s="16">
        <v>2313</v>
      </c>
      <c r="D562" s="17" t="s">
        <v>41</v>
      </c>
      <c r="E562" s="16">
        <v>5</v>
      </c>
      <c r="F562" s="17" t="s">
        <v>41</v>
      </c>
      <c r="G562" s="17" t="s">
        <v>41</v>
      </c>
      <c r="H562" s="17" t="s">
        <v>1795</v>
      </c>
      <c r="I562" s="15">
        <v>46313.541666666664</v>
      </c>
      <c r="J562" s="17" t="s">
        <v>41</v>
      </c>
      <c r="K562" s="15">
        <v>46313.538888888892</v>
      </c>
      <c r="L562" s="16">
        <v>9</v>
      </c>
      <c r="M562" s="17"/>
      <c r="N562" s="17"/>
      <c r="O562" s="15">
        <v>46313.537499999999</v>
      </c>
      <c r="P562" s="17" t="s">
        <v>43</v>
      </c>
      <c r="Q562" s="17" t="s">
        <v>1138</v>
      </c>
      <c r="R562" s="17" t="s">
        <v>1796</v>
      </c>
      <c r="S562" s="16">
        <v>4247</v>
      </c>
      <c r="T562" s="17" t="s">
        <v>41</v>
      </c>
      <c r="U562" s="15">
        <v>46313.548611111109</v>
      </c>
      <c r="V562" s="15">
        <v>46313.545138888891</v>
      </c>
      <c r="W562" s="18" t="s">
        <v>1797</v>
      </c>
      <c r="X562" s="16">
        <v>22411</v>
      </c>
      <c r="Y562" s="19"/>
      <c r="Z562" s="16">
        <v>0</v>
      </c>
      <c r="AA562" s="20">
        <v>0.54166666666666663</v>
      </c>
      <c r="AB562" s="16">
        <v>5</v>
      </c>
      <c r="AC562" s="17" t="s">
        <v>41</v>
      </c>
      <c r="AD562" s="9" t="str">
        <f t="shared" si="10"/>
        <v>Actual</v>
      </c>
      <c r="AE562" s="9" t="str">
        <f t="shared" si="11"/>
        <v>TMK7</v>
      </c>
      <c r="AF562" s="9">
        <f>HOUR(O562)</f>
        <v>12</v>
      </c>
      <c r="AG562" s="9">
        <f>DAY(O562)</f>
        <v>18</v>
      </c>
      <c r="AH562" s="9">
        <f>IFERROR((I562-K562)*24*60,0)</f>
        <v>3.9999999920837581</v>
      </c>
      <c r="AI562" s="9">
        <f t="shared" si="12"/>
        <v>3.9999999920837581</v>
      </c>
      <c r="AJ562" s="9">
        <f>C562</f>
        <v>2313</v>
      </c>
      <c r="AK562" s="9">
        <f>IF(P562="completed",((V562-K562)*24*60),0)</f>
        <v>8.9999999979045242</v>
      </c>
      <c r="AL562" s="9">
        <f>IF(P562="completed",((U562-K562)*24*60),0)</f>
        <v>13.999999993247911</v>
      </c>
      <c r="AM562" s="9" t="str">
        <f t="shared" si="13"/>
        <v>OTP Achieved</v>
      </c>
      <c r="AN562" s="9" t="str">
        <f t="shared" si="14"/>
        <v>OTP Achieved</v>
      </c>
    </row>
    <row r="563" spans="1:40" ht="15">
      <c r="A563" s="14" t="s">
        <v>1592</v>
      </c>
      <c r="B563" s="15">
        <v>46313.541666666664</v>
      </c>
      <c r="C563" s="16">
        <v>1207</v>
      </c>
      <c r="D563" s="17" t="s">
        <v>41</v>
      </c>
      <c r="E563" s="16">
        <v>4</v>
      </c>
      <c r="F563" s="17" t="s">
        <v>41</v>
      </c>
      <c r="G563" s="17" t="s">
        <v>41</v>
      </c>
      <c r="H563" s="17" t="s">
        <v>1798</v>
      </c>
      <c r="I563" s="15">
        <v>46313.541666666664</v>
      </c>
      <c r="J563" s="17" t="s">
        <v>41</v>
      </c>
      <c r="K563" s="15">
        <v>46313.538194444445</v>
      </c>
      <c r="L563" s="16">
        <v>18</v>
      </c>
      <c r="M563" s="17"/>
      <c r="N563" s="17"/>
      <c r="O563" s="15">
        <v>46313.537499999999</v>
      </c>
      <c r="P563" s="17" t="s">
        <v>43</v>
      </c>
      <c r="Q563" s="17" t="s">
        <v>1594</v>
      </c>
      <c r="R563" s="17" t="s">
        <v>1799</v>
      </c>
      <c r="S563" s="16">
        <v>4247</v>
      </c>
      <c r="T563" s="17" t="s">
        <v>41</v>
      </c>
      <c r="U563" s="15">
        <v>46313.545138888891</v>
      </c>
      <c r="V563" s="15">
        <v>46313.543749999997</v>
      </c>
      <c r="W563" s="18" t="s">
        <v>1800</v>
      </c>
      <c r="X563" s="16">
        <v>22411</v>
      </c>
      <c r="Y563" s="19"/>
      <c r="Z563" s="16">
        <v>0</v>
      </c>
      <c r="AA563" s="20">
        <v>0.54166666666666663</v>
      </c>
      <c r="AB563" s="16">
        <v>3</v>
      </c>
      <c r="AC563" s="17" t="s">
        <v>41</v>
      </c>
      <c r="AD563" s="9" t="str">
        <f t="shared" si="10"/>
        <v>Actual</v>
      </c>
      <c r="AE563" s="9" t="str">
        <f t="shared" si="11"/>
        <v>TMK7</v>
      </c>
      <c r="AF563" s="9">
        <f>HOUR(O563)</f>
        <v>12</v>
      </c>
      <c r="AG563" s="9">
        <f>DAY(O563)</f>
        <v>18</v>
      </c>
      <c r="AH563" s="9">
        <f>IFERROR((I563-K563)*24*60,0)</f>
        <v>4.9999999953433871</v>
      </c>
      <c r="AI563" s="9">
        <f t="shared" si="12"/>
        <v>4.9999999953433871</v>
      </c>
      <c r="AJ563" s="9">
        <f>C563</f>
        <v>1207</v>
      </c>
      <c r="AK563" s="9">
        <f>IF(P563="completed",((V563-K563)*24*60),0)</f>
        <v>7.9999999946448952</v>
      </c>
      <c r="AL563" s="9">
        <f>IF(P563="completed",((U563-K563)*24*60),0)</f>
        <v>10.000000001164153</v>
      </c>
      <c r="AM563" s="9" t="str">
        <f t="shared" si="13"/>
        <v>OTP Achieved</v>
      </c>
      <c r="AN563" s="9" t="str">
        <f t="shared" si="14"/>
        <v>OTP Achieved</v>
      </c>
    </row>
    <row r="564" spans="1:40" ht="15">
      <c r="A564" s="14" t="s">
        <v>57</v>
      </c>
      <c r="B564" s="15">
        <v>46313.540972222225</v>
      </c>
      <c r="C564" s="16">
        <v>2027</v>
      </c>
      <c r="D564" s="17" t="s">
        <v>41</v>
      </c>
      <c r="E564" s="16">
        <v>6</v>
      </c>
      <c r="F564" s="17" t="s">
        <v>41</v>
      </c>
      <c r="G564" s="17" t="s">
        <v>41</v>
      </c>
      <c r="H564" s="17" t="s">
        <v>1801</v>
      </c>
      <c r="I564" s="15">
        <v>46313.540972222225</v>
      </c>
      <c r="J564" s="17" t="s">
        <v>41</v>
      </c>
      <c r="K564" s="15">
        <v>46313.536805555559</v>
      </c>
      <c r="L564" s="16">
        <v>10</v>
      </c>
      <c r="M564" s="17"/>
      <c r="N564" s="17"/>
      <c r="O564" s="15">
        <v>46313.536805555559</v>
      </c>
      <c r="P564" s="17" t="s">
        <v>43</v>
      </c>
      <c r="Q564" s="17" t="s">
        <v>59</v>
      </c>
      <c r="R564" s="17" t="s">
        <v>1802</v>
      </c>
      <c r="S564" s="16">
        <v>4247</v>
      </c>
      <c r="T564" s="17" t="s">
        <v>41</v>
      </c>
      <c r="U564" s="15">
        <v>46313.546527777777</v>
      </c>
      <c r="V564" s="15">
        <v>46313.545138888891</v>
      </c>
      <c r="W564" s="18" t="s">
        <v>1803</v>
      </c>
      <c r="X564" s="16">
        <v>22411</v>
      </c>
      <c r="Y564" s="19"/>
      <c r="Z564" s="16">
        <v>0</v>
      </c>
      <c r="AA564" s="20">
        <v>0.54097222222222219</v>
      </c>
      <c r="AB564" s="16">
        <v>6</v>
      </c>
      <c r="AC564" s="17" t="s">
        <v>41</v>
      </c>
      <c r="AD564" s="9" t="str">
        <f t="shared" si="10"/>
        <v>Actual</v>
      </c>
      <c r="AE564" s="9" t="str">
        <f t="shared" si="11"/>
        <v>TMK7</v>
      </c>
      <c r="AF564" s="9">
        <f>HOUR(O564)</f>
        <v>12</v>
      </c>
      <c r="AG564" s="9">
        <f>DAY(O564)</f>
        <v>18</v>
      </c>
      <c r="AH564" s="9">
        <f>IFERROR((I564-K564)*24*60,0)</f>
        <v>5.9999999986030161</v>
      </c>
      <c r="AI564" s="9">
        <f t="shared" si="12"/>
        <v>5.9999999986030161</v>
      </c>
      <c r="AJ564" s="9">
        <f>C564</f>
        <v>2027</v>
      </c>
      <c r="AK564" s="9">
        <f>IF(P564="completed",((V564-K564)*24*60),0)</f>
        <v>11.999999997206032</v>
      </c>
      <c r="AL564" s="9">
        <f>IF(P564="completed",((U564-K564)*24*60),0)</f>
        <v>13.999999993247911</v>
      </c>
      <c r="AM564" s="9" t="str">
        <f t="shared" si="13"/>
        <v>OTP Achieved</v>
      </c>
      <c r="AN564" s="9" t="str">
        <f t="shared" si="14"/>
        <v>OTP Achieved</v>
      </c>
    </row>
    <row r="565" spans="1:40" ht="15">
      <c r="A565" s="14" t="s">
        <v>655</v>
      </c>
      <c r="B565" s="15">
        <v>46313.540972222225</v>
      </c>
      <c r="C565" s="16">
        <v>3456</v>
      </c>
      <c r="D565" s="17" t="s">
        <v>41</v>
      </c>
      <c r="E565" s="16">
        <v>8</v>
      </c>
      <c r="F565" s="17" t="s">
        <v>41</v>
      </c>
      <c r="G565" s="17" t="s">
        <v>41</v>
      </c>
      <c r="H565" s="17" t="s">
        <v>1804</v>
      </c>
      <c r="I565" s="15">
        <v>46313.540972222225</v>
      </c>
      <c r="J565" s="17" t="s">
        <v>41</v>
      </c>
      <c r="K565" s="15">
        <v>46313.535416666666</v>
      </c>
      <c r="L565" s="16">
        <v>8</v>
      </c>
      <c r="M565" s="17"/>
      <c r="N565" s="17"/>
      <c r="O565" s="15">
        <v>46313.534722222219</v>
      </c>
      <c r="P565" s="17" t="s">
        <v>43</v>
      </c>
      <c r="Q565" s="17" t="s">
        <v>657</v>
      </c>
      <c r="R565" s="17" t="s">
        <v>1805</v>
      </c>
      <c r="S565" s="16">
        <v>4247</v>
      </c>
      <c r="T565" s="17" t="s">
        <v>41</v>
      </c>
      <c r="U565" s="15">
        <v>46313.55</v>
      </c>
      <c r="V565" s="15">
        <v>46313.546527777777</v>
      </c>
      <c r="W565" s="18" t="s">
        <v>1806</v>
      </c>
      <c r="X565" s="16">
        <v>22411</v>
      </c>
      <c r="Y565" s="19"/>
      <c r="Z565" s="16">
        <v>0</v>
      </c>
      <c r="AA565" s="20">
        <v>0.54097222222222219</v>
      </c>
      <c r="AB565" s="16">
        <v>8</v>
      </c>
      <c r="AC565" s="17" t="s">
        <v>41</v>
      </c>
      <c r="AD565" s="9" t="str">
        <f t="shared" si="10"/>
        <v>Actual</v>
      </c>
      <c r="AE565" s="9" t="str">
        <f t="shared" si="11"/>
        <v>TMK7</v>
      </c>
      <c r="AF565" s="9">
        <f>HOUR(O565)</f>
        <v>12</v>
      </c>
      <c r="AG565" s="9">
        <f>DAY(O565)</f>
        <v>18</v>
      </c>
      <c r="AH565" s="9">
        <f>IFERROR((I565-K565)*24*60,0)</f>
        <v>8.0000000051222742</v>
      </c>
      <c r="AI565" s="9">
        <f t="shared" si="12"/>
        <v>8.0000000051222742</v>
      </c>
      <c r="AJ565" s="9">
        <f>C565</f>
        <v>3456</v>
      </c>
      <c r="AK565" s="9">
        <f>IF(P565="completed",((V565-K565)*24*60),0)</f>
        <v>15.999999999767169</v>
      </c>
      <c r="AL565" s="9">
        <f>IF(P565="completed",((U565-K565)*24*60),0)</f>
        <v>21.000000005587935</v>
      </c>
      <c r="AM565" s="9" t="str">
        <f t="shared" si="13"/>
        <v>OTP Achieved</v>
      </c>
      <c r="AN565" s="9" t="str">
        <f t="shared" si="14"/>
        <v>OTP Achieved</v>
      </c>
    </row>
    <row r="566" spans="1:40" ht="15">
      <c r="A566" s="14" t="s">
        <v>1310</v>
      </c>
      <c r="B566" s="15">
        <v>46313.539583333331</v>
      </c>
      <c r="C566" s="16">
        <v>356</v>
      </c>
      <c r="D566" s="17" t="s">
        <v>41</v>
      </c>
      <c r="E566" s="16">
        <v>1</v>
      </c>
      <c r="F566" s="17" t="s">
        <v>41</v>
      </c>
      <c r="G566" s="17" t="s">
        <v>41</v>
      </c>
      <c r="H566" s="17" t="s">
        <v>1807</v>
      </c>
      <c r="I566" s="15">
        <v>46313.539583333331</v>
      </c>
      <c r="J566" s="17" t="s">
        <v>41</v>
      </c>
      <c r="K566" s="15">
        <v>46313.535416666666</v>
      </c>
      <c r="L566" s="16">
        <v>24</v>
      </c>
      <c r="M566" s="17"/>
      <c r="N566" s="17"/>
      <c r="O566" s="15">
        <v>46313.534722222219</v>
      </c>
      <c r="P566" s="17" t="s">
        <v>43</v>
      </c>
      <c r="Q566" s="17" t="s">
        <v>1312</v>
      </c>
      <c r="R566" s="17" t="s">
        <v>1808</v>
      </c>
      <c r="S566" s="16">
        <v>4247</v>
      </c>
      <c r="T566" s="17" t="s">
        <v>41</v>
      </c>
      <c r="U566" s="15">
        <v>46313.541666666664</v>
      </c>
      <c r="V566" s="15">
        <v>46313.540277777778</v>
      </c>
      <c r="W566" s="18" t="s">
        <v>1809</v>
      </c>
      <c r="X566" s="16">
        <v>22411</v>
      </c>
      <c r="Y566" s="19"/>
      <c r="Z566" s="16">
        <v>0</v>
      </c>
      <c r="AA566" s="20">
        <v>0.5395833333333333</v>
      </c>
      <c r="AB566" s="16">
        <v>1</v>
      </c>
      <c r="AC566" s="17" t="s">
        <v>41</v>
      </c>
      <c r="AD566" s="9" t="str">
        <f t="shared" si="10"/>
        <v>Actual</v>
      </c>
      <c r="AE566" s="9" t="str">
        <f t="shared" si="11"/>
        <v>TMK7</v>
      </c>
      <c r="AF566" s="9">
        <f>HOUR(O566)</f>
        <v>12</v>
      </c>
      <c r="AG566" s="9">
        <f>DAY(O566)</f>
        <v>18</v>
      </c>
      <c r="AH566" s="9">
        <f>IFERROR((I566-K566)*24*60,0)</f>
        <v>5.9999999986030161</v>
      </c>
      <c r="AI566" s="9">
        <f t="shared" si="12"/>
        <v>5.9999999986030161</v>
      </c>
      <c r="AJ566" s="9">
        <f>C566</f>
        <v>356</v>
      </c>
      <c r="AK566" s="9">
        <f>IF(P566="completed",((V566-K566)*24*60),0)</f>
        <v>7.0000000018626451</v>
      </c>
      <c r="AL566" s="9">
        <f>IF(P566="completed",((U566-K566)*24*60),0)</f>
        <v>8.9999999979045242</v>
      </c>
      <c r="AM566" s="9" t="str">
        <f t="shared" si="13"/>
        <v>OTP Achieved</v>
      </c>
      <c r="AN566" s="9" t="str">
        <f t="shared" si="14"/>
        <v>OTP Achieved</v>
      </c>
    </row>
    <row r="567" spans="1:40" ht="15">
      <c r="A567" s="14" t="s">
        <v>1171</v>
      </c>
      <c r="B567" s="15">
        <v>46313.538194444445</v>
      </c>
      <c r="C567" s="16">
        <v>2784</v>
      </c>
      <c r="D567" s="17" t="s">
        <v>41</v>
      </c>
      <c r="E567" s="16">
        <v>8</v>
      </c>
      <c r="F567" s="17" t="s">
        <v>41</v>
      </c>
      <c r="G567" s="17" t="s">
        <v>41</v>
      </c>
      <c r="H567" s="17" t="s">
        <v>1810</v>
      </c>
      <c r="I567" s="15">
        <v>46313.538888888892</v>
      </c>
      <c r="J567" s="17" t="s">
        <v>41</v>
      </c>
      <c r="K567" s="15">
        <v>46313.535416666666</v>
      </c>
      <c r="L567" s="16">
        <v>53</v>
      </c>
      <c r="M567" s="17"/>
      <c r="N567" s="17"/>
      <c r="O567" s="15">
        <v>46313.534722222219</v>
      </c>
      <c r="P567" s="17" t="s">
        <v>43</v>
      </c>
      <c r="Q567" s="17" t="s">
        <v>1173</v>
      </c>
      <c r="R567" s="17" t="s">
        <v>1811</v>
      </c>
      <c r="S567" s="16">
        <v>4247</v>
      </c>
      <c r="T567" s="17" t="s">
        <v>41</v>
      </c>
      <c r="U567" s="15">
        <v>46313.546527777777</v>
      </c>
      <c r="V567" s="15">
        <v>46313.544444444444</v>
      </c>
      <c r="W567" s="18" t="s">
        <v>1812</v>
      </c>
      <c r="X567" s="16">
        <v>22411</v>
      </c>
      <c r="Y567" s="19"/>
      <c r="Z567" s="16">
        <v>0</v>
      </c>
      <c r="AA567" s="20">
        <v>0.53819444444444442</v>
      </c>
      <c r="AB567" s="16">
        <v>7</v>
      </c>
      <c r="AC567" s="17" t="s">
        <v>41</v>
      </c>
      <c r="AD567" s="9" t="str">
        <f t="shared" si="10"/>
        <v>Actual</v>
      </c>
      <c r="AE567" s="9" t="str">
        <f t="shared" si="11"/>
        <v>TMK7</v>
      </c>
      <c r="AF567" s="9">
        <f>HOUR(O567)</f>
        <v>12</v>
      </c>
      <c r="AG567" s="9">
        <f>DAY(O567)</f>
        <v>18</v>
      </c>
      <c r="AH567" s="9">
        <f>IFERROR((I567-K567)*24*60,0)</f>
        <v>5.0000000058207661</v>
      </c>
      <c r="AI567" s="9">
        <f t="shared" si="12"/>
        <v>5.0000000058207661</v>
      </c>
      <c r="AJ567" s="9">
        <f>C567</f>
        <v>2784</v>
      </c>
      <c r="AK567" s="9">
        <f>IF(P567="completed",((V567-K567)*24*60),0)</f>
        <v>13.000000000465661</v>
      </c>
      <c r="AL567" s="9">
        <f>IF(P567="completed",((U567-K567)*24*60),0)</f>
        <v>15.999999999767169</v>
      </c>
      <c r="AM567" s="9" t="str">
        <f t="shared" si="13"/>
        <v>OTP Achieved</v>
      </c>
      <c r="AN567" s="9" t="str">
        <f t="shared" si="14"/>
        <v>OTP Achieved</v>
      </c>
    </row>
    <row r="568" spans="1:40" ht="15">
      <c r="A568" s="14" t="s">
        <v>185</v>
      </c>
      <c r="B568" s="15">
        <v>46313.538194444445</v>
      </c>
      <c r="C568" s="16">
        <v>1969</v>
      </c>
      <c r="D568" s="17" t="s">
        <v>41</v>
      </c>
      <c r="E568" s="16">
        <v>8</v>
      </c>
      <c r="F568" s="17" t="s">
        <v>41</v>
      </c>
      <c r="G568" s="17" t="s">
        <v>41</v>
      </c>
      <c r="H568" s="17" t="s">
        <v>1813</v>
      </c>
      <c r="I568" s="15">
        <v>46313.538888888892</v>
      </c>
      <c r="J568" s="17" t="s">
        <v>41</v>
      </c>
      <c r="K568" s="15">
        <v>46313.535416666666</v>
      </c>
      <c r="L568" s="16">
        <v>56</v>
      </c>
      <c r="M568" s="17"/>
      <c r="N568" s="17"/>
      <c r="O568" s="15">
        <v>46313.53402777778</v>
      </c>
      <c r="P568" s="17" t="s">
        <v>43</v>
      </c>
      <c r="Q568" s="17" t="s">
        <v>187</v>
      </c>
      <c r="R568" s="17" t="s">
        <v>1814</v>
      </c>
      <c r="S568" s="16">
        <v>4247</v>
      </c>
      <c r="T568" s="17" t="s">
        <v>41</v>
      </c>
      <c r="U568" s="15">
        <v>46313.544444444444</v>
      </c>
      <c r="V568" s="15">
        <v>46313.543749999997</v>
      </c>
      <c r="W568" s="18" t="s">
        <v>1815</v>
      </c>
      <c r="X568" s="16">
        <v>22411</v>
      </c>
      <c r="Y568" s="17"/>
      <c r="Z568" s="16">
        <v>0</v>
      </c>
      <c r="AA568" s="20">
        <v>0.53819444444444442</v>
      </c>
      <c r="AB568" s="16">
        <v>7</v>
      </c>
      <c r="AC568" s="17" t="s">
        <v>41</v>
      </c>
      <c r="AD568" s="9" t="str">
        <f t="shared" si="10"/>
        <v>Actual</v>
      </c>
      <c r="AE568" s="9" t="str">
        <f t="shared" si="11"/>
        <v>TMK7</v>
      </c>
      <c r="AF568" s="9">
        <f>HOUR(O568)</f>
        <v>12</v>
      </c>
      <c r="AG568" s="9">
        <f>DAY(O568)</f>
        <v>18</v>
      </c>
      <c r="AH568" s="9">
        <f>IFERROR((I568-K568)*24*60,0)</f>
        <v>5.0000000058207661</v>
      </c>
      <c r="AI568" s="9">
        <f t="shared" si="12"/>
        <v>5.0000000058207661</v>
      </c>
      <c r="AJ568" s="9">
        <f>C568</f>
        <v>1969</v>
      </c>
      <c r="AK568" s="9">
        <f>IF(P568="completed",((V568-K568)*24*60),0)</f>
        <v>11.999999997206032</v>
      </c>
      <c r="AL568" s="9">
        <f>IF(P568="completed",((U568-K568)*24*60),0)</f>
        <v>13.000000000465661</v>
      </c>
      <c r="AM568" s="9" t="str">
        <f t="shared" si="13"/>
        <v>OTP Achieved</v>
      </c>
      <c r="AN568" s="9" t="str">
        <f t="shared" si="14"/>
        <v>OTP Achieved</v>
      </c>
    </row>
    <row r="569" spans="1:40" ht="15">
      <c r="A569" s="14" t="s">
        <v>62</v>
      </c>
      <c r="B569" s="15">
        <v>46313.538194444445</v>
      </c>
      <c r="C569" s="16">
        <v>2133</v>
      </c>
      <c r="D569" s="17" t="s">
        <v>41</v>
      </c>
      <c r="E569" s="16">
        <v>6</v>
      </c>
      <c r="F569" s="17" t="s">
        <v>41</v>
      </c>
      <c r="G569" s="17" t="s">
        <v>41</v>
      </c>
      <c r="H569" s="17" t="s">
        <v>1816</v>
      </c>
      <c r="I569" s="15">
        <v>46313.538888888892</v>
      </c>
      <c r="J569" s="17" t="s">
        <v>41</v>
      </c>
      <c r="K569" s="15">
        <v>46313.534722222219</v>
      </c>
      <c r="L569" s="16">
        <v>61</v>
      </c>
      <c r="M569" s="17"/>
      <c r="N569" s="17"/>
      <c r="O569" s="15">
        <v>46313.533333333333</v>
      </c>
      <c r="P569" s="17" t="s">
        <v>43</v>
      </c>
      <c r="Q569" s="17" t="s">
        <v>64</v>
      </c>
      <c r="R569" s="17" t="s">
        <v>1817</v>
      </c>
      <c r="S569" s="16">
        <v>4247</v>
      </c>
      <c r="T569" s="17" t="s">
        <v>41</v>
      </c>
      <c r="U569" s="15">
        <v>46313.544444444444</v>
      </c>
      <c r="V569" s="15">
        <v>46313.543055555558</v>
      </c>
      <c r="W569" s="18" t="s">
        <v>1818</v>
      </c>
      <c r="X569" s="16">
        <v>22411</v>
      </c>
      <c r="Y569" s="19"/>
      <c r="Z569" s="16">
        <v>0</v>
      </c>
      <c r="AA569" s="20">
        <v>0.53819444444444442</v>
      </c>
      <c r="AB569" s="16">
        <v>5</v>
      </c>
      <c r="AC569" s="17" t="s">
        <v>41</v>
      </c>
      <c r="AD569" s="9" t="str">
        <f t="shared" si="10"/>
        <v>Actual</v>
      </c>
      <c r="AE569" s="9" t="str">
        <f t="shared" si="11"/>
        <v>TMK7</v>
      </c>
      <c r="AF569" s="9">
        <f>HOUR(O569)</f>
        <v>12</v>
      </c>
      <c r="AG569" s="9">
        <f>DAY(O569)</f>
        <v>18</v>
      </c>
      <c r="AH569" s="9">
        <f>IFERROR((I569-K569)*24*60,0)</f>
        <v>6.0000000090803951</v>
      </c>
      <c r="AI569" s="9">
        <f t="shared" si="12"/>
        <v>6.0000000090803951</v>
      </c>
      <c r="AJ569" s="9">
        <f>C569</f>
        <v>2133</v>
      </c>
      <c r="AK569" s="9">
        <f>IF(P569="completed",((V569-K569)*24*60),0)</f>
        <v>12.000000007683411</v>
      </c>
      <c r="AL569" s="9">
        <f>IF(P569="completed",((U569-K569)*24*60),0)</f>
        <v>14.00000000372529</v>
      </c>
      <c r="AM569" s="9" t="str">
        <f t="shared" si="13"/>
        <v>OTP Achieved</v>
      </c>
      <c r="AN569" s="9" t="str">
        <f t="shared" si="14"/>
        <v>OTP Achieved</v>
      </c>
    </row>
    <row r="570" spans="1:40" ht="15">
      <c r="A570" s="14" t="s">
        <v>67</v>
      </c>
      <c r="B570" s="15">
        <v>46313.538194444445</v>
      </c>
      <c r="C570" s="16">
        <v>3299</v>
      </c>
      <c r="D570" s="17" t="s">
        <v>41</v>
      </c>
      <c r="E570" s="16">
        <v>10</v>
      </c>
      <c r="F570" s="17" t="s">
        <v>41</v>
      </c>
      <c r="G570" s="17" t="s">
        <v>41</v>
      </c>
      <c r="H570" s="17" t="s">
        <v>1819</v>
      </c>
      <c r="I570" s="15">
        <v>46313.538194444445</v>
      </c>
      <c r="J570" s="17" t="s">
        <v>41</v>
      </c>
      <c r="K570" s="15">
        <v>46313.53402777778</v>
      </c>
      <c r="L570" s="16">
        <v>16</v>
      </c>
      <c r="M570" s="17"/>
      <c r="N570" s="17"/>
      <c r="O570" s="15">
        <v>46313.533333333333</v>
      </c>
      <c r="P570" s="17" t="s">
        <v>43</v>
      </c>
      <c r="Q570" s="17" t="s">
        <v>69</v>
      </c>
      <c r="R570" s="17" t="s">
        <v>1820</v>
      </c>
      <c r="S570" s="16">
        <v>4247</v>
      </c>
      <c r="T570" s="17" t="s">
        <v>41</v>
      </c>
      <c r="U570" s="15">
        <v>46313.547222222223</v>
      </c>
      <c r="V570" s="15">
        <v>46313.545138888891</v>
      </c>
      <c r="W570" s="18" t="s">
        <v>1821</v>
      </c>
      <c r="X570" s="16">
        <v>22411</v>
      </c>
      <c r="Y570" s="19"/>
      <c r="Z570" s="16">
        <v>0</v>
      </c>
      <c r="AA570" s="20">
        <v>0.53819444444444442</v>
      </c>
      <c r="AB570" s="16">
        <v>10</v>
      </c>
      <c r="AC570" s="17" t="s">
        <v>41</v>
      </c>
      <c r="AD570" s="9" t="str">
        <f t="shared" si="10"/>
        <v>Actual</v>
      </c>
      <c r="AE570" s="9" t="str">
        <f t="shared" si="11"/>
        <v>TMK7</v>
      </c>
      <c r="AF570" s="9">
        <f>HOUR(O570)</f>
        <v>12</v>
      </c>
      <c r="AG570" s="9">
        <f>DAY(O570)</f>
        <v>18</v>
      </c>
      <c r="AH570" s="9">
        <f>IFERROR((I570-K570)*24*60,0)</f>
        <v>5.9999999986030161</v>
      </c>
      <c r="AI570" s="9">
        <f t="shared" si="12"/>
        <v>5.9999999986030161</v>
      </c>
      <c r="AJ570" s="9">
        <f>C570</f>
        <v>3299</v>
      </c>
      <c r="AK570" s="9">
        <f>IF(P570="completed",((V570-K570)*24*60),0)</f>
        <v>15.999999999767169</v>
      </c>
      <c r="AL570" s="9">
        <f>IF(P570="completed",((U570-K570)*24*60),0)</f>
        <v>18.999999999068677</v>
      </c>
      <c r="AM570" s="9" t="str">
        <f t="shared" si="13"/>
        <v>OTP Achieved</v>
      </c>
      <c r="AN570" s="9" t="str">
        <f t="shared" si="14"/>
        <v>OTP Achieved</v>
      </c>
    </row>
    <row r="571" spans="1:40" ht="15">
      <c r="A571" s="14" t="s">
        <v>1461</v>
      </c>
      <c r="B571" s="15">
        <v>46313.538194444445</v>
      </c>
      <c r="C571" s="16">
        <v>1067</v>
      </c>
      <c r="D571" s="17" t="s">
        <v>41</v>
      </c>
      <c r="E571" s="16">
        <v>4</v>
      </c>
      <c r="F571" s="17" t="s">
        <v>41</v>
      </c>
      <c r="G571" s="17" t="s">
        <v>41</v>
      </c>
      <c r="H571" s="17" t="s">
        <v>1822</v>
      </c>
      <c r="I571" s="15">
        <v>46313.538194444445</v>
      </c>
      <c r="J571" s="17" t="s">
        <v>41</v>
      </c>
      <c r="K571" s="15">
        <v>46313.532638888886</v>
      </c>
      <c r="L571" s="16">
        <v>27</v>
      </c>
      <c r="M571" s="17"/>
      <c r="N571" s="17"/>
      <c r="O571" s="15">
        <v>46313.532638888886</v>
      </c>
      <c r="P571" s="17" t="s">
        <v>43</v>
      </c>
      <c r="Q571" s="17" t="s">
        <v>1463</v>
      </c>
      <c r="R571" s="17" t="s">
        <v>1823</v>
      </c>
      <c r="S571" s="16">
        <v>4247</v>
      </c>
      <c r="T571" s="17" t="s">
        <v>41</v>
      </c>
      <c r="U571" s="15">
        <v>46313.540972222225</v>
      </c>
      <c r="V571" s="15">
        <v>46313.540972222225</v>
      </c>
      <c r="W571" s="18" t="s">
        <v>1824</v>
      </c>
      <c r="X571" s="16">
        <v>22411</v>
      </c>
      <c r="Y571" s="19"/>
      <c r="Z571" s="16">
        <v>0</v>
      </c>
      <c r="AA571" s="20">
        <v>0.53819444444444442</v>
      </c>
      <c r="AB571" s="16">
        <v>4</v>
      </c>
      <c r="AC571" s="17" t="s">
        <v>41</v>
      </c>
      <c r="AD571" s="9" t="str">
        <f t="shared" si="10"/>
        <v>Actual</v>
      </c>
      <c r="AE571" s="9" t="str">
        <f t="shared" si="11"/>
        <v>TMK7</v>
      </c>
      <c r="AF571" s="9">
        <f>HOUR(O571)</f>
        <v>12</v>
      </c>
      <c r="AG571" s="9">
        <f>DAY(O571)</f>
        <v>18</v>
      </c>
      <c r="AH571" s="9">
        <f>IFERROR((I571-K571)*24*60,0)</f>
        <v>8.0000000051222742</v>
      </c>
      <c r="AI571" s="9">
        <f t="shared" si="12"/>
        <v>8.0000000051222742</v>
      </c>
      <c r="AJ571" s="9">
        <f>C571</f>
        <v>1067</v>
      </c>
      <c r="AK571" s="9">
        <f>IF(P571="completed",((V571-K571)*24*60),0)</f>
        <v>12.000000007683411</v>
      </c>
      <c r="AL571" s="9">
        <f>IF(P571="completed",((U571-K571)*24*60),0)</f>
        <v>12.000000007683411</v>
      </c>
      <c r="AM571" s="9" t="str">
        <f t="shared" si="13"/>
        <v>OTP Breached</v>
      </c>
      <c r="AN571" s="9" t="str">
        <f t="shared" si="14"/>
        <v>OTP Achieved</v>
      </c>
    </row>
    <row r="572" spans="1:40" ht="15">
      <c r="A572" s="14" t="s">
        <v>734</v>
      </c>
      <c r="B572" s="15">
        <v>46313.537499999999</v>
      </c>
      <c r="C572" s="16">
        <v>1195</v>
      </c>
      <c r="D572" s="17" t="s">
        <v>41</v>
      </c>
      <c r="E572" s="16">
        <v>5</v>
      </c>
      <c r="F572" s="17" t="s">
        <v>41</v>
      </c>
      <c r="G572" s="17" t="s">
        <v>41</v>
      </c>
      <c r="H572" s="17" t="s">
        <v>1825</v>
      </c>
      <c r="I572" s="15">
        <v>46313.538194444445</v>
      </c>
      <c r="J572" s="17" t="s">
        <v>41</v>
      </c>
      <c r="K572" s="15">
        <v>46313.532638888886</v>
      </c>
      <c r="L572" s="16">
        <v>35</v>
      </c>
      <c r="M572" s="17"/>
      <c r="N572" s="17"/>
      <c r="O572" s="15">
        <v>46313.531944444447</v>
      </c>
      <c r="P572" s="17" t="s">
        <v>43</v>
      </c>
      <c r="Q572" s="17" t="s">
        <v>736</v>
      </c>
      <c r="R572" s="17" t="s">
        <v>1826</v>
      </c>
      <c r="S572" s="16">
        <v>4247</v>
      </c>
      <c r="T572" s="17" t="s">
        <v>41</v>
      </c>
      <c r="U572" s="15">
        <v>46313.542361111111</v>
      </c>
      <c r="V572" s="15">
        <v>46313.540972222225</v>
      </c>
      <c r="W572" s="18" t="s">
        <v>1827</v>
      </c>
      <c r="X572" s="16">
        <v>22411</v>
      </c>
      <c r="Y572" s="19"/>
      <c r="Z572" s="16">
        <v>0</v>
      </c>
      <c r="AA572" s="20">
        <v>0.53749999999999998</v>
      </c>
      <c r="AB572" s="16">
        <v>4</v>
      </c>
      <c r="AC572" s="17" t="s">
        <v>41</v>
      </c>
      <c r="AD572" s="9" t="str">
        <f t="shared" si="10"/>
        <v>Actual</v>
      </c>
      <c r="AE572" s="9" t="str">
        <f t="shared" si="11"/>
        <v>TMK7</v>
      </c>
      <c r="AF572" s="9">
        <f>HOUR(O572)</f>
        <v>12</v>
      </c>
      <c r="AG572" s="9">
        <f>DAY(O572)</f>
        <v>18</v>
      </c>
      <c r="AH572" s="9">
        <f>IFERROR((I572-K572)*24*60,0)</f>
        <v>8.0000000051222742</v>
      </c>
      <c r="AI572" s="9">
        <f t="shared" si="12"/>
        <v>8.0000000051222742</v>
      </c>
      <c r="AJ572" s="9">
        <f>C572</f>
        <v>1195</v>
      </c>
      <c r="AK572" s="9">
        <f>IF(P572="completed",((V572-K572)*24*60),0)</f>
        <v>12.000000007683411</v>
      </c>
      <c r="AL572" s="9">
        <f>IF(P572="completed",((U572-K572)*24*60),0)</f>
        <v>14.00000000372529</v>
      </c>
      <c r="AM572" s="9" t="str">
        <f t="shared" si="13"/>
        <v>OTP Achieved</v>
      </c>
      <c r="AN572" s="9" t="str">
        <f t="shared" si="14"/>
        <v>OTP Achieved</v>
      </c>
    </row>
    <row r="573" spans="1:40" ht="15">
      <c r="A573" s="14" t="s">
        <v>1365</v>
      </c>
      <c r="B573" s="15">
        <v>46313.537499999999</v>
      </c>
      <c r="C573" s="16">
        <v>1152</v>
      </c>
      <c r="D573" s="17" t="s">
        <v>41</v>
      </c>
      <c r="E573" s="16">
        <v>3</v>
      </c>
      <c r="F573" s="17" t="s">
        <v>41</v>
      </c>
      <c r="G573" s="17" t="s">
        <v>41</v>
      </c>
      <c r="H573" s="17" t="s">
        <v>1825</v>
      </c>
      <c r="I573" s="15">
        <v>46313.537499999999</v>
      </c>
      <c r="J573" s="17" t="s">
        <v>41</v>
      </c>
      <c r="K573" s="15">
        <v>46313.532638888886</v>
      </c>
      <c r="L573" s="16">
        <v>18</v>
      </c>
      <c r="M573" s="17"/>
      <c r="N573" s="17"/>
      <c r="O573" s="15">
        <v>46313.531944444447</v>
      </c>
      <c r="P573" s="17" t="s">
        <v>43</v>
      </c>
      <c r="Q573" s="17" t="s">
        <v>1367</v>
      </c>
      <c r="R573" s="17" t="s">
        <v>1828</v>
      </c>
      <c r="S573" s="16">
        <v>4247</v>
      </c>
      <c r="T573" s="17" t="s">
        <v>41</v>
      </c>
      <c r="U573" s="15">
        <v>46313.540277777778</v>
      </c>
      <c r="V573" s="15">
        <v>46313.538888888892</v>
      </c>
      <c r="W573" s="18" t="s">
        <v>1829</v>
      </c>
      <c r="X573" s="16">
        <v>22411</v>
      </c>
      <c r="Y573" s="17"/>
      <c r="Z573" s="16">
        <v>0</v>
      </c>
      <c r="AA573" s="20">
        <v>0.53749999999999998</v>
      </c>
      <c r="AB573" s="16">
        <v>2</v>
      </c>
      <c r="AC573" s="17" t="s">
        <v>41</v>
      </c>
      <c r="AD573" s="9" t="str">
        <f t="shared" si="10"/>
        <v>Actual</v>
      </c>
      <c r="AE573" s="9" t="str">
        <f t="shared" si="11"/>
        <v>TMK7</v>
      </c>
      <c r="AF573" s="9">
        <f>HOUR(O573)</f>
        <v>12</v>
      </c>
      <c r="AG573" s="9">
        <f>DAY(O573)</f>
        <v>18</v>
      </c>
      <c r="AH573" s="9">
        <f>IFERROR((I573-K573)*24*60,0)</f>
        <v>7.0000000018626451</v>
      </c>
      <c r="AI573" s="9">
        <f t="shared" si="12"/>
        <v>7.0000000018626451</v>
      </c>
      <c r="AJ573" s="9">
        <f>C573</f>
        <v>1152</v>
      </c>
      <c r="AK573" s="9">
        <f>IF(P573="completed",((V573-K573)*24*60),0)</f>
        <v>9.0000000083819032</v>
      </c>
      <c r="AL573" s="9">
        <f>IF(P573="completed",((U573-K573)*24*60),0)</f>
        <v>11.000000004423782</v>
      </c>
      <c r="AM573" s="9" t="str">
        <f t="shared" si="13"/>
        <v>OTP Achieved</v>
      </c>
      <c r="AN573" s="9" t="str">
        <f t="shared" si="14"/>
        <v>OTP Achieved</v>
      </c>
    </row>
    <row r="574" spans="1:40" ht="15">
      <c r="A574" s="14" t="s">
        <v>711</v>
      </c>
      <c r="B574" s="15">
        <v>46313.535416666666</v>
      </c>
      <c r="C574" s="16">
        <v>993</v>
      </c>
      <c r="D574" s="17" t="s">
        <v>41</v>
      </c>
      <c r="E574" s="16">
        <v>3</v>
      </c>
      <c r="F574" s="17" t="s">
        <v>41</v>
      </c>
      <c r="G574" s="17" t="s">
        <v>41</v>
      </c>
      <c r="H574" s="17" t="s">
        <v>1830</v>
      </c>
      <c r="I574" s="15">
        <v>46313.535416666666</v>
      </c>
      <c r="J574" s="17" t="s">
        <v>41</v>
      </c>
      <c r="K574" s="15">
        <v>46313.533333333333</v>
      </c>
      <c r="L574" s="16">
        <v>20</v>
      </c>
      <c r="M574" s="17"/>
      <c r="N574" s="17"/>
      <c r="O574" s="15">
        <v>46313.53125</v>
      </c>
      <c r="P574" s="17" t="s">
        <v>43</v>
      </c>
      <c r="Q574" s="17" t="s">
        <v>713</v>
      </c>
      <c r="R574" s="17" t="s">
        <v>1831</v>
      </c>
      <c r="S574" s="16">
        <v>4247</v>
      </c>
      <c r="T574" s="17" t="s">
        <v>41</v>
      </c>
      <c r="U574" s="15">
        <v>46313.538194444445</v>
      </c>
      <c r="V574" s="15">
        <v>46313.537499999999</v>
      </c>
      <c r="W574" s="18" t="s">
        <v>1832</v>
      </c>
      <c r="X574" s="16">
        <v>22411</v>
      </c>
      <c r="Y574" s="17"/>
      <c r="Z574" s="16">
        <v>0</v>
      </c>
      <c r="AA574" s="20">
        <v>0.53541666666666665</v>
      </c>
      <c r="AB574" s="16">
        <v>3</v>
      </c>
      <c r="AC574" s="17" t="s">
        <v>41</v>
      </c>
      <c r="AD574" s="9" t="str">
        <f t="shared" si="10"/>
        <v>Actual</v>
      </c>
      <c r="AE574" s="9" t="str">
        <f t="shared" si="11"/>
        <v>TMK7</v>
      </c>
      <c r="AF574" s="9">
        <f>HOUR(O574)</f>
        <v>12</v>
      </c>
      <c r="AG574" s="9">
        <f>DAY(O574)</f>
        <v>18</v>
      </c>
      <c r="AH574" s="9">
        <f>IFERROR((I574-K574)*24*60,0)</f>
        <v>2.9999999993015081</v>
      </c>
      <c r="AI574" s="9">
        <f t="shared" si="12"/>
        <v>2.9999999993015081</v>
      </c>
      <c r="AJ574" s="9">
        <f>C574</f>
        <v>993</v>
      </c>
      <c r="AK574" s="9">
        <f>IF(P574="completed",((V574-K574)*24*60),0)</f>
        <v>5.9999999986030161</v>
      </c>
      <c r="AL574" s="9">
        <f>IF(P574="completed",((U574-K574)*24*60),0)</f>
        <v>7.0000000018626451</v>
      </c>
      <c r="AM574" s="9" t="str">
        <f t="shared" si="13"/>
        <v>OTP Achieved</v>
      </c>
      <c r="AN574" s="9" t="str">
        <f t="shared" si="14"/>
        <v>OTP Achieved</v>
      </c>
    </row>
    <row r="575" spans="1:40" ht="15">
      <c r="A575" s="14" t="s">
        <v>106</v>
      </c>
      <c r="B575" s="15">
        <v>46313.535416666666</v>
      </c>
      <c r="C575" s="16">
        <v>1719</v>
      </c>
      <c r="D575" s="17" t="s">
        <v>41</v>
      </c>
      <c r="E575" s="16">
        <v>5</v>
      </c>
      <c r="F575" s="17" t="s">
        <v>41</v>
      </c>
      <c r="G575" s="17" t="s">
        <v>41</v>
      </c>
      <c r="H575" s="17" t="s">
        <v>1833</v>
      </c>
      <c r="I575" s="15">
        <v>46313.535416666666</v>
      </c>
      <c r="J575" s="17" t="s">
        <v>41</v>
      </c>
      <c r="K575" s="15">
        <v>46313.531944444447</v>
      </c>
      <c r="L575" s="16">
        <v>18</v>
      </c>
      <c r="M575" s="17"/>
      <c r="N575" s="17"/>
      <c r="O575" s="15">
        <v>46313.53125</v>
      </c>
      <c r="P575" s="17" t="s">
        <v>43</v>
      </c>
      <c r="Q575" s="17" t="s">
        <v>108</v>
      </c>
      <c r="R575" s="17" t="s">
        <v>1834</v>
      </c>
      <c r="S575" s="16">
        <v>4247</v>
      </c>
      <c r="T575" s="17" t="s">
        <v>41</v>
      </c>
      <c r="U575" s="15">
        <v>46313.539583333331</v>
      </c>
      <c r="V575" s="15">
        <v>46313.538888888892</v>
      </c>
      <c r="W575" s="18" t="s">
        <v>1835</v>
      </c>
      <c r="X575" s="16">
        <v>22411</v>
      </c>
      <c r="Y575" s="19"/>
      <c r="Z575" s="16">
        <v>0</v>
      </c>
      <c r="AA575" s="20">
        <v>0.53541666666666665</v>
      </c>
      <c r="AB575" s="16">
        <v>5</v>
      </c>
      <c r="AC575" s="17" t="s">
        <v>41</v>
      </c>
      <c r="AD575" s="9" t="str">
        <f t="shared" si="10"/>
        <v>Actual</v>
      </c>
      <c r="AE575" s="9" t="str">
        <f t="shared" si="11"/>
        <v>TMK7</v>
      </c>
      <c r="AF575" s="9">
        <f>HOUR(O575)</f>
        <v>12</v>
      </c>
      <c r="AG575" s="9">
        <f>DAY(O575)</f>
        <v>18</v>
      </c>
      <c r="AH575" s="9">
        <f>IFERROR((I575-K575)*24*60,0)</f>
        <v>4.9999999953433871</v>
      </c>
      <c r="AI575" s="9">
        <f t="shared" si="12"/>
        <v>4.9999999953433871</v>
      </c>
      <c r="AJ575" s="9">
        <f>C575</f>
        <v>1719</v>
      </c>
      <c r="AK575" s="9">
        <f>IF(P575="completed",((V575-K575)*24*60),0)</f>
        <v>10.000000001164153</v>
      </c>
      <c r="AL575" s="9">
        <f>IF(P575="completed",((U575-K575)*24*60),0)</f>
        <v>10.999999993946403</v>
      </c>
      <c r="AM575" s="9" t="str">
        <f t="shared" si="13"/>
        <v>OTP Achieved</v>
      </c>
      <c r="AN575" s="9" t="str">
        <f t="shared" si="14"/>
        <v>OTP Achieved</v>
      </c>
    </row>
    <row r="576" spans="1:40" ht="15">
      <c r="A576" s="14" t="s">
        <v>1336</v>
      </c>
      <c r="B576" s="15">
        <v>46313.53402777778</v>
      </c>
      <c r="C576" s="16">
        <v>2141</v>
      </c>
      <c r="D576" s="17" t="s">
        <v>41</v>
      </c>
      <c r="E576" s="16">
        <v>7</v>
      </c>
      <c r="F576" s="17" t="s">
        <v>41</v>
      </c>
      <c r="G576" s="17" t="s">
        <v>41</v>
      </c>
      <c r="H576" s="17" t="s">
        <v>1836</v>
      </c>
      <c r="I576" s="15">
        <v>46313.534722222219</v>
      </c>
      <c r="J576" s="17" t="s">
        <v>41</v>
      </c>
      <c r="K576" s="15">
        <v>46313.531944444447</v>
      </c>
      <c r="L576" s="16">
        <v>34</v>
      </c>
      <c r="M576" s="17"/>
      <c r="N576" s="17"/>
      <c r="O576" s="15">
        <v>46313.530555555553</v>
      </c>
      <c r="P576" s="17" t="s">
        <v>43</v>
      </c>
      <c r="Q576" s="17" t="s">
        <v>1338</v>
      </c>
      <c r="R576" s="17" t="s">
        <v>1837</v>
      </c>
      <c r="S576" s="16">
        <v>4247</v>
      </c>
      <c r="T576" s="17" t="s">
        <v>41</v>
      </c>
      <c r="U576" s="15">
        <v>46313.539583333331</v>
      </c>
      <c r="V576" s="15">
        <v>46313.538888888892</v>
      </c>
      <c r="W576" s="18" t="s">
        <v>1838</v>
      </c>
      <c r="X576" s="16">
        <v>22411</v>
      </c>
      <c r="Y576" s="19"/>
      <c r="Z576" s="16">
        <v>0</v>
      </c>
      <c r="AA576" s="20">
        <v>0.53402777777777777</v>
      </c>
      <c r="AB576" s="16">
        <v>6</v>
      </c>
      <c r="AC576" s="17" t="s">
        <v>41</v>
      </c>
      <c r="AD576" s="9" t="str">
        <f t="shared" si="10"/>
        <v>Actual</v>
      </c>
      <c r="AE576" s="9" t="str">
        <f t="shared" si="11"/>
        <v>TMK7</v>
      </c>
      <c r="AF576" s="9">
        <f>HOUR(O576)</f>
        <v>12</v>
      </c>
      <c r="AG576" s="9">
        <f>DAY(O576)</f>
        <v>18</v>
      </c>
      <c r="AH576" s="9">
        <f>IFERROR((I576-K576)*24*60,0)</f>
        <v>3.9999999920837581</v>
      </c>
      <c r="AI576" s="9">
        <f t="shared" si="12"/>
        <v>3.9999999920837581</v>
      </c>
      <c r="AJ576" s="9">
        <f>C576</f>
        <v>2141</v>
      </c>
      <c r="AK576" s="9">
        <f>IF(P576="completed",((V576-K576)*24*60),0)</f>
        <v>10.000000001164153</v>
      </c>
      <c r="AL576" s="9">
        <f>IF(P576="completed",((U576-K576)*24*60),0)</f>
        <v>10.999999993946403</v>
      </c>
      <c r="AM576" s="9" t="str">
        <f t="shared" si="13"/>
        <v>OTP Achieved</v>
      </c>
      <c r="AN576" s="9" t="str">
        <f t="shared" si="14"/>
        <v>OTP Achieved</v>
      </c>
    </row>
    <row r="577" spans="1:40" ht="15">
      <c r="A577" s="14" t="s">
        <v>1624</v>
      </c>
      <c r="B577" s="15">
        <v>46313.533333333333</v>
      </c>
      <c r="C577" s="16">
        <v>2576</v>
      </c>
      <c r="D577" s="17" t="s">
        <v>41</v>
      </c>
      <c r="E577" s="16">
        <v>8</v>
      </c>
      <c r="F577" s="17" t="s">
        <v>41</v>
      </c>
      <c r="G577" s="17" t="s">
        <v>41</v>
      </c>
      <c r="H577" s="17" t="s">
        <v>1839</v>
      </c>
      <c r="I577" s="15">
        <v>46313.53402777778</v>
      </c>
      <c r="J577" s="17" t="s">
        <v>41</v>
      </c>
      <c r="K577" s="15">
        <v>46313.53125</v>
      </c>
      <c r="L577" s="16">
        <v>19</v>
      </c>
      <c r="M577" s="17"/>
      <c r="N577" s="17"/>
      <c r="O577" s="15">
        <v>46313.530555555553</v>
      </c>
      <c r="P577" s="17" t="s">
        <v>43</v>
      </c>
      <c r="Q577" s="17" t="s">
        <v>1626</v>
      </c>
      <c r="R577" s="17" t="s">
        <v>1840</v>
      </c>
      <c r="S577" s="16">
        <v>4247</v>
      </c>
      <c r="T577" s="17" t="s">
        <v>41</v>
      </c>
      <c r="U577" s="15">
        <v>46313.540277777778</v>
      </c>
      <c r="V577" s="15">
        <v>46313.538888888892</v>
      </c>
      <c r="W577" s="18" t="s">
        <v>1841</v>
      </c>
      <c r="X577" s="16">
        <v>22411</v>
      </c>
      <c r="Y577" s="19"/>
      <c r="Z577" s="16">
        <v>0</v>
      </c>
      <c r="AA577" s="20">
        <v>0.53333333333333333</v>
      </c>
      <c r="AB577" s="16">
        <v>8</v>
      </c>
      <c r="AC577" s="17" t="s">
        <v>41</v>
      </c>
      <c r="AD577" s="9" t="str">
        <f t="shared" si="10"/>
        <v>Actual</v>
      </c>
      <c r="AE577" s="9" t="str">
        <f t="shared" si="11"/>
        <v>TMK7</v>
      </c>
      <c r="AF577" s="9">
        <f>HOUR(O577)</f>
        <v>12</v>
      </c>
      <c r="AG577" s="9">
        <f>DAY(O577)</f>
        <v>18</v>
      </c>
      <c r="AH577" s="9">
        <f>IFERROR((I577-K577)*24*60,0)</f>
        <v>4.0000000025611371</v>
      </c>
      <c r="AI577" s="9">
        <f t="shared" si="12"/>
        <v>4.0000000025611371</v>
      </c>
      <c r="AJ577" s="9">
        <f>C577</f>
        <v>2576</v>
      </c>
      <c r="AK577" s="9">
        <f>IF(P577="completed",((V577-K577)*24*60),0)</f>
        <v>11.000000004423782</v>
      </c>
      <c r="AL577" s="9">
        <f>IF(P577="completed",((U577-K577)*24*60),0)</f>
        <v>13.000000000465661</v>
      </c>
      <c r="AM577" s="9" t="str">
        <f t="shared" si="13"/>
        <v>OTP Achieved</v>
      </c>
      <c r="AN577" s="9" t="str">
        <f t="shared" si="14"/>
        <v>OTP Achieved</v>
      </c>
    </row>
    <row r="578" spans="1:40" ht="15">
      <c r="A578" s="14" t="s">
        <v>40</v>
      </c>
      <c r="B578" s="15">
        <v>46313.532638888886</v>
      </c>
      <c r="C578" s="16">
        <v>3643</v>
      </c>
      <c r="D578" s="17" t="s">
        <v>41</v>
      </c>
      <c r="E578" s="16">
        <v>13</v>
      </c>
      <c r="F578" s="17" t="s">
        <v>41</v>
      </c>
      <c r="G578" s="17" t="s">
        <v>41</v>
      </c>
      <c r="H578" s="17" t="s">
        <v>1842</v>
      </c>
      <c r="I578" s="15">
        <v>46313.533333333333</v>
      </c>
      <c r="J578" s="17" t="s">
        <v>41</v>
      </c>
      <c r="K578" s="15">
        <v>46313.531944444447</v>
      </c>
      <c r="L578" s="16">
        <v>20</v>
      </c>
      <c r="M578" s="17"/>
      <c r="N578" s="17"/>
      <c r="O578" s="15">
        <v>46313.530555555553</v>
      </c>
      <c r="P578" s="17" t="s">
        <v>43</v>
      </c>
      <c r="Q578" s="17" t="s">
        <v>44</v>
      </c>
      <c r="R578" s="17" t="s">
        <v>1843</v>
      </c>
      <c r="S578" s="16">
        <v>4247</v>
      </c>
      <c r="T578" s="17" t="s">
        <v>41</v>
      </c>
      <c r="U578" s="15">
        <v>46313.541666666664</v>
      </c>
      <c r="V578" s="15">
        <v>46313.541666666664</v>
      </c>
      <c r="W578" s="18" t="s">
        <v>1844</v>
      </c>
      <c r="X578" s="16">
        <v>22411</v>
      </c>
      <c r="Y578" s="19"/>
      <c r="Z578" s="16">
        <v>0</v>
      </c>
      <c r="AA578" s="20">
        <v>0.53263888888888888</v>
      </c>
      <c r="AB578" s="16">
        <v>13</v>
      </c>
      <c r="AC578" s="17" t="s">
        <v>41</v>
      </c>
      <c r="AD578" s="9" t="str">
        <f t="shared" si="10"/>
        <v>Actual</v>
      </c>
      <c r="AE578" s="9" t="str">
        <f t="shared" si="11"/>
        <v>TMK7</v>
      </c>
      <c r="AF578" s="9">
        <f>HOUR(O578)</f>
        <v>12</v>
      </c>
      <c r="AG578" s="9">
        <f>DAY(O578)</f>
        <v>18</v>
      </c>
      <c r="AH578" s="9">
        <f>IFERROR((I578-K578)*24*60,0)</f>
        <v>1.9999999960418791</v>
      </c>
      <c r="AI578" s="9">
        <f t="shared" si="12"/>
        <v>1.9999999960418791</v>
      </c>
      <c r="AJ578" s="9">
        <f>C578</f>
        <v>3643</v>
      </c>
      <c r="AK578" s="9">
        <f>IF(P578="completed",((V578-K578)*24*60),0)</f>
        <v>13.999999993247911</v>
      </c>
      <c r="AL578" s="9">
        <f>IF(P578="completed",((U578-K578)*24*60),0)</f>
        <v>13.999999993247911</v>
      </c>
      <c r="AM578" s="9" t="str">
        <f t="shared" si="13"/>
        <v>OTP Breached</v>
      </c>
      <c r="AN578" s="9" t="str">
        <f t="shared" si="14"/>
        <v>OTP Achieved</v>
      </c>
    </row>
    <row r="579" spans="1:40" ht="15">
      <c r="A579" s="14" t="s">
        <v>190</v>
      </c>
      <c r="B579" s="15">
        <v>46313.532638888886</v>
      </c>
      <c r="C579" s="16">
        <v>2386</v>
      </c>
      <c r="D579" s="17" t="s">
        <v>41</v>
      </c>
      <c r="E579" s="16">
        <v>8</v>
      </c>
      <c r="F579" s="17" t="s">
        <v>41</v>
      </c>
      <c r="G579" s="17" t="s">
        <v>41</v>
      </c>
      <c r="H579" s="17" t="s">
        <v>1845</v>
      </c>
      <c r="I579" s="15">
        <v>46313.533333333333</v>
      </c>
      <c r="J579" s="17" t="s">
        <v>41</v>
      </c>
      <c r="K579" s="15">
        <v>46313.53125</v>
      </c>
      <c r="L579" s="16">
        <v>18</v>
      </c>
      <c r="M579" s="17"/>
      <c r="N579" s="17"/>
      <c r="O579" s="15">
        <v>46313.530555555553</v>
      </c>
      <c r="P579" s="17" t="s">
        <v>43</v>
      </c>
      <c r="Q579" s="17" t="s">
        <v>192</v>
      </c>
      <c r="R579" s="17" t="s">
        <v>1846</v>
      </c>
      <c r="S579" s="16">
        <v>4247</v>
      </c>
      <c r="T579" s="17" t="s">
        <v>41</v>
      </c>
      <c r="U579" s="15">
        <v>46313.538194444445</v>
      </c>
      <c r="V579" s="15">
        <v>46313.538888888892</v>
      </c>
      <c r="W579" s="18" t="s">
        <v>1847</v>
      </c>
      <c r="X579" s="16">
        <v>22411</v>
      </c>
      <c r="Y579" s="17"/>
      <c r="Z579" s="16">
        <v>0</v>
      </c>
      <c r="AA579" s="20">
        <v>0.53263888888888888</v>
      </c>
      <c r="AB579" s="16">
        <v>8</v>
      </c>
      <c r="AC579" s="17" t="s">
        <v>41</v>
      </c>
      <c r="AD579" s="9" t="str">
        <f t="shared" si="10"/>
        <v>Actual</v>
      </c>
      <c r="AE579" s="9" t="str">
        <f t="shared" si="11"/>
        <v>TMK7</v>
      </c>
      <c r="AF579" s="9">
        <f>HOUR(O579)</f>
        <v>12</v>
      </c>
      <c r="AG579" s="9">
        <f>DAY(O579)</f>
        <v>18</v>
      </c>
      <c r="AH579" s="9">
        <f>IFERROR((I579-K579)*24*60,0)</f>
        <v>2.9999999993015081</v>
      </c>
      <c r="AI579" s="9">
        <f t="shared" si="12"/>
        <v>2.9999999993015081</v>
      </c>
      <c r="AJ579" s="9">
        <f>C579</f>
        <v>2386</v>
      </c>
      <c r="AK579" s="9">
        <f>IF(P579="completed",((V579-K579)*24*60),0)</f>
        <v>11.000000004423782</v>
      </c>
      <c r="AL579" s="9">
        <f>IF(P579="completed",((U579-K579)*24*60),0)</f>
        <v>10.000000001164153</v>
      </c>
      <c r="AM579" s="9" t="str">
        <f t="shared" si="13"/>
        <v>OTP Breached</v>
      </c>
      <c r="AN579" s="9" t="str">
        <f t="shared" si="14"/>
        <v>OTP Achieved</v>
      </c>
    </row>
    <row r="580" spans="1:40" ht="15">
      <c r="A580" s="14" t="s">
        <v>1077</v>
      </c>
      <c r="B580" s="15">
        <v>46313.532638888886</v>
      </c>
      <c r="C580" s="16">
        <v>3058</v>
      </c>
      <c r="D580" s="17" t="s">
        <v>41</v>
      </c>
      <c r="E580" s="16">
        <v>9</v>
      </c>
      <c r="F580" s="17" t="s">
        <v>41</v>
      </c>
      <c r="G580" s="17" t="s">
        <v>41</v>
      </c>
      <c r="H580" s="17" t="s">
        <v>1848</v>
      </c>
      <c r="I580" s="15">
        <v>46313.532638888886</v>
      </c>
      <c r="J580" s="17" t="s">
        <v>41</v>
      </c>
      <c r="K580" s="15">
        <v>46313.530555555553</v>
      </c>
      <c r="L580" s="16">
        <v>8</v>
      </c>
      <c r="M580" s="17"/>
      <c r="N580" s="17"/>
      <c r="O580" s="15">
        <v>46313.529861111114</v>
      </c>
      <c r="P580" s="17" t="s">
        <v>43</v>
      </c>
      <c r="Q580" s="17" t="s">
        <v>1079</v>
      </c>
      <c r="R580" s="17" t="s">
        <v>1849</v>
      </c>
      <c r="S580" s="16">
        <v>4247</v>
      </c>
      <c r="T580" s="17" t="s">
        <v>41</v>
      </c>
      <c r="U580" s="15">
        <v>46313.541666666664</v>
      </c>
      <c r="V580" s="15">
        <v>46313.538888888892</v>
      </c>
      <c r="W580" s="18" t="s">
        <v>1850</v>
      </c>
      <c r="X580" s="16">
        <v>22411</v>
      </c>
      <c r="Y580" s="19"/>
      <c r="Z580" s="16">
        <v>0</v>
      </c>
      <c r="AA580" s="20">
        <v>0.53263888888888888</v>
      </c>
      <c r="AB580" s="16">
        <v>9</v>
      </c>
      <c r="AC580" s="17" t="s">
        <v>41</v>
      </c>
      <c r="AD580" s="9" t="str">
        <f t="shared" si="10"/>
        <v>Actual</v>
      </c>
      <c r="AE580" s="9" t="str">
        <f t="shared" si="11"/>
        <v>TMK7</v>
      </c>
      <c r="AF580" s="9">
        <f>HOUR(O580)</f>
        <v>12</v>
      </c>
      <c r="AG580" s="9">
        <f>DAY(O580)</f>
        <v>18</v>
      </c>
      <c r="AH580" s="9">
        <f>IFERROR((I580-K580)*24*60,0)</f>
        <v>2.9999999993015081</v>
      </c>
      <c r="AI580" s="9">
        <f t="shared" si="12"/>
        <v>2.9999999993015081</v>
      </c>
      <c r="AJ580" s="9">
        <f>C580</f>
        <v>3058</v>
      </c>
      <c r="AK580" s="9">
        <f>IF(P580="completed",((V580-K580)*24*60),0)</f>
        <v>12.000000007683411</v>
      </c>
      <c r="AL580" s="9">
        <f>IF(P580="completed",((U580-K580)*24*60),0)</f>
        <v>15.999999999767169</v>
      </c>
      <c r="AM580" s="9" t="str">
        <f t="shared" si="13"/>
        <v>OTP Achieved</v>
      </c>
      <c r="AN580" s="9" t="str">
        <f t="shared" si="14"/>
        <v>OTP Achieved</v>
      </c>
    </row>
    <row r="581" spans="1:40" ht="15">
      <c r="A581" s="14" t="s">
        <v>1171</v>
      </c>
      <c r="B581" s="15">
        <v>46313.53125</v>
      </c>
      <c r="C581" s="16">
        <v>1646</v>
      </c>
      <c r="D581" s="17" t="s">
        <v>41</v>
      </c>
      <c r="E581" s="16">
        <v>5</v>
      </c>
      <c r="F581" s="17" t="s">
        <v>41</v>
      </c>
      <c r="G581" s="17" t="s">
        <v>41</v>
      </c>
      <c r="H581" s="17" t="s">
        <v>1851</v>
      </c>
      <c r="I581" s="15">
        <v>46313.53125</v>
      </c>
      <c r="J581" s="17" t="s">
        <v>41</v>
      </c>
      <c r="K581" s="15">
        <v>46313.529861111114</v>
      </c>
      <c r="L581" s="16">
        <v>27</v>
      </c>
      <c r="M581" s="17"/>
      <c r="N581" s="17"/>
      <c r="O581" s="15">
        <v>46313.529166666667</v>
      </c>
      <c r="P581" s="17" t="s">
        <v>43</v>
      </c>
      <c r="Q581" s="17" t="s">
        <v>1173</v>
      </c>
      <c r="R581" s="17" t="s">
        <v>1852</v>
      </c>
      <c r="S581" s="16">
        <v>4247</v>
      </c>
      <c r="T581" s="17" t="s">
        <v>41</v>
      </c>
      <c r="U581" s="15">
        <v>46313.535416666666</v>
      </c>
      <c r="V581" s="15">
        <v>46313.534722222219</v>
      </c>
      <c r="W581" s="18" t="s">
        <v>1853</v>
      </c>
      <c r="X581" s="16">
        <v>22411</v>
      </c>
      <c r="Y581" s="19"/>
      <c r="Z581" s="16">
        <v>0</v>
      </c>
      <c r="AA581" s="20">
        <v>0.53125</v>
      </c>
      <c r="AB581" s="16">
        <v>5</v>
      </c>
      <c r="AC581" s="17" t="s">
        <v>41</v>
      </c>
      <c r="AD581" s="9" t="str">
        <f t="shared" si="10"/>
        <v>Actual</v>
      </c>
      <c r="AE581" s="9" t="str">
        <f t="shared" si="11"/>
        <v>TMK7</v>
      </c>
      <c r="AF581" s="9">
        <f>HOUR(O581)</f>
        <v>12</v>
      </c>
      <c r="AG581" s="9">
        <f>DAY(O581)</f>
        <v>18</v>
      </c>
      <c r="AH581" s="9">
        <f>IFERROR((I581-K581)*24*60,0)</f>
        <v>1.9999999960418791</v>
      </c>
      <c r="AI581" s="9">
        <f t="shared" si="12"/>
        <v>1.9999999960418791</v>
      </c>
      <c r="AJ581" s="9">
        <f>C581</f>
        <v>1646</v>
      </c>
      <c r="AK581" s="9">
        <f>IF(P581="completed",((V581-K581)*24*60),0)</f>
        <v>6.9999999913852662</v>
      </c>
      <c r="AL581" s="9">
        <f>IF(P581="completed",((U581-K581)*24*60),0)</f>
        <v>7.9999999946448952</v>
      </c>
      <c r="AM581" s="9" t="str">
        <f t="shared" si="13"/>
        <v>OTP Achieved</v>
      </c>
      <c r="AN581" s="9" t="str">
        <f t="shared" si="14"/>
        <v>OTP Achieved</v>
      </c>
    </row>
    <row r="582" spans="1:40" ht="15">
      <c r="A582" s="14" t="s">
        <v>57</v>
      </c>
      <c r="B582" s="15">
        <v>46313.53125</v>
      </c>
      <c r="C582" s="16">
        <v>2190</v>
      </c>
      <c r="D582" s="17" t="s">
        <v>41</v>
      </c>
      <c r="E582" s="16">
        <v>6</v>
      </c>
      <c r="F582" s="17" t="s">
        <v>41</v>
      </c>
      <c r="G582" s="17" t="s">
        <v>41</v>
      </c>
      <c r="H582" s="17" t="s">
        <v>1854</v>
      </c>
      <c r="I582" s="15">
        <v>46313.53125</v>
      </c>
      <c r="J582" s="17" t="s">
        <v>41</v>
      </c>
      <c r="K582" s="15">
        <v>46313.529861111114</v>
      </c>
      <c r="L582" s="16">
        <v>21</v>
      </c>
      <c r="M582" s="17"/>
      <c r="N582" s="17"/>
      <c r="O582" s="15">
        <v>46313.52847222222</v>
      </c>
      <c r="P582" s="17" t="s">
        <v>43</v>
      </c>
      <c r="Q582" s="17" t="s">
        <v>59</v>
      </c>
      <c r="R582" s="17" t="s">
        <v>1855</v>
      </c>
      <c r="S582" s="16">
        <v>4247</v>
      </c>
      <c r="T582" s="17" t="s">
        <v>41</v>
      </c>
      <c r="U582" s="15">
        <v>46313.536805555559</v>
      </c>
      <c r="V582" s="15">
        <v>46313.535416666666</v>
      </c>
      <c r="W582" s="18" t="s">
        <v>1856</v>
      </c>
      <c r="X582" s="16">
        <v>22411</v>
      </c>
      <c r="Y582" s="19"/>
      <c r="Z582" s="16">
        <v>0</v>
      </c>
      <c r="AA582" s="20">
        <v>0.53125</v>
      </c>
      <c r="AB582" s="16">
        <v>6</v>
      </c>
      <c r="AC582" s="17" t="s">
        <v>41</v>
      </c>
      <c r="AD582" s="9" t="str">
        <f t="shared" si="10"/>
        <v>Actual</v>
      </c>
      <c r="AE582" s="9" t="str">
        <f t="shared" si="11"/>
        <v>TMK7</v>
      </c>
      <c r="AF582" s="9">
        <f>HOUR(O582)</f>
        <v>12</v>
      </c>
      <c r="AG582" s="9">
        <f>DAY(O582)</f>
        <v>18</v>
      </c>
      <c r="AH582" s="9">
        <f>IFERROR((I582-K582)*24*60,0)</f>
        <v>1.9999999960418791</v>
      </c>
      <c r="AI582" s="9">
        <f t="shared" si="12"/>
        <v>1.9999999960418791</v>
      </c>
      <c r="AJ582" s="9">
        <f>C582</f>
        <v>2190</v>
      </c>
      <c r="AK582" s="9">
        <f>IF(P582="completed",((V582-K582)*24*60),0)</f>
        <v>7.9999999946448952</v>
      </c>
      <c r="AL582" s="9">
        <f>IF(P582="completed",((U582-K582)*24*60),0)</f>
        <v>10.000000001164153</v>
      </c>
      <c r="AM582" s="9" t="str">
        <f t="shared" si="13"/>
        <v>OTP Achieved</v>
      </c>
      <c r="AN582" s="9" t="str">
        <f t="shared" si="14"/>
        <v>OTP Achieved</v>
      </c>
    </row>
    <row r="583" spans="1:40" ht="15">
      <c r="A583" s="14" t="s">
        <v>1365</v>
      </c>
      <c r="B583" s="15">
        <v>46313.52847222222</v>
      </c>
      <c r="C583" s="16">
        <v>1201</v>
      </c>
      <c r="D583" s="17" t="s">
        <v>41</v>
      </c>
      <c r="E583" s="16">
        <v>4</v>
      </c>
      <c r="F583" s="17" t="s">
        <v>41</v>
      </c>
      <c r="G583" s="17" t="s">
        <v>41</v>
      </c>
      <c r="H583" s="17" t="s">
        <v>1857</v>
      </c>
      <c r="I583" s="15">
        <v>46313.529861111114</v>
      </c>
      <c r="J583" s="17" t="s">
        <v>41</v>
      </c>
      <c r="K583" s="15">
        <v>46313.529166666667</v>
      </c>
      <c r="L583" s="16">
        <v>15</v>
      </c>
      <c r="M583" s="17"/>
      <c r="N583" s="17"/>
      <c r="O583" s="15">
        <v>46313.52847222222</v>
      </c>
      <c r="P583" s="17" t="s">
        <v>43</v>
      </c>
      <c r="Q583" s="17" t="s">
        <v>1367</v>
      </c>
      <c r="R583" s="17" t="s">
        <v>1858</v>
      </c>
      <c r="S583" s="16">
        <v>4247</v>
      </c>
      <c r="T583" s="17" t="s">
        <v>41</v>
      </c>
      <c r="U583" s="15">
        <v>46313.533333333333</v>
      </c>
      <c r="V583" s="15">
        <v>46313.532638888886</v>
      </c>
      <c r="W583" s="18" t="s">
        <v>1859</v>
      </c>
      <c r="X583" s="16">
        <v>22411</v>
      </c>
      <c r="Y583" s="19"/>
      <c r="Z583" s="16">
        <v>0</v>
      </c>
      <c r="AA583" s="20">
        <v>0.52847222222222223</v>
      </c>
      <c r="AB583" s="16">
        <v>4</v>
      </c>
      <c r="AC583" s="17" t="s">
        <v>41</v>
      </c>
      <c r="AD583" s="9" t="str">
        <f t="shared" si="10"/>
        <v>Actual</v>
      </c>
      <c r="AE583" s="9" t="str">
        <f t="shared" si="11"/>
        <v>TMK7</v>
      </c>
      <c r="AF583" s="9">
        <f>HOUR(O583)</f>
        <v>12</v>
      </c>
      <c r="AG583" s="9">
        <f>DAY(O583)</f>
        <v>18</v>
      </c>
      <c r="AH583" s="9">
        <f>IFERROR((I583-K583)*24*60,0)</f>
        <v>1.000000003259629</v>
      </c>
      <c r="AI583" s="9">
        <f t="shared" si="12"/>
        <v>1.000000003259629</v>
      </c>
      <c r="AJ583" s="9">
        <f>C583</f>
        <v>1201</v>
      </c>
      <c r="AK583" s="9">
        <f>IF(P583="completed",((V583-K583)*24*60),0)</f>
        <v>4.9999999953433871</v>
      </c>
      <c r="AL583" s="9">
        <f>IF(P583="completed",((U583-K583)*24*60),0)</f>
        <v>5.9999999986030161</v>
      </c>
      <c r="AM583" s="9" t="str">
        <f t="shared" si="13"/>
        <v>OTP Achieved</v>
      </c>
      <c r="AN583" s="9" t="str">
        <f t="shared" si="14"/>
        <v>OTP Achieved</v>
      </c>
    </row>
    <row r="584" spans="1:40" ht="15">
      <c r="A584" s="14" t="s">
        <v>379</v>
      </c>
      <c r="B584" s="15">
        <v>46313.52847222222</v>
      </c>
      <c r="C584" s="16">
        <v>2326</v>
      </c>
      <c r="D584" s="17" t="s">
        <v>41</v>
      </c>
      <c r="E584" s="16">
        <v>8</v>
      </c>
      <c r="F584" s="17" t="s">
        <v>41</v>
      </c>
      <c r="G584" s="17" t="s">
        <v>41</v>
      </c>
      <c r="H584" s="17" t="s">
        <v>1860</v>
      </c>
      <c r="I584" s="15">
        <v>46313.529166666667</v>
      </c>
      <c r="J584" s="17" t="s">
        <v>41</v>
      </c>
      <c r="K584" s="15">
        <v>46313.529166666667</v>
      </c>
      <c r="L584" s="16">
        <v>18</v>
      </c>
      <c r="M584" s="17"/>
      <c r="N584" s="17"/>
      <c r="O584" s="15">
        <v>46313.52847222222</v>
      </c>
      <c r="P584" s="17" t="s">
        <v>43</v>
      </c>
      <c r="Q584" s="17" t="s">
        <v>381</v>
      </c>
      <c r="R584" s="17" t="s">
        <v>1861</v>
      </c>
      <c r="S584" s="16">
        <v>4247</v>
      </c>
      <c r="T584" s="17" t="s">
        <v>41</v>
      </c>
      <c r="U584" s="15">
        <v>46313.536111111112</v>
      </c>
      <c r="V584" s="15">
        <v>46313.534722222219</v>
      </c>
      <c r="W584" s="18" t="s">
        <v>1862</v>
      </c>
      <c r="X584" s="16">
        <v>22411</v>
      </c>
      <c r="Y584" s="19"/>
      <c r="Z584" s="16">
        <v>0</v>
      </c>
      <c r="AA584" s="20">
        <v>0.52847222222222223</v>
      </c>
      <c r="AB584" s="16">
        <v>7</v>
      </c>
      <c r="AC584" s="17" t="s">
        <v>41</v>
      </c>
      <c r="AD584" s="9" t="str">
        <f t="shared" si="10"/>
        <v>Actual</v>
      </c>
      <c r="AE584" s="9" t="str">
        <f t="shared" si="11"/>
        <v>TMK7</v>
      </c>
      <c r="AF584" s="9">
        <f>HOUR(O584)</f>
        <v>12</v>
      </c>
      <c r="AG584" s="9">
        <f>DAY(O584)</f>
        <v>18</v>
      </c>
      <c r="AH584" s="9">
        <f>IFERROR((I584-K584)*24*60,0)</f>
        <v>0</v>
      </c>
      <c r="AI584" s="9">
        <f t="shared" si="12"/>
        <v>0</v>
      </c>
      <c r="AJ584" s="9">
        <f>C584</f>
        <v>2326</v>
      </c>
      <c r="AK584" s="9">
        <f>IF(P584="completed",((V584-K584)*24*60),0)</f>
        <v>7.9999999946448952</v>
      </c>
      <c r="AL584" s="9">
        <f>IF(P584="completed",((U584-K584)*24*60),0)</f>
        <v>10.000000001164153</v>
      </c>
      <c r="AM584" s="9" t="str">
        <f t="shared" si="13"/>
        <v>OTP Achieved</v>
      </c>
      <c r="AN584" s="9" t="str">
        <f t="shared" si="14"/>
        <v>OTP Achieved</v>
      </c>
    </row>
    <row r="585" spans="1:40" ht="15">
      <c r="A585" s="23" t="s">
        <v>1592</v>
      </c>
      <c r="B585" s="15">
        <v>46313.527777777781</v>
      </c>
      <c r="C585" s="16">
        <v>2429</v>
      </c>
      <c r="D585" s="17" t="s">
        <v>41</v>
      </c>
      <c r="E585" s="17">
        <v>8</v>
      </c>
      <c r="F585" s="17" t="s">
        <v>41</v>
      </c>
      <c r="G585" s="17" t="s">
        <v>41</v>
      </c>
      <c r="H585" s="17" t="s">
        <v>1863</v>
      </c>
      <c r="I585" s="19">
        <v>46313.529166666667</v>
      </c>
      <c r="J585" s="17" t="s">
        <v>41</v>
      </c>
      <c r="K585" s="15">
        <v>46313.529166666667</v>
      </c>
      <c r="L585" s="17">
        <v>10</v>
      </c>
      <c r="M585" s="17"/>
      <c r="N585" s="17"/>
      <c r="O585" s="15">
        <v>46313.527777777781</v>
      </c>
      <c r="P585" s="17" t="s">
        <v>43</v>
      </c>
      <c r="Q585" s="17" t="s">
        <v>1594</v>
      </c>
      <c r="R585" s="17" t="s">
        <v>1864</v>
      </c>
      <c r="S585" s="16">
        <v>4247</v>
      </c>
      <c r="T585" s="17" t="s">
        <v>41</v>
      </c>
      <c r="U585" s="15">
        <v>46313.534722222219</v>
      </c>
      <c r="V585" s="19">
        <v>46313.534722222219</v>
      </c>
      <c r="W585" s="18" t="s">
        <v>1865</v>
      </c>
      <c r="X585" s="16">
        <v>22411</v>
      </c>
      <c r="Y585" s="19"/>
      <c r="Z585" s="16">
        <v>0</v>
      </c>
      <c r="AA585" s="20">
        <v>0.52777777777777779</v>
      </c>
      <c r="AB585" s="17">
        <v>8</v>
      </c>
      <c r="AC585" s="17" t="s">
        <v>41</v>
      </c>
      <c r="AD585" s="9" t="str">
        <f t="shared" si="10"/>
        <v>Actual</v>
      </c>
      <c r="AE585" s="9" t="str">
        <f t="shared" si="11"/>
        <v>TMK7</v>
      </c>
      <c r="AF585" s="9">
        <f>HOUR(O585)</f>
        <v>12</v>
      </c>
      <c r="AG585" s="9">
        <f>DAY(O585)</f>
        <v>18</v>
      </c>
      <c r="AH585" s="9">
        <f>IFERROR((I585-K585)*24*60,0)</f>
        <v>0</v>
      </c>
      <c r="AI585" s="9">
        <f t="shared" si="12"/>
        <v>0</v>
      </c>
      <c r="AJ585" s="9">
        <f>C585</f>
        <v>2429</v>
      </c>
      <c r="AK585" s="9">
        <f>IF(P585="completed",((V585-K585)*24*60),0)</f>
        <v>7.9999999946448952</v>
      </c>
      <c r="AL585" s="9">
        <f>IF(P585="completed",((U585-K585)*24*60),0)</f>
        <v>7.9999999946448952</v>
      </c>
      <c r="AM585" s="9" t="str">
        <f t="shared" si="13"/>
        <v>OTP Breached</v>
      </c>
      <c r="AN585" s="9" t="str">
        <f t="shared" si="14"/>
        <v>OTP Achieved</v>
      </c>
    </row>
    <row r="586" spans="1:40" ht="15">
      <c r="A586" s="14" t="s">
        <v>1310</v>
      </c>
      <c r="B586" s="15">
        <v>46313.527777777781</v>
      </c>
      <c r="C586" s="16">
        <v>1831</v>
      </c>
      <c r="D586" s="17" t="s">
        <v>41</v>
      </c>
      <c r="E586" s="16">
        <v>6</v>
      </c>
      <c r="F586" s="17" t="s">
        <v>41</v>
      </c>
      <c r="G586" s="17" t="s">
        <v>41</v>
      </c>
      <c r="H586" s="17" t="s">
        <v>1866</v>
      </c>
      <c r="I586" s="15">
        <v>46313.52847222222</v>
      </c>
      <c r="J586" s="17" t="s">
        <v>41</v>
      </c>
      <c r="K586" s="15">
        <v>46313.52847222222</v>
      </c>
      <c r="L586" s="16">
        <v>12</v>
      </c>
      <c r="M586" s="17"/>
      <c r="N586" s="17"/>
      <c r="O586" s="15">
        <v>46313.527777777781</v>
      </c>
      <c r="P586" s="17" t="s">
        <v>43</v>
      </c>
      <c r="Q586" s="17" t="s">
        <v>1312</v>
      </c>
      <c r="R586" s="17" t="s">
        <v>1867</v>
      </c>
      <c r="S586" s="16">
        <v>4247</v>
      </c>
      <c r="T586" s="17" t="s">
        <v>41</v>
      </c>
      <c r="U586" s="15">
        <v>46313.532638888886</v>
      </c>
      <c r="V586" s="15">
        <v>46313.532638888886</v>
      </c>
      <c r="W586" s="18" t="s">
        <v>1868</v>
      </c>
      <c r="X586" s="16">
        <v>22411</v>
      </c>
      <c r="Y586" s="19"/>
      <c r="Z586" s="16">
        <v>0</v>
      </c>
      <c r="AA586" s="20">
        <v>0.52777777777777779</v>
      </c>
      <c r="AB586" s="16">
        <v>6</v>
      </c>
      <c r="AC586" s="17" t="s">
        <v>41</v>
      </c>
      <c r="AD586" s="9" t="str">
        <f t="shared" si="10"/>
        <v>Actual</v>
      </c>
      <c r="AE586" s="9" t="str">
        <f t="shared" si="11"/>
        <v>TMK7</v>
      </c>
      <c r="AF586" s="9">
        <f>HOUR(O586)</f>
        <v>12</v>
      </c>
      <c r="AG586" s="9">
        <f>DAY(O586)</f>
        <v>18</v>
      </c>
      <c r="AH586" s="9">
        <f>IFERROR((I586-K586)*24*60,0)</f>
        <v>0</v>
      </c>
      <c r="AI586" s="9">
        <f t="shared" si="12"/>
        <v>0</v>
      </c>
      <c r="AJ586" s="9">
        <f>C586</f>
        <v>1831</v>
      </c>
      <c r="AK586" s="9">
        <f>IF(P586="completed",((V586-K586)*24*60),0)</f>
        <v>5.9999999986030161</v>
      </c>
      <c r="AL586" s="9">
        <f>IF(P586="completed",((U586-K586)*24*60),0)</f>
        <v>5.9999999986030161</v>
      </c>
      <c r="AM586" s="9" t="str">
        <f t="shared" si="13"/>
        <v>OTP Breached</v>
      </c>
      <c r="AN586" s="9" t="str">
        <f t="shared" si="14"/>
        <v>OTP Achieved</v>
      </c>
    </row>
    <row r="587" spans="1:40" ht="15">
      <c r="A587" s="14" t="s">
        <v>655</v>
      </c>
      <c r="B587" s="15">
        <v>46313.525694444441</v>
      </c>
      <c r="C587" s="16">
        <v>2040</v>
      </c>
      <c r="D587" s="17" t="s">
        <v>41</v>
      </c>
      <c r="E587" s="16">
        <v>6</v>
      </c>
      <c r="F587" s="17" t="s">
        <v>41</v>
      </c>
      <c r="G587" s="17" t="s">
        <v>41</v>
      </c>
      <c r="H587" s="17" t="s">
        <v>1869</v>
      </c>
      <c r="I587" s="15">
        <v>46313.529166666667</v>
      </c>
      <c r="J587" s="17" t="s">
        <v>41</v>
      </c>
      <c r="K587" s="15">
        <v>46313.529166666667</v>
      </c>
      <c r="L587" s="16">
        <v>20</v>
      </c>
      <c r="M587" s="17"/>
      <c r="N587" s="17"/>
      <c r="O587" s="15">
        <v>46313.525694444441</v>
      </c>
      <c r="P587" s="17" t="s">
        <v>43</v>
      </c>
      <c r="Q587" s="17" t="s">
        <v>657</v>
      </c>
      <c r="R587" s="17" t="s">
        <v>1870</v>
      </c>
      <c r="S587" s="16">
        <v>4247</v>
      </c>
      <c r="T587" s="17" t="s">
        <v>41</v>
      </c>
      <c r="U587" s="15">
        <v>46313.535416666666</v>
      </c>
      <c r="V587" s="15">
        <v>46313.533333333333</v>
      </c>
      <c r="W587" s="18" t="s">
        <v>1871</v>
      </c>
      <c r="X587" s="16">
        <v>22411</v>
      </c>
      <c r="Y587" s="19"/>
      <c r="Z587" s="16">
        <v>0</v>
      </c>
      <c r="AA587" s="20">
        <v>0.52569444444444446</v>
      </c>
      <c r="AB587" s="16">
        <v>5</v>
      </c>
      <c r="AC587" s="17" t="s">
        <v>41</v>
      </c>
      <c r="AD587" s="9" t="str">
        <f t="shared" si="10"/>
        <v>Actual</v>
      </c>
      <c r="AE587" s="9" t="str">
        <f t="shared" si="11"/>
        <v>TMK7</v>
      </c>
      <c r="AF587" s="9">
        <f>HOUR(O587)</f>
        <v>12</v>
      </c>
      <c r="AG587" s="9">
        <f>DAY(O587)</f>
        <v>18</v>
      </c>
      <c r="AH587" s="9">
        <f>IFERROR((I587-K587)*24*60,0)</f>
        <v>0</v>
      </c>
      <c r="AI587" s="9">
        <f t="shared" si="12"/>
        <v>0</v>
      </c>
      <c r="AJ587" s="9">
        <f>C587</f>
        <v>2040</v>
      </c>
      <c r="AK587" s="9">
        <f>IF(P587="completed",((V587-K587)*24*60),0)</f>
        <v>5.9999999986030161</v>
      </c>
      <c r="AL587" s="9">
        <f>IF(P587="completed",((U587-K587)*24*60),0)</f>
        <v>8.9999999979045242</v>
      </c>
      <c r="AM587" s="9" t="str">
        <f t="shared" si="13"/>
        <v>OTP Achieved</v>
      </c>
      <c r="AN587" s="9" t="str">
        <f t="shared" si="14"/>
        <v>OTP Achieved</v>
      </c>
    </row>
    <row r="588" spans="1:40" ht="15">
      <c r="A588" s="14" t="s">
        <v>1461</v>
      </c>
      <c r="B588" s="15">
        <v>46313.525694444441</v>
      </c>
      <c r="C588" s="16">
        <v>1919</v>
      </c>
      <c r="D588" s="17" t="s">
        <v>41</v>
      </c>
      <c r="E588" s="16">
        <v>5</v>
      </c>
      <c r="F588" s="17" t="s">
        <v>41</v>
      </c>
      <c r="G588" s="17" t="s">
        <v>41</v>
      </c>
      <c r="H588" s="17" t="s">
        <v>1872</v>
      </c>
      <c r="I588" s="15">
        <v>46313.526388888888</v>
      </c>
      <c r="J588" s="17" t="s">
        <v>41</v>
      </c>
      <c r="K588" s="15">
        <v>46313.526388888888</v>
      </c>
      <c r="L588" s="16">
        <v>15</v>
      </c>
      <c r="M588" s="17"/>
      <c r="N588" s="17"/>
      <c r="O588" s="15">
        <v>46313.525694444441</v>
      </c>
      <c r="P588" s="17" t="s">
        <v>43</v>
      </c>
      <c r="Q588" s="17" t="s">
        <v>1463</v>
      </c>
      <c r="R588" s="17" t="s">
        <v>1873</v>
      </c>
      <c r="S588" s="16">
        <v>4247</v>
      </c>
      <c r="T588" s="17" t="s">
        <v>41</v>
      </c>
      <c r="U588" s="15">
        <v>46313.53125</v>
      </c>
      <c r="V588" s="15">
        <v>46313.529861111114</v>
      </c>
      <c r="W588" s="18" t="s">
        <v>1874</v>
      </c>
      <c r="X588" s="16">
        <v>22411</v>
      </c>
      <c r="Y588" s="19"/>
      <c r="Z588" s="16">
        <v>0</v>
      </c>
      <c r="AA588" s="20">
        <v>0.52569444444444446</v>
      </c>
      <c r="AB588" s="16">
        <v>5</v>
      </c>
      <c r="AC588" s="17" t="s">
        <v>41</v>
      </c>
      <c r="AD588" s="9" t="str">
        <f t="shared" si="10"/>
        <v>Actual</v>
      </c>
      <c r="AE588" s="9" t="str">
        <f t="shared" si="11"/>
        <v>TMK7</v>
      </c>
      <c r="AF588" s="9">
        <f>HOUR(O588)</f>
        <v>12</v>
      </c>
      <c r="AG588" s="9">
        <f>DAY(O588)</f>
        <v>18</v>
      </c>
      <c r="AH588" s="9">
        <f>IFERROR((I588-K588)*24*60,0)</f>
        <v>0</v>
      </c>
      <c r="AI588" s="9">
        <f t="shared" si="12"/>
        <v>0</v>
      </c>
      <c r="AJ588" s="9">
        <f>C588</f>
        <v>1919</v>
      </c>
      <c r="AK588" s="9">
        <f>IF(P588="completed",((V588-K588)*24*60),0)</f>
        <v>5.0000000058207661</v>
      </c>
      <c r="AL588" s="9">
        <f>IF(P588="completed",((U588-K588)*24*60),0)</f>
        <v>7.0000000018626451</v>
      </c>
      <c r="AM588" s="9" t="str">
        <f t="shared" si="13"/>
        <v>OTP Achieved</v>
      </c>
      <c r="AN588" s="9" t="str">
        <f t="shared" si="14"/>
        <v>OTP Achieved</v>
      </c>
    </row>
    <row r="589" spans="1:40" ht="15">
      <c r="A589" s="14" t="s">
        <v>1136</v>
      </c>
      <c r="B589" s="15">
        <v>46313.525694444441</v>
      </c>
      <c r="C589" s="16">
        <v>2357</v>
      </c>
      <c r="D589" s="17" t="s">
        <v>41</v>
      </c>
      <c r="E589" s="16">
        <v>6</v>
      </c>
      <c r="F589" s="17" t="s">
        <v>41</v>
      </c>
      <c r="G589" s="17" t="s">
        <v>41</v>
      </c>
      <c r="H589" s="17" t="s">
        <v>1875</v>
      </c>
      <c r="I589" s="15">
        <v>46313.527083333334</v>
      </c>
      <c r="J589" s="17" t="s">
        <v>41</v>
      </c>
      <c r="K589" s="15">
        <v>46313.527083333334</v>
      </c>
      <c r="L589" s="16">
        <v>19</v>
      </c>
      <c r="M589" s="17"/>
      <c r="N589" s="17"/>
      <c r="O589" s="15">
        <v>46313.525694444441</v>
      </c>
      <c r="P589" s="17" t="s">
        <v>43</v>
      </c>
      <c r="Q589" s="17" t="s">
        <v>1138</v>
      </c>
      <c r="R589" s="17" t="s">
        <v>1876</v>
      </c>
      <c r="S589" s="16">
        <v>4247</v>
      </c>
      <c r="T589" s="17" t="s">
        <v>41</v>
      </c>
      <c r="U589" s="15">
        <v>46313.534722222219</v>
      </c>
      <c r="V589" s="15">
        <v>46313.53125</v>
      </c>
      <c r="W589" s="18" t="s">
        <v>1877</v>
      </c>
      <c r="X589" s="16">
        <v>22411</v>
      </c>
      <c r="Y589" s="19"/>
      <c r="Z589" s="16">
        <v>0</v>
      </c>
      <c r="AA589" s="20">
        <v>0.52569444444444446</v>
      </c>
      <c r="AB589" s="16">
        <v>6</v>
      </c>
      <c r="AC589" s="17" t="s">
        <v>41</v>
      </c>
      <c r="AD589" s="9" t="str">
        <f t="shared" si="10"/>
        <v>Actual</v>
      </c>
      <c r="AE589" s="9" t="str">
        <f t="shared" si="11"/>
        <v>TMK7</v>
      </c>
      <c r="AF589" s="9">
        <f>HOUR(O589)</f>
        <v>12</v>
      </c>
      <c r="AG589" s="9">
        <f>DAY(O589)</f>
        <v>18</v>
      </c>
      <c r="AH589" s="9">
        <f>IFERROR((I589-K589)*24*60,0)</f>
        <v>0</v>
      </c>
      <c r="AI589" s="9">
        <f t="shared" si="12"/>
        <v>0</v>
      </c>
      <c r="AJ589" s="9">
        <f>C589</f>
        <v>2357</v>
      </c>
      <c r="AK589" s="9">
        <f>IF(P589="completed",((V589-K589)*24*60),0)</f>
        <v>5.9999999986030161</v>
      </c>
      <c r="AL589" s="9">
        <f>IF(P589="completed",((U589-K589)*24*60),0)</f>
        <v>10.999999993946403</v>
      </c>
      <c r="AM589" s="9" t="str">
        <f t="shared" si="13"/>
        <v>OTP Achieved</v>
      </c>
      <c r="AN589" s="9" t="str">
        <f t="shared" si="14"/>
        <v>OTP Achieved</v>
      </c>
    </row>
    <row r="590" spans="1:40" ht="15">
      <c r="A590" s="14" t="s">
        <v>347</v>
      </c>
      <c r="B590" s="15">
        <v>46313.525000000001</v>
      </c>
      <c r="C590" s="16">
        <v>3754</v>
      </c>
      <c r="D590" s="17" t="s">
        <v>41</v>
      </c>
      <c r="E590" s="16">
        <v>9</v>
      </c>
      <c r="F590" s="17" t="s">
        <v>41</v>
      </c>
      <c r="G590" s="17" t="s">
        <v>41</v>
      </c>
      <c r="H590" s="17" t="s">
        <v>1878</v>
      </c>
      <c r="I590" s="15">
        <v>46313.526388888888</v>
      </c>
      <c r="J590" s="17" t="s">
        <v>41</v>
      </c>
      <c r="K590" s="15">
        <v>46313.525694444441</v>
      </c>
      <c r="L590" s="16">
        <v>14</v>
      </c>
      <c r="M590" s="17"/>
      <c r="N590" s="17"/>
      <c r="O590" s="15">
        <v>46313.525000000001</v>
      </c>
      <c r="P590" s="17" t="s">
        <v>43</v>
      </c>
      <c r="Q590" s="17" t="s">
        <v>349</v>
      </c>
      <c r="R590" s="17" t="s">
        <v>1879</v>
      </c>
      <c r="S590" s="16">
        <v>4247</v>
      </c>
      <c r="T590" s="17" t="s">
        <v>41</v>
      </c>
      <c r="U590" s="15">
        <v>46313.535416666666</v>
      </c>
      <c r="V590" s="15">
        <v>46313.531944444447</v>
      </c>
      <c r="W590" s="18" t="s">
        <v>1880</v>
      </c>
      <c r="X590" s="16">
        <v>22411</v>
      </c>
      <c r="Y590" s="19"/>
      <c r="Z590" s="16">
        <v>0</v>
      </c>
      <c r="AA590" s="20">
        <v>0.52500000000000002</v>
      </c>
      <c r="AB590" s="16">
        <v>8</v>
      </c>
      <c r="AC590" s="17" t="s">
        <v>41</v>
      </c>
      <c r="AD590" s="9" t="str">
        <f t="shared" si="10"/>
        <v>Actual</v>
      </c>
      <c r="AE590" s="9" t="str">
        <f t="shared" si="11"/>
        <v>TMK7</v>
      </c>
      <c r="AF590" s="9">
        <f>HOUR(O590)</f>
        <v>12</v>
      </c>
      <c r="AG590" s="9">
        <f>DAY(O590)</f>
        <v>18</v>
      </c>
      <c r="AH590" s="9">
        <f>IFERROR((I590-K590)*24*60,0)</f>
        <v>1.000000003259629</v>
      </c>
      <c r="AI590" s="9">
        <f t="shared" si="12"/>
        <v>1.000000003259629</v>
      </c>
      <c r="AJ590" s="9">
        <f>C590</f>
        <v>3754</v>
      </c>
      <c r="AK590" s="9">
        <f>IF(P590="completed",((V590-K590)*24*60),0)</f>
        <v>9.0000000083819032</v>
      </c>
      <c r="AL590" s="9">
        <f>IF(P590="completed",((U590-K590)*24*60),0)</f>
        <v>14.00000000372529</v>
      </c>
      <c r="AM590" s="9" t="str">
        <f t="shared" si="13"/>
        <v>OTP Achieved</v>
      </c>
      <c r="AN590" s="9" t="str">
        <f t="shared" si="14"/>
        <v>OTP Achieved</v>
      </c>
    </row>
    <row r="591" spans="1:40" ht="15">
      <c r="A591" s="14" t="s">
        <v>52</v>
      </c>
      <c r="B591" s="15">
        <v>46313.525000000001</v>
      </c>
      <c r="C591" s="16">
        <v>2359</v>
      </c>
      <c r="D591" s="17" t="s">
        <v>41</v>
      </c>
      <c r="E591" s="16">
        <v>7</v>
      </c>
      <c r="F591" s="17" t="s">
        <v>41</v>
      </c>
      <c r="G591" s="17" t="s">
        <v>41</v>
      </c>
      <c r="H591" s="17" t="s">
        <v>1881</v>
      </c>
      <c r="I591" s="15">
        <v>46313.525694444441</v>
      </c>
      <c r="J591" s="17" t="s">
        <v>41</v>
      </c>
      <c r="K591" s="15">
        <v>46313.525694444441</v>
      </c>
      <c r="L591" s="16">
        <v>13</v>
      </c>
      <c r="M591" s="17"/>
      <c r="N591" s="17"/>
      <c r="O591" s="15">
        <v>46313.525000000001</v>
      </c>
      <c r="P591" s="17" t="s">
        <v>43</v>
      </c>
      <c r="Q591" s="17" t="s">
        <v>54</v>
      </c>
      <c r="R591" s="17" t="s">
        <v>1882</v>
      </c>
      <c r="S591" s="16">
        <v>4247</v>
      </c>
      <c r="T591" s="17" t="s">
        <v>41</v>
      </c>
      <c r="U591" s="15">
        <v>46313.532638888886</v>
      </c>
      <c r="V591" s="15">
        <v>46313.530555555553</v>
      </c>
      <c r="W591" s="18" t="s">
        <v>1883</v>
      </c>
      <c r="X591" s="16">
        <v>22411</v>
      </c>
      <c r="Y591" s="19"/>
      <c r="Z591" s="16">
        <v>0</v>
      </c>
      <c r="AA591" s="20">
        <v>0.52500000000000002</v>
      </c>
      <c r="AB591" s="16">
        <v>7</v>
      </c>
      <c r="AC591" s="17" t="s">
        <v>41</v>
      </c>
      <c r="AD591" s="9" t="str">
        <f t="shared" si="10"/>
        <v>Actual</v>
      </c>
      <c r="AE591" s="9" t="str">
        <f t="shared" si="11"/>
        <v>TMK7</v>
      </c>
      <c r="AF591" s="9">
        <f>HOUR(O591)</f>
        <v>12</v>
      </c>
      <c r="AG591" s="9">
        <f>DAY(O591)</f>
        <v>18</v>
      </c>
      <c r="AH591" s="9">
        <f>IFERROR((I591-K591)*24*60,0)</f>
        <v>0</v>
      </c>
      <c r="AI591" s="9">
        <f t="shared" si="12"/>
        <v>0</v>
      </c>
      <c r="AJ591" s="9">
        <f>C591</f>
        <v>2359</v>
      </c>
      <c r="AK591" s="9">
        <f>IF(P591="completed",((V591-K591)*24*60),0)</f>
        <v>7.0000000018626451</v>
      </c>
      <c r="AL591" s="9">
        <f>IF(P591="completed",((U591-K591)*24*60),0)</f>
        <v>10.000000001164153</v>
      </c>
      <c r="AM591" s="9" t="str">
        <f t="shared" si="13"/>
        <v>OTP Achieved</v>
      </c>
      <c r="AN591" s="9" t="str">
        <f t="shared" si="14"/>
        <v>OTP Achieved</v>
      </c>
    </row>
    <row r="592" spans="1:40" ht="15">
      <c r="A592" s="14" t="s">
        <v>1336</v>
      </c>
      <c r="B592" s="15">
        <v>46313.525000000001</v>
      </c>
      <c r="C592" s="16">
        <v>1086</v>
      </c>
      <c r="D592" s="17" t="s">
        <v>41</v>
      </c>
      <c r="E592" s="16">
        <v>4</v>
      </c>
      <c r="F592" s="17" t="s">
        <v>41</v>
      </c>
      <c r="G592" s="17" t="s">
        <v>41</v>
      </c>
      <c r="H592" s="17" t="s">
        <v>1884</v>
      </c>
      <c r="I592" s="15">
        <v>46313.525694444441</v>
      </c>
      <c r="J592" s="17" t="s">
        <v>41</v>
      </c>
      <c r="K592" s="15">
        <v>46313.525694444441</v>
      </c>
      <c r="L592" s="16">
        <v>17</v>
      </c>
      <c r="M592" s="17"/>
      <c r="N592" s="17"/>
      <c r="O592" s="15">
        <v>46313.524305555555</v>
      </c>
      <c r="P592" s="17" t="s">
        <v>43</v>
      </c>
      <c r="Q592" s="17" t="s">
        <v>1338</v>
      </c>
      <c r="R592" s="17" t="s">
        <v>1885</v>
      </c>
      <c r="S592" s="16">
        <v>4247</v>
      </c>
      <c r="T592" s="17" t="s">
        <v>41</v>
      </c>
      <c r="U592" s="15">
        <v>46313.529166666667</v>
      </c>
      <c r="V592" s="15">
        <v>46313.52847222222</v>
      </c>
      <c r="W592" s="18" t="s">
        <v>1886</v>
      </c>
      <c r="X592" s="16">
        <v>22411</v>
      </c>
      <c r="Y592" s="19"/>
      <c r="Z592" s="16">
        <v>0</v>
      </c>
      <c r="AA592" s="20">
        <v>0.52500000000000002</v>
      </c>
      <c r="AB592" s="16">
        <v>4</v>
      </c>
      <c r="AC592" s="17" t="s">
        <v>41</v>
      </c>
      <c r="AD592" s="9" t="str">
        <f t="shared" si="10"/>
        <v>Actual</v>
      </c>
      <c r="AE592" s="9" t="str">
        <f t="shared" si="11"/>
        <v>TMK7</v>
      </c>
      <c r="AF592" s="9">
        <f>HOUR(O592)</f>
        <v>12</v>
      </c>
      <c r="AG592" s="9">
        <f>DAY(O592)</f>
        <v>18</v>
      </c>
      <c r="AH592" s="9">
        <f>IFERROR((I592-K592)*24*60,0)</f>
        <v>0</v>
      </c>
      <c r="AI592" s="9">
        <f t="shared" si="12"/>
        <v>0</v>
      </c>
      <c r="AJ592" s="9">
        <f>C592</f>
        <v>1086</v>
      </c>
      <c r="AK592" s="9">
        <f>IF(P592="completed",((V592-K592)*24*60),0)</f>
        <v>4.0000000025611371</v>
      </c>
      <c r="AL592" s="9">
        <f>IF(P592="completed",((U592-K592)*24*60),0)</f>
        <v>5.0000000058207661</v>
      </c>
      <c r="AM592" s="9" t="str">
        <f t="shared" si="13"/>
        <v>OTP Achieved</v>
      </c>
      <c r="AN592" s="9" t="str">
        <f t="shared" si="14"/>
        <v>OTP Achieved</v>
      </c>
    </row>
    <row r="593" spans="1:40" ht="15">
      <c r="A593" s="14" t="s">
        <v>1391</v>
      </c>
      <c r="B593" s="15">
        <v>46313.523611111108</v>
      </c>
      <c r="C593" s="16">
        <v>2125</v>
      </c>
      <c r="D593" s="17" t="s">
        <v>41</v>
      </c>
      <c r="E593" s="16">
        <v>6</v>
      </c>
      <c r="F593" s="17" t="s">
        <v>41</v>
      </c>
      <c r="G593" s="17" t="s">
        <v>41</v>
      </c>
      <c r="H593" s="17" t="s">
        <v>1887</v>
      </c>
      <c r="I593" s="15">
        <v>46313.525694444441</v>
      </c>
      <c r="J593" s="17" t="s">
        <v>41</v>
      </c>
      <c r="K593" s="15">
        <v>46313.525000000001</v>
      </c>
      <c r="L593" s="16">
        <v>21</v>
      </c>
      <c r="M593" s="17"/>
      <c r="N593" s="17"/>
      <c r="O593" s="15">
        <v>46313.523611111108</v>
      </c>
      <c r="P593" s="17" t="s">
        <v>43</v>
      </c>
      <c r="Q593" s="17" t="s">
        <v>1393</v>
      </c>
      <c r="R593" s="17" t="s">
        <v>1888</v>
      </c>
      <c r="S593" s="16">
        <v>4247</v>
      </c>
      <c r="T593" s="17" t="s">
        <v>41</v>
      </c>
      <c r="U593" s="15">
        <v>46313.531944444447</v>
      </c>
      <c r="V593" s="15">
        <v>46313.529166666667</v>
      </c>
      <c r="W593" s="18" t="s">
        <v>1889</v>
      </c>
      <c r="X593" s="16">
        <v>22411</v>
      </c>
      <c r="Y593" s="19"/>
      <c r="Z593" s="16">
        <v>0</v>
      </c>
      <c r="AA593" s="20">
        <v>0.52361111111111114</v>
      </c>
      <c r="AB593" s="16">
        <v>5</v>
      </c>
      <c r="AC593" s="17" t="s">
        <v>41</v>
      </c>
      <c r="AD593" s="9" t="str">
        <f t="shared" si="10"/>
        <v>Actual</v>
      </c>
      <c r="AE593" s="9" t="str">
        <f t="shared" si="11"/>
        <v>TMK7</v>
      </c>
      <c r="AF593" s="9">
        <f>HOUR(O593)</f>
        <v>12</v>
      </c>
      <c r="AG593" s="9">
        <f>DAY(O593)</f>
        <v>18</v>
      </c>
      <c r="AH593" s="9">
        <f>IFERROR((I593-K593)*24*60,0)</f>
        <v>0.99999999278225005</v>
      </c>
      <c r="AI593" s="9">
        <f t="shared" si="12"/>
        <v>0.99999999278225005</v>
      </c>
      <c r="AJ593" s="9">
        <f>C593</f>
        <v>2125</v>
      </c>
      <c r="AK593" s="9">
        <f>IF(P593="completed",((V593-K593)*24*60),0)</f>
        <v>5.9999999986030161</v>
      </c>
      <c r="AL593" s="9">
        <f>IF(P593="completed",((U593-K593)*24*60),0)</f>
        <v>10.000000001164153</v>
      </c>
      <c r="AM593" s="9" t="str">
        <f t="shared" si="13"/>
        <v>OTP Achieved</v>
      </c>
      <c r="AN593" s="9" t="str">
        <f t="shared" si="14"/>
        <v>OTP Achieved</v>
      </c>
    </row>
    <row r="594" spans="1:40" ht="15">
      <c r="A594" s="14" t="s">
        <v>734</v>
      </c>
      <c r="B594" s="15">
        <v>46313.522916666669</v>
      </c>
      <c r="C594" s="16">
        <v>2061</v>
      </c>
      <c r="D594" s="17" t="s">
        <v>41</v>
      </c>
      <c r="E594" s="16">
        <v>5</v>
      </c>
      <c r="F594" s="17" t="s">
        <v>41</v>
      </c>
      <c r="G594" s="17" t="s">
        <v>41</v>
      </c>
      <c r="H594" s="17" t="s">
        <v>1890</v>
      </c>
      <c r="I594" s="15">
        <v>46313.525000000001</v>
      </c>
      <c r="J594" s="17" t="s">
        <v>41</v>
      </c>
      <c r="K594" s="15">
        <v>46313.525000000001</v>
      </c>
      <c r="L594" s="16">
        <v>21</v>
      </c>
      <c r="M594" s="17"/>
      <c r="N594" s="17"/>
      <c r="O594" s="15">
        <v>46313.522916666669</v>
      </c>
      <c r="P594" s="17" t="s">
        <v>43</v>
      </c>
      <c r="Q594" s="17" t="s">
        <v>736</v>
      </c>
      <c r="R594" s="17" t="s">
        <v>1891</v>
      </c>
      <c r="S594" s="16">
        <v>4247</v>
      </c>
      <c r="T594" s="17" t="s">
        <v>41</v>
      </c>
      <c r="U594" s="15">
        <v>46313.530555555553</v>
      </c>
      <c r="V594" s="15">
        <v>46313.52847222222</v>
      </c>
      <c r="W594" s="18" t="s">
        <v>1892</v>
      </c>
      <c r="X594" s="16">
        <v>22411</v>
      </c>
      <c r="Y594" s="19"/>
      <c r="Z594" s="16">
        <v>0</v>
      </c>
      <c r="AA594" s="20">
        <v>0.5229166666666667</v>
      </c>
      <c r="AB594" s="16">
        <v>5</v>
      </c>
      <c r="AC594" s="17" t="s">
        <v>41</v>
      </c>
      <c r="AD594" s="9" t="str">
        <f t="shared" si="10"/>
        <v>Actual</v>
      </c>
      <c r="AE594" s="9" t="str">
        <f t="shared" si="11"/>
        <v>TMK7</v>
      </c>
      <c r="AF594" s="9">
        <f>HOUR(O594)</f>
        <v>12</v>
      </c>
      <c r="AG594" s="9">
        <f>DAY(O594)</f>
        <v>18</v>
      </c>
      <c r="AH594" s="9">
        <f>IFERROR((I594-K594)*24*60,0)</f>
        <v>0</v>
      </c>
      <c r="AI594" s="9">
        <f t="shared" si="12"/>
        <v>0</v>
      </c>
      <c r="AJ594" s="9">
        <f>C594</f>
        <v>2061</v>
      </c>
      <c r="AK594" s="9">
        <f>IF(P594="completed",((V594-K594)*24*60),0)</f>
        <v>4.9999999953433871</v>
      </c>
      <c r="AL594" s="9">
        <f>IF(P594="completed",((U594-K594)*24*60),0)</f>
        <v>7.9999999946448952</v>
      </c>
      <c r="AM594" s="9" t="str">
        <f t="shared" si="13"/>
        <v>OTP Achieved</v>
      </c>
      <c r="AN594" s="9" t="str">
        <f t="shared" si="14"/>
        <v>OTP Achieved</v>
      </c>
    </row>
    <row r="595" spans="1:40" ht="15">
      <c r="A595" s="14" t="s">
        <v>67</v>
      </c>
      <c r="B595" s="15">
        <v>46313.523611111108</v>
      </c>
      <c r="C595" s="16">
        <v>2251</v>
      </c>
      <c r="D595" s="17" t="s">
        <v>41</v>
      </c>
      <c r="E595" s="16">
        <v>10</v>
      </c>
      <c r="F595" s="17" t="s">
        <v>41</v>
      </c>
      <c r="G595" s="17" t="s">
        <v>41</v>
      </c>
      <c r="H595" s="17" t="s">
        <v>1893</v>
      </c>
      <c r="I595" s="15">
        <v>46313.525000000001</v>
      </c>
      <c r="J595" s="17" t="s">
        <v>41</v>
      </c>
      <c r="K595" s="15">
        <v>46313.524305555555</v>
      </c>
      <c r="L595" s="16">
        <v>62</v>
      </c>
      <c r="M595" s="17"/>
      <c r="N595" s="17"/>
      <c r="O595" s="15">
        <v>46313.522916666669</v>
      </c>
      <c r="P595" s="17" t="s">
        <v>43</v>
      </c>
      <c r="Q595" s="17" t="s">
        <v>69</v>
      </c>
      <c r="R595" s="17" t="s">
        <v>1894</v>
      </c>
      <c r="S595" s="16">
        <v>4247</v>
      </c>
      <c r="T595" s="17" t="s">
        <v>41</v>
      </c>
      <c r="U595" s="15">
        <v>46313.53125</v>
      </c>
      <c r="V595" s="15">
        <v>46313.530555555553</v>
      </c>
      <c r="W595" s="18" t="s">
        <v>1895</v>
      </c>
      <c r="X595" s="16">
        <v>22411</v>
      </c>
      <c r="Y595" s="19"/>
      <c r="Z595" s="16">
        <v>0</v>
      </c>
      <c r="AA595" s="20">
        <v>0.52361111111111114</v>
      </c>
      <c r="AB595" s="16">
        <v>9</v>
      </c>
      <c r="AC595" s="17" t="s">
        <v>41</v>
      </c>
      <c r="AD595" s="9" t="str">
        <f t="shared" si="10"/>
        <v>Actual</v>
      </c>
      <c r="AE595" s="9" t="str">
        <f t="shared" si="11"/>
        <v>TMK7</v>
      </c>
      <c r="AF595" s="9">
        <f>HOUR(O595)</f>
        <v>12</v>
      </c>
      <c r="AG595" s="9">
        <f>DAY(O595)</f>
        <v>18</v>
      </c>
      <c r="AH595" s="9">
        <f>IFERROR((I595-K595)*24*60,0)</f>
        <v>1.000000003259629</v>
      </c>
      <c r="AI595" s="9">
        <f t="shared" si="12"/>
        <v>1.000000003259629</v>
      </c>
      <c r="AJ595" s="9">
        <f>C595</f>
        <v>2251</v>
      </c>
      <c r="AK595" s="9">
        <f>IF(P595="completed",((V595-K595)*24*60),0)</f>
        <v>8.9999999979045242</v>
      </c>
      <c r="AL595" s="9">
        <f>IF(P595="completed",((U595-K595)*24*60),0)</f>
        <v>10.000000001164153</v>
      </c>
      <c r="AM595" s="9" t="str">
        <f t="shared" si="13"/>
        <v>OTP Achieved</v>
      </c>
      <c r="AN595" s="9" t="str">
        <f t="shared" si="14"/>
        <v>OTP Achieved</v>
      </c>
    </row>
    <row r="596" spans="1:40" ht="15">
      <c r="A596" s="14" t="s">
        <v>185</v>
      </c>
      <c r="B596" s="15">
        <v>46313.522222222222</v>
      </c>
      <c r="C596" s="16">
        <v>2162</v>
      </c>
      <c r="D596" s="17" t="s">
        <v>41</v>
      </c>
      <c r="E596" s="16">
        <v>7</v>
      </c>
      <c r="F596" s="17" t="s">
        <v>41</v>
      </c>
      <c r="G596" s="17" t="s">
        <v>41</v>
      </c>
      <c r="H596" s="17" t="s">
        <v>1896</v>
      </c>
      <c r="I596" s="15">
        <v>46313.523611111108</v>
      </c>
      <c r="J596" s="17" t="s">
        <v>41</v>
      </c>
      <c r="K596" s="15">
        <v>46313.523611111108</v>
      </c>
      <c r="L596" s="16">
        <v>19</v>
      </c>
      <c r="M596" s="17"/>
      <c r="N596" s="17"/>
      <c r="O596" s="15">
        <v>46313.522222222222</v>
      </c>
      <c r="P596" s="17" t="s">
        <v>43</v>
      </c>
      <c r="Q596" s="17" t="s">
        <v>187</v>
      </c>
      <c r="R596" s="17" t="s">
        <v>1897</v>
      </c>
      <c r="S596" s="16">
        <v>4247</v>
      </c>
      <c r="T596" s="17" t="s">
        <v>41</v>
      </c>
      <c r="U596" s="15">
        <v>46313.529166666667</v>
      </c>
      <c r="V596" s="15">
        <v>46313.527777777781</v>
      </c>
      <c r="W596" s="18" t="s">
        <v>1898</v>
      </c>
      <c r="X596" s="16">
        <v>22411</v>
      </c>
      <c r="Y596" s="19"/>
      <c r="Z596" s="16">
        <v>0</v>
      </c>
      <c r="AA596" s="20">
        <v>0.52222222222222225</v>
      </c>
      <c r="AB596" s="16">
        <v>6</v>
      </c>
      <c r="AC596" s="17" t="s">
        <v>41</v>
      </c>
      <c r="AD596" s="9" t="str">
        <f t="shared" si="10"/>
        <v>Actual</v>
      </c>
      <c r="AE596" s="9" t="str">
        <f t="shared" si="11"/>
        <v>TMK7</v>
      </c>
      <c r="AF596" s="9">
        <f>HOUR(O596)</f>
        <v>12</v>
      </c>
      <c r="AG596" s="9">
        <f>DAY(O596)</f>
        <v>18</v>
      </c>
      <c r="AH596" s="9">
        <f>IFERROR((I596-K596)*24*60,0)</f>
        <v>0</v>
      </c>
      <c r="AI596" s="9">
        <f t="shared" si="12"/>
        <v>0</v>
      </c>
      <c r="AJ596" s="9">
        <f>C596</f>
        <v>2162</v>
      </c>
      <c r="AK596" s="9">
        <f>IF(P596="completed",((V596-K596)*24*60),0)</f>
        <v>6.0000000090803951</v>
      </c>
      <c r="AL596" s="9">
        <f>IF(P596="completed",((U596-K596)*24*60),0)</f>
        <v>8.0000000051222742</v>
      </c>
      <c r="AM596" s="9" t="str">
        <f t="shared" si="13"/>
        <v>OTP Achieved</v>
      </c>
      <c r="AN596" s="9" t="str">
        <f t="shared" si="14"/>
        <v>OTP Achieved</v>
      </c>
    </row>
    <row r="597" spans="1:40" ht="15">
      <c r="A597" s="14" t="s">
        <v>190</v>
      </c>
      <c r="B597" s="15">
        <v>46313.520833333336</v>
      </c>
      <c r="C597" s="16">
        <v>1835</v>
      </c>
      <c r="D597" s="17" t="s">
        <v>41</v>
      </c>
      <c r="E597" s="16">
        <v>4</v>
      </c>
      <c r="F597" s="17" t="s">
        <v>41</v>
      </c>
      <c r="G597" s="17" t="s">
        <v>41</v>
      </c>
      <c r="H597" s="17" t="s">
        <v>1899</v>
      </c>
      <c r="I597" s="15">
        <v>46313.522222222222</v>
      </c>
      <c r="J597" s="17" t="s">
        <v>41</v>
      </c>
      <c r="K597" s="15">
        <v>46313.521527777775</v>
      </c>
      <c r="L597" s="16">
        <v>27</v>
      </c>
      <c r="M597" s="17"/>
      <c r="N597" s="17"/>
      <c r="O597" s="15">
        <v>46313.520833333336</v>
      </c>
      <c r="P597" s="17" t="s">
        <v>43</v>
      </c>
      <c r="Q597" s="17" t="s">
        <v>192</v>
      </c>
      <c r="R597" s="17" t="s">
        <v>1900</v>
      </c>
      <c r="S597" s="16">
        <v>4247</v>
      </c>
      <c r="T597" s="17" t="s">
        <v>41</v>
      </c>
      <c r="U597" s="15">
        <v>46313.526388888888</v>
      </c>
      <c r="V597" s="15">
        <v>46313.525000000001</v>
      </c>
      <c r="W597" s="18" t="s">
        <v>1901</v>
      </c>
      <c r="X597" s="16">
        <v>22411</v>
      </c>
      <c r="Y597" s="17"/>
      <c r="Z597" s="16">
        <v>0</v>
      </c>
      <c r="AA597" s="20">
        <v>0.52083333333333337</v>
      </c>
      <c r="AB597" s="16">
        <v>4</v>
      </c>
      <c r="AC597" s="17" t="s">
        <v>41</v>
      </c>
      <c r="AD597" s="9" t="str">
        <f t="shared" si="10"/>
        <v>Actual</v>
      </c>
      <c r="AE597" s="9" t="str">
        <f t="shared" si="11"/>
        <v>TMK7</v>
      </c>
      <c r="AF597" s="9">
        <f>HOUR(O597)</f>
        <v>12</v>
      </c>
      <c r="AG597" s="9">
        <f>DAY(O597)</f>
        <v>18</v>
      </c>
      <c r="AH597" s="9">
        <f>IFERROR((I597-K597)*24*60,0)</f>
        <v>1.000000003259629</v>
      </c>
      <c r="AI597" s="9">
        <f t="shared" si="12"/>
        <v>1.000000003259629</v>
      </c>
      <c r="AJ597" s="9">
        <f>C597</f>
        <v>1835</v>
      </c>
      <c r="AK597" s="9">
        <f>IF(P597="completed",((V597-K597)*24*60),0)</f>
        <v>5.0000000058207661</v>
      </c>
      <c r="AL597" s="9">
        <f>IF(P597="completed",((U597-K597)*24*60),0)</f>
        <v>7.0000000018626451</v>
      </c>
      <c r="AM597" s="9" t="str">
        <f t="shared" si="13"/>
        <v>OTP Achieved</v>
      </c>
      <c r="AN597" s="9" t="str">
        <f t="shared" si="14"/>
        <v>OTP Achieved</v>
      </c>
    </row>
    <row r="598" spans="1:40" ht="15">
      <c r="A598" s="14" t="s">
        <v>1077</v>
      </c>
      <c r="B598" s="15">
        <v>46313.520833333336</v>
      </c>
      <c r="C598" s="16">
        <v>1605</v>
      </c>
      <c r="D598" s="17" t="s">
        <v>41</v>
      </c>
      <c r="E598" s="16">
        <v>6</v>
      </c>
      <c r="F598" s="17" t="s">
        <v>41</v>
      </c>
      <c r="G598" s="17" t="s">
        <v>41</v>
      </c>
      <c r="H598" s="17" t="s">
        <v>1902</v>
      </c>
      <c r="I598" s="15">
        <v>46313.521527777775</v>
      </c>
      <c r="J598" s="17" t="s">
        <v>41</v>
      </c>
      <c r="K598" s="15">
        <v>46313.521527777775</v>
      </c>
      <c r="L598" s="16">
        <v>21</v>
      </c>
      <c r="M598" s="17"/>
      <c r="N598" s="17"/>
      <c r="O598" s="15">
        <v>46313.520833333336</v>
      </c>
      <c r="P598" s="17" t="s">
        <v>43</v>
      </c>
      <c r="Q598" s="17" t="s">
        <v>1079</v>
      </c>
      <c r="R598" s="17" t="s">
        <v>1903</v>
      </c>
      <c r="S598" s="16">
        <v>4247</v>
      </c>
      <c r="T598" s="17" t="s">
        <v>41</v>
      </c>
      <c r="U598" s="15">
        <v>46313.525694444441</v>
      </c>
      <c r="V598" s="15">
        <v>46313.525000000001</v>
      </c>
      <c r="W598" s="18" t="s">
        <v>1904</v>
      </c>
      <c r="X598" s="16">
        <v>22411</v>
      </c>
      <c r="Y598" s="19"/>
      <c r="Z598" s="16">
        <v>0</v>
      </c>
      <c r="AA598" s="20">
        <v>0.52083333333333337</v>
      </c>
      <c r="AB598" s="16">
        <v>5</v>
      </c>
      <c r="AC598" s="17" t="s">
        <v>41</v>
      </c>
      <c r="AD598" s="9" t="str">
        <f t="shared" si="10"/>
        <v>Actual</v>
      </c>
      <c r="AE598" s="9" t="str">
        <f t="shared" si="11"/>
        <v>TMK7</v>
      </c>
      <c r="AF598" s="9">
        <f>HOUR(O598)</f>
        <v>12</v>
      </c>
      <c r="AG598" s="9">
        <f>DAY(O598)</f>
        <v>18</v>
      </c>
      <c r="AH598" s="9">
        <f>IFERROR((I598-K598)*24*60,0)</f>
        <v>0</v>
      </c>
      <c r="AI598" s="9">
        <f t="shared" si="12"/>
        <v>0</v>
      </c>
      <c r="AJ598" s="9">
        <f>C598</f>
        <v>1605</v>
      </c>
      <c r="AK598" s="9">
        <f>IF(P598="completed",((V598-K598)*24*60),0)</f>
        <v>5.0000000058207661</v>
      </c>
      <c r="AL598" s="9">
        <f>IF(P598="completed",((U598-K598)*24*60),0)</f>
        <v>5.9999999986030161</v>
      </c>
      <c r="AM598" s="9" t="str">
        <f t="shared" si="13"/>
        <v>OTP Achieved</v>
      </c>
      <c r="AN598" s="9" t="str">
        <f t="shared" si="14"/>
        <v>OTP Achieved</v>
      </c>
    </row>
    <row r="599" spans="1:40" ht="15">
      <c r="A599" s="14" t="s">
        <v>57</v>
      </c>
      <c r="B599" s="15">
        <v>46313.520138888889</v>
      </c>
      <c r="C599" s="16">
        <v>1067</v>
      </c>
      <c r="D599" s="17" t="s">
        <v>41</v>
      </c>
      <c r="E599" s="16">
        <v>3</v>
      </c>
      <c r="F599" s="17" t="s">
        <v>41</v>
      </c>
      <c r="G599" s="17" t="s">
        <v>41</v>
      </c>
      <c r="H599" s="17" t="s">
        <v>1905</v>
      </c>
      <c r="I599" s="15">
        <v>46313.522222222222</v>
      </c>
      <c r="J599" s="17" t="s">
        <v>41</v>
      </c>
      <c r="K599" s="15">
        <v>46313.521527777775</v>
      </c>
      <c r="L599" s="16">
        <v>18</v>
      </c>
      <c r="M599" s="17"/>
      <c r="N599" s="17"/>
      <c r="O599" s="15">
        <v>46313.520138888889</v>
      </c>
      <c r="P599" s="17" t="s">
        <v>43</v>
      </c>
      <c r="Q599" s="17" t="s">
        <v>59</v>
      </c>
      <c r="R599" s="17" t="s">
        <v>1906</v>
      </c>
      <c r="S599" s="16">
        <v>4247</v>
      </c>
      <c r="T599" s="17" t="s">
        <v>41</v>
      </c>
      <c r="U599" s="15">
        <v>46313.524305555555</v>
      </c>
      <c r="V599" s="15">
        <v>46313.523611111108</v>
      </c>
      <c r="W599" s="18" t="s">
        <v>1907</v>
      </c>
      <c r="X599" s="16">
        <v>22411</v>
      </c>
      <c r="Y599" s="19"/>
      <c r="Z599" s="16">
        <v>0</v>
      </c>
      <c r="AA599" s="20">
        <v>0.52013888888888893</v>
      </c>
      <c r="AB599" s="16">
        <v>3</v>
      </c>
      <c r="AC599" s="17" t="s">
        <v>41</v>
      </c>
      <c r="AD599" s="9" t="str">
        <f t="shared" si="10"/>
        <v>Actual</v>
      </c>
      <c r="AE599" s="9" t="str">
        <f t="shared" si="11"/>
        <v>TMK7</v>
      </c>
      <c r="AF599" s="9">
        <f>HOUR(O599)</f>
        <v>12</v>
      </c>
      <c r="AG599" s="9">
        <f>DAY(O599)</f>
        <v>18</v>
      </c>
      <c r="AH599" s="9">
        <f>IFERROR((I599-K599)*24*60,0)</f>
        <v>1.000000003259629</v>
      </c>
      <c r="AI599" s="9">
        <f t="shared" si="12"/>
        <v>1.000000003259629</v>
      </c>
      <c r="AJ599" s="9">
        <f>C599</f>
        <v>1067</v>
      </c>
      <c r="AK599" s="9">
        <f>IF(P599="completed",((V599-K599)*24*60),0)</f>
        <v>2.9999999993015081</v>
      </c>
      <c r="AL599" s="9">
        <f>IF(P599="completed",((U599-K599)*24*60),0)</f>
        <v>4.0000000025611371</v>
      </c>
      <c r="AM599" s="9" t="str">
        <f t="shared" si="13"/>
        <v>OTP Achieved</v>
      </c>
      <c r="AN599" s="9" t="str">
        <f t="shared" si="14"/>
        <v>OTP Achieved</v>
      </c>
    </row>
    <row r="600" spans="1:40" ht="15">
      <c r="A600" s="14" t="s">
        <v>106</v>
      </c>
      <c r="B600" s="15">
        <v>46313.517361111109</v>
      </c>
      <c r="C600" s="16">
        <v>2353</v>
      </c>
      <c r="D600" s="17" t="s">
        <v>41</v>
      </c>
      <c r="E600" s="16">
        <v>9</v>
      </c>
      <c r="F600" s="17" t="s">
        <v>41</v>
      </c>
      <c r="G600" s="17" t="s">
        <v>41</v>
      </c>
      <c r="H600" s="17" t="s">
        <v>1908</v>
      </c>
      <c r="I600" s="15">
        <v>46313.519444444442</v>
      </c>
      <c r="J600" s="17" t="s">
        <v>41</v>
      </c>
      <c r="K600" s="15">
        <v>46313.519444444442</v>
      </c>
      <c r="L600" s="16">
        <v>26</v>
      </c>
      <c r="M600" s="17"/>
      <c r="N600" s="17"/>
      <c r="O600" s="15">
        <v>46313.517361111109</v>
      </c>
      <c r="P600" s="17" t="s">
        <v>43</v>
      </c>
      <c r="Q600" s="17" t="s">
        <v>108</v>
      </c>
      <c r="R600" s="17" t="s">
        <v>1909</v>
      </c>
      <c r="S600" s="16">
        <v>4247</v>
      </c>
      <c r="T600" s="17" t="s">
        <v>41</v>
      </c>
      <c r="U600" s="15">
        <v>46313.525000000001</v>
      </c>
      <c r="V600" s="15">
        <v>46313.525000000001</v>
      </c>
      <c r="W600" s="18" t="s">
        <v>1910</v>
      </c>
      <c r="X600" s="16">
        <v>22411</v>
      </c>
      <c r="Y600" s="19"/>
      <c r="Z600" s="16">
        <v>0</v>
      </c>
      <c r="AA600" s="20">
        <v>0.51736111111111116</v>
      </c>
      <c r="AB600" s="16">
        <v>8</v>
      </c>
      <c r="AC600" s="17" t="s">
        <v>41</v>
      </c>
      <c r="AD600" s="9" t="str">
        <f t="shared" si="10"/>
        <v>Actual</v>
      </c>
      <c r="AE600" s="9" t="str">
        <f t="shared" si="11"/>
        <v>TMK7</v>
      </c>
      <c r="AF600" s="9">
        <f>HOUR(O600)</f>
        <v>12</v>
      </c>
      <c r="AG600" s="9">
        <f>DAY(O600)</f>
        <v>18</v>
      </c>
      <c r="AH600" s="9">
        <f>IFERROR((I600-K600)*24*60,0)</f>
        <v>0</v>
      </c>
      <c r="AI600" s="9">
        <f t="shared" si="12"/>
        <v>0</v>
      </c>
      <c r="AJ600" s="9">
        <f>C600</f>
        <v>2353</v>
      </c>
      <c r="AK600" s="9">
        <f>IF(P600="completed",((V600-K600)*24*60),0)</f>
        <v>8.0000000051222742</v>
      </c>
      <c r="AL600" s="9">
        <f>IF(P600="completed",((U600-K600)*24*60),0)</f>
        <v>8.0000000051222742</v>
      </c>
      <c r="AM600" s="9" t="str">
        <f t="shared" si="13"/>
        <v>OTP Breached</v>
      </c>
      <c r="AN600" s="9" t="str">
        <f t="shared" si="14"/>
        <v>OTP Achieved</v>
      </c>
    </row>
    <row r="601" spans="1:40" ht="15">
      <c r="A601" s="14" t="s">
        <v>40</v>
      </c>
      <c r="B601" s="15">
        <v>46313.515972222223</v>
      </c>
      <c r="C601" s="16">
        <v>1967</v>
      </c>
      <c r="D601" s="17" t="s">
        <v>41</v>
      </c>
      <c r="E601" s="16">
        <v>9</v>
      </c>
      <c r="F601" s="17" t="s">
        <v>41</v>
      </c>
      <c r="G601" s="17" t="s">
        <v>41</v>
      </c>
      <c r="H601" s="17" t="s">
        <v>1911</v>
      </c>
      <c r="I601" s="15">
        <v>46313.518055555556</v>
      </c>
      <c r="J601" s="17" t="s">
        <v>41</v>
      </c>
      <c r="K601" s="15">
        <v>46313.518055555556</v>
      </c>
      <c r="L601" s="16">
        <v>27</v>
      </c>
      <c r="M601" s="17"/>
      <c r="N601" s="17"/>
      <c r="O601" s="15">
        <v>46313.515277777777</v>
      </c>
      <c r="P601" s="17" t="s">
        <v>43</v>
      </c>
      <c r="Q601" s="17" t="s">
        <v>44</v>
      </c>
      <c r="R601" s="17" t="s">
        <v>1912</v>
      </c>
      <c r="S601" s="16">
        <v>4247</v>
      </c>
      <c r="T601" s="17" t="s">
        <v>41</v>
      </c>
      <c r="U601" s="15">
        <v>46313.524305555555</v>
      </c>
      <c r="V601" s="15">
        <v>46313.523611111108</v>
      </c>
      <c r="W601" s="18" t="s">
        <v>1913</v>
      </c>
      <c r="X601" s="16">
        <v>22411</v>
      </c>
      <c r="Y601" s="17"/>
      <c r="Z601" s="16">
        <v>0</v>
      </c>
      <c r="AA601" s="20">
        <v>0.51597222222222228</v>
      </c>
      <c r="AB601" s="16">
        <v>8</v>
      </c>
      <c r="AC601" s="17" t="s">
        <v>41</v>
      </c>
      <c r="AD601" s="9" t="str">
        <f t="shared" si="10"/>
        <v>Actual</v>
      </c>
      <c r="AE601" s="9" t="str">
        <f t="shared" si="11"/>
        <v>TMK7</v>
      </c>
      <c r="AF601" s="9">
        <f>HOUR(O601)</f>
        <v>12</v>
      </c>
      <c r="AG601" s="9">
        <f>DAY(O601)</f>
        <v>18</v>
      </c>
      <c r="AH601" s="9">
        <f>IFERROR((I601-K601)*24*60,0)</f>
        <v>0</v>
      </c>
      <c r="AI601" s="9">
        <f t="shared" si="12"/>
        <v>0</v>
      </c>
      <c r="AJ601" s="9">
        <f>C601</f>
        <v>1967</v>
      </c>
      <c r="AK601" s="9">
        <f>IF(P601="completed",((V601-K601)*24*60),0)</f>
        <v>7.9999999946448952</v>
      </c>
      <c r="AL601" s="9">
        <f>IF(P601="completed",((U601-K601)*24*60),0)</f>
        <v>8.9999999979045242</v>
      </c>
      <c r="AM601" s="9" t="str">
        <f t="shared" si="13"/>
        <v>OTP Achieved</v>
      </c>
      <c r="AN601" s="9" t="str">
        <f t="shared" si="14"/>
        <v>OTP Achieved</v>
      </c>
    </row>
    <row r="602" spans="1:40" ht="15">
      <c r="A602" s="14" t="s">
        <v>1624</v>
      </c>
      <c r="B602" s="15">
        <v>46313.515277777777</v>
      </c>
      <c r="C602" s="16">
        <v>2782</v>
      </c>
      <c r="D602" s="17" t="s">
        <v>41</v>
      </c>
      <c r="E602" s="16">
        <v>13</v>
      </c>
      <c r="F602" s="17" t="s">
        <v>41</v>
      </c>
      <c r="G602" s="17" t="s">
        <v>41</v>
      </c>
      <c r="H602" s="17" t="s">
        <v>1914</v>
      </c>
      <c r="I602" s="15">
        <v>46313.515972222223</v>
      </c>
      <c r="J602" s="17" t="s">
        <v>41</v>
      </c>
      <c r="K602" s="15">
        <v>46313.515972222223</v>
      </c>
      <c r="L602" s="16">
        <v>10</v>
      </c>
      <c r="M602" s="17"/>
      <c r="N602" s="17"/>
      <c r="O602" s="15">
        <v>46313.515277777777</v>
      </c>
      <c r="P602" s="17" t="s">
        <v>43</v>
      </c>
      <c r="Q602" s="17" t="s">
        <v>1626</v>
      </c>
      <c r="R602" s="17" t="s">
        <v>1915</v>
      </c>
      <c r="S602" s="16">
        <v>4247</v>
      </c>
      <c r="T602" s="17" t="s">
        <v>41</v>
      </c>
      <c r="U602" s="15">
        <v>46313.523611111108</v>
      </c>
      <c r="V602" s="15">
        <v>46313.525000000001</v>
      </c>
      <c r="W602" s="18" t="s">
        <v>1916</v>
      </c>
      <c r="X602" s="16">
        <v>22411</v>
      </c>
      <c r="Y602" s="19"/>
      <c r="Z602" s="16">
        <v>0</v>
      </c>
      <c r="AA602" s="20">
        <v>0.51527777777777772</v>
      </c>
      <c r="AB602" s="16">
        <v>13</v>
      </c>
      <c r="AC602" s="17" t="s">
        <v>41</v>
      </c>
      <c r="AD602" s="9" t="str">
        <f t="shared" si="10"/>
        <v>Actual</v>
      </c>
      <c r="AE602" s="9" t="str">
        <f t="shared" si="11"/>
        <v>TMK7</v>
      </c>
      <c r="AF602" s="9">
        <f>HOUR(O602)</f>
        <v>12</v>
      </c>
      <c r="AG602" s="9">
        <f>DAY(O602)</f>
        <v>18</v>
      </c>
      <c r="AH602" s="9">
        <f>IFERROR((I602-K602)*24*60,0)</f>
        <v>0</v>
      </c>
      <c r="AI602" s="9">
        <f t="shared" si="12"/>
        <v>0</v>
      </c>
      <c r="AJ602" s="9">
        <f>C602</f>
        <v>2782</v>
      </c>
      <c r="AK602" s="9">
        <f>IF(P602="completed",((V602-K602)*24*60),0)</f>
        <v>13.000000000465661</v>
      </c>
      <c r="AL602" s="9">
        <f>IF(P602="completed",((U602-K602)*24*60),0)</f>
        <v>10.999999993946403</v>
      </c>
      <c r="AM602" s="9" t="str">
        <f t="shared" si="13"/>
        <v>OTP Breached</v>
      </c>
      <c r="AN602" s="9" t="str">
        <f t="shared" si="14"/>
        <v>OTP Achieved</v>
      </c>
    </row>
    <row r="603" spans="1:40" ht="15">
      <c r="A603" s="14" t="s">
        <v>1365</v>
      </c>
      <c r="B603" s="15">
        <v>46313.515277777777</v>
      </c>
      <c r="C603" s="16">
        <v>1637</v>
      </c>
      <c r="D603" s="17" t="s">
        <v>41</v>
      </c>
      <c r="E603" s="16">
        <v>4</v>
      </c>
      <c r="F603" s="17" t="s">
        <v>41</v>
      </c>
      <c r="G603" s="17" t="s">
        <v>41</v>
      </c>
      <c r="H603" s="17" t="s">
        <v>1917</v>
      </c>
      <c r="I603" s="15">
        <v>46313.51666666667</v>
      </c>
      <c r="J603" s="17" t="s">
        <v>41</v>
      </c>
      <c r="K603" s="15">
        <v>46313.515972222223</v>
      </c>
      <c r="L603" s="16">
        <v>15</v>
      </c>
      <c r="M603" s="17"/>
      <c r="N603" s="17"/>
      <c r="O603" s="15">
        <v>46313.51458333333</v>
      </c>
      <c r="P603" s="17" t="s">
        <v>43</v>
      </c>
      <c r="Q603" s="17" t="s">
        <v>1367</v>
      </c>
      <c r="R603" s="17" t="s">
        <v>1918</v>
      </c>
      <c r="S603" s="16">
        <v>4247</v>
      </c>
      <c r="T603" s="17" t="s">
        <v>41</v>
      </c>
      <c r="U603" s="15">
        <v>46313.521527777775</v>
      </c>
      <c r="V603" s="15">
        <v>46313.518750000003</v>
      </c>
      <c r="W603" s="18" t="s">
        <v>1919</v>
      </c>
      <c r="X603" s="16">
        <v>22411</v>
      </c>
      <c r="Y603" s="19"/>
      <c r="Z603" s="16">
        <v>0</v>
      </c>
      <c r="AA603" s="20">
        <v>0.51458333333333328</v>
      </c>
      <c r="AB603" s="16">
        <v>4</v>
      </c>
      <c r="AC603" s="17" t="s">
        <v>41</v>
      </c>
      <c r="AD603" s="9" t="str">
        <f t="shared" si="10"/>
        <v>Actual</v>
      </c>
      <c r="AE603" s="9" t="str">
        <f t="shared" si="11"/>
        <v>TMK7</v>
      </c>
      <c r="AF603" s="9">
        <f>HOUR(O603)</f>
        <v>12</v>
      </c>
      <c r="AG603" s="9">
        <f>DAY(O603)</f>
        <v>18</v>
      </c>
      <c r="AH603" s="9">
        <f>IFERROR((I603-K603)*24*60,0)</f>
        <v>1.000000003259629</v>
      </c>
      <c r="AI603" s="9">
        <f t="shared" si="12"/>
        <v>1.000000003259629</v>
      </c>
      <c r="AJ603" s="9">
        <f>C603</f>
        <v>1637</v>
      </c>
      <c r="AK603" s="9">
        <f>IF(P603="completed",((V603-K603)*24*60),0)</f>
        <v>4.0000000025611371</v>
      </c>
      <c r="AL603" s="9">
        <f>IF(P603="completed",((U603-K603)*24*60),0)</f>
        <v>7.9999999946448952</v>
      </c>
      <c r="AM603" s="9" t="str">
        <f t="shared" si="13"/>
        <v>OTP Achieved</v>
      </c>
      <c r="AN603" s="9" t="str">
        <f t="shared" si="14"/>
        <v>OTP Achieved</v>
      </c>
    </row>
    <row r="604" spans="1:40" ht="15">
      <c r="A604" s="14" t="s">
        <v>1171</v>
      </c>
      <c r="B604" s="15">
        <v>46313.513888888891</v>
      </c>
      <c r="C604" s="16">
        <v>2072</v>
      </c>
      <c r="D604" s="17" t="s">
        <v>41</v>
      </c>
      <c r="E604" s="16">
        <v>6</v>
      </c>
      <c r="F604" s="17" t="s">
        <v>41</v>
      </c>
      <c r="G604" s="17" t="s">
        <v>41</v>
      </c>
      <c r="H604" s="17" t="s">
        <v>1920</v>
      </c>
      <c r="I604" s="15">
        <v>46313.51458333333</v>
      </c>
      <c r="J604" s="17" t="s">
        <v>41</v>
      </c>
      <c r="K604" s="15">
        <v>46313.51458333333</v>
      </c>
      <c r="L604" s="16">
        <v>12</v>
      </c>
      <c r="M604" s="17"/>
      <c r="N604" s="17"/>
      <c r="O604" s="15">
        <v>46313.513194444444</v>
      </c>
      <c r="P604" s="17" t="s">
        <v>43</v>
      </c>
      <c r="Q604" s="17" t="s">
        <v>1173</v>
      </c>
      <c r="R604" s="17" t="s">
        <v>1921</v>
      </c>
      <c r="S604" s="16">
        <v>4247</v>
      </c>
      <c r="T604" s="17" t="s">
        <v>41</v>
      </c>
      <c r="U604" s="15">
        <v>46313.520138888889</v>
      </c>
      <c r="V604" s="15">
        <v>46313.518750000003</v>
      </c>
      <c r="W604" s="18" t="s">
        <v>1922</v>
      </c>
      <c r="X604" s="16">
        <v>22411</v>
      </c>
      <c r="Y604" s="19"/>
      <c r="Z604" s="16">
        <v>0</v>
      </c>
      <c r="AA604" s="20">
        <v>0.51388888888888884</v>
      </c>
      <c r="AB604" s="16">
        <v>6</v>
      </c>
      <c r="AC604" s="17" t="s">
        <v>41</v>
      </c>
      <c r="AD604" s="9" t="str">
        <f t="shared" si="10"/>
        <v>Actual</v>
      </c>
      <c r="AE604" s="9" t="str">
        <f t="shared" si="11"/>
        <v>TMK7</v>
      </c>
      <c r="AF604" s="9">
        <f>HOUR(O604)</f>
        <v>12</v>
      </c>
      <c r="AG604" s="9">
        <f>DAY(O604)</f>
        <v>18</v>
      </c>
      <c r="AH604" s="9">
        <f>IFERROR((I604-K604)*24*60,0)</f>
        <v>0</v>
      </c>
      <c r="AI604" s="9">
        <f t="shared" si="12"/>
        <v>0</v>
      </c>
      <c r="AJ604" s="9">
        <f>C604</f>
        <v>2072</v>
      </c>
      <c r="AK604" s="9">
        <f>IF(P604="completed",((V604-K604)*24*60),0)</f>
        <v>6.0000000090803951</v>
      </c>
      <c r="AL604" s="9">
        <f>IF(P604="completed",((U604-K604)*24*60),0)</f>
        <v>8.0000000051222742</v>
      </c>
      <c r="AM604" s="9" t="str">
        <f t="shared" si="13"/>
        <v>OTP Achieved</v>
      </c>
      <c r="AN604" s="9" t="str">
        <f t="shared" si="14"/>
        <v>OTP Achieved</v>
      </c>
    </row>
    <row r="605" spans="1:40" ht="15">
      <c r="A605" s="14" t="s">
        <v>347</v>
      </c>
      <c r="B605" s="15">
        <v>46313.511805555558</v>
      </c>
      <c r="C605" s="16">
        <v>1067</v>
      </c>
      <c r="D605" s="17" t="s">
        <v>41</v>
      </c>
      <c r="E605" s="16">
        <v>3</v>
      </c>
      <c r="F605" s="17" t="s">
        <v>41</v>
      </c>
      <c r="G605" s="17" t="s">
        <v>41</v>
      </c>
      <c r="H605" s="17" t="s">
        <v>1923</v>
      </c>
      <c r="I605" s="15">
        <v>46313.513888888891</v>
      </c>
      <c r="J605" s="17" t="s">
        <v>41</v>
      </c>
      <c r="K605" s="15">
        <v>46313.513888888891</v>
      </c>
      <c r="L605" s="16">
        <v>13</v>
      </c>
      <c r="M605" s="17"/>
      <c r="N605" s="17"/>
      <c r="O605" s="15">
        <v>46313.511111111111</v>
      </c>
      <c r="P605" s="17" t="s">
        <v>43</v>
      </c>
      <c r="Q605" s="17" t="s">
        <v>349</v>
      </c>
      <c r="R605" s="17" t="s">
        <v>1924</v>
      </c>
      <c r="S605" s="16">
        <v>4247</v>
      </c>
      <c r="T605" s="17" t="s">
        <v>41</v>
      </c>
      <c r="U605" s="15">
        <v>46313.51666666667</v>
      </c>
      <c r="V605" s="15">
        <v>46313.515972222223</v>
      </c>
      <c r="W605" s="18" t="s">
        <v>1925</v>
      </c>
      <c r="X605" s="16">
        <v>22411</v>
      </c>
      <c r="Y605" s="19"/>
      <c r="Z605" s="16">
        <v>0</v>
      </c>
      <c r="AA605" s="20">
        <v>0.51180555555555551</v>
      </c>
      <c r="AB605" s="16">
        <v>3</v>
      </c>
      <c r="AC605" s="17" t="s">
        <v>41</v>
      </c>
      <c r="AD605" s="9" t="str">
        <f t="shared" si="10"/>
        <v>Actual</v>
      </c>
      <c r="AE605" s="9" t="str">
        <f t="shared" si="11"/>
        <v>TMK7</v>
      </c>
      <c r="AF605" s="9">
        <f>HOUR(O605)</f>
        <v>12</v>
      </c>
      <c r="AG605" s="9">
        <f>DAY(O605)</f>
        <v>18</v>
      </c>
      <c r="AH605" s="9">
        <f>IFERROR((I605-K605)*24*60,0)</f>
        <v>0</v>
      </c>
      <c r="AI605" s="9">
        <f t="shared" si="12"/>
        <v>0</v>
      </c>
      <c r="AJ605" s="9">
        <f>C605</f>
        <v>1067</v>
      </c>
      <c r="AK605" s="9">
        <f>IF(P605="completed",((V605-K605)*24*60),0)</f>
        <v>2.9999999993015081</v>
      </c>
      <c r="AL605" s="9">
        <f>IF(P605="completed",((U605-K605)*24*60),0)</f>
        <v>4.0000000025611371</v>
      </c>
      <c r="AM605" s="9" t="str">
        <f t="shared" si="13"/>
        <v>OTP Achieved</v>
      </c>
      <c r="AN605" s="9" t="str">
        <f t="shared" si="14"/>
        <v>OTP Achieved</v>
      </c>
    </row>
    <row r="606" spans="1:40" ht="15">
      <c r="A606" s="14" t="s">
        <v>1592</v>
      </c>
      <c r="B606" s="15">
        <v>46313.511111111111</v>
      </c>
      <c r="C606" s="16">
        <v>2055</v>
      </c>
      <c r="D606" s="17" t="s">
        <v>41</v>
      </c>
      <c r="E606" s="16">
        <v>5</v>
      </c>
      <c r="F606" s="17" t="s">
        <v>41</v>
      </c>
      <c r="G606" s="17" t="s">
        <v>41</v>
      </c>
      <c r="H606" s="17" t="s">
        <v>1926</v>
      </c>
      <c r="I606" s="15">
        <v>46313.511805555558</v>
      </c>
      <c r="J606" s="17" t="s">
        <v>41</v>
      </c>
      <c r="K606" s="15">
        <v>46313.511805555558</v>
      </c>
      <c r="L606" s="16">
        <v>21</v>
      </c>
      <c r="M606" s="17"/>
      <c r="N606" s="17"/>
      <c r="O606" s="15">
        <v>46313.511111111111</v>
      </c>
      <c r="P606" s="17" t="s">
        <v>43</v>
      </c>
      <c r="Q606" s="17" t="s">
        <v>1594</v>
      </c>
      <c r="R606" s="17" t="s">
        <v>1927</v>
      </c>
      <c r="S606" s="16">
        <v>4247</v>
      </c>
      <c r="T606" s="17" t="s">
        <v>41</v>
      </c>
      <c r="U606" s="15">
        <v>46313.517361111109</v>
      </c>
      <c r="V606" s="15">
        <v>46313.515277777777</v>
      </c>
      <c r="W606" s="18" t="s">
        <v>1928</v>
      </c>
      <c r="X606" s="16">
        <v>22411</v>
      </c>
      <c r="Y606" s="19"/>
      <c r="Z606" s="16">
        <v>0</v>
      </c>
      <c r="AA606" s="20">
        <v>0.51111111111111107</v>
      </c>
      <c r="AB606" s="16">
        <v>5</v>
      </c>
      <c r="AC606" s="17" t="s">
        <v>41</v>
      </c>
      <c r="AD606" s="9" t="str">
        <f t="shared" si="10"/>
        <v>Actual</v>
      </c>
      <c r="AE606" s="9" t="str">
        <f t="shared" si="11"/>
        <v>TMK7</v>
      </c>
      <c r="AF606" s="9">
        <f>HOUR(O606)</f>
        <v>12</v>
      </c>
      <c r="AG606" s="9">
        <f>DAY(O606)</f>
        <v>18</v>
      </c>
      <c r="AH606" s="9">
        <f>IFERROR((I606-K606)*24*60,0)</f>
        <v>0</v>
      </c>
      <c r="AI606" s="9">
        <f t="shared" si="12"/>
        <v>0</v>
      </c>
      <c r="AJ606" s="9">
        <f>C606</f>
        <v>2055</v>
      </c>
      <c r="AK606" s="9">
        <f>IF(P606="completed",((V606-K606)*24*60),0)</f>
        <v>4.9999999953433871</v>
      </c>
      <c r="AL606" s="9">
        <f>IF(P606="completed",((U606-K606)*24*60),0)</f>
        <v>7.9999999946448952</v>
      </c>
      <c r="AM606" s="9" t="str">
        <f t="shared" si="13"/>
        <v>OTP Achieved</v>
      </c>
      <c r="AN606" s="9" t="str">
        <f t="shared" si="14"/>
        <v>OTP Achieved</v>
      </c>
    </row>
    <row r="607" spans="1:40" ht="15">
      <c r="A607" s="14" t="s">
        <v>52</v>
      </c>
      <c r="B607" s="15">
        <v>46313.510416666664</v>
      </c>
      <c r="C607" s="16">
        <v>961</v>
      </c>
      <c r="D607" s="17" t="s">
        <v>41</v>
      </c>
      <c r="E607" s="16">
        <v>4</v>
      </c>
      <c r="F607" s="17" t="s">
        <v>41</v>
      </c>
      <c r="G607" s="17" t="s">
        <v>41</v>
      </c>
      <c r="H607" s="17" t="s">
        <v>1929</v>
      </c>
      <c r="I607" s="15">
        <v>46313.511805555558</v>
      </c>
      <c r="J607" s="17" t="s">
        <v>41</v>
      </c>
      <c r="K607" s="15">
        <v>46313.511111111111</v>
      </c>
      <c r="L607" s="16">
        <v>11</v>
      </c>
      <c r="M607" s="17"/>
      <c r="N607" s="17"/>
      <c r="O607" s="15">
        <v>46313.509722222225</v>
      </c>
      <c r="P607" s="17" t="s">
        <v>43</v>
      </c>
      <c r="Q607" s="17" t="s">
        <v>54</v>
      </c>
      <c r="R607" s="17" t="s">
        <v>1930</v>
      </c>
      <c r="S607" s="16">
        <v>4247</v>
      </c>
      <c r="T607" s="17" t="s">
        <v>41</v>
      </c>
      <c r="U607" s="15">
        <v>46313.515277777777</v>
      </c>
      <c r="V607" s="15">
        <v>46313.513888888891</v>
      </c>
      <c r="W607" s="18" t="s">
        <v>1931</v>
      </c>
      <c r="X607" s="16">
        <v>22411</v>
      </c>
      <c r="Y607" s="17"/>
      <c r="Z607" s="16">
        <v>0</v>
      </c>
      <c r="AA607" s="20">
        <v>0.51041666666666663</v>
      </c>
      <c r="AB607" s="16">
        <v>3</v>
      </c>
      <c r="AC607" s="17" t="s">
        <v>41</v>
      </c>
      <c r="AD607" s="9" t="str">
        <f t="shared" si="10"/>
        <v>Actual</v>
      </c>
      <c r="AE607" s="9" t="str">
        <f t="shared" si="11"/>
        <v>TMK7</v>
      </c>
      <c r="AF607" s="9">
        <f>HOUR(O607)</f>
        <v>12</v>
      </c>
      <c r="AG607" s="9">
        <f>DAY(O607)</f>
        <v>18</v>
      </c>
      <c r="AH607" s="9">
        <f>IFERROR((I607-K607)*24*60,0)</f>
        <v>1.000000003259629</v>
      </c>
      <c r="AI607" s="9">
        <f t="shared" si="12"/>
        <v>1.000000003259629</v>
      </c>
      <c r="AJ607" s="9">
        <f>C607</f>
        <v>961</v>
      </c>
      <c r="AK607" s="9">
        <f>IF(P607="completed",((V607-K607)*24*60),0)</f>
        <v>4.0000000025611371</v>
      </c>
      <c r="AL607" s="9">
        <f>IF(P607="completed",((U607-K607)*24*60),0)</f>
        <v>5.9999999986030161</v>
      </c>
      <c r="AM607" s="9" t="str">
        <f t="shared" si="13"/>
        <v>OTP Achieved</v>
      </c>
      <c r="AN607" s="9" t="str">
        <f t="shared" si="14"/>
        <v>OTP Achieved</v>
      </c>
    </row>
    <row r="608" spans="1:40" ht="15">
      <c r="A608" s="14" t="s">
        <v>379</v>
      </c>
      <c r="B608" s="15">
        <v>46313.509722222225</v>
      </c>
      <c r="C608" s="16">
        <v>2557</v>
      </c>
      <c r="D608" s="17" t="s">
        <v>41</v>
      </c>
      <c r="E608" s="16">
        <v>8</v>
      </c>
      <c r="F608" s="17" t="s">
        <v>41</v>
      </c>
      <c r="G608" s="17" t="s">
        <v>41</v>
      </c>
      <c r="H608" s="17" t="s">
        <v>1932</v>
      </c>
      <c r="I608" s="15">
        <v>46313.510416666664</v>
      </c>
      <c r="J608" s="17" t="s">
        <v>41</v>
      </c>
      <c r="K608" s="15">
        <v>46313.510416666664</v>
      </c>
      <c r="L608" s="16">
        <v>19</v>
      </c>
      <c r="M608" s="17"/>
      <c r="N608" s="17"/>
      <c r="O608" s="15">
        <v>46313.509722222225</v>
      </c>
      <c r="P608" s="17" t="s">
        <v>43</v>
      </c>
      <c r="Q608" s="17" t="s">
        <v>381</v>
      </c>
      <c r="R608" s="17" t="s">
        <v>1933</v>
      </c>
      <c r="S608" s="16">
        <v>4247</v>
      </c>
      <c r="T608" s="17" t="s">
        <v>41</v>
      </c>
      <c r="U608" s="15">
        <v>46313.51666666667</v>
      </c>
      <c r="V608" s="15">
        <v>46313.515972222223</v>
      </c>
      <c r="W608" s="18" t="s">
        <v>1934</v>
      </c>
      <c r="X608" s="16">
        <v>22411</v>
      </c>
      <c r="Y608" s="19"/>
      <c r="Z608" s="16">
        <v>0</v>
      </c>
      <c r="AA608" s="20">
        <v>0.50972222222222219</v>
      </c>
      <c r="AB608" s="16">
        <v>8</v>
      </c>
      <c r="AC608" s="17" t="s">
        <v>41</v>
      </c>
      <c r="AD608" s="9" t="str">
        <f t="shared" si="10"/>
        <v>Actual</v>
      </c>
      <c r="AE608" s="9" t="str">
        <f t="shared" si="11"/>
        <v>TMK7</v>
      </c>
      <c r="AF608" s="9">
        <f>HOUR(O608)</f>
        <v>12</v>
      </c>
      <c r="AG608" s="9">
        <f>DAY(O608)</f>
        <v>18</v>
      </c>
      <c r="AH608" s="9">
        <f>IFERROR((I608-K608)*24*60,0)</f>
        <v>0</v>
      </c>
      <c r="AI608" s="9">
        <f t="shared" si="12"/>
        <v>0</v>
      </c>
      <c r="AJ608" s="9">
        <f>C608</f>
        <v>2557</v>
      </c>
      <c r="AK608" s="9">
        <f>IF(P608="completed",((V608-K608)*24*60),0)</f>
        <v>8.0000000051222742</v>
      </c>
      <c r="AL608" s="9">
        <f>IF(P608="completed",((U608-K608)*24*60),0)</f>
        <v>9.0000000083819032</v>
      </c>
      <c r="AM608" s="9" t="str">
        <f t="shared" si="13"/>
        <v>OTP Achieved</v>
      </c>
      <c r="AN608" s="9" t="str">
        <f t="shared" si="14"/>
        <v>OTP Achieved</v>
      </c>
    </row>
    <row r="609" spans="1:40" ht="15">
      <c r="A609" s="14" t="s">
        <v>655</v>
      </c>
      <c r="B609" s="15">
        <v>46313.509722222225</v>
      </c>
      <c r="C609" s="16">
        <v>1819</v>
      </c>
      <c r="D609" s="17" t="s">
        <v>41</v>
      </c>
      <c r="E609" s="16">
        <v>6</v>
      </c>
      <c r="F609" s="17" t="s">
        <v>41</v>
      </c>
      <c r="G609" s="17" t="s">
        <v>41</v>
      </c>
      <c r="H609" s="17" t="s">
        <v>1935</v>
      </c>
      <c r="I609" s="15">
        <v>46313.510416666664</v>
      </c>
      <c r="J609" s="17" t="s">
        <v>41</v>
      </c>
      <c r="K609" s="15">
        <v>46313.510416666664</v>
      </c>
      <c r="L609" s="16">
        <v>19</v>
      </c>
      <c r="M609" s="17"/>
      <c r="N609" s="17"/>
      <c r="O609" s="15">
        <v>46313.509722222225</v>
      </c>
      <c r="P609" s="17" t="s">
        <v>43</v>
      </c>
      <c r="Q609" s="17" t="s">
        <v>657</v>
      </c>
      <c r="R609" s="17" t="s">
        <v>1936</v>
      </c>
      <c r="S609" s="16">
        <v>4247</v>
      </c>
      <c r="T609" s="17" t="s">
        <v>41</v>
      </c>
      <c r="U609" s="15">
        <v>46313.515972222223</v>
      </c>
      <c r="V609" s="15">
        <v>46313.51458333333</v>
      </c>
      <c r="W609" s="18" t="s">
        <v>1937</v>
      </c>
      <c r="X609" s="16">
        <v>22411</v>
      </c>
      <c r="Y609" s="19"/>
      <c r="Z609" s="16">
        <v>0</v>
      </c>
      <c r="AA609" s="20">
        <v>0.50972222222222219</v>
      </c>
      <c r="AB609" s="16">
        <v>6</v>
      </c>
      <c r="AC609" s="17" t="s">
        <v>41</v>
      </c>
      <c r="AD609" s="9" t="str">
        <f t="shared" si="10"/>
        <v>Actual</v>
      </c>
      <c r="AE609" s="9" t="str">
        <f t="shared" si="11"/>
        <v>TMK7</v>
      </c>
      <c r="AF609" s="9">
        <f>HOUR(O609)</f>
        <v>12</v>
      </c>
      <c r="AG609" s="9">
        <f>DAY(O609)</f>
        <v>18</v>
      </c>
      <c r="AH609" s="9">
        <f>IFERROR((I609-K609)*24*60,0)</f>
        <v>0</v>
      </c>
      <c r="AI609" s="9">
        <f t="shared" si="12"/>
        <v>0</v>
      </c>
      <c r="AJ609" s="9">
        <f>C609</f>
        <v>1819</v>
      </c>
      <c r="AK609" s="9">
        <f>IF(P609="completed",((V609-K609)*24*60),0)</f>
        <v>5.9999999986030161</v>
      </c>
      <c r="AL609" s="9">
        <f>IF(P609="completed",((U609-K609)*24*60),0)</f>
        <v>8.0000000051222742</v>
      </c>
      <c r="AM609" s="9" t="str">
        <f t="shared" si="13"/>
        <v>OTP Achieved</v>
      </c>
      <c r="AN609" s="9" t="str">
        <f t="shared" si="14"/>
        <v>OTP Achieved</v>
      </c>
    </row>
    <row r="610" spans="1:40" ht="15">
      <c r="A610" s="14" t="s">
        <v>1136</v>
      </c>
      <c r="B610" s="15">
        <v>46313.508333333331</v>
      </c>
      <c r="C610" s="16">
        <v>2163</v>
      </c>
      <c r="D610" s="17" t="s">
        <v>41</v>
      </c>
      <c r="E610" s="16">
        <v>8</v>
      </c>
      <c r="F610" s="17" t="s">
        <v>41</v>
      </c>
      <c r="G610" s="17" t="s">
        <v>41</v>
      </c>
      <c r="H610" s="17" t="s">
        <v>1938</v>
      </c>
      <c r="I610" s="15">
        <v>46313.509722222225</v>
      </c>
      <c r="J610" s="17" t="s">
        <v>41</v>
      </c>
      <c r="K610" s="15">
        <v>46313.509722222225</v>
      </c>
      <c r="L610" s="16">
        <v>29</v>
      </c>
      <c r="M610" s="17"/>
      <c r="N610" s="17"/>
      <c r="O610" s="15">
        <v>46313.507638888892</v>
      </c>
      <c r="P610" s="17" t="s">
        <v>43</v>
      </c>
      <c r="Q610" s="17" t="s">
        <v>1138</v>
      </c>
      <c r="R610" s="17" t="s">
        <v>1939</v>
      </c>
      <c r="S610" s="16">
        <v>4247</v>
      </c>
      <c r="T610" s="17" t="s">
        <v>41</v>
      </c>
      <c r="U610" s="15">
        <v>46313.515972222223</v>
      </c>
      <c r="V610" s="15">
        <v>46313.51458333333</v>
      </c>
      <c r="W610" s="18" t="s">
        <v>1940</v>
      </c>
      <c r="X610" s="16">
        <v>22411</v>
      </c>
      <c r="Y610" s="19"/>
      <c r="Z610" s="16">
        <v>0</v>
      </c>
      <c r="AA610" s="20">
        <v>0.5083333333333333</v>
      </c>
      <c r="AB610" s="16">
        <v>7</v>
      </c>
      <c r="AC610" s="17" t="s">
        <v>41</v>
      </c>
      <c r="AD610" s="9" t="str">
        <f t="shared" si="10"/>
        <v>Actual</v>
      </c>
      <c r="AE610" s="9" t="str">
        <f t="shared" si="11"/>
        <v>TMK7</v>
      </c>
      <c r="AF610" s="9">
        <f>HOUR(O610)</f>
        <v>12</v>
      </c>
      <c r="AG610" s="9">
        <f>DAY(O610)</f>
        <v>18</v>
      </c>
      <c r="AH610" s="9">
        <f>IFERROR((I610-K610)*24*60,0)</f>
        <v>0</v>
      </c>
      <c r="AI610" s="9">
        <f t="shared" si="12"/>
        <v>0</v>
      </c>
      <c r="AJ610" s="9">
        <f>C610</f>
        <v>2163</v>
      </c>
      <c r="AK610" s="9">
        <f>IF(P610="completed",((V610-K610)*24*60),0)</f>
        <v>6.9999999913852662</v>
      </c>
      <c r="AL610" s="9">
        <f>IF(P610="completed",((U610-K610)*24*60),0)</f>
        <v>8.9999999979045242</v>
      </c>
      <c r="AM610" s="9" t="str">
        <f t="shared" si="13"/>
        <v>OTP Achieved</v>
      </c>
      <c r="AN610" s="9" t="str">
        <f t="shared" si="14"/>
        <v>OTP Achieved</v>
      </c>
    </row>
    <row r="611" spans="1:40" ht="15">
      <c r="A611" s="14" t="s">
        <v>1310</v>
      </c>
      <c r="B611" s="15">
        <v>46313.507638888892</v>
      </c>
      <c r="C611" s="16">
        <v>2313</v>
      </c>
      <c r="D611" s="17" t="s">
        <v>41</v>
      </c>
      <c r="E611" s="16">
        <v>8</v>
      </c>
      <c r="F611" s="17" t="s">
        <v>41</v>
      </c>
      <c r="G611" s="17" t="s">
        <v>41</v>
      </c>
      <c r="H611" s="17" t="s">
        <v>1941</v>
      </c>
      <c r="I611" s="15">
        <v>46313.509722222225</v>
      </c>
      <c r="J611" s="17" t="s">
        <v>41</v>
      </c>
      <c r="K611" s="15">
        <v>46313.509027777778</v>
      </c>
      <c r="L611" s="16">
        <v>60</v>
      </c>
      <c r="M611" s="17"/>
      <c r="N611" s="17"/>
      <c r="O611" s="15">
        <v>46313.507638888892</v>
      </c>
      <c r="P611" s="17" t="s">
        <v>43</v>
      </c>
      <c r="Q611" s="17" t="s">
        <v>1312</v>
      </c>
      <c r="R611" s="17" t="s">
        <v>1942</v>
      </c>
      <c r="S611" s="16">
        <v>4247</v>
      </c>
      <c r="T611" s="17" t="s">
        <v>41</v>
      </c>
      <c r="U611" s="15">
        <v>46313.517361111109</v>
      </c>
      <c r="V611" s="15">
        <v>46313.51458333333</v>
      </c>
      <c r="W611" s="18" t="s">
        <v>1943</v>
      </c>
      <c r="X611" s="16">
        <v>22411</v>
      </c>
      <c r="Y611" s="19"/>
      <c r="Z611" s="16">
        <v>0</v>
      </c>
      <c r="AA611" s="20">
        <v>0.50763888888888886</v>
      </c>
      <c r="AB611" s="16">
        <v>7</v>
      </c>
      <c r="AC611" s="17" t="s">
        <v>41</v>
      </c>
      <c r="AD611" s="9" t="str">
        <f t="shared" si="10"/>
        <v>Actual</v>
      </c>
      <c r="AE611" s="9" t="str">
        <f t="shared" si="11"/>
        <v>TMK7</v>
      </c>
      <c r="AF611" s="9">
        <f>HOUR(O611)</f>
        <v>12</v>
      </c>
      <c r="AG611" s="9">
        <f>DAY(O611)</f>
        <v>18</v>
      </c>
      <c r="AH611" s="9">
        <f>IFERROR((I611-K611)*24*60,0)</f>
        <v>1.000000003259629</v>
      </c>
      <c r="AI611" s="9">
        <f t="shared" si="12"/>
        <v>1.000000003259629</v>
      </c>
      <c r="AJ611" s="9">
        <f>C611</f>
        <v>2313</v>
      </c>
      <c r="AK611" s="9">
        <f>IF(P611="completed",((V611-K611)*24*60),0)</f>
        <v>7.9999999946448952</v>
      </c>
      <c r="AL611" s="9">
        <f>IF(P611="completed",((U611-K611)*24*60),0)</f>
        <v>11.999999997206032</v>
      </c>
      <c r="AM611" s="9" t="str">
        <f t="shared" si="13"/>
        <v>OTP Achieved</v>
      </c>
      <c r="AN611" s="9" t="str">
        <f t="shared" si="14"/>
        <v>OTP Achieved</v>
      </c>
    </row>
    <row r="612" spans="1:40" ht="15">
      <c r="A612" s="14" t="s">
        <v>1461</v>
      </c>
      <c r="B612" s="15">
        <v>46313.506944444445</v>
      </c>
      <c r="C612" s="16">
        <v>2309</v>
      </c>
      <c r="D612" s="17" t="s">
        <v>41</v>
      </c>
      <c r="E612" s="16">
        <v>7</v>
      </c>
      <c r="F612" s="17" t="s">
        <v>41</v>
      </c>
      <c r="G612" s="17" t="s">
        <v>41</v>
      </c>
      <c r="H612" s="17" t="s">
        <v>1944</v>
      </c>
      <c r="I612" s="15">
        <v>46313.508333333331</v>
      </c>
      <c r="J612" s="17" t="s">
        <v>41</v>
      </c>
      <c r="K612" s="15">
        <v>46313.507638888892</v>
      </c>
      <c r="L612" s="16">
        <v>49</v>
      </c>
      <c r="M612" s="17"/>
      <c r="N612" s="17"/>
      <c r="O612" s="15">
        <v>46313.506944444445</v>
      </c>
      <c r="P612" s="17" t="s">
        <v>43</v>
      </c>
      <c r="Q612" s="17" t="s">
        <v>1463</v>
      </c>
      <c r="R612" s="17" t="s">
        <v>1945</v>
      </c>
      <c r="S612" s="16">
        <v>4247</v>
      </c>
      <c r="T612" s="17" t="s">
        <v>41</v>
      </c>
      <c r="U612" s="15">
        <v>46313.51458333333</v>
      </c>
      <c r="V612" s="15">
        <v>46313.512499999997</v>
      </c>
      <c r="W612" s="18" t="s">
        <v>1946</v>
      </c>
      <c r="X612" s="16">
        <v>22411</v>
      </c>
      <c r="Y612" s="19"/>
      <c r="Z612" s="16">
        <v>0</v>
      </c>
      <c r="AA612" s="20">
        <v>0.50694444444444442</v>
      </c>
      <c r="AB612" s="16">
        <v>6</v>
      </c>
      <c r="AC612" s="17" t="s">
        <v>41</v>
      </c>
      <c r="AD612" s="9" t="str">
        <f t="shared" si="10"/>
        <v>Actual</v>
      </c>
      <c r="AE612" s="9" t="str">
        <f t="shared" si="11"/>
        <v>TMK7</v>
      </c>
      <c r="AF612" s="9">
        <f>HOUR(O612)</f>
        <v>12</v>
      </c>
      <c r="AG612" s="9">
        <f>DAY(O612)</f>
        <v>18</v>
      </c>
      <c r="AH612" s="9">
        <f>IFERROR((I612-K612)*24*60,0)</f>
        <v>0.99999999278225005</v>
      </c>
      <c r="AI612" s="9">
        <f t="shared" si="12"/>
        <v>0.99999999278225005</v>
      </c>
      <c r="AJ612" s="9">
        <f>C612</f>
        <v>2309</v>
      </c>
      <c r="AK612" s="9">
        <f>IF(P612="completed",((V612-K612)*24*60),0)</f>
        <v>6.9999999913852662</v>
      </c>
      <c r="AL612" s="9">
        <f>IF(P612="completed",((U612-K612)*24*60),0)</f>
        <v>9.9999999906867743</v>
      </c>
      <c r="AM612" s="9" t="str">
        <f t="shared" si="13"/>
        <v>OTP Achieved</v>
      </c>
      <c r="AN612" s="9" t="str">
        <f t="shared" si="14"/>
        <v>OTP Achieved</v>
      </c>
    </row>
    <row r="613" spans="1:40" ht="15">
      <c r="A613" s="14" t="s">
        <v>1391</v>
      </c>
      <c r="B613" s="15">
        <v>46313.504166666666</v>
      </c>
      <c r="C613" s="16">
        <v>1460</v>
      </c>
      <c r="D613" s="17" t="s">
        <v>41</v>
      </c>
      <c r="E613" s="16">
        <v>7</v>
      </c>
      <c r="F613" s="17" t="s">
        <v>41</v>
      </c>
      <c r="G613" s="17" t="s">
        <v>41</v>
      </c>
      <c r="H613" s="17" t="s">
        <v>1947</v>
      </c>
      <c r="I613" s="15">
        <v>46313.504861111112</v>
      </c>
      <c r="J613" s="17" t="s">
        <v>41</v>
      </c>
      <c r="K613" s="15">
        <v>46313.504861111112</v>
      </c>
      <c r="L613" s="16">
        <v>14</v>
      </c>
      <c r="M613" s="17"/>
      <c r="N613" s="17"/>
      <c r="O613" s="15">
        <v>46313.504166666666</v>
      </c>
      <c r="P613" s="17" t="s">
        <v>43</v>
      </c>
      <c r="Q613" s="17" t="s">
        <v>1393</v>
      </c>
      <c r="R613" s="17" t="s">
        <v>1948</v>
      </c>
      <c r="S613" s="16">
        <v>4247</v>
      </c>
      <c r="T613" s="17" t="s">
        <v>41</v>
      </c>
      <c r="U613" s="15">
        <v>46313.509722222225</v>
      </c>
      <c r="V613" s="15">
        <v>46313.509722222225</v>
      </c>
      <c r="W613" s="18" t="s">
        <v>1949</v>
      </c>
      <c r="X613" s="16">
        <v>22411</v>
      </c>
      <c r="Y613" s="19"/>
      <c r="Z613" s="16">
        <v>0</v>
      </c>
      <c r="AA613" s="20">
        <v>0.50416666666666665</v>
      </c>
      <c r="AB613" s="16">
        <v>7</v>
      </c>
      <c r="AC613" s="17" t="s">
        <v>41</v>
      </c>
      <c r="AD613" s="9" t="str">
        <f t="shared" si="10"/>
        <v>Actual</v>
      </c>
      <c r="AE613" s="9" t="str">
        <f t="shared" si="11"/>
        <v>TMK7</v>
      </c>
      <c r="AF613" s="9">
        <f>HOUR(O613)</f>
        <v>12</v>
      </c>
      <c r="AG613" s="9">
        <f>DAY(O613)</f>
        <v>18</v>
      </c>
      <c r="AH613" s="9">
        <f>IFERROR((I613-K613)*24*60,0)</f>
        <v>0</v>
      </c>
      <c r="AI613" s="9">
        <f t="shared" si="12"/>
        <v>0</v>
      </c>
      <c r="AJ613" s="9">
        <f>C613</f>
        <v>1460</v>
      </c>
      <c r="AK613" s="9">
        <f>IF(P613="completed",((V613-K613)*24*60),0)</f>
        <v>7.0000000018626451</v>
      </c>
      <c r="AL613" s="9">
        <f>IF(P613="completed",((U613-K613)*24*60),0)</f>
        <v>7.0000000018626451</v>
      </c>
      <c r="AM613" s="9" t="str">
        <f t="shared" si="13"/>
        <v>OTP Breached</v>
      </c>
      <c r="AN613" s="9" t="str">
        <f t="shared" si="14"/>
        <v>OTP Achieved</v>
      </c>
    </row>
    <row r="614" spans="1:40" ht="15">
      <c r="A614" s="14" t="s">
        <v>1336</v>
      </c>
      <c r="B614" s="15">
        <v>46313.50277777778</v>
      </c>
      <c r="C614" s="16">
        <v>2374</v>
      </c>
      <c r="D614" s="17" t="s">
        <v>41</v>
      </c>
      <c r="E614" s="16">
        <v>4</v>
      </c>
      <c r="F614" s="17" t="s">
        <v>41</v>
      </c>
      <c r="G614" s="17" t="s">
        <v>41</v>
      </c>
      <c r="H614" s="17" t="s">
        <v>1950</v>
      </c>
      <c r="I614" s="15">
        <v>46313.504166666666</v>
      </c>
      <c r="J614" s="17" t="s">
        <v>41</v>
      </c>
      <c r="K614" s="15">
        <v>46313.503472222219</v>
      </c>
      <c r="L614" s="16">
        <v>28</v>
      </c>
      <c r="M614" s="17"/>
      <c r="N614" s="17"/>
      <c r="O614" s="15">
        <v>46313.50277777778</v>
      </c>
      <c r="P614" s="17" t="s">
        <v>43</v>
      </c>
      <c r="Q614" s="17" t="s">
        <v>1338</v>
      </c>
      <c r="R614" s="17" t="s">
        <v>1951</v>
      </c>
      <c r="S614" s="16">
        <v>4247</v>
      </c>
      <c r="T614" s="17" t="s">
        <v>41</v>
      </c>
      <c r="U614" s="15">
        <v>46313.511805555558</v>
      </c>
      <c r="V614" s="15">
        <v>46313.506249999999</v>
      </c>
      <c r="W614" s="18" t="s">
        <v>1952</v>
      </c>
      <c r="X614" s="16">
        <v>22411</v>
      </c>
      <c r="Y614" s="19"/>
      <c r="Z614" s="16">
        <v>0</v>
      </c>
      <c r="AA614" s="20">
        <v>0.50277777777777777</v>
      </c>
      <c r="AB614" s="16">
        <v>4</v>
      </c>
      <c r="AC614" s="17" t="s">
        <v>41</v>
      </c>
      <c r="AD614" s="9" t="str">
        <f t="shared" si="10"/>
        <v>Actual</v>
      </c>
      <c r="AE614" s="9" t="str">
        <f t="shared" si="11"/>
        <v>TMK7</v>
      </c>
      <c r="AF614" s="9">
        <f>HOUR(O614)</f>
        <v>12</v>
      </c>
      <c r="AG614" s="9">
        <f>DAY(O614)</f>
        <v>18</v>
      </c>
      <c r="AH614" s="9">
        <f>IFERROR((I614-K614)*24*60,0)</f>
        <v>1.000000003259629</v>
      </c>
      <c r="AI614" s="9">
        <f t="shared" si="12"/>
        <v>1.000000003259629</v>
      </c>
      <c r="AJ614" s="9">
        <f>C614</f>
        <v>2374</v>
      </c>
      <c r="AK614" s="9">
        <f>IF(P614="completed",((V614-K614)*24*60),0)</f>
        <v>4.0000000025611371</v>
      </c>
      <c r="AL614" s="9">
        <f>IF(P614="completed",((U614-K614)*24*60),0)</f>
        <v>12.000000007683411</v>
      </c>
      <c r="AM614" s="9" t="str">
        <f t="shared" si="13"/>
        <v>OTP Achieved</v>
      </c>
      <c r="AN614" s="9" t="str">
        <f t="shared" si="14"/>
        <v>OTP Achieved</v>
      </c>
    </row>
    <row r="615" spans="1:40" ht="15">
      <c r="A615" s="14" t="s">
        <v>57</v>
      </c>
      <c r="B615" s="15">
        <v>46313.50277777778</v>
      </c>
      <c r="C615" s="16">
        <v>993</v>
      </c>
      <c r="D615" s="17" t="s">
        <v>41</v>
      </c>
      <c r="E615" s="16">
        <v>3</v>
      </c>
      <c r="F615" s="17" t="s">
        <v>41</v>
      </c>
      <c r="G615" s="17" t="s">
        <v>41</v>
      </c>
      <c r="H615" s="17" t="s">
        <v>1953</v>
      </c>
      <c r="I615" s="15">
        <v>46313.503472222219</v>
      </c>
      <c r="J615" s="17" t="s">
        <v>41</v>
      </c>
      <c r="K615" s="15">
        <v>46313.503472222219</v>
      </c>
      <c r="L615" s="16">
        <v>9</v>
      </c>
      <c r="M615" s="17"/>
      <c r="N615" s="17"/>
      <c r="O615" s="15">
        <v>46313.50277777778</v>
      </c>
      <c r="P615" s="17" t="s">
        <v>43</v>
      </c>
      <c r="Q615" s="17" t="s">
        <v>59</v>
      </c>
      <c r="R615" s="17" t="s">
        <v>1954</v>
      </c>
      <c r="S615" s="16">
        <v>4247</v>
      </c>
      <c r="T615" s="17" t="s">
        <v>41</v>
      </c>
      <c r="U615" s="15">
        <v>46313.506249999999</v>
      </c>
      <c r="V615" s="15">
        <v>46313.504861111112</v>
      </c>
      <c r="W615" s="18" t="s">
        <v>1955</v>
      </c>
      <c r="X615" s="16">
        <v>22411</v>
      </c>
      <c r="Y615" s="19"/>
      <c r="Z615" s="16">
        <v>0</v>
      </c>
      <c r="AA615" s="20">
        <v>0.50277777777777777</v>
      </c>
      <c r="AB615" s="16">
        <v>2</v>
      </c>
      <c r="AC615" s="17" t="s">
        <v>41</v>
      </c>
      <c r="AD615" s="9" t="str">
        <f t="shared" si="10"/>
        <v>Actual</v>
      </c>
      <c r="AE615" s="9" t="str">
        <f t="shared" si="11"/>
        <v>TMK7</v>
      </c>
      <c r="AF615" s="9">
        <f>HOUR(O615)</f>
        <v>12</v>
      </c>
      <c r="AG615" s="9">
        <f>DAY(O615)</f>
        <v>18</v>
      </c>
      <c r="AH615" s="9">
        <f>IFERROR((I615-K615)*24*60,0)</f>
        <v>0</v>
      </c>
      <c r="AI615" s="9">
        <f t="shared" si="12"/>
        <v>0</v>
      </c>
      <c r="AJ615" s="9">
        <f>C615</f>
        <v>993</v>
      </c>
      <c r="AK615" s="9">
        <f>IF(P615="completed",((V615-K615)*24*60),0)</f>
        <v>2.000000006519258</v>
      </c>
      <c r="AL615" s="9">
        <f>IF(P615="completed",((U615-K615)*24*60),0)</f>
        <v>4.0000000025611371</v>
      </c>
      <c r="AM615" s="9" t="str">
        <f t="shared" si="13"/>
        <v>OTP Achieved</v>
      </c>
      <c r="AN615" s="9" t="str">
        <f t="shared" si="14"/>
        <v>OTP Achieved</v>
      </c>
    </row>
    <row r="616" spans="1:40" ht="15">
      <c r="A616" s="14" t="s">
        <v>1171</v>
      </c>
      <c r="B616" s="15">
        <v>46313.502083333333</v>
      </c>
      <c r="C616" s="16">
        <v>679</v>
      </c>
      <c r="D616" s="17" t="s">
        <v>41</v>
      </c>
      <c r="E616" s="16">
        <v>2</v>
      </c>
      <c r="F616" s="17" t="s">
        <v>41</v>
      </c>
      <c r="G616" s="17" t="s">
        <v>41</v>
      </c>
      <c r="H616" s="17" t="s">
        <v>1956</v>
      </c>
      <c r="I616" s="15">
        <v>46313.50277777778</v>
      </c>
      <c r="J616" s="17" t="s">
        <v>41</v>
      </c>
      <c r="K616" s="15">
        <v>46313.50277777778</v>
      </c>
      <c r="L616" s="16">
        <v>25</v>
      </c>
      <c r="M616" s="17"/>
      <c r="N616" s="17"/>
      <c r="O616" s="15">
        <v>46313.502083333333</v>
      </c>
      <c r="P616" s="17" t="s">
        <v>43</v>
      </c>
      <c r="Q616" s="17" t="s">
        <v>1173</v>
      </c>
      <c r="R616" s="17" t="s">
        <v>1957</v>
      </c>
      <c r="S616" s="16">
        <v>4247</v>
      </c>
      <c r="T616" s="17" t="s">
        <v>41</v>
      </c>
      <c r="U616" s="15">
        <v>46313.504861111112</v>
      </c>
      <c r="V616" s="15">
        <v>46313.504166666666</v>
      </c>
      <c r="W616" s="18" t="s">
        <v>1958</v>
      </c>
      <c r="X616" s="16">
        <v>22411</v>
      </c>
      <c r="Y616" s="19"/>
      <c r="Z616" s="16">
        <v>0</v>
      </c>
      <c r="AA616" s="20">
        <v>0.50208333333333333</v>
      </c>
      <c r="AB616" s="16">
        <v>2</v>
      </c>
      <c r="AC616" s="17" t="s">
        <v>41</v>
      </c>
      <c r="AD616" s="9" t="str">
        <f t="shared" si="10"/>
        <v>Actual</v>
      </c>
      <c r="AE616" s="9" t="str">
        <f t="shared" si="11"/>
        <v>TMK7</v>
      </c>
      <c r="AF616" s="9">
        <f>HOUR(O616)</f>
        <v>12</v>
      </c>
      <c r="AG616" s="9">
        <f>DAY(O616)</f>
        <v>18</v>
      </c>
      <c r="AH616" s="9">
        <f>IFERROR((I616-K616)*24*60,0)</f>
        <v>0</v>
      </c>
      <c r="AI616" s="9">
        <f t="shared" si="12"/>
        <v>0</v>
      </c>
      <c r="AJ616" s="9">
        <f>C616</f>
        <v>679</v>
      </c>
      <c r="AK616" s="9">
        <f>IF(P616="completed",((V616-K616)*24*60),0)</f>
        <v>1.9999999960418791</v>
      </c>
      <c r="AL616" s="9">
        <f>IF(P616="completed",((U616-K616)*24*60),0)</f>
        <v>2.9999999993015081</v>
      </c>
      <c r="AM616" s="9" t="str">
        <f t="shared" si="13"/>
        <v>OTP Achieved</v>
      </c>
      <c r="AN616" s="9" t="str">
        <f t="shared" si="14"/>
        <v>OTP Achieved</v>
      </c>
    </row>
    <row r="617" spans="1:40" ht="15">
      <c r="A617" s="14" t="s">
        <v>190</v>
      </c>
      <c r="B617" s="15">
        <v>46313.501388888886</v>
      </c>
      <c r="C617" s="16">
        <v>1329</v>
      </c>
      <c r="D617" s="17" t="s">
        <v>41</v>
      </c>
      <c r="E617" s="16">
        <v>4</v>
      </c>
      <c r="F617" s="17" t="s">
        <v>41</v>
      </c>
      <c r="G617" s="17" t="s">
        <v>41</v>
      </c>
      <c r="H617" s="17" t="s">
        <v>1959</v>
      </c>
      <c r="I617" s="15">
        <v>46313.502083333333</v>
      </c>
      <c r="J617" s="17" t="s">
        <v>41</v>
      </c>
      <c r="K617" s="15">
        <v>46313.502083333333</v>
      </c>
      <c r="L617" s="16">
        <v>25</v>
      </c>
      <c r="M617" s="17"/>
      <c r="N617" s="17"/>
      <c r="O617" s="15">
        <v>46313.501388888886</v>
      </c>
      <c r="P617" s="17" t="s">
        <v>43</v>
      </c>
      <c r="Q617" s="17" t="s">
        <v>192</v>
      </c>
      <c r="R617" s="17" t="s">
        <v>1960</v>
      </c>
      <c r="S617" s="16">
        <v>4247</v>
      </c>
      <c r="T617" s="17" t="s">
        <v>41</v>
      </c>
      <c r="U617" s="15">
        <v>46313.505555555559</v>
      </c>
      <c r="V617" s="15">
        <v>46313.504166666666</v>
      </c>
      <c r="W617" s="18" t="s">
        <v>1961</v>
      </c>
      <c r="X617" s="16">
        <v>22411</v>
      </c>
      <c r="Y617" s="19"/>
      <c r="Z617" s="16">
        <v>0</v>
      </c>
      <c r="AA617" s="20">
        <v>0.50138888888888888</v>
      </c>
      <c r="AB617" s="16">
        <v>3</v>
      </c>
      <c r="AC617" s="17" t="s">
        <v>41</v>
      </c>
      <c r="AD617" s="9" t="str">
        <f t="shared" si="10"/>
        <v>Actual</v>
      </c>
      <c r="AE617" s="9" t="str">
        <f t="shared" si="11"/>
        <v>TMK7</v>
      </c>
      <c r="AF617" s="9">
        <f>HOUR(O617)</f>
        <v>12</v>
      </c>
      <c r="AG617" s="9">
        <f>DAY(O617)</f>
        <v>18</v>
      </c>
      <c r="AH617" s="9">
        <f>IFERROR((I617-K617)*24*60,0)</f>
        <v>0</v>
      </c>
      <c r="AI617" s="9">
        <f t="shared" si="12"/>
        <v>0</v>
      </c>
      <c r="AJ617" s="9">
        <f>C617</f>
        <v>1329</v>
      </c>
      <c r="AK617" s="9">
        <f>IF(P617="completed",((V617-K617)*24*60),0)</f>
        <v>2.9999999993015081</v>
      </c>
      <c r="AL617" s="9">
        <f>IF(P617="completed",((U617-K617)*24*60),0)</f>
        <v>5.0000000058207661</v>
      </c>
      <c r="AM617" s="9" t="str">
        <f t="shared" si="13"/>
        <v>OTP Achieved</v>
      </c>
      <c r="AN617" s="9" t="str">
        <f t="shared" si="14"/>
        <v>OTP Achieved</v>
      </c>
    </row>
    <row r="618" spans="1:40" ht="15">
      <c r="A618" s="14" t="s">
        <v>711</v>
      </c>
      <c r="B618" s="15">
        <v>46313.501388888886</v>
      </c>
      <c r="C618" s="16">
        <v>3599</v>
      </c>
      <c r="D618" s="17" t="s">
        <v>41</v>
      </c>
      <c r="E618" s="16">
        <v>12</v>
      </c>
      <c r="F618" s="17" t="s">
        <v>41</v>
      </c>
      <c r="G618" s="17" t="s">
        <v>41</v>
      </c>
      <c r="H618" s="17" t="s">
        <v>1962</v>
      </c>
      <c r="I618" s="15">
        <v>46313.501388888886</v>
      </c>
      <c r="J618" s="17" t="s">
        <v>41</v>
      </c>
      <c r="K618" s="15">
        <v>46313.500694444447</v>
      </c>
      <c r="L618" s="16">
        <v>24</v>
      </c>
      <c r="M618" s="17"/>
      <c r="N618" s="17"/>
      <c r="O618" s="15">
        <v>46313.5</v>
      </c>
      <c r="P618" s="17" t="s">
        <v>43</v>
      </c>
      <c r="Q618" s="17" t="s">
        <v>713</v>
      </c>
      <c r="R618" s="17" t="s">
        <v>1963</v>
      </c>
      <c r="S618" s="16">
        <v>4247</v>
      </c>
      <c r="T618" s="17" t="s">
        <v>41</v>
      </c>
      <c r="U618" s="15">
        <v>46313.509722222225</v>
      </c>
      <c r="V618" s="15">
        <v>46313.509027777778</v>
      </c>
      <c r="W618" s="18" t="s">
        <v>1964</v>
      </c>
      <c r="X618" s="16">
        <v>22411</v>
      </c>
      <c r="Y618" s="17"/>
      <c r="Z618" s="16">
        <v>0</v>
      </c>
      <c r="AA618" s="20">
        <v>0.50138888888888888</v>
      </c>
      <c r="AB618" s="16">
        <v>12</v>
      </c>
      <c r="AC618" s="17" t="s">
        <v>41</v>
      </c>
      <c r="AD618" s="9" t="str">
        <f t="shared" si="10"/>
        <v>Actual</v>
      </c>
      <c r="AE618" s="9" t="str">
        <f t="shared" si="11"/>
        <v>TMK7</v>
      </c>
      <c r="AF618" s="9">
        <f>HOUR(O618)</f>
        <v>12</v>
      </c>
      <c r="AG618" s="9">
        <f>DAY(O618)</f>
        <v>18</v>
      </c>
      <c r="AH618" s="9">
        <f>IFERROR((I618-K618)*24*60,0)</f>
        <v>0.99999999278225005</v>
      </c>
      <c r="AI618" s="9">
        <f t="shared" si="12"/>
        <v>0.99999999278225005</v>
      </c>
      <c r="AJ618" s="9">
        <f>C618</f>
        <v>3599</v>
      </c>
      <c r="AK618" s="9">
        <f>IF(P618="completed",((V618-K618)*24*60),0)</f>
        <v>11.999999997206032</v>
      </c>
      <c r="AL618" s="9">
        <f>IF(P618="completed",((U618-K618)*24*60),0)</f>
        <v>13.000000000465661</v>
      </c>
      <c r="AM618" s="9" t="str">
        <f t="shared" si="13"/>
        <v>OTP Achieved</v>
      </c>
      <c r="AN618" s="9" t="str">
        <f t="shared" si="14"/>
        <v>OTP Achieved</v>
      </c>
    </row>
    <row r="619" spans="1:40" ht="15">
      <c r="A619" s="14" t="s">
        <v>1965</v>
      </c>
      <c r="B619" s="15">
        <v>46313.501388888886</v>
      </c>
      <c r="C619" s="16">
        <v>2720</v>
      </c>
      <c r="D619" s="17" t="s">
        <v>41</v>
      </c>
      <c r="E619" s="16">
        <v>4</v>
      </c>
      <c r="F619" s="17" t="s">
        <v>41</v>
      </c>
      <c r="G619" s="17" t="s">
        <v>41</v>
      </c>
      <c r="H619" s="17" t="s">
        <v>1966</v>
      </c>
      <c r="I619" s="15">
        <v>46313.502083333333</v>
      </c>
      <c r="J619" s="17" t="s">
        <v>41</v>
      </c>
      <c r="K619" s="15">
        <v>46313.502083333333</v>
      </c>
      <c r="L619" s="16">
        <v>14</v>
      </c>
      <c r="M619" s="17"/>
      <c r="N619" s="17"/>
      <c r="O619" s="15">
        <v>46313.5</v>
      </c>
      <c r="P619" s="17" t="s">
        <v>43</v>
      </c>
      <c r="Q619" s="17" t="s">
        <v>1967</v>
      </c>
      <c r="R619" s="17" t="s">
        <v>1968</v>
      </c>
      <c r="S619" s="16">
        <v>4247</v>
      </c>
      <c r="T619" s="17" t="s">
        <v>41</v>
      </c>
      <c r="U619" s="15">
        <v>46313.509722222225</v>
      </c>
      <c r="V619" s="15">
        <v>46313.505555555559</v>
      </c>
      <c r="W619" s="18" t="s">
        <v>1969</v>
      </c>
      <c r="X619" s="16">
        <v>22411</v>
      </c>
      <c r="Y619" s="19"/>
      <c r="Z619" s="16">
        <v>0</v>
      </c>
      <c r="AA619" s="20">
        <v>0.50138888888888888</v>
      </c>
      <c r="AB619" s="16">
        <v>4</v>
      </c>
      <c r="AC619" s="17" t="s">
        <v>41</v>
      </c>
      <c r="AD619" s="9" t="str">
        <f t="shared" si="10"/>
        <v>Actual</v>
      </c>
      <c r="AE619" s="9" t="str">
        <f t="shared" si="11"/>
        <v>TMK7</v>
      </c>
      <c r="AF619" s="9">
        <f>HOUR(O619)</f>
        <v>12</v>
      </c>
      <c r="AG619" s="9">
        <f>DAY(O619)</f>
        <v>18</v>
      </c>
      <c r="AH619" s="9">
        <f>IFERROR((I619-K619)*24*60,0)</f>
        <v>0</v>
      </c>
      <c r="AI619" s="9">
        <f t="shared" si="12"/>
        <v>0</v>
      </c>
      <c r="AJ619" s="9">
        <f>C619</f>
        <v>2720</v>
      </c>
      <c r="AK619" s="9">
        <f>IF(P619="completed",((V619-K619)*24*60),0)</f>
        <v>5.0000000058207661</v>
      </c>
      <c r="AL619" s="9">
        <f>IF(P619="completed",((U619-K619)*24*60),0)</f>
        <v>11.000000004423782</v>
      </c>
      <c r="AM619" s="9" t="str">
        <f t="shared" si="13"/>
        <v>OTP Achieved</v>
      </c>
      <c r="AN619" s="9" t="str">
        <f t="shared" si="14"/>
        <v>OTP Achieved</v>
      </c>
    </row>
    <row r="620" spans="1:40" ht="15">
      <c r="A620" s="14" t="s">
        <v>62</v>
      </c>
      <c r="B620" s="15">
        <v>46313.500694444447</v>
      </c>
      <c r="C620" s="16">
        <v>2641</v>
      </c>
      <c r="D620" s="17" t="s">
        <v>41</v>
      </c>
      <c r="E620" s="16">
        <v>9</v>
      </c>
      <c r="F620" s="17" t="s">
        <v>41</v>
      </c>
      <c r="G620" s="17" t="s">
        <v>41</v>
      </c>
      <c r="H620" s="17" t="s">
        <v>1970</v>
      </c>
      <c r="I620" s="15">
        <v>46313.501388888886</v>
      </c>
      <c r="J620" s="17" t="s">
        <v>41</v>
      </c>
      <c r="K620" s="15">
        <v>46313.5</v>
      </c>
      <c r="L620" s="16">
        <v>21</v>
      </c>
      <c r="M620" s="17"/>
      <c r="N620" s="17"/>
      <c r="O620" s="15">
        <v>46313.499305555553</v>
      </c>
      <c r="P620" s="17" t="s">
        <v>43</v>
      </c>
      <c r="Q620" s="17" t="s">
        <v>64</v>
      </c>
      <c r="R620" s="17" t="s">
        <v>1971</v>
      </c>
      <c r="S620" s="16">
        <v>4247</v>
      </c>
      <c r="T620" s="17" t="s">
        <v>41</v>
      </c>
      <c r="U620" s="15">
        <v>46313.508333333331</v>
      </c>
      <c r="V620" s="15">
        <v>46313.506944444445</v>
      </c>
      <c r="W620" s="18" t="s">
        <v>1972</v>
      </c>
      <c r="X620" s="16">
        <v>22411</v>
      </c>
      <c r="Y620" s="19"/>
      <c r="Z620" s="16">
        <v>0</v>
      </c>
      <c r="AA620" s="20">
        <v>0.50069444444444444</v>
      </c>
      <c r="AB620" s="16">
        <v>8</v>
      </c>
      <c r="AC620" s="17" t="s">
        <v>41</v>
      </c>
      <c r="AD620" s="9" t="str">
        <f t="shared" si="10"/>
        <v>Actual</v>
      </c>
      <c r="AE620" s="9" t="str">
        <f t="shared" si="11"/>
        <v>TMK7</v>
      </c>
      <c r="AF620" s="9">
        <f>HOUR(O620)</f>
        <v>11</v>
      </c>
      <c r="AG620" s="9">
        <f>DAY(O620)</f>
        <v>18</v>
      </c>
      <c r="AH620" s="9">
        <f>IFERROR((I620-K620)*24*60,0)</f>
        <v>1.9999999960418791</v>
      </c>
      <c r="AI620" s="9">
        <f t="shared" si="12"/>
        <v>1.9999999960418791</v>
      </c>
      <c r="AJ620" s="9">
        <f>C620</f>
        <v>2641</v>
      </c>
      <c r="AK620" s="9">
        <f>IF(P620="completed",((V620-K620)*24*60),0)</f>
        <v>10.000000001164153</v>
      </c>
      <c r="AL620" s="9">
        <f>IF(P620="completed",((U620-K620)*24*60),0)</f>
        <v>11.999999997206032</v>
      </c>
      <c r="AM620" s="9" t="str">
        <f t="shared" si="13"/>
        <v>OTP Achieved</v>
      </c>
      <c r="AN620" s="9" t="str">
        <f t="shared" si="14"/>
        <v>OTP Achieved</v>
      </c>
    </row>
    <row r="621" spans="1:40" ht="15">
      <c r="A621" s="14" t="s">
        <v>67</v>
      </c>
      <c r="B621" s="15">
        <v>46313.5</v>
      </c>
      <c r="C621" s="16">
        <v>2035</v>
      </c>
      <c r="D621" s="17" t="s">
        <v>41</v>
      </c>
      <c r="E621" s="16">
        <v>5</v>
      </c>
      <c r="F621" s="17" t="s">
        <v>41</v>
      </c>
      <c r="G621" s="17" t="s">
        <v>41</v>
      </c>
      <c r="H621" s="17" t="s">
        <v>1973</v>
      </c>
      <c r="I621" s="15">
        <v>46313.500694444447</v>
      </c>
      <c r="J621" s="17" t="s">
        <v>41</v>
      </c>
      <c r="K621" s="15">
        <v>46313.499305555553</v>
      </c>
      <c r="L621" s="16">
        <v>21</v>
      </c>
      <c r="M621" s="17"/>
      <c r="N621" s="17"/>
      <c r="O621" s="15">
        <v>46313.499305555553</v>
      </c>
      <c r="P621" s="17" t="s">
        <v>43</v>
      </c>
      <c r="Q621" s="17" t="s">
        <v>69</v>
      </c>
      <c r="R621" s="17" t="s">
        <v>1974</v>
      </c>
      <c r="S621" s="16">
        <v>4247</v>
      </c>
      <c r="T621" s="17" t="s">
        <v>41</v>
      </c>
      <c r="U621" s="15">
        <v>46313.506944444445</v>
      </c>
      <c r="V621" s="15">
        <v>46313.503472222219</v>
      </c>
      <c r="W621" s="18" t="s">
        <v>1975</v>
      </c>
      <c r="X621" s="16">
        <v>22411</v>
      </c>
      <c r="Y621" s="17"/>
      <c r="Z621" s="16">
        <v>0</v>
      </c>
      <c r="AA621" s="20">
        <v>0.5</v>
      </c>
      <c r="AB621" s="16">
        <v>4</v>
      </c>
      <c r="AC621" s="17" t="s">
        <v>41</v>
      </c>
      <c r="AD621" s="9" t="str">
        <f t="shared" si="10"/>
        <v>Actual</v>
      </c>
      <c r="AE621" s="9" t="str">
        <f t="shared" si="11"/>
        <v>TMK7</v>
      </c>
      <c r="AF621" s="9">
        <f>HOUR(O621)</f>
        <v>11</v>
      </c>
      <c r="AG621" s="9">
        <f>DAY(O621)</f>
        <v>18</v>
      </c>
      <c r="AH621" s="9">
        <f>IFERROR((I621-K621)*24*60,0)</f>
        <v>2.000000006519258</v>
      </c>
      <c r="AI621" s="9">
        <f t="shared" si="12"/>
        <v>2.000000006519258</v>
      </c>
      <c r="AJ621" s="9">
        <f>C621</f>
        <v>2035</v>
      </c>
      <c r="AK621" s="9">
        <f>IF(P621="completed",((V621-K621)*24*60),0)</f>
        <v>5.9999999986030161</v>
      </c>
      <c r="AL621" s="9">
        <f>IF(P621="completed",((U621-K621)*24*60),0)</f>
        <v>11.000000004423782</v>
      </c>
      <c r="AM621" s="9" t="str">
        <f t="shared" si="13"/>
        <v>OTP Achieved</v>
      </c>
      <c r="AN621" s="9" t="str">
        <f t="shared" si="14"/>
        <v>OTP Achieved</v>
      </c>
    </row>
    <row r="622" spans="1:40" ht="15">
      <c r="A622" s="14" t="s">
        <v>655</v>
      </c>
      <c r="B622" s="15">
        <v>46313.5</v>
      </c>
      <c r="C622" s="16">
        <v>229</v>
      </c>
      <c r="D622" s="17" t="s">
        <v>41</v>
      </c>
      <c r="E622" s="16">
        <v>1</v>
      </c>
      <c r="F622" s="17" t="s">
        <v>41</v>
      </c>
      <c r="G622" s="17" t="s">
        <v>41</v>
      </c>
      <c r="H622" s="17" t="s">
        <v>1976</v>
      </c>
      <c r="I622" s="15">
        <v>46313.5</v>
      </c>
      <c r="J622" s="17" t="s">
        <v>41</v>
      </c>
      <c r="K622" s="15">
        <v>46313.499305555553</v>
      </c>
      <c r="L622" s="16">
        <v>19</v>
      </c>
      <c r="M622" s="17"/>
      <c r="N622" s="17"/>
      <c r="O622" s="15">
        <v>46313.498611111114</v>
      </c>
      <c r="P622" s="17" t="s">
        <v>43</v>
      </c>
      <c r="Q622" s="17" t="s">
        <v>657</v>
      </c>
      <c r="R622" s="17" t="s">
        <v>1977</v>
      </c>
      <c r="S622" s="16">
        <v>4247</v>
      </c>
      <c r="T622" s="17" t="s">
        <v>41</v>
      </c>
      <c r="U622" s="15">
        <v>46313.501388888886</v>
      </c>
      <c r="V622" s="15">
        <v>46313.500694444447</v>
      </c>
      <c r="W622" s="18" t="s">
        <v>1978</v>
      </c>
      <c r="X622" s="16">
        <v>22411</v>
      </c>
      <c r="Y622" s="19"/>
      <c r="Z622" s="16">
        <v>0</v>
      </c>
      <c r="AA622" s="20">
        <v>0.5</v>
      </c>
      <c r="AB622" s="16">
        <v>1</v>
      </c>
      <c r="AC622" s="17" t="s">
        <v>41</v>
      </c>
      <c r="AD622" s="9" t="str">
        <f t="shared" si="10"/>
        <v>Actual</v>
      </c>
      <c r="AE622" s="9" t="str">
        <f t="shared" si="11"/>
        <v>TMK7</v>
      </c>
      <c r="AF622" s="9">
        <f>HOUR(O622)</f>
        <v>11</v>
      </c>
      <c r="AG622" s="9">
        <f>DAY(O622)</f>
        <v>18</v>
      </c>
      <c r="AH622" s="9">
        <f>IFERROR((I622-K622)*24*60,0)</f>
        <v>1.000000003259629</v>
      </c>
      <c r="AI622" s="9">
        <f t="shared" si="12"/>
        <v>1.000000003259629</v>
      </c>
      <c r="AJ622" s="9">
        <f>C622</f>
        <v>229</v>
      </c>
      <c r="AK622" s="9">
        <f>IF(P622="completed",((V622-K622)*24*60),0)</f>
        <v>2.000000006519258</v>
      </c>
      <c r="AL622" s="9">
        <f>IF(P622="completed",((U622-K622)*24*60),0)</f>
        <v>2.9999999993015081</v>
      </c>
      <c r="AM622" s="9" t="str">
        <f t="shared" si="13"/>
        <v>OTP Achieved</v>
      </c>
      <c r="AN622" s="9" t="str">
        <f t="shared" si="14"/>
        <v>OTP Achieved</v>
      </c>
    </row>
    <row r="623" spans="1:40" ht="15">
      <c r="A623" s="14" t="s">
        <v>185</v>
      </c>
      <c r="B623" s="15">
        <v>46313.5</v>
      </c>
      <c r="C623" s="16">
        <v>1363</v>
      </c>
      <c r="D623" s="17" t="s">
        <v>41</v>
      </c>
      <c r="E623" s="16">
        <v>5</v>
      </c>
      <c r="F623" s="17" t="s">
        <v>41</v>
      </c>
      <c r="G623" s="17" t="s">
        <v>41</v>
      </c>
      <c r="H623" s="17" t="s">
        <v>1979</v>
      </c>
      <c r="I623" s="15">
        <v>46313.5</v>
      </c>
      <c r="J623" s="17" t="s">
        <v>41</v>
      </c>
      <c r="K623" s="15">
        <v>46313.499305555553</v>
      </c>
      <c r="L623" s="16">
        <v>20</v>
      </c>
      <c r="M623" s="17"/>
      <c r="N623" s="17"/>
      <c r="O623" s="15">
        <v>46313.498611111114</v>
      </c>
      <c r="P623" s="17" t="s">
        <v>43</v>
      </c>
      <c r="Q623" s="17" t="s">
        <v>187</v>
      </c>
      <c r="R623" s="17" t="s">
        <v>1980</v>
      </c>
      <c r="S623" s="16">
        <v>4247</v>
      </c>
      <c r="T623" s="17" t="s">
        <v>41</v>
      </c>
      <c r="U623" s="15">
        <v>46313.504861111112</v>
      </c>
      <c r="V623" s="15">
        <v>46313.50277777778</v>
      </c>
      <c r="W623" s="18" t="s">
        <v>1981</v>
      </c>
      <c r="X623" s="16">
        <v>22411</v>
      </c>
      <c r="Y623" s="19"/>
      <c r="Z623" s="16">
        <v>0</v>
      </c>
      <c r="AA623" s="20">
        <v>0.5</v>
      </c>
      <c r="AB623" s="16">
        <v>4</v>
      </c>
      <c r="AC623" s="17" t="s">
        <v>41</v>
      </c>
      <c r="AD623" s="9" t="str">
        <f t="shared" si="10"/>
        <v>Actual</v>
      </c>
      <c r="AE623" s="9" t="str">
        <f t="shared" si="11"/>
        <v>TMK7</v>
      </c>
      <c r="AF623" s="9">
        <f>HOUR(O623)</f>
        <v>11</v>
      </c>
      <c r="AG623" s="9">
        <f>DAY(O623)</f>
        <v>18</v>
      </c>
      <c r="AH623" s="9">
        <f>IFERROR((I623-K623)*24*60,0)</f>
        <v>1.000000003259629</v>
      </c>
      <c r="AI623" s="9">
        <f t="shared" si="12"/>
        <v>1.000000003259629</v>
      </c>
      <c r="AJ623" s="9">
        <f>C623</f>
        <v>1363</v>
      </c>
      <c r="AK623" s="9">
        <f>IF(P623="completed",((V623-K623)*24*60),0)</f>
        <v>5.0000000058207661</v>
      </c>
      <c r="AL623" s="9">
        <f>IF(P623="completed",((U623-K623)*24*60),0)</f>
        <v>8.0000000051222742</v>
      </c>
      <c r="AM623" s="9" t="str">
        <f t="shared" si="13"/>
        <v>OTP Achieved</v>
      </c>
      <c r="AN623" s="9" t="str">
        <f t="shared" si="14"/>
        <v>OTP Achieved</v>
      </c>
    </row>
    <row r="624" spans="1:40" ht="15">
      <c r="A624" s="14" t="s">
        <v>93</v>
      </c>
      <c r="B624" s="15">
        <v>46313.499305555553</v>
      </c>
      <c r="C624" s="16">
        <v>2532</v>
      </c>
      <c r="D624" s="17" t="s">
        <v>41</v>
      </c>
      <c r="E624" s="16">
        <v>11</v>
      </c>
      <c r="F624" s="17" t="s">
        <v>41</v>
      </c>
      <c r="G624" s="17" t="s">
        <v>41</v>
      </c>
      <c r="H624" s="17" t="s">
        <v>1982</v>
      </c>
      <c r="I624" s="15">
        <v>46313.5</v>
      </c>
      <c r="J624" s="17" t="s">
        <v>41</v>
      </c>
      <c r="K624" s="15">
        <v>46313.499305555553</v>
      </c>
      <c r="L624" s="16">
        <v>21</v>
      </c>
      <c r="M624" s="17"/>
      <c r="N624" s="17"/>
      <c r="O624" s="15">
        <v>46313.497916666667</v>
      </c>
      <c r="P624" s="17" t="s">
        <v>43</v>
      </c>
      <c r="Q624" s="17" t="s">
        <v>95</v>
      </c>
      <c r="R624" s="17" t="s">
        <v>1983</v>
      </c>
      <c r="S624" s="16">
        <v>4247</v>
      </c>
      <c r="T624" s="17" t="s">
        <v>41</v>
      </c>
      <c r="U624" s="15">
        <v>46313.506249999999</v>
      </c>
      <c r="V624" s="15">
        <v>46313.507638888892</v>
      </c>
      <c r="W624" s="18" t="s">
        <v>1984</v>
      </c>
      <c r="X624" s="16">
        <v>22411</v>
      </c>
      <c r="Y624" s="19"/>
      <c r="Z624" s="16">
        <v>0</v>
      </c>
      <c r="AA624" s="20">
        <v>0.49930555555555556</v>
      </c>
      <c r="AB624" s="16">
        <v>11</v>
      </c>
      <c r="AC624" s="17" t="s">
        <v>41</v>
      </c>
      <c r="AD624" s="9" t="str">
        <f t="shared" si="10"/>
        <v>Actual</v>
      </c>
      <c r="AE624" s="9" t="str">
        <f t="shared" si="11"/>
        <v>TMK7</v>
      </c>
      <c r="AF624" s="9">
        <f>HOUR(O624)</f>
        <v>11</v>
      </c>
      <c r="AG624" s="9">
        <f>DAY(O624)</f>
        <v>18</v>
      </c>
      <c r="AH624" s="9">
        <f>IFERROR((I624-K624)*24*60,0)</f>
        <v>1.000000003259629</v>
      </c>
      <c r="AI624" s="9">
        <f t="shared" si="12"/>
        <v>1.000000003259629</v>
      </c>
      <c r="AJ624" s="9">
        <f>C624</f>
        <v>2532</v>
      </c>
      <c r="AK624" s="9">
        <f>IF(P624="completed",((V624-K624)*24*60),0)</f>
        <v>12.000000007683411</v>
      </c>
      <c r="AL624" s="9">
        <f>IF(P624="completed",((U624-K624)*24*60),0)</f>
        <v>10.000000001164153</v>
      </c>
      <c r="AM624" s="9" t="str">
        <f t="shared" si="13"/>
        <v>OTP Breached</v>
      </c>
      <c r="AN624" s="9" t="str">
        <f t="shared" si="14"/>
        <v>OTP Achieved</v>
      </c>
    </row>
    <row r="625" spans="1:40" ht="15">
      <c r="A625" s="14" t="s">
        <v>52</v>
      </c>
      <c r="B625" s="15">
        <v>46313.498611111114</v>
      </c>
      <c r="C625" s="16">
        <v>138</v>
      </c>
      <c r="D625" s="17" t="s">
        <v>41</v>
      </c>
      <c r="E625" s="16">
        <v>0</v>
      </c>
      <c r="F625" s="17" t="s">
        <v>41</v>
      </c>
      <c r="G625" s="17" t="s">
        <v>41</v>
      </c>
      <c r="H625" s="17" t="s">
        <v>1985</v>
      </c>
      <c r="I625" s="15">
        <v>46313.499305555553</v>
      </c>
      <c r="J625" s="17" t="s">
        <v>41</v>
      </c>
      <c r="K625" s="15">
        <v>46313.498611111114</v>
      </c>
      <c r="L625" s="16">
        <v>14</v>
      </c>
      <c r="M625" s="17"/>
      <c r="N625" s="17"/>
      <c r="O625" s="15">
        <v>46313.497916666667</v>
      </c>
      <c r="P625" s="17" t="s">
        <v>43</v>
      </c>
      <c r="Q625" s="17" t="s">
        <v>54</v>
      </c>
      <c r="R625" s="17" t="s">
        <v>1986</v>
      </c>
      <c r="S625" s="16">
        <v>4247</v>
      </c>
      <c r="T625" s="17" t="s">
        <v>41</v>
      </c>
      <c r="U625" s="15">
        <v>46313.5</v>
      </c>
      <c r="V625" s="15">
        <v>46313.499305555553</v>
      </c>
      <c r="W625" s="18" t="s">
        <v>1987</v>
      </c>
      <c r="X625" s="16">
        <v>22411</v>
      </c>
      <c r="Y625" s="17"/>
      <c r="Z625" s="16">
        <v>0</v>
      </c>
      <c r="AA625" s="20">
        <v>0.49861111111111112</v>
      </c>
      <c r="AB625" s="16">
        <v>0</v>
      </c>
      <c r="AC625" s="17" t="s">
        <v>41</v>
      </c>
      <c r="AD625" s="9" t="str">
        <f t="shared" si="10"/>
        <v>Actual</v>
      </c>
      <c r="AE625" s="9" t="str">
        <f t="shared" si="11"/>
        <v>TMK7</v>
      </c>
      <c r="AF625" s="9">
        <f>HOUR(O625)</f>
        <v>11</v>
      </c>
      <c r="AG625" s="9">
        <f>DAY(O625)</f>
        <v>18</v>
      </c>
      <c r="AH625" s="9">
        <f>IFERROR((I625-K625)*24*60,0)</f>
        <v>0.99999999278225005</v>
      </c>
      <c r="AI625" s="9">
        <f t="shared" si="12"/>
        <v>0.99999999278225005</v>
      </c>
      <c r="AJ625" s="9">
        <f>C625</f>
        <v>138</v>
      </c>
      <c r="AK625" s="9">
        <f>IF(P625="completed",((V625-K625)*24*60),0)</f>
        <v>0.99999999278225005</v>
      </c>
      <c r="AL625" s="9">
        <f>IF(P625="completed",((U625-K625)*24*60),0)</f>
        <v>1.9999999960418791</v>
      </c>
      <c r="AM625" s="9" t="str">
        <f t="shared" si="13"/>
        <v>OTP Achieved</v>
      </c>
      <c r="AN625" s="9" t="str">
        <f t="shared" si="14"/>
        <v>OTP Achieved</v>
      </c>
    </row>
    <row r="626" spans="1:40" ht="15">
      <c r="A626" s="14" t="s">
        <v>177</v>
      </c>
      <c r="B626" s="15">
        <v>46313.497916666667</v>
      </c>
      <c r="C626" s="16">
        <v>1416</v>
      </c>
      <c r="D626" s="17" t="s">
        <v>41</v>
      </c>
      <c r="E626" s="16">
        <v>4</v>
      </c>
      <c r="F626" s="17" t="s">
        <v>41</v>
      </c>
      <c r="G626" s="17" t="s">
        <v>41</v>
      </c>
      <c r="H626" s="17" t="s">
        <v>1988</v>
      </c>
      <c r="I626" s="15">
        <v>46313.5</v>
      </c>
      <c r="J626" s="17" t="s">
        <v>41</v>
      </c>
      <c r="K626" s="15">
        <v>46313.499305555553</v>
      </c>
      <c r="L626" s="16">
        <v>10</v>
      </c>
      <c r="M626" s="17"/>
      <c r="N626" s="17"/>
      <c r="O626" s="15">
        <v>46313.49722222222</v>
      </c>
      <c r="P626" s="17" t="s">
        <v>43</v>
      </c>
      <c r="Q626" s="17" t="s">
        <v>179</v>
      </c>
      <c r="R626" s="17" t="s">
        <v>1989</v>
      </c>
      <c r="S626" s="16">
        <v>4247</v>
      </c>
      <c r="T626" s="17" t="s">
        <v>41</v>
      </c>
      <c r="U626" s="15">
        <v>46313.504861111112</v>
      </c>
      <c r="V626" s="15">
        <v>46313.50277777778</v>
      </c>
      <c r="W626" s="18" t="s">
        <v>1990</v>
      </c>
      <c r="X626" s="16">
        <v>22411</v>
      </c>
      <c r="Y626" s="19"/>
      <c r="Z626" s="16">
        <v>0</v>
      </c>
      <c r="AA626" s="20">
        <v>0.49791666666666667</v>
      </c>
      <c r="AB626" s="16">
        <v>4</v>
      </c>
      <c r="AC626" s="17" t="s">
        <v>41</v>
      </c>
      <c r="AD626" s="9" t="str">
        <f t="shared" si="10"/>
        <v>Actual</v>
      </c>
      <c r="AE626" s="9" t="str">
        <f t="shared" si="11"/>
        <v>TMK7</v>
      </c>
      <c r="AF626" s="9">
        <f>HOUR(O626)</f>
        <v>11</v>
      </c>
      <c r="AG626" s="9">
        <f>DAY(O626)</f>
        <v>18</v>
      </c>
      <c r="AH626" s="9">
        <f>IFERROR((I626-K626)*24*60,0)</f>
        <v>1.000000003259629</v>
      </c>
      <c r="AI626" s="9">
        <f t="shared" si="12"/>
        <v>1.000000003259629</v>
      </c>
      <c r="AJ626" s="9">
        <f>C626</f>
        <v>1416</v>
      </c>
      <c r="AK626" s="9">
        <f>IF(P626="completed",((V626-K626)*24*60),0)</f>
        <v>5.0000000058207661</v>
      </c>
      <c r="AL626" s="9">
        <f>IF(P626="completed",((U626-K626)*24*60),0)</f>
        <v>8.0000000051222742</v>
      </c>
      <c r="AM626" s="9" t="str">
        <f t="shared" si="13"/>
        <v>OTP Achieved</v>
      </c>
      <c r="AN626" s="9" t="str">
        <f t="shared" si="14"/>
        <v>OTP Achieved</v>
      </c>
    </row>
    <row r="627" spans="1:40" ht="15">
      <c r="A627" s="14" t="s">
        <v>347</v>
      </c>
      <c r="B627" s="15">
        <v>46313.496527777781</v>
      </c>
      <c r="C627" s="16">
        <v>1344</v>
      </c>
      <c r="D627" s="17" t="s">
        <v>41</v>
      </c>
      <c r="E627" s="16">
        <v>3</v>
      </c>
      <c r="F627" s="17" t="s">
        <v>41</v>
      </c>
      <c r="G627" s="17" t="s">
        <v>41</v>
      </c>
      <c r="H627" s="17" t="s">
        <v>1991</v>
      </c>
      <c r="I627" s="15">
        <v>46313.496527777781</v>
      </c>
      <c r="J627" s="17" t="s">
        <v>41</v>
      </c>
      <c r="K627" s="15">
        <v>46313.496527777781</v>
      </c>
      <c r="L627" s="16">
        <v>10</v>
      </c>
      <c r="M627" s="17"/>
      <c r="N627" s="17"/>
      <c r="O627" s="15">
        <v>46313.495833333334</v>
      </c>
      <c r="P627" s="17" t="s">
        <v>43</v>
      </c>
      <c r="Q627" s="17" t="s">
        <v>349</v>
      </c>
      <c r="R627" s="17" t="s">
        <v>1992</v>
      </c>
      <c r="S627" s="16">
        <v>4247</v>
      </c>
      <c r="T627" s="17" t="s">
        <v>41</v>
      </c>
      <c r="U627" s="15">
        <v>46313.5</v>
      </c>
      <c r="V627" s="15">
        <v>46313.498611111114</v>
      </c>
      <c r="W627" s="18" t="s">
        <v>1993</v>
      </c>
      <c r="X627" s="16">
        <v>22411</v>
      </c>
      <c r="Y627" s="19"/>
      <c r="Z627" s="16">
        <v>0</v>
      </c>
      <c r="AA627" s="20">
        <v>0.49652777777777779</v>
      </c>
      <c r="AB627" s="16">
        <v>3</v>
      </c>
      <c r="AC627" s="17" t="s">
        <v>41</v>
      </c>
      <c r="AD627" s="9" t="str">
        <f t="shared" si="10"/>
        <v>Actual</v>
      </c>
      <c r="AE627" s="9" t="str">
        <f t="shared" si="11"/>
        <v>TMK7</v>
      </c>
      <c r="AF627" s="9">
        <f>HOUR(O627)</f>
        <v>11</v>
      </c>
      <c r="AG627" s="9">
        <f>DAY(O627)</f>
        <v>18</v>
      </c>
      <c r="AH627" s="9">
        <f>IFERROR((I627-K627)*24*60,0)</f>
        <v>0</v>
      </c>
      <c r="AI627" s="9">
        <f t="shared" si="12"/>
        <v>0</v>
      </c>
      <c r="AJ627" s="9">
        <f>C627</f>
        <v>1344</v>
      </c>
      <c r="AK627" s="9">
        <f>IF(P627="completed",((V627-K627)*24*60),0)</f>
        <v>2.9999999993015081</v>
      </c>
      <c r="AL627" s="9">
        <f>IF(P627="completed",((U627-K627)*24*60),0)</f>
        <v>4.9999999953433871</v>
      </c>
      <c r="AM627" s="9" t="str">
        <f t="shared" si="13"/>
        <v>OTP Achieved</v>
      </c>
      <c r="AN627" s="9" t="str">
        <f t="shared" si="14"/>
        <v>OTP Achieved</v>
      </c>
    </row>
    <row r="628" spans="1:40" ht="15">
      <c r="A628" s="14" t="s">
        <v>93</v>
      </c>
      <c r="B628" s="15">
        <v>46313.495138888888</v>
      </c>
      <c r="C628" s="16">
        <v>356</v>
      </c>
      <c r="D628" s="17" t="s">
        <v>41</v>
      </c>
      <c r="E628" s="16">
        <v>1</v>
      </c>
      <c r="F628" s="17" t="s">
        <v>41</v>
      </c>
      <c r="G628" s="17" t="s">
        <v>41</v>
      </c>
      <c r="H628" s="17" t="s">
        <v>1994</v>
      </c>
      <c r="I628" s="15">
        <v>46313.495833333334</v>
      </c>
      <c r="J628" s="17" t="s">
        <v>41</v>
      </c>
      <c r="K628" s="15">
        <v>46313.495833333334</v>
      </c>
      <c r="L628" s="16">
        <v>13</v>
      </c>
      <c r="M628" s="17"/>
      <c r="N628" s="17"/>
      <c r="O628" s="15">
        <v>46313.495138888888</v>
      </c>
      <c r="P628" s="17" t="s">
        <v>43</v>
      </c>
      <c r="Q628" s="17" t="s">
        <v>95</v>
      </c>
      <c r="R628" s="17" t="s">
        <v>1995</v>
      </c>
      <c r="S628" s="16">
        <v>4247</v>
      </c>
      <c r="T628" s="17" t="s">
        <v>41</v>
      </c>
      <c r="U628" s="15">
        <v>46313.497916666667</v>
      </c>
      <c r="V628" s="15">
        <v>46313.496527777781</v>
      </c>
      <c r="W628" s="18" t="s">
        <v>1996</v>
      </c>
      <c r="X628" s="16">
        <v>22411</v>
      </c>
      <c r="Y628" s="19"/>
      <c r="Z628" s="16">
        <v>0</v>
      </c>
      <c r="AA628" s="20">
        <v>0.49513888888888891</v>
      </c>
      <c r="AB628" s="16">
        <v>1</v>
      </c>
      <c r="AC628" s="17" t="s">
        <v>41</v>
      </c>
      <c r="AD628" s="9" t="str">
        <f t="shared" si="10"/>
        <v>Actual</v>
      </c>
      <c r="AE628" s="9" t="str">
        <f t="shared" si="11"/>
        <v>TMK7</v>
      </c>
      <c r="AF628" s="9">
        <f>HOUR(O628)</f>
        <v>11</v>
      </c>
      <c r="AG628" s="9">
        <f>DAY(O628)</f>
        <v>18</v>
      </c>
      <c r="AH628" s="9">
        <f>IFERROR((I628-K628)*24*60,0)</f>
        <v>0</v>
      </c>
      <c r="AI628" s="9">
        <f t="shared" si="12"/>
        <v>0</v>
      </c>
      <c r="AJ628" s="9">
        <f>C628</f>
        <v>356</v>
      </c>
      <c r="AK628" s="9">
        <f>IF(P628="completed",((V628-K628)*24*60),0)</f>
        <v>1.000000003259629</v>
      </c>
      <c r="AL628" s="9">
        <f>IF(P628="completed",((U628-K628)*24*60),0)</f>
        <v>2.9999999993015081</v>
      </c>
      <c r="AM628" s="9" t="str">
        <f t="shared" si="13"/>
        <v>OTP Achieved</v>
      </c>
      <c r="AN628" s="9" t="str">
        <f t="shared" si="14"/>
        <v>OTP Achieved</v>
      </c>
    </row>
    <row r="629" spans="1:40" ht="15">
      <c r="A629" s="14" t="s">
        <v>1461</v>
      </c>
      <c r="B629" s="15">
        <v>46313.495138888888</v>
      </c>
      <c r="C629" s="16">
        <v>1088</v>
      </c>
      <c r="D629" s="17" t="s">
        <v>41</v>
      </c>
      <c r="E629" s="16">
        <v>4</v>
      </c>
      <c r="F629" s="17" t="s">
        <v>41</v>
      </c>
      <c r="G629" s="17" t="s">
        <v>41</v>
      </c>
      <c r="H629" s="17" t="s">
        <v>1997</v>
      </c>
      <c r="I629" s="15">
        <v>46313.495833333334</v>
      </c>
      <c r="J629" s="17" t="s">
        <v>41</v>
      </c>
      <c r="K629" s="15">
        <v>46313.495833333334</v>
      </c>
      <c r="L629" s="16">
        <v>12</v>
      </c>
      <c r="M629" s="17"/>
      <c r="N629" s="17"/>
      <c r="O629" s="15">
        <v>46313.495138888888</v>
      </c>
      <c r="P629" s="17" t="s">
        <v>43</v>
      </c>
      <c r="Q629" s="17" t="s">
        <v>1463</v>
      </c>
      <c r="R629" s="17" t="s">
        <v>1998</v>
      </c>
      <c r="S629" s="16">
        <v>4247</v>
      </c>
      <c r="T629" s="17" t="s">
        <v>41</v>
      </c>
      <c r="U629" s="15">
        <v>46313.498611111114</v>
      </c>
      <c r="V629" s="15">
        <v>46313.497916666667</v>
      </c>
      <c r="W629" s="18" t="s">
        <v>1999</v>
      </c>
      <c r="X629" s="16">
        <v>22411</v>
      </c>
      <c r="Y629" s="17"/>
      <c r="Z629" s="16">
        <v>0</v>
      </c>
      <c r="AA629" s="20">
        <v>0.49513888888888891</v>
      </c>
      <c r="AB629" s="16">
        <v>3</v>
      </c>
      <c r="AC629" s="17" t="s">
        <v>41</v>
      </c>
      <c r="AD629" s="9" t="str">
        <f t="shared" si="10"/>
        <v>Actual</v>
      </c>
      <c r="AE629" s="9" t="str">
        <f t="shared" si="11"/>
        <v>TMK7</v>
      </c>
      <c r="AF629" s="9">
        <f>HOUR(O629)</f>
        <v>11</v>
      </c>
      <c r="AG629" s="9">
        <f>DAY(O629)</f>
        <v>18</v>
      </c>
      <c r="AH629" s="9">
        <f>IFERROR((I629-K629)*24*60,0)</f>
        <v>0</v>
      </c>
      <c r="AI629" s="9">
        <f t="shared" si="12"/>
        <v>0</v>
      </c>
      <c r="AJ629" s="9">
        <f>C629</f>
        <v>1088</v>
      </c>
      <c r="AK629" s="9">
        <f>IF(P629="completed",((V629-K629)*24*60),0)</f>
        <v>2.9999999993015081</v>
      </c>
      <c r="AL629" s="9">
        <f>IF(P629="completed",((U629-K629)*24*60),0)</f>
        <v>4.0000000025611371</v>
      </c>
      <c r="AM629" s="9" t="str">
        <f t="shared" si="13"/>
        <v>OTP Achieved</v>
      </c>
      <c r="AN629" s="9" t="str">
        <f t="shared" si="14"/>
        <v>OTP Achieved</v>
      </c>
    </row>
    <row r="630" spans="1:40" ht="15">
      <c r="A630" s="14" t="s">
        <v>1336</v>
      </c>
      <c r="B630" s="15">
        <v>46313.495138888888</v>
      </c>
      <c r="C630" s="16">
        <v>436</v>
      </c>
      <c r="D630" s="17" t="s">
        <v>41</v>
      </c>
      <c r="E630" s="16">
        <v>2</v>
      </c>
      <c r="F630" s="17" t="s">
        <v>41</v>
      </c>
      <c r="G630" s="17" t="s">
        <v>41</v>
      </c>
      <c r="H630" s="17" t="s">
        <v>2000</v>
      </c>
      <c r="I630" s="15">
        <v>46313.495833333334</v>
      </c>
      <c r="J630" s="17" t="s">
        <v>41</v>
      </c>
      <c r="K630" s="15">
        <v>46313.495833333334</v>
      </c>
      <c r="L630" s="16">
        <v>10</v>
      </c>
      <c r="M630" s="17"/>
      <c r="N630" s="17"/>
      <c r="O630" s="15">
        <v>46313.494444444441</v>
      </c>
      <c r="P630" s="17" t="s">
        <v>43</v>
      </c>
      <c r="Q630" s="17" t="s">
        <v>1338</v>
      </c>
      <c r="R630" s="17" t="s">
        <v>2001</v>
      </c>
      <c r="S630" s="16">
        <v>4247</v>
      </c>
      <c r="T630" s="17" t="s">
        <v>41</v>
      </c>
      <c r="U630" s="15">
        <v>46313.497916666667</v>
      </c>
      <c r="V630" s="15">
        <v>46313.49722222222</v>
      </c>
      <c r="W630" s="18" t="s">
        <v>2002</v>
      </c>
      <c r="X630" s="16">
        <v>22411</v>
      </c>
      <c r="Y630" s="19"/>
      <c r="Z630" s="16">
        <v>0</v>
      </c>
      <c r="AA630" s="20">
        <v>0.49513888888888891</v>
      </c>
      <c r="AB630" s="16">
        <v>1</v>
      </c>
      <c r="AC630" s="17" t="s">
        <v>41</v>
      </c>
      <c r="AD630" s="9" t="str">
        <f t="shared" si="10"/>
        <v>Actual</v>
      </c>
      <c r="AE630" s="9" t="str">
        <f t="shared" si="11"/>
        <v>TMK7</v>
      </c>
      <c r="AF630" s="9">
        <f>HOUR(O630)</f>
        <v>11</v>
      </c>
      <c r="AG630" s="9">
        <f>DAY(O630)</f>
        <v>18</v>
      </c>
      <c r="AH630" s="9">
        <f>IFERROR((I630-K630)*24*60,0)</f>
        <v>0</v>
      </c>
      <c r="AI630" s="9">
        <f t="shared" si="12"/>
        <v>0</v>
      </c>
      <c r="AJ630" s="9">
        <f>C630</f>
        <v>436</v>
      </c>
      <c r="AK630" s="9">
        <f>IF(P630="completed",((V630-K630)*24*60),0)</f>
        <v>1.9999999960418791</v>
      </c>
      <c r="AL630" s="9">
        <f>IF(P630="completed",((U630-K630)*24*60),0)</f>
        <v>2.9999999993015081</v>
      </c>
      <c r="AM630" s="9" t="str">
        <f t="shared" si="13"/>
        <v>OTP Achieved</v>
      </c>
      <c r="AN630" s="9" t="str">
        <f t="shared" si="14"/>
        <v>OTP Achieved</v>
      </c>
    </row>
    <row r="631" spans="1:40" ht="15">
      <c r="A631" s="14" t="s">
        <v>62</v>
      </c>
      <c r="B631" s="15">
        <v>46313.494444444441</v>
      </c>
      <c r="C631" s="16">
        <v>356</v>
      </c>
      <c r="D631" s="17" t="s">
        <v>41</v>
      </c>
      <c r="E631" s="16">
        <v>2</v>
      </c>
      <c r="F631" s="17" t="s">
        <v>41</v>
      </c>
      <c r="G631" s="17" t="s">
        <v>41</v>
      </c>
      <c r="H631" s="17" t="s">
        <v>2000</v>
      </c>
      <c r="I631" s="15">
        <v>46313.496527777781</v>
      </c>
      <c r="J631" s="17" t="s">
        <v>41</v>
      </c>
      <c r="K631" s="15">
        <v>46313.496527777781</v>
      </c>
      <c r="L631" s="16">
        <v>21</v>
      </c>
      <c r="M631" s="17"/>
      <c r="N631" s="17"/>
      <c r="O631" s="15">
        <v>46313.494444444441</v>
      </c>
      <c r="P631" s="17" t="s">
        <v>43</v>
      </c>
      <c r="Q631" s="17" t="s">
        <v>64</v>
      </c>
      <c r="R631" s="17" t="s">
        <v>2003</v>
      </c>
      <c r="S631" s="16">
        <v>4247</v>
      </c>
      <c r="T631" s="17" t="s">
        <v>41</v>
      </c>
      <c r="U631" s="15">
        <v>46313.498611111114</v>
      </c>
      <c r="V631" s="15">
        <v>46313.497916666667</v>
      </c>
      <c r="W631" s="18" t="s">
        <v>2004</v>
      </c>
      <c r="X631" s="16">
        <v>22411</v>
      </c>
      <c r="Y631" s="19"/>
      <c r="Z631" s="16">
        <v>0</v>
      </c>
      <c r="AA631" s="20">
        <v>0.49444444444444446</v>
      </c>
      <c r="AB631" s="16">
        <v>2</v>
      </c>
      <c r="AC631" s="17" t="s">
        <v>41</v>
      </c>
      <c r="AD631" s="9" t="str">
        <f t="shared" si="10"/>
        <v>Actual</v>
      </c>
      <c r="AE631" s="9" t="str">
        <f t="shared" si="11"/>
        <v>TMK7</v>
      </c>
      <c r="AF631" s="9">
        <f>HOUR(O631)</f>
        <v>11</v>
      </c>
      <c r="AG631" s="9">
        <f>DAY(O631)</f>
        <v>18</v>
      </c>
      <c r="AH631" s="9">
        <f>IFERROR((I631-K631)*24*60,0)</f>
        <v>0</v>
      </c>
      <c r="AI631" s="9">
        <f t="shared" si="12"/>
        <v>0</v>
      </c>
      <c r="AJ631" s="9">
        <f>C631</f>
        <v>356</v>
      </c>
      <c r="AK631" s="9">
        <f>IF(P631="completed",((V631-K631)*24*60),0)</f>
        <v>1.9999999960418791</v>
      </c>
      <c r="AL631" s="9">
        <f>IF(P631="completed",((U631-K631)*24*60),0)</f>
        <v>2.9999999993015081</v>
      </c>
      <c r="AM631" s="9" t="str">
        <f t="shared" si="13"/>
        <v>OTP Achieved</v>
      </c>
      <c r="AN631" s="9" t="str">
        <f t="shared" si="14"/>
        <v>OTP Achieved</v>
      </c>
    </row>
    <row r="632" spans="1:40" ht="15">
      <c r="A632" s="14" t="s">
        <v>1592</v>
      </c>
      <c r="B632" s="15">
        <v>46313.493750000001</v>
      </c>
      <c r="C632" s="16">
        <v>1997</v>
      </c>
      <c r="D632" s="17" t="s">
        <v>41</v>
      </c>
      <c r="E632" s="16">
        <v>5</v>
      </c>
      <c r="F632" s="17" t="s">
        <v>41</v>
      </c>
      <c r="G632" s="17" t="s">
        <v>41</v>
      </c>
      <c r="H632" s="17" t="s">
        <v>2005</v>
      </c>
      <c r="I632" s="15">
        <v>46313.495138888888</v>
      </c>
      <c r="J632" s="17" t="s">
        <v>41</v>
      </c>
      <c r="K632" s="15">
        <v>46313.494444444441</v>
      </c>
      <c r="L632" s="16">
        <v>26</v>
      </c>
      <c r="M632" s="17"/>
      <c r="N632" s="17"/>
      <c r="O632" s="15">
        <v>46313.493055555555</v>
      </c>
      <c r="P632" s="17" t="s">
        <v>43</v>
      </c>
      <c r="Q632" s="17" t="s">
        <v>1594</v>
      </c>
      <c r="R632" s="17" t="s">
        <v>2006</v>
      </c>
      <c r="S632" s="16">
        <v>4247</v>
      </c>
      <c r="T632" s="17" t="s">
        <v>41</v>
      </c>
      <c r="U632" s="15">
        <v>46313.5</v>
      </c>
      <c r="V632" s="15">
        <v>46313.497916666667</v>
      </c>
      <c r="W632" s="18" t="s">
        <v>2007</v>
      </c>
      <c r="X632" s="16">
        <v>22411</v>
      </c>
      <c r="Y632" s="19"/>
      <c r="Z632" s="16">
        <v>0</v>
      </c>
      <c r="AA632" s="20">
        <v>0.49375000000000002</v>
      </c>
      <c r="AB632" s="16">
        <v>5</v>
      </c>
      <c r="AC632" s="17" t="s">
        <v>41</v>
      </c>
      <c r="AD632" s="9" t="str">
        <f t="shared" si="10"/>
        <v>Actual</v>
      </c>
      <c r="AE632" s="9" t="str">
        <f t="shared" si="11"/>
        <v>TMK7</v>
      </c>
      <c r="AF632" s="9">
        <f>HOUR(O632)</f>
        <v>11</v>
      </c>
      <c r="AG632" s="9">
        <f>DAY(O632)</f>
        <v>18</v>
      </c>
      <c r="AH632" s="9">
        <f>IFERROR((I632-K632)*24*60,0)</f>
        <v>1.000000003259629</v>
      </c>
      <c r="AI632" s="9">
        <f t="shared" si="12"/>
        <v>1.000000003259629</v>
      </c>
      <c r="AJ632" s="9">
        <f>C632</f>
        <v>1997</v>
      </c>
      <c r="AK632" s="9">
        <f>IF(P632="completed",((V632-K632)*24*60),0)</f>
        <v>5.0000000058207661</v>
      </c>
      <c r="AL632" s="9">
        <f>IF(P632="completed",((U632-K632)*24*60),0)</f>
        <v>8.0000000051222742</v>
      </c>
      <c r="AM632" s="9" t="str">
        <f t="shared" si="13"/>
        <v>OTP Achieved</v>
      </c>
      <c r="AN632" s="9" t="str">
        <f t="shared" si="14"/>
        <v>OTP Achieved</v>
      </c>
    </row>
    <row r="633" spans="1:40" ht="15">
      <c r="A633" s="14" t="s">
        <v>177</v>
      </c>
      <c r="B633" s="15">
        <v>46313.493055555555</v>
      </c>
      <c r="C633" s="16">
        <v>588</v>
      </c>
      <c r="D633" s="17" t="s">
        <v>41</v>
      </c>
      <c r="E633" s="16">
        <v>2</v>
      </c>
      <c r="F633" s="17" t="s">
        <v>41</v>
      </c>
      <c r="G633" s="17" t="s">
        <v>41</v>
      </c>
      <c r="H633" s="17" t="s">
        <v>2008</v>
      </c>
      <c r="I633" s="15">
        <v>46313.493750000001</v>
      </c>
      <c r="J633" s="17" t="s">
        <v>41</v>
      </c>
      <c r="K633" s="15">
        <v>46313.493055555555</v>
      </c>
      <c r="L633" s="16">
        <v>29</v>
      </c>
      <c r="M633" s="17"/>
      <c r="N633" s="17"/>
      <c r="O633" s="15">
        <v>46313.493055555555</v>
      </c>
      <c r="P633" s="17" t="s">
        <v>43</v>
      </c>
      <c r="Q633" s="17" t="s">
        <v>179</v>
      </c>
      <c r="R633" s="17" t="s">
        <v>2009</v>
      </c>
      <c r="S633" s="16">
        <v>4247</v>
      </c>
      <c r="T633" s="17" t="s">
        <v>41</v>
      </c>
      <c r="U633" s="15">
        <v>46313.495833333334</v>
      </c>
      <c r="V633" s="15">
        <v>46313.494444444441</v>
      </c>
      <c r="W633" s="18" t="s">
        <v>2010</v>
      </c>
      <c r="X633" s="16">
        <v>22411</v>
      </c>
      <c r="Y633" s="17"/>
      <c r="Z633" s="16">
        <v>0</v>
      </c>
      <c r="AA633" s="20">
        <v>0.49305555555555558</v>
      </c>
      <c r="AB633" s="16">
        <v>1</v>
      </c>
      <c r="AC633" s="17" t="s">
        <v>41</v>
      </c>
      <c r="AD633" s="9" t="str">
        <f t="shared" si="10"/>
        <v>Actual</v>
      </c>
      <c r="AE633" s="9" t="str">
        <f t="shared" si="11"/>
        <v>TMK7</v>
      </c>
      <c r="AF633" s="9">
        <f>HOUR(O633)</f>
        <v>11</v>
      </c>
      <c r="AG633" s="9">
        <f>DAY(O633)</f>
        <v>18</v>
      </c>
      <c r="AH633" s="9">
        <f>IFERROR((I633-K633)*24*60,0)</f>
        <v>1.000000003259629</v>
      </c>
      <c r="AI633" s="9">
        <f t="shared" si="12"/>
        <v>1.000000003259629</v>
      </c>
      <c r="AJ633" s="9">
        <f>C633</f>
        <v>588</v>
      </c>
      <c r="AK633" s="9">
        <f>IF(P633="completed",((V633-K633)*24*60),0)</f>
        <v>1.9999999960418791</v>
      </c>
      <c r="AL633" s="9">
        <f>IF(P633="completed",((U633-K633)*24*60),0)</f>
        <v>4.0000000025611371</v>
      </c>
      <c r="AM633" s="9" t="str">
        <f t="shared" si="13"/>
        <v>OTP Achieved</v>
      </c>
      <c r="AN633" s="9" t="str">
        <f t="shared" si="14"/>
        <v>OTP Achieved</v>
      </c>
    </row>
    <row r="634" spans="1:40" ht="15">
      <c r="A634" s="14" t="s">
        <v>1365</v>
      </c>
      <c r="B634" s="15">
        <v>46313.492361111108</v>
      </c>
      <c r="C634" s="16">
        <v>2027</v>
      </c>
      <c r="D634" s="17" t="s">
        <v>41</v>
      </c>
      <c r="E634" s="16">
        <v>5</v>
      </c>
      <c r="F634" s="17" t="s">
        <v>41</v>
      </c>
      <c r="G634" s="17" t="s">
        <v>41</v>
      </c>
      <c r="H634" s="17" t="s">
        <v>2011</v>
      </c>
      <c r="I634" s="15">
        <v>46313.494444444441</v>
      </c>
      <c r="J634" s="17" t="s">
        <v>41</v>
      </c>
      <c r="K634" s="15">
        <v>46313.494444444441</v>
      </c>
      <c r="L634" s="16">
        <v>27</v>
      </c>
      <c r="M634" s="17"/>
      <c r="N634" s="17"/>
      <c r="O634" s="15">
        <v>46313.492361111108</v>
      </c>
      <c r="P634" s="17" t="s">
        <v>43</v>
      </c>
      <c r="Q634" s="17" t="s">
        <v>1367</v>
      </c>
      <c r="R634" s="17" t="s">
        <v>2012</v>
      </c>
      <c r="S634" s="16">
        <v>4247</v>
      </c>
      <c r="T634" s="17" t="s">
        <v>41</v>
      </c>
      <c r="U634" s="15">
        <v>46313.500694444447</v>
      </c>
      <c r="V634" s="15">
        <v>46313.497916666667</v>
      </c>
      <c r="W634" s="18" t="s">
        <v>2013</v>
      </c>
      <c r="X634" s="16">
        <v>22411</v>
      </c>
      <c r="Y634" s="19"/>
      <c r="Z634" s="16">
        <v>0</v>
      </c>
      <c r="AA634" s="20">
        <v>0.49236111111111114</v>
      </c>
      <c r="AB634" s="16">
        <v>5</v>
      </c>
      <c r="AC634" s="17" t="s">
        <v>41</v>
      </c>
      <c r="AD634" s="9" t="str">
        <f t="shared" si="10"/>
        <v>Actual</v>
      </c>
      <c r="AE634" s="9" t="str">
        <f t="shared" si="11"/>
        <v>TMK7</v>
      </c>
      <c r="AF634" s="9">
        <f>HOUR(O634)</f>
        <v>11</v>
      </c>
      <c r="AG634" s="9">
        <f>DAY(O634)</f>
        <v>18</v>
      </c>
      <c r="AH634" s="9">
        <f>IFERROR((I634-K634)*24*60,0)</f>
        <v>0</v>
      </c>
      <c r="AI634" s="9">
        <f t="shared" si="12"/>
        <v>0</v>
      </c>
      <c r="AJ634" s="9">
        <f>C634</f>
        <v>2027</v>
      </c>
      <c r="AK634" s="9">
        <f>IF(P634="completed",((V634-K634)*24*60),0)</f>
        <v>5.0000000058207661</v>
      </c>
      <c r="AL634" s="9">
        <f>IF(P634="completed",((U634-K634)*24*60),0)</f>
        <v>9.0000000083819032</v>
      </c>
      <c r="AM634" s="9" t="str">
        <f t="shared" si="13"/>
        <v>OTP Achieved</v>
      </c>
      <c r="AN634" s="9" t="str">
        <f t="shared" si="14"/>
        <v>OTP Achieved</v>
      </c>
    </row>
    <row r="635" spans="1:40" ht="15">
      <c r="A635" s="14" t="s">
        <v>734</v>
      </c>
      <c r="B635" s="15">
        <v>46313.491666666669</v>
      </c>
      <c r="C635" s="16">
        <v>3947</v>
      </c>
      <c r="D635" s="17" t="s">
        <v>41</v>
      </c>
      <c r="E635" s="16">
        <v>12</v>
      </c>
      <c r="F635" s="17" t="s">
        <v>41</v>
      </c>
      <c r="G635" s="17" t="s">
        <v>41</v>
      </c>
      <c r="H635" s="17" t="s">
        <v>2014</v>
      </c>
      <c r="I635" s="15">
        <v>46313.495138888888</v>
      </c>
      <c r="J635" s="17" t="s">
        <v>41</v>
      </c>
      <c r="K635" s="15">
        <v>46313.494444444441</v>
      </c>
      <c r="L635" s="16">
        <v>24</v>
      </c>
      <c r="M635" s="17"/>
      <c r="N635" s="17"/>
      <c r="O635" s="15">
        <v>46313.491666666669</v>
      </c>
      <c r="P635" s="17" t="s">
        <v>43</v>
      </c>
      <c r="Q635" s="17" t="s">
        <v>736</v>
      </c>
      <c r="R635" s="17" t="s">
        <v>2015</v>
      </c>
      <c r="S635" s="16">
        <v>4247</v>
      </c>
      <c r="T635" s="17" t="s">
        <v>41</v>
      </c>
      <c r="U635" s="15">
        <v>46313.504861111112</v>
      </c>
      <c r="V635" s="15">
        <v>46313.503472222219</v>
      </c>
      <c r="W635" s="18" t="s">
        <v>2016</v>
      </c>
      <c r="X635" s="16">
        <v>22411</v>
      </c>
      <c r="Y635" s="19"/>
      <c r="Z635" s="16">
        <v>0</v>
      </c>
      <c r="AA635" s="20">
        <v>0.49166666666666664</v>
      </c>
      <c r="AB635" s="16">
        <v>12</v>
      </c>
      <c r="AC635" s="17" t="s">
        <v>41</v>
      </c>
      <c r="AD635" s="9" t="str">
        <f t="shared" si="10"/>
        <v>Actual</v>
      </c>
      <c r="AE635" s="9" t="str">
        <f t="shared" si="11"/>
        <v>TMK7</v>
      </c>
      <c r="AF635" s="9">
        <f>HOUR(O635)</f>
        <v>11</v>
      </c>
      <c r="AG635" s="9">
        <f>DAY(O635)</f>
        <v>18</v>
      </c>
      <c r="AH635" s="9">
        <f>IFERROR((I635-K635)*24*60,0)</f>
        <v>1.000000003259629</v>
      </c>
      <c r="AI635" s="9">
        <f t="shared" si="12"/>
        <v>1.000000003259629</v>
      </c>
      <c r="AJ635" s="9">
        <f>C635</f>
        <v>3947</v>
      </c>
      <c r="AK635" s="9">
        <f>IF(P635="completed",((V635-K635)*24*60),0)</f>
        <v>13.000000000465661</v>
      </c>
      <c r="AL635" s="9">
        <f>IF(P635="completed",((U635-K635)*24*60),0)</f>
        <v>15.000000006984919</v>
      </c>
      <c r="AM635" s="9" t="str">
        <f t="shared" si="13"/>
        <v>OTP Achieved</v>
      </c>
      <c r="AN635" s="9" t="str">
        <f t="shared" si="14"/>
        <v>OTP Achieved</v>
      </c>
    </row>
    <row r="636" spans="1:40" ht="15">
      <c r="A636" s="14" t="s">
        <v>1624</v>
      </c>
      <c r="B636" s="15">
        <v>46313.491666666669</v>
      </c>
      <c r="C636" s="16">
        <v>2183</v>
      </c>
      <c r="D636" s="17" t="s">
        <v>41</v>
      </c>
      <c r="E636" s="16">
        <v>9</v>
      </c>
      <c r="F636" s="17" t="s">
        <v>41</v>
      </c>
      <c r="G636" s="17" t="s">
        <v>41</v>
      </c>
      <c r="H636" s="17" t="s">
        <v>2017</v>
      </c>
      <c r="I636" s="15">
        <v>46313.493750000001</v>
      </c>
      <c r="J636" s="17" t="s">
        <v>41</v>
      </c>
      <c r="K636" s="15">
        <v>46313.493055555555</v>
      </c>
      <c r="L636" s="16">
        <v>35</v>
      </c>
      <c r="M636" s="17"/>
      <c r="N636" s="17"/>
      <c r="O636" s="15">
        <v>46313.491666666669</v>
      </c>
      <c r="P636" s="17" t="s">
        <v>43</v>
      </c>
      <c r="Q636" s="17" t="s">
        <v>1626</v>
      </c>
      <c r="R636" s="17" t="s">
        <v>2018</v>
      </c>
      <c r="S636" s="16">
        <v>4247</v>
      </c>
      <c r="T636" s="17" t="s">
        <v>41</v>
      </c>
      <c r="U636" s="15">
        <v>46313.499305555553</v>
      </c>
      <c r="V636" s="15">
        <v>46313.499305555553</v>
      </c>
      <c r="W636" s="18" t="s">
        <v>2019</v>
      </c>
      <c r="X636" s="16">
        <v>22411</v>
      </c>
      <c r="Y636" s="19"/>
      <c r="Z636" s="16">
        <v>0</v>
      </c>
      <c r="AA636" s="20">
        <v>0.49166666666666664</v>
      </c>
      <c r="AB636" s="16">
        <v>8</v>
      </c>
      <c r="AC636" s="17" t="s">
        <v>41</v>
      </c>
      <c r="AD636" s="9" t="str">
        <f t="shared" si="10"/>
        <v>Actual</v>
      </c>
      <c r="AE636" s="9" t="str">
        <f t="shared" si="11"/>
        <v>TMK7</v>
      </c>
      <c r="AF636" s="9">
        <f>HOUR(O636)</f>
        <v>11</v>
      </c>
      <c r="AG636" s="9">
        <f>DAY(O636)</f>
        <v>18</v>
      </c>
      <c r="AH636" s="9">
        <f>IFERROR((I636-K636)*24*60,0)</f>
        <v>1.000000003259629</v>
      </c>
      <c r="AI636" s="9">
        <f t="shared" si="12"/>
        <v>1.000000003259629</v>
      </c>
      <c r="AJ636" s="9">
        <f>C636</f>
        <v>2183</v>
      </c>
      <c r="AK636" s="9">
        <f>IF(P636="completed",((V636-K636)*24*60),0)</f>
        <v>8.9999999979045242</v>
      </c>
      <c r="AL636" s="9">
        <f>IF(P636="completed",((U636-K636)*24*60),0)</f>
        <v>8.9999999979045242</v>
      </c>
      <c r="AM636" s="9" t="str">
        <f t="shared" si="13"/>
        <v>OTP Breached</v>
      </c>
      <c r="AN636" s="9" t="str">
        <f t="shared" si="14"/>
        <v>OTP Achieved</v>
      </c>
    </row>
    <row r="637" spans="1:40" ht="15">
      <c r="A637" s="14" t="s">
        <v>1391</v>
      </c>
      <c r="B637" s="15">
        <v>46313.490972222222</v>
      </c>
      <c r="C637" s="16">
        <v>1429</v>
      </c>
      <c r="D637" s="17" t="s">
        <v>41</v>
      </c>
      <c r="E637" s="16">
        <v>5</v>
      </c>
      <c r="F637" s="17" t="s">
        <v>41</v>
      </c>
      <c r="G637" s="17" t="s">
        <v>41</v>
      </c>
      <c r="H637" s="17" t="s">
        <v>2020</v>
      </c>
      <c r="I637" s="15">
        <v>46313.492361111108</v>
      </c>
      <c r="J637" s="17" t="s">
        <v>41</v>
      </c>
      <c r="K637" s="15">
        <v>46313.492361111108</v>
      </c>
      <c r="L637" s="16">
        <v>24</v>
      </c>
      <c r="M637" s="17"/>
      <c r="N637" s="17"/>
      <c r="O637" s="15">
        <v>46313.490972222222</v>
      </c>
      <c r="P637" s="17" t="s">
        <v>43</v>
      </c>
      <c r="Q637" s="17" t="s">
        <v>1393</v>
      </c>
      <c r="R637" s="17" t="s">
        <v>2021</v>
      </c>
      <c r="S637" s="16">
        <v>4247</v>
      </c>
      <c r="T637" s="17" t="s">
        <v>41</v>
      </c>
      <c r="U637" s="15">
        <v>46313.496527777781</v>
      </c>
      <c r="V637" s="15">
        <v>46313.495138888888</v>
      </c>
      <c r="W637" s="18" t="s">
        <v>2022</v>
      </c>
      <c r="X637" s="16">
        <v>22411</v>
      </c>
      <c r="Y637" s="19"/>
      <c r="Z637" s="16">
        <v>0</v>
      </c>
      <c r="AA637" s="20">
        <v>0.4909722222222222</v>
      </c>
      <c r="AB637" s="16">
        <v>4</v>
      </c>
      <c r="AC637" s="17" t="s">
        <v>41</v>
      </c>
      <c r="AD637" s="9" t="str">
        <f t="shared" si="10"/>
        <v>Actual</v>
      </c>
      <c r="AE637" s="9" t="str">
        <f t="shared" si="11"/>
        <v>TMK7</v>
      </c>
      <c r="AF637" s="9">
        <f>HOUR(O637)</f>
        <v>11</v>
      </c>
      <c r="AG637" s="9">
        <f>DAY(O637)</f>
        <v>18</v>
      </c>
      <c r="AH637" s="9">
        <f>IFERROR((I637-K637)*24*60,0)</f>
        <v>0</v>
      </c>
      <c r="AI637" s="9">
        <f t="shared" si="12"/>
        <v>0</v>
      </c>
      <c r="AJ637" s="9">
        <f>C637</f>
        <v>1429</v>
      </c>
      <c r="AK637" s="9">
        <f>IF(P637="completed",((V637-K637)*24*60),0)</f>
        <v>4.0000000025611371</v>
      </c>
      <c r="AL637" s="9">
        <f>IF(P637="completed",((U637-K637)*24*60),0)</f>
        <v>6.0000000090803951</v>
      </c>
      <c r="AM637" s="9" t="str">
        <f t="shared" si="13"/>
        <v>OTP Achieved</v>
      </c>
      <c r="AN637" s="9" t="str">
        <f t="shared" si="14"/>
        <v>OTP Achieved</v>
      </c>
    </row>
    <row r="638" spans="1:40" ht="15">
      <c r="A638" s="14" t="s">
        <v>1136</v>
      </c>
      <c r="B638" s="15">
        <v>46313.490972222222</v>
      </c>
      <c r="C638" s="16">
        <v>1955</v>
      </c>
      <c r="D638" s="17" t="s">
        <v>41</v>
      </c>
      <c r="E638" s="16">
        <v>6</v>
      </c>
      <c r="F638" s="17" t="s">
        <v>41</v>
      </c>
      <c r="G638" s="17" t="s">
        <v>41</v>
      </c>
      <c r="H638" s="17" t="s">
        <v>2023</v>
      </c>
      <c r="I638" s="15">
        <v>46313.491666666669</v>
      </c>
      <c r="J638" s="17" t="s">
        <v>41</v>
      </c>
      <c r="K638" s="15">
        <v>46313.491666666669</v>
      </c>
      <c r="L638" s="16">
        <v>8</v>
      </c>
      <c r="M638" s="17"/>
      <c r="N638" s="17"/>
      <c r="O638" s="15">
        <v>46313.490972222222</v>
      </c>
      <c r="P638" s="17" t="s">
        <v>43</v>
      </c>
      <c r="Q638" s="17" t="s">
        <v>1138</v>
      </c>
      <c r="R638" s="17" t="s">
        <v>2024</v>
      </c>
      <c r="S638" s="16">
        <v>4247</v>
      </c>
      <c r="T638" s="17" t="s">
        <v>41</v>
      </c>
      <c r="U638" s="15">
        <v>46313.496527777781</v>
      </c>
      <c r="V638" s="15">
        <v>46313.495138888888</v>
      </c>
      <c r="W638" s="18" t="s">
        <v>2025</v>
      </c>
      <c r="X638" s="16">
        <v>22411</v>
      </c>
      <c r="Y638" s="19"/>
      <c r="Z638" s="16">
        <v>0</v>
      </c>
      <c r="AA638" s="20">
        <v>0.4909722222222222</v>
      </c>
      <c r="AB638" s="16">
        <v>6</v>
      </c>
      <c r="AC638" s="17" t="s">
        <v>41</v>
      </c>
      <c r="AD638" s="9" t="str">
        <f t="shared" si="10"/>
        <v>Actual</v>
      </c>
      <c r="AE638" s="9" t="str">
        <f t="shared" si="11"/>
        <v>TMK7</v>
      </c>
      <c r="AF638" s="9">
        <f>HOUR(O638)</f>
        <v>11</v>
      </c>
      <c r="AG638" s="9">
        <f>DAY(O638)</f>
        <v>18</v>
      </c>
      <c r="AH638" s="9">
        <f>IFERROR((I638-K638)*24*60,0)</f>
        <v>0</v>
      </c>
      <c r="AI638" s="9">
        <f t="shared" si="12"/>
        <v>0</v>
      </c>
      <c r="AJ638" s="9">
        <f>C638</f>
        <v>1955</v>
      </c>
      <c r="AK638" s="9">
        <f>IF(P638="completed",((V638-K638)*24*60),0)</f>
        <v>4.9999999953433871</v>
      </c>
      <c r="AL638" s="9">
        <f>IF(P638="completed",((U638-K638)*24*60),0)</f>
        <v>7.0000000018626451</v>
      </c>
      <c r="AM638" s="9" t="str">
        <f t="shared" si="13"/>
        <v>OTP Achieved</v>
      </c>
      <c r="AN638" s="9" t="str">
        <f t="shared" si="14"/>
        <v>OTP Achieved</v>
      </c>
    </row>
    <row r="639" spans="1:40" ht="15">
      <c r="A639" s="14" t="s">
        <v>1077</v>
      </c>
      <c r="B639" s="15">
        <v>46313.490277777775</v>
      </c>
      <c r="C639" s="16">
        <v>2228</v>
      </c>
      <c r="D639" s="17" t="s">
        <v>41</v>
      </c>
      <c r="E639" s="16">
        <v>8</v>
      </c>
      <c r="F639" s="17" t="s">
        <v>41</v>
      </c>
      <c r="G639" s="17" t="s">
        <v>41</v>
      </c>
      <c r="H639" s="17" t="s">
        <v>2026</v>
      </c>
      <c r="I639" s="15">
        <v>46313.493055555555</v>
      </c>
      <c r="J639" s="17" t="s">
        <v>41</v>
      </c>
      <c r="K639" s="15">
        <v>46313.492361111108</v>
      </c>
      <c r="L639" s="16">
        <v>21</v>
      </c>
      <c r="M639" s="17"/>
      <c r="N639" s="17"/>
      <c r="O639" s="15">
        <v>46313.490277777775</v>
      </c>
      <c r="P639" s="17" t="s">
        <v>43</v>
      </c>
      <c r="Q639" s="17" t="s">
        <v>1079</v>
      </c>
      <c r="R639" s="17" t="s">
        <v>2027</v>
      </c>
      <c r="S639" s="16">
        <v>4247</v>
      </c>
      <c r="T639" s="17" t="s">
        <v>41</v>
      </c>
      <c r="U639" s="15">
        <v>46313.5</v>
      </c>
      <c r="V639" s="15">
        <v>46313.497916666667</v>
      </c>
      <c r="W639" s="18" t="s">
        <v>2028</v>
      </c>
      <c r="X639" s="16">
        <v>22411</v>
      </c>
      <c r="Y639" s="17"/>
      <c r="Z639" s="16">
        <v>0</v>
      </c>
      <c r="AA639" s="20">
        <v>0.49027777777777776</v>
      </c>
      <c r="AB639" s="16">
        <v>7</v>
      </c>
      <c r="AC639" s="17" t="s">
        <v>41</v>
      </c>
      <c r="AD639" s="9" t="str">
        <f t="shared" si="10"/>
        <v>Actual</v>
      </c>
      <c r="AE639" s="9" t="str">
        <f t="shared" si="11"/>
        <v>TMK7</v>
      </c>
      <c r="AF639" s="9">
        <f>HOUR(O639)</f>
        <v>11</v>
      </c>
      <c r="AG639" s="9">
        <f>DAY(O639)</f>
        <v>18</v>
      </c>
      <c r="AH639" s="9">
        <f>IFERROR((I639-K639)*24*60,0)</f>
        <v>1.000000003259629</v>
      </c>
      <c r="AI639" s="9">
        <f t="shared" si="12"/>
        <v>1.000000003259629</v>
      </c>
      <c r="AJ639" s="9">
        <f>C639</f>
        <v>2228</v>
      </c>
      <c r="AK639" s="9">
        <f>IF(P639="completed",((V639-K639)*24*60),0)</f>
        <v>8.0000000051222742</v>
      </c>
      <c r="AL639" s="9">
        <f>IF(P639="completed",((U639-K639)*24*60),0)</f>
        <v>11.000000004423782</v>
      </c>
      <c r="AM639" s="9" t="str">
        <f t="shared" si="13"/>
        <v>OTP Achieved</v>
      </c>
      <c r="AN639" s="9" t="str">
        <f t="shared" si="14"/>
        <v>OTP Achieved</v>
      </c>
    </row>
    <row r="640" spans="1:40" ht="15">
      <c r="A640" s="14" t="s">
        <v>52</v>
      </c>
      <c r="B640" s="15">
        <v>46313.490277777775</v>
      </c>
      <c r="C640" s="16">
        <v>731</v>
      </c>
      <c r="D640" s="17" t="s">
        <v>41</v>
      </c>
      <c r="E640" s="16">
        <v>3</v>
      </c>
      <c r="F640" s="17" t="s">
        <v>41</v>
      </c>
      <c r="G640" s="17" t="s">
        <v>41</v>
      </c>
      <c r="H640" s="17" t="s">
        <v>2029</v>
      </c>
      <c r="I640" s="15">
        <v>46313.493055555555</v>
      </c>
      <c r="J640" s="17" t="s">
        <v>41</v>
      </c>
      <c r="K640" s="15">
        <v>46313.493055555555</v>
      </c>
      <c r="L640" s="16">
        <v>12</v>
      </c>
      <c r="M640" s="17"/>
      <c r="N640" s="17"/>
      <c r="O640" s="15">
        <v>46313.490277777775</v>
      </c>
      <c r="P640" s="17" t="s">
        <v>43</v>
      </c>
      <c r="Q640" s="17" t="s">
        <v>54</v>
      </c>
      <c r="R640" s="17" t="s">
        <v>2030</v>
      </c>
      <c r="S640" s="16">
        <v>4247</v>
      </c>
      <c r="T640" s="17" t="s">
        <v>41</v>
      </c>
      <c r="U640" s="15">
        <v>46313.495138888888</v>
      </c>
      <c r="V640" s="15">
        <v>46313.495138888888</v>
      </c>
      <c r="W640" s="18" t="s">
        <v>2031</v>
      </c>
      <c r="X640" s="16">
        <v>22411</v>
      </c>
      <c r="Y640" s="17"/>
      <c r="Z640" s="16">
        <v>0</v>
      </c>
      <c r="AA640" s="20">
        <v>0.49027777777777776</v>
      </c>
      <c r="AB640" s="16">
        <v>3</v>
      </c>
      <c r="AC640" s="17" t="s">
        <v>41</v>
      </c>
      <c r="AD640" s="9" t="str">
        <f t="shared" si="10"/>
        <v>Actual</v>
      </c>
      <c r="AE640" s="9" t="str">
        <f t="shared" si="11"/>
        <v>TMK7</v>
      </c>
      <c r="AF640" s="9">
        <f>HOUR(O640)</f>
        <v>11</v>
      </c>
      <c r="AG640" s="9">
        <f>DAY(O640)</f>
        <v>18</v>
      </c>
      <c r="AH640" s="9">
        <f>IFERROR((I640-K640)*24*60,0)</f>
        <v>0</v>
      </c>
      <c r="AI640" s="9">
        <f t="shared" si="12"/>
        <v>0</v>
      </c>
      <c r="AJ640" s="9">
        <f>C640</f>
        <v>731</v>
      </c>
      <c r="AK640" s="9">
        <f>IF(P640="completed",((V640-K640)*24*60),0)</f>
        <v>2.9999999993015081</v>
      </c>
      <c r="AL640" s="9">
        <f>IF(P640="completed",((U640-K640)*24*60),0)</f>
        <v>2.9999999993015081</v>
      </c>
      <c r="AM640" s="9" t="str">
        <f t="shared" si="13"/>
        <v>OTP Breached</v>
      </c>
      <c r="AN640" s="9" t="str">
        <f t="shared" si="14"/>
        <v>OTP Achieved</v>
      </c>
    </row>
    <row r="641" spans="1:40" ht="15">
      <c r="A641" s="14" t="s">
        <v>711</v>
      </c>
      <c r="B641" s="15">
        <v>46313.490277777775</v>
      </c>
      <c r="C641" s="16">
        <v>1455</v>
      </c>
      <c r="D641" s="17" t="s">
        <v>41</v>
      </c>
      <c r="E641" s="16">
        <v>3</v>
      </c>
      <c r="F641" s="17" t="s">
        <v>41</v>
      </c>
      <c r="G641" s="17" t="s">
        <v>41</v>
      </c>
      <c r="H641" s="17" t="s">
        <v>2032</v>
      </c>
      <c r="I641" s="15">
        <v>46313.492361111108</v>
      </c>
      <c r="J641" s="17" t="s">
        <v>41</v>
      </c>
      <c r="K641" s="15">
        <v>46313.491666666669</v>
      </c>
      <c r="L641" s="16">
        <v>30</v>
      </c>
      <c r="M641" s="17"/>
      <c r="N641" s="17"/>
      <c r="O641" s="15">
        <v>46313.490277777775</v>
      </c>
      <c r="P641" s="17" t="s">
        <v>43</v>
      </c>
      <c r="Q641" s="17" t="s">
        <v>713</v>
      </c>
      <c r="R641" s="17" t="s">
        <v>2033</v>
      </c>
      <c r="S641" s="16">
        <v>4247</v>
      </c>
      <c r="T641" s="17" t="s">
        <v>41</v>
      </c>
      <c r="U641" s="15">
        <v>46313.496527777781</v>
      </c>
      <c r="V641" s="15">
        <v>46313.493750000001</v>
      </c>
      <c r="W641" s="18" t="s">
        <v>2034</v>
      </c>
      <c r="X641" s="16">
        <v>22411</v>
      </c>
      <c r="Y641" s="19"/>
      <c r="Z641" s="16">
        <v>0</v>
      </c>
      <c r="AA641" s="20">
        <v>0.49027777777777776</v>
      </c>
      <c r="AB641" s="16">
        <v>3</v>
      </c>
      <c r="AC641" s="17" t="s">
        <v>41</v>
      </c>
      <c r="AD641" s="9" t="str">
        <f t="shared" si="10"/>
        <v>Actual</v>
      </c>
      <c r="AE641" s="9" t="str">
        <f t="shared" si="11"/>
        <v>TMK7</v>
      </c>
      <c r="AF641" s="9">
        <f>HOUR(O641)</f>
        <v>11</v>
      </c>
      <c r="AG641" s="9">
        <f>DAY(O641)</f>
        <v>18</v>
      </c>
      <c r="AH641" s="9">
        <f>IFERROR((I641-K641)*24*60,0)</f>
        <v>0.99999999278225005</v>
      </c>
      <c r="AI641" s="9">
        <f t="shared" si="12"/>
        <v>0.99999999278225005</v>
      </c>
      <c r="AJ641" s="9">
        <f>C641</f>
        <v>1455</v>
      </c>
      <c r="AK641" s="9">
        <f>IF(P641="completed",((V641-K641)*24*60),0)</f>
        <v>2.9999999993015081</v>
      </c>
      <c r="AL641" s="9">
        <f>IF(P641="completed",((U641-K641)*24*60),0)</f>
        <v>7.0000000018626451</v>
      </c>
      <c r="AM641" s="9" t="str">
        <f t="shared" si="13"/>
        <v>OTP Achieved</v>
      </c>
      <c r="AN641" s="9" t="str">
        <f t="shared" si="14"/>
        <v>OTP Achieved</v>
      </c>
    </row>
    <row r="642" spans="1:40" ht="15">
      <c r="A642" s="14" t="s">
        <v>655</v>
      </c>
      <c r="B642" s="15">
        <v>46313.489583333336</v>
      </c>
      <c r="C642" s="16">
        <v>1809</v>
      </c>
      <c r="D642" s="17" t="s">
        <v>41</v>
      </c>
      <c r="E642" s="16">
        <v>5</v>
      </c>
      <c r="F642" s="17" t="s">
        <v>41</v>
      </c>
      <c r="G642" s="17" t="s">
        <v>41</v>
      </c>
      <c r="H642" s="17" t="s">
        <v>2035</v>
      </c>
      <c r="I642" s="15">
        <v>46313.490277777775</v>
      </c>
      <c r="J642" s="17" t="s">
        <v>41</v>
      </c>
      <c r="K642" s="15">
        <v>46313.490277777775</v>
      </c>
      <c r="L642" s="16">
        <v>12</v>
      </c>
      <c r="M642" s="17"/>
      <c r="N642" s="17"/>
      <c r="O642" s="15">
        <v>46313.489583333336</v>
      </c>
      <c r="P642" s="17" t="s">
        <v>43</v>
      </c>
      <c r="Q642" s="17" t="s">
        <v>657</v>
      </c>
      <c r="R642" s="17" t="s">
        <v>2036</v>
      </c>
      <c r="S642" s="16">
        <v>4247</v>
      </c>
      <c r="T642" s="17" t="s">
        <v>41</v>
      </c>
      <c r="U642" s="15">
        <v>46313.495138888888</v>
      </c>
      <c r="V642" s="15">
        <v>46313.493750000001</v>
      </c>
      <c r="W642" s="18" t="s">
        <v>2037</v>
      </c>
      <c r="X642" s="16">
        <v>22411</v>
      </c>
      <c r="Y642" s="19"/>
      <c r="Z642" s="16">
        <v>0</v>
      </c>
      <c r="AA642" s="20">
        <v>0.48958333333333331</v>
      </c>
      <c r="AB642" s="16">
        <v>5</v>
      </c>
      <c r="AC642" s="17" t="s">
        <v>41</v>
      </c>
      <c r="AD642" s="9" t="str">
        <f t="shared" si="10"/>
        <v>Actual</v>
      </c>
      <c r="AE642" s="9" t="str">
        <f t="shared" si="11"/>
        <v>TMK7</v>
      </c>
      <c r="AF642" s="9">
        <f>HOUR(O642)</f>
        <v>11</v>
      </c>
      <c r="AG642" s="9">
        <f>DAY(O642)</f>
        <v>18</v>
      </c>
      <c r="AH642" s="9">
        <f>IFERROR((I642-K642)*24*60,0)</f>
        <v>0</v>
      </c>
      <c r="AI642" s="9">
        <f t="shared" si="12"/>
        <v>0</v>
      </c>
      <c r="AJ642" s="9">
        <f>C642</f>
        <v>1809</v>
      </c>
      <c r="AK642" s="9">
        <f>IF(P642="completed",((V642-K642)*24*60),0)</f>
        <v>5.0000000058207661</v>
      </c>
      <c r="AL642" s="9">
        <f>IF(P642="completed",((U642-K642)*24*60),0)</f>
        <v>7.0000000018626451</v>
      </c>
      <c r="AM642" s="9" t="str">
        <f t="shared" si="13"/>
        <v>OTP Achieved</v>
      </c>
      <c r="AN642" s="9" t="str">
        <f t="shared" si="14"/>
        <v>OTP Achieved</v>
      </c>
    </row>
    <row r="643" spans="1:40" ht="15">
      <c r="A643" s="14" t="s">
        <v>1965</v>
      </c>
      <c r="B643" s="15">
        <v>46313.488888888889</v>
      </c>
      <c r="C643" s="16">
        <v>1891</v>
      </c>
      <c r="D643" s="17" t="s">
        <v>41</v>
      </c>
      <c r="E643" s="16">
        <v>6</v>
      </c>
      <c r="F643" s="17" t="s">
        <v>41</v>
      </c>
      <c r="G643" s="17" t="s">
        <v>41</v>
      </c>
      <c r="H643" s="17" t="s">
        <v>2038</v>
      </c>
      <c r="I643" s="15">
        <v>46313.490972222222</v>
      </c>
      <c r="J643" s="17" t="s">
        <v>41</v>
      </c>
      <c r="K643" s="15">
        <v>46313.490972222222</v>
      </c>
      <c r="L643" s="16">
        <v>24</v>
      </c>
      <c r="M643" s="17"/>
      <c r="N643" s="17"/>
      <c r="O643" s="15">
        <v>46313.488888888889</v>
      </c>
      <c r="P643" s="17" t="s">
        <v>43</v>
      </c>
      <c r="Q643" s="17" t="s">
        <v>1967</v>
      </c>
      <c r="R643" s="17" t="s">
        <v>2039</v>
      </c>
      <c r="S643" s="16">
        <v>4247</v>
      </c>
      <c r="T643" s="17" t="s">
        <v>41</v>
      </c>
      <c r="U643" s="15">
        <v>46313.495833333334</v>
      </c>
      <c r="V643" s="15">
        <v>46313.495138888888</v>
      </c>
      <c r="W643" s="18" t="s">
        <v>2040</v>
      </c>
      <c r="X643" s="16">
        <v>22411</v>
      </c>
      <c r="Y643" s="17"/>
      <c r="Z643" s="16">
        <v>0</v>
      </c>
      <c r="AA643" s="20">
        <v>0.48888888888888887</v>
      </c>
      <c r="AB643" s="16">
        <v>6</v>
      </c>
      <c r="AC643" s="17" t="s">
        <v>41</v>
      </c>
      <c r="AD643" s="9" t="str">
        <f t="shared" si="10"/>
        <v>Actual</v>
      </c>
      <c r="AE643" s="9" t="str">
        <f t="shared" si="11"/>
        <v>TMK7</v>
      </c>
      <c r="AF643" s="9">
        <f>HOUR(O643)</f>
        <v>11</v>
      </c>
      <c r="AG643" s="9">
        <f>DAY(O643)</f>
        <v>18</v>
      </c>
      <c r="AH643" s="9">
        <f>IFERROR((I643-K643)*24*60,0)</f>
        <v>0</v>
      </c>
      <c r="AI643" s="9">
        <f t="shared" si="12"/>
        <v>0</v>
      </c>
      <c r="AJ643" s="9">
        <f>C643</f>
        <v>1891</v>
      </c>
      <c r="AK643" s="9">
        <f>IF(P643="completed",((V643-K643)*24*60),0)</f>
        <v>5.9999999986030161</v>
      </c>
      <c r="AL643" s="9">
        <f>IF(P643="completed",((U643-K643)*24*60),0)</f>
        <v>7.0000000018626451</v>
      </c>
      <c r="AM643" s="9" t="str">
        <f t="shared" si="13"/>
        <v>OTP Achieved</v>
      </c>
      <c r="AN643" s="9" t="str">
        <f t="shared" si="14"/>
        <v>OTP Achieved</v>
      </c>
    </row>
    <row r="644" spans="1:40" ht="15">
      <c r="A644" s="14" t="s">
        <v>1310</v>
      </c>
      <c r="B644" s="15">
        <v>46313.488888888889</v>
      </c>
      <c r="C644" s="16">
        <v>1913</v>
      </c>
      <c r="D644" s="17" t="s">
        <v>41</v>
      </c>
      <c r="E644" s="16">
        <v>7</v>
      </c>
      <c r="F644" s="17" t="s">
        <v>41</v>
      </c>
      <c r="G644" s="17" t="s">
        <v>41</v>
      </c>
      <c r="H644" s="17" t="s">
        <v>2041</v>
      </c>
      <c r="I644" s="15">
        <v>46313.489583333336</v>
      </c>
      <c r="J644" s="17" t="s">
        <v>41</v>
      </c>
      <c r="K644" s="15">
        <v>46313.488888888889</v>
      </c>
      <c r="L644" s="16">
        <v>53</v>
      </c>
      <c r="M644" s="17"/>
      <c r="N644" s="17"/>
      <c r="O644" s="15">
        <v>46313.488194444442</v>
      </c>
      <c r="P644" s="17" t="s">
        <v>43</v>
      </c>
      <c r="Q644" s="17" t="s">
        <v>1312</v>
      </c>
      <c r="R644" s="17" t="s">
        <v>2042</v>
      </c>
      <c r="S644" s="16">
        <v>4247</v>
      </c>
      <c r="T644" s="17" t="s">
        <v>41</v>
      </c>
      <c r="U644" s="15">
        <v>46313.494444444441</v>
      </c>
      <c r="V644" s="15">
        <v>46313.494444444441</v>
      </c>
      <c r="W644" s="18" t="s">
        <v>2043</v>
      </c>
      <c r="X644" s="16">
        <v>22411</v>
      </c>
      <c r="Y644" s="19"/>
      <c r="Z644" s="16">
        <v>0</v>
      </c>
      <c r="AA644" s="20">
        <v>0.48888888888888887</v>
      </c>
      <c r="AB644" s="16">
        <v>6</v>
      </c>
      <c r="AC644" s="17" t="s">
        <v>41</v>
      </c>
      <c r="AD644" s="9" t="str">
        <f t="shared" si="10"/>
        <v>Actual</v>
      </c>
      <c r="AE644" s="9" t="str">
        <f t="shared" si="11"/>
        <v>TMK7</v>
      </c>
      <c r="AF644" s="9">
        <f>HOUR(O644)</f>
        <v>11</v>
      </c>
      <c r="AG644" s="9">
        <f>DAY(O644)</f>
        <v>18</v>
      </c>
      <c r="AH644" s="9">
        <f>IFERROR((I644-K644)*24*60,0)</f>
        <v>1.000000003259629</v>
      </c>
      <c r="AI644" s="9">
        <f t="shared" si="12"/>
        <v>1.000000003259629</v>
      </c>
      <c r="AJ644" s="9">
        <f>C644</f>
        <v>1913</v>
      </c>
      <c r="AK644" s="9">
        <f>IF(P644="completed",((V644-K644)*24*60),0)</f>
        <v>7.9999999946448952</v>
      </c>
      <c r="AL644" s="9">
        <f>IF(P644="completed",((U644-K644)*24*60),0)</f>
        <v>7.9999999946448952</v>
      </c>
      <c r="AM644" s="9" t="str">
        <f t="shared" si="13"/>
        <v>OTP Breached</v>
      </c>
      <c r="AN644" s="9" t="str">
        <f t="shared" si="14"/>
        <v>OTP Achieved</v>
      </c>
    </row>
    <row r="645" spans="1:40" ht="15">
      <c r="A645" s="14" t="s">
        <v>190</v>
      </c>
      <c r="B645" s="15">
        <v>46313.488888888889</v>
      </c>
      <c r="C645" s="16">
        <v>2416</v>
      </c>
      <c r="D645" s="17" t="s">
        <v>41</v>
      </c>
      <c r="E645" s="16">
        <v>8</v>
      </c>
      <c r="F645" s="17" t="s">
        <v>41</v>
      </c>
      <c r="G645" s="17" t="s">
        <v>41</v>
      </c>
      <c r="H645" s="17" t="s">
        <v>2044</v>
      </c>
      <c r="I645" s="15">
        <v>46313.489583333336</v>
      </c>
      <c r="J645" s="17" t="s">
        <v>41</v>
      </c>
      <c r="K645" s="15">
        <v>46313.488888888889</v>
      </c>
      <c r="L645" s="16">
        <v>37</v>
      </c>
      <c r="M645" s="17"/>
      <c r="N645" s="17"/>
      <c r="O645" s="15">
        <v>46313.488194444442</v>
      </c>
      <c r="P645" s="17" t="s">
        <v>43</v>
      </c>
      <c r="Q645" s="17" t="s">
        <v>192</v>
      </c>
      <c r="R645" s="17" t="s">
        <v>2045</v>
      </c>
      <c r="S645" s="16">
        <v>4247</v>
      </c>
      <c r="T645" s="17" t="s">
        <v>41</v>
      </c>
      <c r="U645" s="15">
        <v>46313.495833333334</v>
      </c>
      <c r="V645" s="15">
        <v>46313.494444444441</v>
      </c>
      <c r="W645" s="18" t="s">
        <v>2046</v>
      </c>
      <c r="X645" s="16">
        <v>22411</v>
      </c>
      <c r="Y645" s="19"/>
      <c r="Z645" s="16">
        <v>0</v>
      </c>
      <c r="AA645" s="20">
        <v>0.48888888888888887</v>
      </c>
      <c r="AB645" s="16">
        <v>7</v>
      </c>
      <c r="AC645" s="17" t="s">
        <v>41</v>
      </c>
      <c r="AD645" s="9" t="str">
        <f t="shared" si="10"/>
        <v>Actual</v>
      </c>
      <c r="AE645" s="9" t="str">
        <f t="shared" si="11"/>
        <v>TMK7</v>
      </c>
      <c r="AF645" s="9">
        <f>HOUR(O645)</f>
        <v>11</v>
      </c>
      <c r="AG645" s="9">
        <f>DAY(O645)</f>
        <v>18</v>
      </c>
      <c r="AH645" s="9">
        <f>IFERROR((I645-K645)*24*60,0)</f>
        <v>1.000000003259629</v>
      </c>
      <c r="AI645" s="9">
        <f t="shared" si="12"/>
        <v>1.000000003259629</v>
      </c>
      <c r="AJ645" s="9">
        <f>C645</f>
        <v>2416</v>
      </c>
      <c r="AK645" s="9">
        <f>IF(P645="completed",((V645-K645)*24*60),0)</f>
        <v>7.9999999946448952</v>
      </c>
      <c r="AL645" s="9">
        <f>IF(P645="completed",((U645-K645)*24*60),0)</f>
        <v>10.000000001164153</v>
      </c>
      <c r="AM645" s="9" t="str">
        <f t="shared" si="13"/>
        <v>OTP Achieved</v>
      </c>
      <c r="AN645" s="9" t="str">
        <f t="shared" si="14"/>
        <v>OTP Achieved</v>
      </c>
    </row>
    <row r="646" spans="1:40" ht="15">
      <c r="A646" s="14" t="s">
        <v>67</v>
      </c>
      <c r="B646" s="15">
        <v>46313.487500000003</v>
      </c>
      <c r="C646" s="16">
        <v>1993</v>
      </c>
      <c r="D646" s="17" t="s">
        <v>41</v>
      </c>
      <c r="E646" s="16">
        <v>7</v>
      </c>
      <c r="F646" s="17" t="s">
        <v>41</v>
      </c>
      <c r="G646" s="17" t="s">
        <v>41</v>
      </c>
      <c r="H646" s="17" t="s">
        <v>2047</v>
      </c>
      <c r="I646" s="15">
        <v>46313.488194444442</v>
      </c>
      <c r="J646" s="17" t="s">
        <v>41</v>
      </c>
      <c r="K646" s="15">
        <v>46313.487500000003</v>
      </c>
      <c r="L646" s="16">
        <v>19</v>
      </c>
      <c r="M646" s="17"/>
      <c r="N646" s="17"/>
      <c r="O646" s="15">
        <v>46313.487500000003</v>
      </c>
      <c r="P646" s="17" t="s">
        <v>43</v>
      </c>
      <c r="Q646" s="17" t="s">
        <v>69</v>
      </c>
      <c r="R646" s="17" t="s">
        <v>2048</v>
      </c>
      <c r="S646" s="16">
        <v>4247</v>
      </c>
      <c r="T646" s="17" t="s">
        <v>41</v>
      </c>
      <c r="U646" s="15">
        <v>46313.494444444441</v>
      </c>
      <c r="V646" s="15">
        <v>46313.492361111108</v>
      </c>
      <c r="W646" s="18" t="s">
        <v>2049</v>
      </c>
      <c r="X646" s="16">
        <v>22411</v>
      </c>
      <c r="Y646" s="19"/>
      <c r="Z646" s="16">
        <v>0</v>
      </c>
      <c r="AA646" s="20">
        <v>0.48749999999999999</v>
      </c>
      <c r="AB646" s="16">
        <v>7</v>
      </c>
      <c r="AC646" s="17" t="s">
        <v>41</v>
      </c>
      <c r="AD646" s="9" t="str">
        <f t="shared" si="10"/>
        <v>Actual</v>
      </c>
      <c r="AE646" s="9" t="str">
        <f t="shared" si="11"/>
        <v>TMK7</v>
      </c>
      <c r="AF646" s="9">
        <f>HOUR(O646)</f>
        <v>11</v>
      </c>
      <c r="AG646" s="9">
        <f>DAY(O646)</f>
        <v>18</v>
      </c>
      <c r="AH646" s="9">
        <f>IFERROR((I646-K646)*24*60,0)</f>
        <v>0.99999999278225005</v>
      </c>
      <c r="AI646" s="9">
        <f t="shared" si="12"/>
        <v>0.99999999278225005</v>
      </c>
      <c r="AJ646" s="9">
        <f>C646</f>
        <v>1993</v>
      </c>
      <c r="AK646" s="9">
        <f>IF(P646="completed",((V646-K646)*24*60),0)</f>
        <v>6.9999999913852662</v>
      </c>
      <c r="AL646" s="9">
        <f>IF(P646="completed",((U646-K646)*24*60),0)</f>
        <v>9.9999999906867743</v>
      </c>
      <c r="AM646" s="9" t="str">
        <f t="shared" si="13"/>
        <v>OTP Achieved</v>
      </c>
      <c r="AN646" s="9" t="str">
        <f t="shared" si="14"/>
        <v>OTP Achieved</v>
      </c>
    </row>
    <row r="647" spans="1:40" ht="15">
      <c r="A647" s="14" t="s">
        <v>57</v>
      </c>
      <c r="B647" s="15">
        <v>46313.487500000003</v>
      </c>
      <c r="C647" s="16">
        <v>1965</v>
      </c>
      <c r="D647" s="17" t="s">
        <v>41</v>
      </c>
      <c r="E647" s="16">
        <v>6</v>
      </c>
      <c r="F647" s="17" t="s">
        <v>41</v>
      </c>
      <c r="G647" s="17" t="s">
        <v>41</v>
      </c>
      <c r="H647" s="17" t="s">
        <v>2047</v>
      </c>
      <c r="I647" s="15">
        <v>46313.488194444442</v>
      </c>
      <c r="J647" s="17" t="s">
        <v>41</v>
      </c>
      <c r="K647" s="15">
        <v>46313.487500000003</v>
      </c>
      <c r="L647" s="16">
        <v>59</v>
      </c>
      <c r="M647" s="17"/>
      <c r="N647" s="17"/>
      <c r="O647" s="15">
        <v>46313.487500000003</v>
      </c>
      <c r="P647" s="17" t="s">
        <v>43</v>
      </c>
      <c r="Q647" s="17" t="s">
        <v>59</v>
      </c>
      <c r="R647" s="17" t="s">
        <v>2050</v>
      </c>
      <c r="S647" s="16">
        <v>4247</v>
      </c>
      <c r="T647" s="17" t="s">
        <v>41</v>
      </c>
      <c r="U647" s="15">
        <v>46313.493055555555</v>
      </c>
      <c r="V647" s="15">
        <v>46313.491666666669</v>
      </c>
      <c r="W647" s="18" t="s">
        <v>2051</v>
      </c>
      <c r="X647" s="16">
        <v>22411</v>
      </c>
      <c r="Y647" s="19"/>
      <c r="Z647" s="16">
        <v>0</v>
      </c>
      <c r="AA647" s="20">
        <v>0.48749999999999999</v>
      </c>
      <c r="AB647" s="16">
        <v>5</v>
      </c>
      <c r="AC647" s="17" t="s">
        <v>41</v>
      </c>
      <c r="AD647" s="9" t="str">
        <f t="shared" si="10"/>
        <v>Actual</v>
      </c>
      <c r="AE647" s="9" t="str">
        <f t="shared" si="11"/>
        <v>TMK7</v>
      </c>
      <c r="AF647" s="9">
        <f>HOUR(O647)</f>
        <v>11</v>
      </c>
      <c r="AG647" s="9">
        <f>DAY(O647)</f>
        <v>18</v>
      </c>
      <c r="AH647" s="9">
        <f>IFERROR((I647-K647)*24*60,0)</f>
        <v>0.99999999278225005</v>
      </c>
      <c r="AI647" s="9">
        <f t="shared" si="12"/>
        <v>0.99999999278225005</v>
      </c>
      <c r="AJ647" s="9">
        <f>C647</f>
        <v>1965</v>
      </c>
      <c r="AK647" s="9">
        <f>IF(P647="completed",((V647-K647)*24*60),0)</f>
        <v>5.9999999986030161</v>
      </c>
      <c r="AL647" s="9">
        <f>IF(P647="completed",((U647-K647)*24*60),0)</f>
        <v>7.9999999946448952</v>
      </c>
      <c r="AM647" s="9" t="str">
        <f t="shared" si="13"/>
        <v>OTP Achieved</v>
      </c>
      <c r="AN647" s="9" t="str">
        <f t="shared" si="14"/>
        <v>OTP Achieved</v>
      </c>
    </row>
    <row r="648" spans="1:40" ht="15">
      <c r="A648" s="14" t="s">
        <v>1461</v>
      </c>
      <c r="B648" s="15">
        <v>46313.486805555556</v>
      </c>
      <c r="C648" s="16">
        <v>1238</v>
      </c>
      <c r="D648" s="17" t="s">
        <v>41</v>
      </c>
      <c r="E648" s="16">
        <v>5</v>
      </c>
      <c r="F648" s="17" t="s">
        <v>41</v>
      </c>
      <c r="G648" s="17" t="s">
        <v>41</v>
      </c>
      <c r="H648" s="17" t="s">
        <v>2052</v>
      </c>
      <c r="I648" s="15">
        <v>46313.488194444442</v>
      </c>
      <c r="J648" s="17" t="s">
        <v>41</v>
      </c>
      <c r="K648" s="15">
        <v>46313.487500000003</v>
      </c>
      <c r="L648" s="16">
        <v>54</v>
      </c>
      <c r="M648" s="17"/>
      <c r="N648" s="17"/>
      <c r="O648" s="15">
        <v>46313.486805555556</v>
      </c>
      <c r="P648" s="17" t="s">
        <v>43</v>
      </c>
      <c r="Q648" s="17" t="s">
        <v>1463</v>
      </c>
      <c r="R648" s="17" t="s">
        <v>2053</v>
      </c>
      <c r="S648" s="16">
        <v>4247</v>
      </c>
      <c r="T648" s="17" t="s">
        <v>41</v>
      </c>
      <c r="U648" s="15">
        <v>46313.491666666669</v>
      </c>
      <c r="V648" s="15">
        <v>46313.490972222222</v>
      </c>
      <c r="W648" s="18" t="s">
        <v>2054</v>
      </c>
      <c r="X648" s="16">
        <v>22411</v>
      </c>
      <c r="Y648" s="19"/>
      <c r="Z648" s="16">
        <v>0</v>
      </c>
      <c r="AA648" s="20">
        <v>0.48680555555555555</v>
      </c>
      <c r="AB648" s="16">
        <v>4</v>
      </c>
      <c r="AC648" s="17" t="s">
        <v>41</v>
      </c>
      <c r="AD648" s="9" t="str">
        <f t="shared" si="10"/>
        <v>Actual</v>
      </c>
      <c r="AE648" s="9" t="str">
        <f t="shared" si="11"/>
        <v>TMK7</v>
      </c>
      <c r="AF648" s="9">
        <f>HOUR(O648)</f>
        <v>11</v>
      </c>
      <c r="AG648" s="9">
        <f>DAY(O648)</f>
        <v>18</v>
      </c>
      <c r="AH648" s="9">
        <f>IFERROR((I648-K648)*24*60,0)</f>
        <v>0.99999999278225005</v>
      </c>
      <c r="AI648" s="9">
        <f t="shared" si="12"/>
        <v>0.99999999278225005</v>
      </c>
      <c r="AJ648" s="9">
        <f>C648</f>
        <v>1238</v>
      </c>
      <c r="AK648" s="9">
        <f>IF(P648="completed",((V648-K648)*24*60),0)</f>
        <v>4.9999999953433871</v>
      </c>
      <c r="AL648" s="9">
        <f>IF(P648="completed",((U648-K648)*24*60),0)</f>
        <v>5.9999999986030161</v>
      </c>
      <c r="AM648" s="9" t="str">
        <f t="shared" si="13"/>
        <v>OTP Achieved</v>
      </c>
      <c r="AN648" s="9" t="str">
        <f t="shared" si="14"/>
        <v>OTP Achieved</v>
      </c>
    </row>
    <row r="649" spans="1:40" ht="15">
      <c r="A649" s="14" t="s">
        <v>177</v>
      </c>
      <c r="B649" s="15">
        <v>46313.48541666667</v>
      </c>
      <c r="C649" s="16">
        <v>503</v>
      </c>
      <c r="D649" s="17" t="s">
        <v>41</v>
      </c>
      <c r="E649" s="16">
        <v>3</v>
      </c>
      <c r="F649" s="17" t="s">
        <v>41</v>
      </c>
      <c r="G649" s="17" t="s">
        <v>41</v>
      </c>
      <c r="H649" s="17" t="s">
        <v>2055</v>
      </c>
      <c r="I649" s="15">
        <v>46313.486111111109</v>
      </c>
      <c r="J649" s="17" t="s">
        <v>41</v>
      </c>
      <c r="K649" s="15">
        <v>46313.486111111109</v>
      </c>
      <c r="L649" s="16">
        <v>28</v>
      </c>
      <c r="M649" s="17"/>
      <c r="N649" s="17"/>
      <c r="O649" s="15">
        <v>46313.48541666667</v>
      </c>
      <c r="P649" s="17" t="s">
        <v>43</v>
      </c>
      <c r="Q649" s="17" t="s">
        <v>179</v>
      </c>
      <c r="R649" s="17" t="s">
        <v>2056</v>
      </c>
      <c r="S649" s="16">
        <v>4247</v>
      </c>
      <c r="T649" s="17" t="s">
        <v>41</v>
      </c>
      <c r="U649" s="15">
        <v>46313.488888888889</v>
      </c>
      <c r="V649" s="15">
        <v>46313.488194444442</v>
      </c>
      <c r="W649" s="18" t="s">
        <v>2057</v>
      </c>
      <c r="X649" s="16">
        <v>22411</v>
      </c>
      <c r="Y649" s="17"/>
      <c r="Z649" s="16">
        <v>0</v>
      </c>
      <c r="AA649" s="20">
        <v>0.48541666666666666</v>
      </c>
      <c r="AB649" s="16">
        <v>2</v>
      </c>
      <c r="AC649" s="17" t="s">
        <v>41</v>
      </c>
      <c r="AD649" s="9" t="str">
        <f t="shared" si="10"/>
        <v>Actual</v>
      </c>
      <c r="AE649" s="9" t="str">
        <f t="shared" si="11"/>
        <v>TMK7</v>
      </c>
      <c r="AF649" s="9">
        <f>HOUR(O649)</f>
        <v>11</v>
      </c>
      <c r="AG649" s="9">
        <f>DAY(O649)</f>
        <v>18</v>
      </c>
      <c r="AH649" s="9">
        <f>IFERROR((I649-K649)*24*60,0)</f>
        <v>0</v>
      </c>
      <c r="AI649" s="9">
        <f t="shared" si="12"/>
        <v>0</v>
      </c>
      <c r="AJ649" s="9">
        <f>C649</f>
        <v>503</v>
      </c>
      <c r="AK649" s="9">
        <f>IF(P649="completed",((V649-K649)*24*60),0)</f>
        <v>2.9999999993015081</v>
      </c>
      <c r="AL649" s="9">
        <f>IF(P649="completed",((U649-K649)*24*60),0)</f>
        <v>4.0000000025611371</v>
      </c>
      <c r="AM649" s="9" t="str">
        <f t="shared" si="13"/>
        <v>OTP Achieved</v>
      </c>
      <c r="AN649" s="9" t="str">
        <f t="shared" si="14"/>
        <v>OTP Achieved</v>
      </c>
    </row>
    <row r="650" spans="1:40" ht="15">
      <c r="A650" s="14" t="s">
        <v>1336</v>
      </c>
      <c r="B650" s="15">
        <v>46313.48541666667</v>
      </c>
      <c r="C650" s="16">
        <v>509</v>
      </c>
      <c r="D650" s="17" t="s">
        <v>41</v>
      </c>
      <c r="E650" s="16">
        <v>5</v>
      </c>
      <c r="F650" s="17" t="s">
        <v>41</v>
      </c>
      <c r="G650" s="17" t="s">
        <v>41</v>
      </c>
      <c r="H650" s="17" t="s">
        <v>2055</v>
      </c>
      <c r="I650" s="15">
        <v>46313.487500000003</v>
      </c>
      <c r="J650" s="17" t="s">
        <v>41</v>
      </c>
      <c r="K650" s="15">
        <v>46313.487500000003</v>
      </c>
      <c r="L650" s="16">
        <v>16</v>
      </c>
      <c r="M650" s="17"/>
      <c r="N650" s="17"/>
      <c r="O650" s="15">
        <v>46313.48541666667</v>
      </c>
      <c r="P650" s="17" t="s">
        <v>43</v>
      </c>
      <c r="Q650" s="17" t="s">
        <v>1338</v>
      </c>
      <c r="R650" s="17" t="s">
        <v>2058</v>
      </c>
      <c r="S650" s="16">
        <v>4247</v>
      </c>
      <c r="T650" s="17" t="s">
        <v>41</v>
      </c>
      <c r="U650" s="15">
        <v>46313.489583333336</v>
      </c>
      <c r="V650" s="15">
        <v>46313.490972222222</v>
      </c>
      <c r="W650" s="18" t="s">
        <v>2059</v>
      </c>
      <c r="X650" s="16">
        <v>22411</v>
      </c>
      <c r="Y650" s="17"/>
      <c r="Z650" s="16">
        <v>0</v>
      </c>
      <c r="AA650" s="20">
        <v>0.48541666666666666</v>
      </c>
      <c r="AB650" s="16">
        <v>5</v>
      </c>
      <c r="AC650" s="17" t="s">
        <v>41</v>
      </c>
      <c r="AD650" s="9" t="str">
        <f t="shared" si="10"/>
        <v>Actual</v>
      </c>
      <c r="AE650" s="9" t="str">
        <f t="shared" si="11"/>
        <v>TMK7</v>
      </c>
      <c r="AF650" s="9">
        <f>HOUR(O650)</f>
        <v>11</v>
      </c>
      <c r="AG650" s="9">
        <f>DAY(O650)</f>
        <v>18</v>
      </c>
      <c r="AH650" s="9">
        <f>IFERROR((I650-K650)*24*60,0)</f>
        <v>0</v>
      </c>
      <c r="AI650" s="9">
        <f t="shared" si="12"/>
        <v>0</v>
      </c>
      <c r="AJ650" s="9">
        <f>C650</f>
        <v>509</v>
      </c>
      <c r="AK650" s="9">
        <f>IF(P650="completed",((V650-K650)*24*60),0)</f>
        <v>4.9999999953433871</v>
      </c>
      <c r="AL650" s="9">
        <f>IF(P650="completed",((U650-K650)*24*60),0)</f>
        <v>2.9999999993015081</v>
      </c>
      <c r="AM650" s="9" t="str">
        <f t="shared" si="13"/>
        <v>OTP Breached</v>
      </c>
      <c r="AN650" s="9" t="str">
        <f t="shared" si="14"/>
        <v>OTP Achieved</v>
      </c>
    </row>
    <row r="651" spans="1:40" ht="15">
      <c r="A651" s="14" t="s">
        <v>106</v>
      </c>
      <c r="B651" s="15">
        <v>46313.48541666667</v>
      </c>
      <c r="C651" s="16">
        <v>3928</v>
      </c>
      <c r="D651" s="17" t="s">
        <v>41</v>
      </c>
      <c r="E651" s="16">
        <v>13</v>
      </c>
      <c r="F651" s="17" t="s">
        <v>41</v>
      </c>
      <c r="G651" s="17" t="s">
        <v>41</v>
      </c>
      <c r="H651" s="17" t="s">
        <v>2060</v>
      </c>
      <c r="I651" s="15">
        <v>46313.488194444442</v>
      </c>
      <c r="J651" s="17" t="s">
        <v>41</v>
      </c>
      <c r="K651" s="15">
        <v>46313.487500000003</v>
      </c>
      <c r="L651" s="16">
        <v>29</v>
      </c>
      <c r="M651" s="17"/>
      <c r="N651" s="17"/>
      <c r="O651" s="15">
        <v>46313.48541666667</v>
      </c>
      <c r="P651" s="17" t="s">
        <v>43</v>
      </c>
      <c r="Q651" s="17" t="s">
        <v>108</v>
      </c>
      <c r="R651" s="17" t="s">
        <v>2061</v>
      </c>
      <c r="S651" s="16">
        <v>4247</v>
      </c>
      <c r="T651" s="17" t="s">
        <v>41</v>
      </c>
      <c r="U651" s="15">
        <v>46313.49722222222</v>
      </c>
      <c r="V651" s="15">
        <v>46313.496527777781</v>
      </c>
      <c r="W651" s="18" t="s">
        <v>2062</v>
      </c>
      <c r="X651" s="16">
        <v>22411</v>
      </c>
      <c r="Y651" s="19"/>
      <c r="Z651" s="16">
        <v>0</v>
      </c>
      <c r="AA651" s="20">
        <v>0.48541666666666666</v>
      </c>
      <c r="AB651" s="16">
        <v>12</v>
      </c>
      <c r="AC651" s="17" t="s">
        <v>41</v>
      </c>
      <c r="AD651" s="9" t="str">
        <f t="shared" si="10"/>
        <v>Actual</v>
      </c>
      <c r="AE651" s="9" t="str">
        <f t="shared" si="11"/>
        <v>TMK7</v>
      </c>
      <c r="AF651" s="9">
        <f>HOUR(O651)</f>
        <v>11</v>
      </c>
      <c r="AG651" s="9">
        <f>DAY(O651)</f>
        <v>18</v>
      </c>
      <c r="AH651" s="9">
        <f>IFERROR((I651-K651)*24*60,0)</f>
        <v>0.99999999278225005</v>
      </c>
      <c r="AI651" s="9">
        <f t="shared" si="12"/>
        <v>0.99999999278225005</v>
      </c>
      <c r="AJ651" s="9">
        <f>C651</f>
        <v>3928</v>
      </c>
      <c r="AK651" s="9">
        <f>IF(P651="completed",((V651-K651)*24*60),0)</f>
        <v>13.000000000465661</v>
      </c>
      <c r="AL651" s="9">
        <f>IF(P651="completed",((U651-K651)*24*60),0)</f>
        <v>13.999999993247911</v>
      </c>
      <c r="AM651" s="9" t="str">
        <f t="shared" si="13"/>
        <v>OTP Achieved</v>
      </c>
      <c r="AN651" s="9" t="str">
        <f t="shared" si="14"/>
        <v>OTP Achieved</v>
      </c>
    </row>
    <row r="652" spans="1:40" ht="15">
      <c r="A652" s="14" t="s">
        <v>1171</v>
      </c>
      <c r="B652" s="15">
        <v>46313.484027777777</v>
      </c>
      <c r="C652" s="16">
        <v>3143</v>
      </c>
      <c r="D652" s="17" t="s">
        <v>41</v>
      </c>
      <c r="E652" s="16">
        <v>10</v>
      </c>
      <c r="F652" s="17" t="s">
        <v>41</v>
      </c>
      <c r="G652" s="17" t="s">
        <v>41</v>
      </c>
      <c r="H652" s="17" t="s">
        <v>2063</v>
      </c>
      <c r="I652" s="15">
        <v>46313.487500000003</v>
      </c>
      <c r="J652" s="17" t="s">
        <v>41</v>
      </c>
      <c r="K652" s="15">
        <v>46313.486805555556</v>
      </c>
      <c r="L652" s="16">
        <v>13</v>
      </c>
      <c r="M652" s="17"/>
      <c r="N652" s="17"/>
      <c r="O652" s="15">
        <v>46313.48333333333</v>
      </c>
      <c r="P652" s="17" t="s">
        <v>43</v>
      </c>
      <c r="Q652" s="17" t="s">
        <v>1173</v>
      </c>
      <c r="R652" s="17" t="s">
        <v>2064</v>
      </c>
      <c r="S652" s="16">
        <v>4247</v>
      </c>
      <c r="T652" s="17" t="s">
        <v>41</v>
      </c>
      <c r="U652" s="15">
        <v>46313.495138888888</v>
      </c>
      <c r="V652" s="15">
        <v>46313.494444444441</v>
      </c>
      <c r="W652" s="18" t="s">
        <v>2065</v>
      </c>
      <c r="X652" s="16">
        <v>22411</v>
      </c>
      <c r="Y652" s="19"/>
      <c r="Z652" s="16">
        <v>0</v>
      </c>
      <c r="AA652" s="20">
        <v>0.48402777777777778</v>
      </c>
      <c r="AB652" s="16">
        <v>10</v>
      </c>
      <c r="AC652" s="17" t="s">
        <v>41</v>
      </c>
      <c r="AD652" s="9" t="str">
        <f t="shared" si="10"/>
        <v>Actual</v>
      </c>
      <c r="AE652" s="9" t="str">
        <f t="shared" si="11"/>
        <v>TMK7</v>
      </c>
      <c r="AF652" s="9">
        <f>HOUR(O652)</f>
        <v>11</v>
      </c>
      <c r="AG652" s="9">
        <f>DAY(O652)</f>
        <v>18</v>
      </c>
      <c r="AH652" s="9">
        <f>IFERROR((I652-K652)*24*60,0)</f>
        <v>1.000000003259629</v>
      </c>
      <c r="AI652" s="9">
        <f t="shared" si="12"/>
        <v>1.000000003259629</v>
      </c>
      <c r="AJ652" s="9">
        <f>C652</f>
        <v>3143</v>
      </c>
      <c r="AK652" s="9">
        <f>IF(P652="completed",((V652-K652)*24*60),0)</f>
        <v>10.999999993946403</v>
      </c>
      <c r="AL652" s="9">
        <f>IF(P652="completed",((U652-K652)*24*60),0)</f>
        <v>11.999999997206032</v>
      </c>
      <c r="AM652" s="9" t="str">
        <f t="shared" si="13"/>
        <v>OTP Achieved</v>
      </c>
      <c r="AN652" s="9" t="str">
        <f t="shared" si="14"/>
        <v>OTP Achieved</v>
      </c>
    </row>
    <row r="653" spans="1:40" ht="15">
      <c r="A653" s="14" t="s">
        <v>1592</v>
      </c>
      <c r="B653" s="15">
        <v>46313.481944444444</v>
      </c>
      <c r="C653" s="16">
        <v>1892</v>
      </c>
      <c r="D653" s="17" t="s">
        <v>41</v>
      </c>
      <c r="E653" s="16">
        <v>5</v>
      </c>
      <c r="F653" s="17" t="s">
        <v>41</v>
      </c>
      <c r="G653" s="17" t="s">
        <v>41</v>
      </c>
      <c r="H653" s="17" t="s">
        <v>2066</v>
      </c>
      <c r="I653" s="15">
        <v>46313.482638888891</v>
      </c>
      <c r="J653" s="17" t="s">
        <v>41</v>
      </c>
      <c r="K653" s="15">
        <v>46313.482638888891</v>
      </c>
      <c r="L653" s="16">
        <v>23</v>
      </c>
      <c r="M653" s="17"/>
      <c r="N653" s="17"/>
      <c r="O653" s="15">
        <v>46313.481944444444</v>
      </c>
      <c r="P653" s="17" t="s">
        <v>43</v>
      </c>
      <c r="Q653" s="17" t="s">
        <v>1594</v>
      </c>
      <c r="R653" s="17" t="s">
        <v>2067</v>
      </c>
      <c r="S653" s="16">
        <v>4247</v>
      </c>
      <c r="T653" s="17" t="s">
        <v>41</v>
      </c>
      <c r="U653" s="15">
        <v>46313.487500000003</v>
      </c>
      <c r="V653" s="15">
        <v>46313.486111111109</v>
      </c>
      <c r="W653" s="18" t="s">
        <v>2068</v>
      </c>
      <c r="X653" s="16">
        <v>22411</v>
      </c>
      <c r="Y653" s="19"/>
      <c r="Z653" s="16">
        <v>0</v>
      </c>
      <c r="AA653" s="20">
        <v>0.48194444444444445</v>
      </c>
      <c r="AB653" s="16">
        <v>5</v>
      </c>
      <c r="AC653" s="17" t="s">
        <v>41</v>
      </c>
      <c r="AD653" s="9" t="str">
        <f t="shared" si="10"/>
        <v>Actual</v>
      </c>
      <c r="AE653" s="9" t="str">
        <f t="shared" si="11"/>
        <v>TMK7</v>
      </c>
      <c r="AF653" s="9">
        <f>HOUR(O653)</f>
        <v>11</v>
      </c>
      <c r="AG653" s="9">
        <f>DAY(O653)</f>
        <v>18</v>
      </c>
      <c r="AH653" s="9">
        <f>IFERROR((I653-K653)*24*60,0)</f>
        <v>0</v>
      </c>
      <c r="AI653" s="9">
        <f t="shared" si="12"/>
        <v>0</v>
      </c>
      <c r="AJ653" s="9">
        <f>C653</f>
        <v>1892</v>
      </c>
      <c r="AK653" s="9">
        <f>IF(P653="completed",((V653-K653)*24*60),0)</f>
        <v>4.9999999953433871</v>
      </c>
      <c r="AL653" s="9">
        <f>IF(P653="completed",((U653-K653)*24*60),0)</f>
        <v>7.0000000018626451</v>
      </c>
      <c r="AM653" s="9" t="str">
        <f t="shared" si="13"/>
        <v>OTP Achieved</v>
      </c>
      <c r="AN653" s="9" t="str">
        <f t="shared" si="14"/>
        <v>OTP Achieved</v>
      </c>
    </row>
    <row r="654" spans="1:40" ht="15">
      <c r="A654" s="14" t="s">
        <v>190</v>
      </c>
      <c r="B654" s="15">
        <v>46313.481944444444</v>
      </c>
      <c r="C654" s="16">
        <v>365</v>
      </c>
      <c r="D654" s="17" t="s">
        <v>41</v>
      </c>
      <c r="E654" s="16">
        <v>2</v>
      </c>
      <c r="F654" s="17" t="s">
        <v>41</v>
      </c>
      <c r="G654" s="17" t="s">
        <v>41</v>
      </c>
      <c r="H654" s="17" t="s">
        <v>2069</v>
      </c>
      <c r="I654" s="15">
        <v>46313.48333333333</v>
      </c>
      <c r="J654" s="17" t="s">
        <v>41</v>
      </c>
      <c r="K654" s="15">
        <v>46313.482638888891</v>
      </c>
      <c r="L654" s="16">
        <v>41</v>
      </c>
      <c r="M654" s="17"/>
      <c r="N654" s="17"/>
      <c r="O654" s="15">
        <v>46313.481944444444</v>
      </c>
      <c r="P654" s="17" t="s">
        <v>43</v>
      </c>
      <c r="Q654" s="17" t="s">
        <v>192</v>
      </c>
      <c r="R654" s="17" t="s">
        <v>2070</v>
      </c>
      <c r="S654" s="16">
        <v>4247</v>
      </c>
      <c r="T654" s="17" t="s">
        <v>41</v>
      </c>
      <c r="U654" s="15">
        <v>46313.484722222223</v>
      </c>
      <c r="V654" s="15">
        <v>46313.484027777777</v>
      </c>
      <c r="W654" s="18" t="s">
        <v>2071</v>
      </c>
      <c r="X654" s="16">
        <v>22411</v>
      </c>
      <c r="Y654" s="19"/>
      <c r="Z654" s="16">
        <v>0</v>
      </c>
      <c r="AA654" s="20">
        <v>0.48194444444444445</v>
      </c>
      <c r="AB654" s="16">
        <v>2</v>
      </c>
      <c r="AC654" s="17" t="s">
        <v>41</v>
      </c>
      <c r="AD654" s="9" t="str">
        <f t="shared" si="10"/>
        <v>Actual</v>
      </c>
      <c r="AE654" s="9" t="str">
        <f t="shared" si="11"/>
        <v>TMK7</v>
      </c>
      <c r="AF654" s="9">
        <f>HOUR(O654)</f>
        <v>11</v>
      </c>
      <c r="AG654" s="9">
        <f>DAY(O654)</f>
        <v>18</v>
      </c>
      <c r="AH654" s="9">
        <f>IFERROR((I654-K654)*24*60,0)</f>
        <v>0.99999999278225005</v>
      </c>
      <c r="AI654" s="9">
        <f t="shared" si="12"/>
        <v>0.99999999278225005</v>
      </c>
      <c r="AJ654" s="9">
        <f>C654</f>
        <v>365</v>
      </c>
      <c r="AK654" s="9">
        <f>IF(P654="completed",((V654-K654)*24*60),0)</f>
        <v>1.9999999960418791</v>
      </c>
      <c r="AL654" s="9">
        <f>IF(P654="completed",((U654-K654)*24*60),0)</f>
        <v>2.9999999993015081</v>
      </c>
      <c r="AM654" s="9" t="str">
        <f t="shared" si="13"/>
        <v>OTP Achieved</v>
      </c>
      <c r="AN654" s="9" t="str">
        <f t="shared" si="14"/>
        <v>OTP Achieved</v>
      </c>
    </row>
    <row r="655" spans="1:40" ht="15">
      <c r="A655" s="14" t="s">
        <v>62</v>
      </c>
      <c r="B655" s="15">
        <v>46313.481944444444</v>
      </c>
      <c r="C655" s="16">
        <v>1973</v>
      </c>
      <c r="D655" s="17" t="s">
        <v>41</v>
      </c>
      <c r="E655" s="16">
        <v>7</v>
      </c>
      <c r="F655" s="17" t="s">
        <v>41</v>
      </c>
      <c r="G655" s="17" t="s">
        <v>41</v>
      </c>
      <c r="H655" s="17" t="s">
        <v>2072</v>
      </c>
      <c r="I655" s="15">
        <v>46313.482638888891</v>
      </c>
      <c r="J655" s="17" t="s">
        <v>41</v>
      </c>
      <c r="K655" s="15">
        <v>46313.481944444444</v>
      </c>
      <c r="L655" s="16">
        <v>27</v>
      </c>
      <c r="M655" s="17"/>
      <c r="N655" s="17"/>
      <c r="O655" s="15">
        <v>46313.481249999997</v>
      </c>
      <c r="P655" s="17" t="s">
        <v>43</v>
      </c>
      <c r="Q655" s="17" t="s">
        <v>64</v>
      </c>
      <c r="R655" s="17" t="s">
        <v>2073</v>
      </c>
      <c r="S655" s="16">
        <v>4247</v>
      </c>
      <c r="T655" s="17" t="s">
        <v>41</v>
      </c>
      <c r="U655" s="15">
        <v>46313.488194444442</v>
      </c>
      <c r="V655" s="15">
        <v>46313.486805555556</v>
      </c>
      <c r="W655" s="18" t="s">
        <v>2074</v>
      </c>
      <c r="X655" s="16">
        <v>22411</v>
      </c>
      <c r="Y655" s="19"/>
      <c r="Z655" s="16">
        <v>0</v>
      </c>
      <c r="AA655" s="20">
        <v>0.48125000000000001</v>
      </c>
      <c r="AB655" s="16">
        <v>6</v>
      </c>
      <c r="AC655" s="17" t="s">
        <v>41</v>
      </c>
      <c r="AD655" s="9" t="str">
        <f t="shared" si="10"/>
        <v>Actual</v>
      </c>
      <c r="AE655" s="9" t="str">
        <f t="shared" si="11"/>
        <v>TMK7</v>
      </c>
      <c r="AF655" s="9">
        <f>HOUR(O655)</f>
        <v>11</v>
      </c>
      <c r="AG655" s="9">
        <f>DAY(O655)</f>
        <v>18</v>
      </c>
      <c r="AH655" s="9">
        <f>IFERROR((I655-K655)*24*60,0)</f>
        <v>1.000000003259629</v>
      </c>
      <c r="AI655" s="9">
        <f t="shared" si="12"/>
        <v>1.000000003259629</v>
      </c>
      <c r="AJ655" s="9">
        <f>C655</f>
        <v>1973</v>
      </c>
      <c r="AK655" s="9">
        <f>IF(P655="completed",((V655-K655)*24*60),0)</f>
        <v>7.0000000018626451</v>
      </c>
      <c r="AL655" s="9">
        <f>IF(P655="completed",((U655-K655)*24*60),0)</f>
        <v>8.9999999979045242</v>
      </c>
      <c r="AM655" s="9" t="str">
        <f t="shared" si="13"/>
        <v>OTP Achieved</v>
      </c>
      <c r="AN655" s="9" t="str">
        <f t="shared" si="14"/>
        <v>OTP Achieved</v>
      </c>
    </row>
    <row r="656" spans="1:40" ht="15">
      <c r="A656" s="14" t="s">
        <v>1365</v>
      </c>
      <c r="B656" s="15">
        <v>46313.481944444444</v>
      </c>
      <c r="C656" s="16">
        <v>1429</v>
      </c>
      <c r="D656" s="17" t="s">
        <v>41</v>
      </c>
      <c r="E656" s="16">
        <v>4</v>
      </c>
      <c r="F656" s="17" t="s">
        <v>41</v>
      </c>
      <c r="G656" s="17" t="s">
        <v>41</v>
      </c>
      <c r="H656" s="17" t="s">
        <v>2075</v>
      </c>
      <c r="I656" s="15">
        <v>46313.482638888891</v>
      </c>
      <c r="J656" s="17" t="s">
        <v>41</v>
      </c>
      <c r="K656" s="15">
        <v>46313.482638888891</v>
      </c>
      <c r="L656" s="16">
        <v>10</v>
      </c>
      <c r="M656" s="17"/>
      <c r="N656" s="17"/>
      <c r="O656" s="15">
        <v>46313.481249999997</v>
      </c>
      <c r="P656" s="17" t="s">
        <v>43</v>
      </c>
      <c r="Q656" s="17" t="s">
        <v>1367</v>
      </c>
      <c r="R656" s="17" t="s">
        <v>2076</v>
      </c>
      <c r="S656" s="16">
        <v>4247</v>
      </c>
      <c r="T656" s="17" t="s">
        <v>41</v>
      </c>
      <c r="U656" s="15">
        <v>46313.486805555556</v>
      </c>
      <c r="V656" s="15">
        <v>46313.48541666667</v>
      </c>
      <c r="W656" s="18" t="s">
        <v>2077</v>
      </c>
      <c r="X656" s="16">
        <v>22411</v>
      </c>
      <c r="Y656" s="19"/>
      <c r="Z656" s="16">
        <v>0</v>
      </c>
      <c r="AA656" s="20">
        <v>0.48194444444444445</v>
      </c>
      <c r="AB656" s="16">
        <v>4</v>
      </c>
      <c r="AC656" s="17" t="s">
        <v>41</v>
      </c>
      <c r="AD656" s="9" t="str">
        <f t="shared" si="10"/>
        <v>Actual</v>
      </c>
      <c r="AE656" s="9" t="str">
        <f t="shared" si="11"/>
        <v>TMK7</v>
      </c>
      <c r="AF656" s="9">
        <f>HOUR(O656)</f>
        <v>11</v>
      </c>
      <c r="AG656" s="9">
        <f>DAY(O656)</f>
        <v>18</v>
      </c>
      <c r="AH656" s="9">
        <f>IFERROR((I656-K656)*24*60,0)</f>
        <v>0</v>
      </c>
      <c r="AI656" s="9">
        <f t="shared" si="12"/>
        <v>0</v>
      </c>
      <c r="AJ656" s="9">
        <f>C656</f>
        <v>1429</v>
      </c>
      <c r="AK656" s="9">
        <f>IF(P656="completed",((V656-K656)*24*60),0)</f>
        <v>4.0000000025611371</v>
      </c>
      <c r="AL656" s="9">
        <f>IF(P656="completed",((U656-K656)*24*60),0)</f>
        <v>5.9999999986030161</v>
      </c>
      <c r="AM656" s="9" t="str">
        <f t="shared" si="13"/>
        <v>OTP Achieved</v>
      </c>
      <c r="AN656" s="9" t="str">
        <f t="shared" si="14"/>
        <v>OTP Achieved</v>
      </c>
    </row>
    <row r="657" spans="1:40" ht="15">
      <c r="A657" s="14" t="s">
        <v>655</v>
      </c>
      <c r="B657" s="15">
        <v>46313.479861111111</v>
      </c>
      <c r="C657" s="16">
        <v>1045</v>
      </c>
      <c r="D657" s="17" t="s">
        <v>41</v>
      </c>
      <c r="E657" s="16">
        <v>3</v>
      </c>
      <c r="F657" s="17" t="s">
        <v>41</v>
      </c>
      <c r="G657" s="17" t="s">
        <v>41</v>
      </c>
      <c r="H657" s="17" t="s">
        <v>2078</v>
      </c>
      <c r="I657" s="15">
        <v>46313.480555555558</v>
      </c>
      <c r="J657" s="17" t="s">
        <v>41</v>
      </c>
      <c r="K657" s="15">
        <v>46313.479861111111</v>
      </c>
      <c r="L657" s="16">
        <v>17</v>
      </c>
      <c r="M657" s="17"/>
      <c r="N657" s="17"/>
      <c r="O657" s="15">
        <v>46313.479166666664</v>
      </c>
      <c r="P657" s="17" t="s">
        <v>43</v>
      </c>
      <c r="Q657" s="17" t="s">
        <v>657</v>
      </c>
      <c r="R657" s="17" t="s">
        <v>2079</v>
      </c>
      <c r="S657" s="16">
        <v>4247</v>
      </c>
      <c r="T657" s="17" t="s">
        <v>41</v>
      </c>
      <c r="U657" s="15">
        <v>46313.48333333333</v>
      </c>
      <c r="V657" s="15">
        <v>46313.482638888891</v>
      </c>
      <c r="W657" s="18" t="s">
        <v>2080</v>
      </c>
      <c r="X657" s="16">
        <v>22411</v>
      </c>
      <c r="Y657" s="24"/>
      <c r="Z657" s="16">
        <v>0</v>
      </c>
      <c r="AA657" s="20">
        <v>0.47986111111111113</v>
      </c>
      <c r="AB657" s="16">
        <v>3</v>
      </c>
      <c r="AC657" s="17" t="s">
        <v>41</v>
      </c>
      <c r="AD657" s="9" t="str">
        <f t="shared" si="10"/>
        <v>Actual</v>
      </c>
      <c r="AE657" s="9" t="str">
        <f t="shared" si="11"/>
        <v>TMK7</v>
      </c>
      <c r="AF657" s="9">
        <f>HOUR(O657)</f>
        <v>11</v>
      </c>
      <c r="AG657" s="9">
        <f>DAY(O657)</f>
        <v>18</v>
      </c>
      <c r="AH657" s="9">
        <f>IFERROR((I657-K657)*24*60,0)</f>
        <v>1.000000003259629</v>
      </c>
      <c r="AI657" s="9">
        <f t="shared" si="12"/>
        <v>1.000000003259629</v>
      </c>
      <c r="AJ657" s="9">
        <f>C657</f>
        <v>1045</v>
      </c>
      <c r="AK657" s="9">
        <f>IF(P657="completed",((V657-K657)*24*60),0)</f>
        <v>4.0000000025611371</v>
      </c>
      <c r="AL657" s="9">
        <f>IF(P657="completed",((U657-K657)*24*60),0)</f>
        <v>4.9999999953433871</v>
      </c>
      <c r="AM657" s="9" t="str">
        <f t="shared" si="13"/>
        <v>OTP Achieved</v>
      </c>
      <c r="AN657" s="9" t="str">
        <f t="shared" si="14"/>
        <v>OTP Achieved</v>
      </c>
    </row>
    <row r="658" spans="1:40" ht="15">
      <c r="A658" s="14" t="s">
        <v>93</v>
      </c>
      <c r="B658" s="15">
        <v>46313.479861111111</v>
      </c>
      <c r="C658" s="16">
        <v>2875</v>
      </c>
      <c r="D658" s="17" t="s">
        <v>41</v>
      </c>
      <c r="E658" s="16">
        <v>8</v>
      </c>
      <c r="F658" s="17" t="s">
        <v>41</v>
      </c>
      <c r="G658" s="17" t="s">
        <v>41</v>
      </c>
      <c r="H658" s="17" t="s">
        <v>2081</v>
      </c>
      <c r="I658" s="15">
        <v>46313.480555555558</v>
      </c>
      <c r="J658" s="17" t="s">
        <v>41</v>
      </c>
      <c r="K658" s="15">
        <v>46313.480555555558</v>
      </c>
      <c r="L658" s="16">
        <v>11</v>
      </c>
      <c r="M658" s="17"/>
      <c r="N658" s="17"/>
      <c r="O658" s="15">
        <v>46313.479166666664</v>
      </c>
      <c r="P658" s="17" t="s">
        <v>43</v>
      </c>
      <c r="Q658" s="17" t="s">
        <v>95</v>
      </c>
      <c r="R658" s="17" t="s">
        <v>2082</v>
      </c>
      <c r="S658" s="16">
        <v>4247</v>
      </c>
      <c r="T658" s="17" t="s">
        <v>41</v>
      </c>
      <c r="U658" s="15">
        <v>46313.488888888889</v>
      </c>
      <c r="V658" s="15">
        <v>46313.486111111109</v>
      </c>
      <c r="W658" s="18" t="s">
        <v>2083</v>
      </c>
      <c r="X658" s="16">
        <v>22411</v>
      </c>
      <c r="Y658" s="17"/>
      <c r="Z658" s="16">
        <v>0</v>
      </c>
      <c r="AA658" s="20">
        <v>0.47986111111111113</v>
      </c>
      <c r="AB658" s="16">
        <v>8</v>
      </c>
      <c r="AC658" s="17" t="s">
        <v>41</v>
      </c>
      <c r="AD658" s="9" t="str">
        <f t="shared" si="10"/>
        <v>Actual</v>
      </c>
      <c r="AE658" s="9" t="str">
        <f t="shared" si="11"/>
        <v>TMK7</v>
      </c>
      <c r="AF658" s="9">
        <f>HOUR(O658)</f>
        <v>11</v>
      </c>
      <c r="AG658" s="9">
        <f>DAY(O658)</f>
        <v>18</v>
      </c>
      <c r="AH658" s="9">
        <f>IFERROR((I658-K658)*24*60,0)</f>
        <v>0</v>
      </c>
      <c r="AI658" s="9">
        <f t="shared" si="12"/>
        <v>0</v>
      </c>
      <c r="AJ658" s="9">
        <f>C658</f>
        <v>2875</v>
      </c>
      <c r="AK658" s="9">
        <f>IF(P658="completed",((V658-K658)*24*60),0)</f>
        <v>7.9999999946448952</v>
      </c>
      <c r="AL658" s="9">
        <f>IF(P658="completed",((U658-K658)*24*60),0)</f>
        <v>11.999999997206032</v>
      </c>
      <c r="AM658" s="9" t="str">
        <f t="shared" si="13"/>
        <v>OTP Achieved</v>
      </c>
      <c r="AN658" s="9" t="str">
        <f t="shared" si="14"/>
        <v>OTP Achieved</v>
      </c>
    </row>
    <row r="659" spans="1:40" ht="15">
      <c r="A659" s="14" t="s">
        <v>98</v>
      </c>
      <c r="B659" s="15">
        <v>46313.479166666664</v>
      </c>
      <c r="C659" s="16">
        <v>2076</v>
      </c>
      <c r="D659" s="17" t="s">
        <v>41</v>
      </c>
      <c r="E659" s="16">
        <v>6</v>
      </c>
      <c r="F659" s="17" t="s">
        <v>41</v>
      </c>
      <c r="G659" s="17" t="s">
        <v>41</v>
      </c>
      <c r="H659" s="17" t="s">
        <v>2084</v>
      </c>
      <c r="I659" s="15">
        <v>46313.481249999997</v>
      </c>
      <c r="J659" s="17" t="s">
        <v>41</v>
      </c>
      <c r="K659" s="15">
        <v>46313.480555555558</v>
      </c>
      <c r="L659" s="16">
        <v>24</v>
      </c>
      <c r="M659" s="17"/>
      <c r="N659" s="17"/>
      <c r="O659" s="15">
        <v>46313.479166666664</v>
      </c>
      <c r="P659" s="17" t="s">
        <v>43</v>
      </c>
      <c r="Q659" s="17" t="s">
        <v>100</v>
      </c>
      <c r="R659" s="17" t="s">
        <v>2085</v>
      </c>
      <c r="S659" s="16">
        <v>4247</v>
      </c>
      <c r="T659" s="17" t="s">
        <v>41</v>
      </c>
      <c r="U659" s="15">
        <v>46313.486805555556</v>
      </c>
      <c r="V659" s="15">
        <v>46313.48541666667</v>
      </c>
      <c r="W659" s="18" t="s">
        <v>2086</v>
      </c>
      <c r="X659" s="16">
        <v>22411</v>
      </c>
      <c r="Y659" s="17"/>
      <c r="Z659" s="16">
        <v>0</v>
      </c>
      <c r="AA659" s="20">
        <v>0.47916666666666669</v>
      </c>
      <c r="AB659" s="16">
        <v>6</v>
      </c>
      <c r="AC659" s="17" t="s">
        <v>41</v>
      </c>
      <c r="AD659" s="9" t="str">
        <f t="shared" si="10"/>
        <v>Actual</v>
      </c>
      <c r="AE659" s="9" t="str">
        <f t="shared" si="11"/>
        <v>TMK7</v>
      </c>
      <c r="AF659" s="9">
        <f>HOUR(O659)</f>
        <v>11</v>
      </c>
      <c r="AG659" s="9">
        <f>DAY(O659)</f>
        <v>18</v>
      </c>
      <c r="AH659" s="9">
        <f>IFERROR((I659-K659)*24*60,0)</f>
        <v>0.99999999278225005</v>
      </c>
      <c r="AI659" s="9">
        <f t="shared" si="12"/>
        <v>0.99999999278225005</v>
      </c>
      <c r="AJ659" s="9">
        <f>C659</f>
        <v>2076</v>
      </c>
      <c r="AK659" s="9">
        <f>IF(P659="completed",((V659-K659)*24*60),0)</f>
        <v>7.0000000018626451</v>
      </c>
      <c r="AL659" s="9">
        <f>IF(P659="completed",((U659-K659)*24*60),0)</f>
        <v>8.9999999979045242</v>
      </c>
      <c r="AM659" s="9" t="str">
        <f t="shared" si="13"/>
        <v>OTP Achieved</v>
      </c>
      <c r="AN659" s="9" t="str">
        <f t="shared" si="14"/>
        <v>OTP Achieved</v>
      </c>
    </row>
    <row r="660" spans="1:40" ht="15">
      <c r="A660" s="14" t="s">
        <v>1624</v>
      </c>
      <c r="B660" s="15">
        <v>46313.479166666664</v>
      </c>
      <c r="C660" s="16">
        <v>1342</v>
      </c>
      <c r="D660" s="17" t="s">
        <v>41</v>
      </c>
      <c r="E660" s="16">
        <v>4</v>
      </c>
      <c r="F660" s="17" t="s">
        <v>41</v>
      </c>
      <c r="G660" s="17" t="s">
        <v>41</v>
      </c>
      <c r="H660" s="17" t="s">
        <v>2087</v>
      </c>
      <c r="I660" s="15">
        <v>46313.481249999997</v>
      </c>
      <c r="J660" s="17" t="s">
        <v>41</v>
      </c>
      <c r="K660" s="15">
        <v>46313.480555555558</v>
      </c>
      <c r="L660" s="16">
        <v>45</v>
      </c>
      <c r="M660" s="17"/>
      <c r="N660" s="17"/>
      <c r="O660" s="15">
        <v>46313.479166666664</v>
      </c>
      <c r="P660" s="17" t="s">
        <v>43</v>
      </c>
      <c r="Q660" s="17" t="s">
        <v>1626</v>
      </c>
      <c r="R660" s="17" t="s">
        <v>2088</v>
      </c>
      <c r="S660" s="16">
        <v>4247</v>
      </c>
      <c r="T660" s="17" t="s">
        <v>41</v>
      </c>
      <c r="U660" s="15">
        <v>46313.484027777777</v>
      </c>
      <c r="V660" s="15">
        <v>46313.48333333333</v>
      </c>
      <c r="W660" s="18" t="s">
        <v>2089</v>
      </c>
      <c r="X660" s="16">
        <v>22411</v>
      </c>
      <c r="Y660" s="17"/>
      <c r="Z660" s="16">
        <v>0</v>
      </c>
      <c r="AA660" s="20">
        <v>0.47916666666666669</v>
      </c>
      <c r="AB660" s="16">
        <v>3</v>
      </c>
      <c r="AC660" s="17" t="s">
        <v>41</v>
      </c>
      <c r="AD660" s="9" t="str">
        <f t="shared" si="10"/>
        <v>Actual</v>
      </c>
      <c r="AE660" s="9" t="str">
        <f t="shared" si="11"/>
        <v>TMK7</v>
      </c>
      <c r="AF660" s="9">
        <f>HOUR(O660)</f>
        <v>11</v>
      </c>
      <c r="AG660" s="9">
        <f>DAY(O660)</f>
        <v>18</v>
      </c>
      <c r="AH660" s="9">
        <f>IFERROR((I660-K660)*24*60,0)</f>
        <v>0.99999999278225005</v>
      </c>
      <c r="AI660" s="9">
        <f t="shared" si="12"/>
        <v>0.99999999278225005</v>
      </c>
      <c r="AJ660" s="9">
        <f>C660</f>
        <v>1342</v>
      </c>
      <c r="AK660" s="9">
        <f>IF(P660="completed",((V660-K660)*24*60),0)</f>
        <v>3.9999999920837581</v>
      </c>
      <c r="AL660" s="9">
        <f>IF(P660="completed",((U660-K660)*24*60),0)</f>
        <v>4.9999999953433871</v>
      </c>
      <c r="AM660" s="9" t="str">
        <f t="shared" si="13"/>
        <v>OTP Achieved</v>
      </c>
      <c r="AN660" s="9" t="str">
        <f t="shared" si="14"/>
        <v>OTP Achieved</v>
      </c>
    </row>
    <row r="661" spans="1:40" ht="15">
      <c r="A661" s="14" t="s">
        <v>347</v>
      </c>
      <c r="B661" s="15">
        <v>46313.478472222225</v>
      </c>
      <c r="C661" s="16">
        <v>2073</v>
      </c>
      <c r="D661" s="17" t="s">
        <v>41</v>
      </c>
      <c r="E661" s="16">
        <v>7</v>
      </c>
      <c r="F661" s="17" t="s">
        <v>41</v>
      </c>
      <c r="G661" s="17" t="s">
        <v>41</v>
      </c>
      <c r="H661" s="17" t="s">
        <v>2090</v>
      </c>
      <c r="I661" s="15">
        <v>46313.479861111111</v>
      </c>
      <c r="J661" s="17" t="s">
        <v>41</v>
      </c>
      <c r="K661" s="15">
        <v>46313.479861111111</v>
      </c>
      <c r="L661" s="16">
        <v>16</v>
      </c>
      <c r="M661" s="17"/>
      <c r="N661" s="17"/>
      <c r="O661" s="15">
        <v>46313.478472222225</v>
      </c>
      <c r="P661" s="17" t="s">
        <v>43</v>
      </c>
      <c r="Q661" s="17" t="s">
        <v>349</v>
      </c>
      <c r="R661" s="17" t="s">
        <v>2091</v>
      </c>
      <c r="S661" s="16">
        <v>4247</v>
      </c>
      <c r="T661" s="17" t="s">
        <v>41</v>
      </c>
      <c r="U661" s="15">
        <v>46313.48541666667</v>
      </c>
      <c r="V661" s="15">
        <v>46313.484027777777</v>
      </c>
      <c r="W661" s="18" t="s">
        <v>2092</v>
      </c>
      <c r="X661" s="16">
        <v>22411</v>
      </c>
      <c r="Y661" s="19"/>
      <c r="Z661" s="16">
        <v>0</v>
      </c>
      <c r="AA661" s="20">
        <v>0.47847222222222224</v>
      </c>
      <c r="AB661" s="16">
        <v>6</v>
      </c>
      <c r="AC661" s="17" t="s">
        <v>41</v>
      </c>
      <c r="AD661" s="9" t="str">
        <f t="shared" si="10"/>
        <v>Actual</v>
      </c>
      <c r="AE661" s="9" t="str">
        <f t="shared" si="11"/>
        <v>TMK7</v>
      </c>
      <c r="AF661" s="9">
        <f>HOUR(O661)</f>
        <v>11</v>
      </c>
      <c r="AG661" s="9">
        <f>DAY(O661)</f>
        <v>18</v>
      </c>
      <c r="AH661" s="9">
        <f>IFERROR((I661-K661)*24*60,0)</f>
        <v>0</v>
      </c>
      <c r="AI661" s="9">
        <f t="shared" si="12"/>
        <v>0</v>
      </c>
      <c r="AJ661" s="9">
        <f>C661</f>
        <v>2073</v>
      </c>
      <c r="AK661" s="9">
        <f>IF(P661="completed",((V661-K661)*24*60),0)</f>
        <v>5.9999999986030161</v>
      </c>
      <c r="AL661" s="9">
        <f>IF(P661="completed",((U661-K661)*24*60),0)</f>
        <v>8.0000000051222742</v>
      </c>
      <c r="AM661" s="9" t="str">
        <f t="shared" si="13"/>
        <v>OTP Achieved</v>
      </c>
      <c r="AN661" s="9" t="str">
        <f t="shared" si="14"/>
        <v>OTP Achieved</v>
      </c>
    </row>
    <row r="662" spans="1:40" ht="15">
      <c r="A662" s="14" t="s">
        <v>1077</v>
      </c>
      <c r="B662" s="15">
        <v>46313.477777777778</v>
      </c>
      <c r="C662" s="16">
        <v>1486</v>
      </c>
      <c r="D662" s="17" t="s">
        <v>41</v>
      </c>
      <c r="E662" s="16">
        <v>4</v>
      </c>
      <c r="F662" s="17" t="s">
        <v>41</v>
      </c>
      <c r="G662" s="17" t="s">
        <v>41</v>
      </c>
      <c r="H662" s="17" t="s">
        <v>2093</v>
      </c>
      <c r="I662" s="15">
        <v>46313.479166666664</v>
      </c>
      <c r="J662" s="17" t="s">
        <v>41</v>
      </c>
      <c r="K662" s="15">
        <v>46313.478472222225</v>
      </c>
      <c r="L662" s="16">
        <v>21</v>
      </c>
      <c r="M662" s="17"/>
      <c r="N662" s="17"/>
      <c r="O662" s="15">
        <v>46313.477777777778</v>
      </c>
      <c r="P662" s="17" t="s">
        <v>43</v>
      </c>
      <c r="Q662" s="17" t="s">
        <v>1079</v>
      </c>
      <c r="R662" s="17" t="s">
        <v>2094</v>
      </c>
      <c r="S662" s="16">
        <v>4247</v>
      </c>
      <c r="T662" s="17" t="s">
        <v>41</v>
      </c>
      <c r="U662" s="15">
        <v>46313.482638888891</v>
      </c>
      <c r="V662" s="15">
        <v>46313.481944444444</v>
      </c>
      <c r="W662" s="18" t="s">
        <v>2095</v>
      </c>
      <c r="X662" s="16">
        <v>22411</v>
      </c>
      <c r="Y662" s="19"/>
      <c r="Z662" s="16">
        <v>0</v>
      </c>
      <c r="AA662" s="20">
        <v>0.4777777777777778</v>
      </c>
      <c r="AB662" s="16">
        <v>4</v>
      </c>
      <c r="AC662" s="17" t="s">
        <v>41</v>
      </c>
      <c r="AD662" s="9" t="str">
        <f t="shared" si="10"/>
        <v>Actual</v>
      </c>
      <c r="AE662" s="9" t="str">
        <f t="shared" si="11"/>
        <v>TMK7</v>
      </c>
      <c r="AF662" s="9">
        <f>HOUR(O662)</f>
        <v>11</v>
      </c>
      <c r="AG662" s="9">
        <f>DAY(O662)</f>
        <v>18</v>
      </c>
      <c r="AH662" s="9">
        <f>IFERROR((I662-K662)*24*60,0)</f>
        <v>0.99999999278225005</v>
      </c>
      <c r="AI662" s="9">
        <f t="shared" si="12"/>
        <v>0.99999999278225005</v>
      </c>
      <c r="AJ662" s="9">
        <f>C662</f>
        <v>1486</v>
      </c>
      <c r="AK662" s="9">
        <f>IF(P662="completed",((V662-K662)*24*60),0)</f>
        <v>4.9999999953433871</v>
      </c>
      <c r="AL662" s="9">
        <f>IF(P662="completed",((U662-K662)*24*60),0)</f>
        <v>5.9999999986030161</v>
      </c>
      <c r="AM662" s="9" t="str">
        <f t="shared" si="13"/>
        <v>OTP Achieved</v>
      </c>
      <c r="AN662" s="9" t="str">
        <f t="shared" si="14"/>
        <v>OTP Achieved</v>
      </c>
    </row>
    <row r="663" spans="1:40" ht="15">
      <c r="A663" s="14" t="s">
        <v>711</v>
      </c>
      <c r="B663" s="15">
        <v>46313.477777777778</v>
      </c>
      <c r="C663" s="16">
        <v>1306</v>
      </c>
      <c r="D663" s="17" t="s">
        <v>41</v>
      </c>
      <c r="E663" s="16">
        <v>5</v>
      </c>
      <c r="F663" s="17" t="s">
        <v>41</v>
      </c>
      <c r="G663" s="17" t="s">
        <v>41</v>
      </c>
      <c r="H663" s="17" t="s">
        <v>2096</v>
      </c>
      <c r="I663" s="15">
        <v>46313.478472222225</v>
      </c>
      <c r="J663" s="17" t="s">
        <v>41</v>
      </c>
      <c r="K663" s="15">
        <v>46313.478472222225</v>
      </c>
      <c r="L663" s="16">
        <v>32</v>
      </c>
      <c r="M663" s="17"/>
      <c r="N663" s="17"/>
      <c r="O663" s="15">
        <v>46313.477777777778</v>
      </c>
      <c r="P663" s="17" t="s">
        <v>43</v>
      </c>
      <c r="Q663" s="17" t="s">
        <v>713</v>
      </c>
      <c r="R663" s="17" t="s">
        <v>2097</v>
      </c>
      <c r="S663" s="16">
        <v>4247</v>
      </c>
      <c r="T663" s="17" t="s">
        <v>41</v>
      </c>
      <c r="U663" s="15">
        <v>46313.481944444444</v>
      </c>
      <c r="V663" s="15">
        <v>46313.481944444444</v>
      </c>
      <c r="W663" s="18" t="s">
        <v>2098</v>
      </c>
      <c r="X663" s="16">
        <v>22411</v>
      </c>
      <c r="Y663" s="19"/>
      <c r="Z663" s="16">
        <v>0</v>
      </c>
      <c r="AA663" s="20">
        <v>0.4777777777777778</v>
      </c>
      <c r="AB663" s="16">
        <v>4</v>
      </c>
      <c r="AC663" s="17" t="s">
        <v>41</v>
      </c>
      <c r="AD663" s="9" t="str">
        <f t="shared" si="10"/>
        <v>Actual</v>
      </c>
      <c r="AE663" s="9" t="str">
        <f t="shared" si="11"/>
        <v>TMK7</v>
      </c>
      <c r="AF663" s="9">
        <f>HOUR(O663)</f>
        <v>11</v>
      </c>
      <c r="AG663" s="9">
        <f>DAY(O663)</f>
        <v>18</v>
      </c>
      <c r="AH663" s="9">
        <f>IFERROR((I663-K663)*24*60,0)</f>
        <v>0</v>
      </c>
      <c r="AI663" s="9">
        <f t="shared" si="12"/>
        <v>0</v>
      </c>
      <c r="AJ663" s="9">
        <f>C663</f>
        <v>1306</v>
      </c>
      <c r="AK663" s="9">
        <f>IF(P663="completed",((V663-K663)*24*60),0)</f>
        <v>4.9999999953433871</v>
      </c>
      <c r="AL663" s="9">
        <f>IF(P663="completed",((U663-K663)*24*60),0)</f>
        <v>4.9999999953433871</v>
      </c>
      <c r="AM663" s="9" t="str">
        <f t="shared" si="13"/>
        <v>OTP Breached</v>
      </c>
      <c r="AN663" s="9" t="str">
        <f t="shared" si="14"/>
        <v>OTP Achieved</v>
      </c>
    </row>
    <row r="664" spans="1:40" ht="15">
      <c r="A664" s="14" t="s">
        <v>1136</v>
      </c>
      <c r="B664" s="15">
        <v>46313.476388888892</v>
      </c>
      <c r="C664" s="16">
        <v>1611</v>
      </c>
      <c r="D664" s="17" t="s">
        <v>41</v>
      </c>
      <c r="E664" s="16">
        <v>6</v>
      </c>
      <c r="F664" s="17" t="s">
        <v>41</v>
      </c>
      <c r="G664" s="17" t="s">
        <v>41</v>
      </c>
      <c r="H664" s="17" t="s">
        <v>2099</v>
      </c>
      <c r="I664" s="15">
        <v>46313.477777777778</v>
      </c>
      <c r="J664" s="17" t="s">
        <v>41</v>
      </c>
      <c r="K664" s="15">
        <v>46313.477083333331</v>
      </c>
      <c r="L664" s="16">
        <v>36</v>
      </c>
      <c r="M664" s="17"/>
      <c r="N664" s="17"/>
      <c r="O664" s="15">
        <v>46313.476388888892</v>
      </c>
      <c r="P664" s="17" t="s">
        <v>43</v>
      </c>
      <c r="Q664" s="17" t="s">
        <v>1138</v>
      </c>
      <c r="R664" s="17" t="s">
        <v>2100</v>
      </c>
      <c r="S664" s="16">
        <v>4247</v>
      </c>
      <c r="T664" s="17" t="s">
        <v>41</v>
      </c>
      <c r="U664" s="15">
        <v>46313.482638888891</v>
      </c>
      <c r="V664" s="15">
        <v>46313.481944444444</v>
      </c>
      <c r="W664" s="18" t="s">
        <v>2101</v>
      </c>
      <c r="X664" s="16">
        <v>22411</v>
      </c>
      <c r="Y664" s="17"/>
      <c r="Z664" s="16">
        <v>0</v>
      </c>
      <c r="AA664" s="20">
        <v>0.47638888888888886</v>
      </c>
      <c r="AB664" s="16">
        <v>5</v>
      </c>
      <c r="AC664" s="17" t="s">
        <v>41</v>
      </c>
      <c r="AD664" s="9" t="str">
        <f t="shared" si="10"/>
        <v>Actual</v>
      </c>
      <c r="AE664" s="9" t="str">
        <f t="shared" si="11"/>
        <v>TMK7</v>
      </c>
      <c r="AF664" s="9">
        <f>HOUR(O664)</f>
        <v>11</v>
      </c>
      <c r="AG664" s="9">
        <f>DAY(O664)</f>
        <v>18</v>
      </c>
      <c r="AH664" s="9">
        <f>IFERROR((I664-K664)*24*60,0)</f>
        <v>1.000000003259629</v>
      </c>
      <c r="AI664" s="9">
        <f t="shared" si="12"/>
        <v>1.000000003259629</v>
      </c>
      <c r="AJ664" s="9">
        <f>C664</f>
        <v>1611</v>
      </c>
      <c r="AK664" s="9">
        <f>IF(P664="completed",((V664-K664)*24*60),0)</f>
        <v>7.0000000018626451</v>
      </c>
      <c r="AL664" s="9">
        <f>IF(P664="completed",((U664-K664)*24*60),0)</f>
        <v>8.0000000051222742</v>
      </c>
      <c r="AM664" s="9" t="str">
        <f t="shared" si="13"/>
        <v>OTP Achieved</v>
      </c>
      <c r="AN664" s="9" t="str">
        <f t="shared" si="14"/>
        <v>OTP Achieved</v>
      </c>
    </row>
    <row r="665" spans="1:40" ht="15">
      <c r="A665" s="14" t="s">
        <v>52</v>
      </c>
      <c r="B665" s="15">
        <v>46313.475694444445</v>
      </c>
      <c r="C665" s="16">
        <v>1169</v>
      </c>
      <c r="D665" s="17" t="s">
        <v>41</v>
      </c>
      <c r="E665" s="16">
        <v>4</v>
      </c>
      <c r="F665" s="17" t="s">
        <v>41</v>
      </c>
      <c r="G665" s="17" t="s">
        <v>41</v>
      </c>
      <c r="H665" s="17" t="s">
        <v>2102</v>
      </c>
      <c r="I665" s="15">
        <v>46313.476388888892</v>
      </c>
      <c r="J665" s="17" t="s">
        <v>41</v>
      </c>
      <c r="K665" s="15">
        <v>46313.476388888892</v>
      </c>
      <c r="L665" s="16">
        <v>21</v>
      </c>
      <c r="M665" s="17"/>
      <c r="N665" s="17"/>
      <c r="O665" s="15">
        <v>46313.475694444445</v>
      </c>
      <c r="P665" s="17" t="s">
        <v>43</v>
      </c>
      <c r="Q665" s="17" t="s">
        <v>54</v>
      </c>
      <c r="R665" s="17" t="s">
        <v>2103</v>
      </c>
      <c r="S665" s="16">
        <v>4247</v>
      </c>
      <c r="T665" s="17" t="s">
        <v>41</v>
      </c>
      <c r="U665" s="15">
        <v>46313.480555555558</v>
      </c>
      <c r="V665" s="15">
        <v>46313.479166666664</v>
      </c>
      <c r="W665" s="18" t="s">
        <v>2104</v>
      </c>
      <c r="X665" s="16">
        <v>22411</v>
      </c>
      <c r="Y665" s="19"/>
      <c r="Z665" s="16">
        <v>0</v>
      </c>
      <c r="AA665" s="20">
        <v>0.47569444444444442</v>
      </c>
      <c r="AB665" s="16">
        <v>3</v>
      </c>
      <c r="AC665" s="17" t="s">
        <v>41</v>
      </c>
      <c r="AD665" s="9" t="str">
        <f t="shared" si="10"/>
        <v>Actual</v>
      </c>
      <c r="AE665" s="9" t="str">
        <f t="shared" si="11"/>
        <v>TMK7</v>
      </c>
      <c r="AF665" s="9">
        <f>HOUR(O665)</f>
        <v>11</v>
      </c>
      <c r="AG665" s="9">
        <f>DAY(O665)</f>
        <v>18</v>
      </c>
      <c r="AH665" s="9">
        <f>IFERROR((I665-K665)*24*60,0)</f>
        <v>0</v>
      </c>
      <c r="AI665" s="9">
        <f t="shared" si="12"/>
        <v>0</v>
      </c>
      <c r="AJ665" s="9">
        <f>C665</f>
        <v>1169</v>
      </c>
      <c r="AK665" s="9">
        <f>IF(P665="completed",((V665-K665)*24*60),0)</f>
        <v>3.9999999920837581</v>
      </c>
      <c r="AL665" s="9">
        <f>IF(P665="completed",((U665-K665)*24*60),0)</f>
        <v>5.9999999986030161</v>
      </c>
      <c r="AM665" s="9" t="str">
        <f t="shared" si="13"/>
        <v>OTP Achieved</v>
      </c>
      <c r="AN665" s="9" t="str">
        <f t="shared" si="14"/>
        <v>OTP Achieved</v>
      </c>
    </row>
    <row r="666" spans="1:40" ht="15">
      <c r="A666" s="14" t="s">
        <v>734</v>
      </c>
      <c r="B666" s="15">
        <v>46313.475694444445</v>
      </c>
      <c r="C666" s="16">
        <v>2978</v>
      </c>
      <c r="D666" s="17" t="s">
        <v>41</v>
      </c>
      <c r="E666" s="16">
        <v>9</v>
      </c>
      <c r="F666" s="17" t="s">
        <v>41</v>
      </c>
      <c r="G666" s="17" t="s">
        <v>41</v>
      </c>
      <c r="H666" s="17" t="s">
        <v>2105</v>
      </c>
      <c r="I666" s="15">
        <v>46313.476388888892</v>
      </c>
      <c r="J666" s="17" t="s">
        <v>41</v>
      </c>
      <c r="K666" s="15">
        <v>46313.475694444445</v>
      </c>
      <c r="L666" s="16">
        <v>38</v>
      </c>
      <c r="M666" s="17"/>
      <c r="N666" s="17"/>
      <c r="O666" s="15">
        <v>46313.475694444445</v>
      </c>
      <c r="P666" s="17" t="s">
        <v>43</v>
      </c>
      <c r="Q666" s="17" t="s">
        <v>736</v>
      </c>
      <c r="R666" s="17" t="s">
        <v>2106</v>
      </c>
      <c r="S666" s="16">
        <v>4247</v>
      </c>
      <c r="T666" s="17" t="s">
        <v>41</v>
      </c>
      <c r="U666" s="15">
        <v>46313.484722222223</v>
      </c>
      <c r="V666" s="15">
        <v>46313.481944444444</v>
      </c>
      <c r="W666" s="18" t="s">
        <v>2107</v>
      </c>
      <c r="X666" s="16">
        <v>22411</v>
      </c>
      <c r="Y666" s="19"/>
      <c r="Z666" s="16">
        <v>0</v>
      </c>
      <c r="AA666" s="20">
        <v>0.47569444444444442</v>
      </c>
      <c r="AB666" s="16">
        <v>9</v>
      </c>
      <c r="AC666" s="17" t="s">
        <v>41</v>
      </c>
      <c r="AD666" s="9" t="str">
        <f t="shared" si="10"/>
        <v>Actual</v>
      </c>
      <c r="AE666" s="9" t="str">
        <f t="shared" si="11"/>
        <v>TMK7</v>
      </c>
      <c r="AF666" s="9">
        <f>HOUR(O666)</f>
        <v>11</v>
      </c>
      <c r="AG666" s="9">
        <f>DAY(O666)</f>
        <v>18</v>
      </c>
      <c r="AH666" s="9">
        <f>IFERROR((I666-K666)*24*60,0)</f>
        <v>1.000000003259629</v>
      </c>
      <c r="AI666" s="9">
        <f t="shared" si="12"/>
        <v>1.000000003259629</v>
      </c>
      <c r="AJ666" s="9">
        <f>C666</f>
        <v>2978</v>
      </c>
      <c r="AK666" s="9">
        <f>IF(P666="completed",((V666-K666)*24*60),0)</f>
        <v>8.9999999979045242</v>
      </c>
      <c r="AL666" s="9">
        <f>IF(P666="completed",((U666-K666)*24*60),0)</f>
        <v>13.000000000465661</v>
      </c>
      <c r="AM666" s="9" t="str">
        <f t="shared" si="13"/>
        <v>OTP Achieved</v>
      </c>
      <c r="AN666" s="9" t="str">
        <f t="shared" si="14"/>
        <v>OTP Achieved</v>
      </c>
    </row>
    <row r="667" spans="1:40" ht="15">
      <c r="A667" s="14" t="s">
        <v>1310</v>
      </c>
      <c r="B667" s="15">
        <v>46313.474999999999</v>
      </c>
      <c r="C667" s="16">
        <v>1250</v>
      </c>
      <c r="D667" s="17" t="s">
        <v>41</v>
      </c>
      <c r="E667" s="16">
        <v>4</v>
      </c>
      <c r="F667" s="17" t="s">
        <v>41</v>
      </c>
      <c r="G667" s="17" t="s">
        <v>41</v>
      </c>
      <c r="H667" s="17" t="s">
        <v>2108</v>
      </c>
      <c r="I667" s="15">
        <v>46313.475694444445</v>
      </c>
      <c r="J667" s="17" t="s">
        <v>41</v>
      </c>
      <c r="K667" s="15">
        <v>46313.474999999999</v>
      </c>
      <c r="L667" s="16">
        <v>25</v>
      </c>
      <c r="M667" s="17"/>
      <c r="N667" s="17"/>
      <c r="O667" s="15">
        <v>46313.474305555559</v>
      </c>
      <c r="P667" s="17" t="s">
        <v>43</v>
      </c>
      <c r="Q667" s="17" t="s">
        <v>1312</v>
      </c>
      <c r="R667" s="17" t="s">
        <v>2109</v>
      </c>
      <c r="S667" s="16">
        <v>4247</v>
      </c>
      <c r="T667" s="17" t="s">
        <v>41</v>
      </c>
      <c r="U667" s="15">
        <v>46313.479861111111</v>
      </c>
      <c r="V667" s="15">
        <v>46313.477777777778</v>
      </c>
      <c r="W667" s="18" t="s">
        <v>2110</v>
      </c>
      <c r="X667" s="16">
        <v>22411</v>
      </c>
      <c r="Y667" s="19"/>
      <c r="Z667" s="16">
        <v>0</v>
      </c>
      <c r="AA667" s="20">
        <v>0.47499999999999998</v>
      </c>
      <c r="AB667" s="16">
        <v>4</v>
      </c>
      <c r="AC667" s="17" t="s">
        <v>41</v>
      </c>
      <c r="AD667" s="9" t="str">
        <f t="shared" si="10"/>
        <v>Actual</v>
      </c>
      <c r="AE667" s="9" t="str">
        <f t="shared" si="11"/>
        <v>TMK7</v>
      </c>
      <c r="AF667" s="9">
        <f>HOUR(O667)</f>
        <v>11</v>
      </c>
      <c r="AG667" s="9">
        <f>DAY(O667)</f>
        <v>18</v>
      </c>
      <c r="AH667" s="9">
        <f>IFERROR((I667-K667)*24*60,0)</f>
        <v>1.000000003259629</v>
      </c>
      <c r="AI667" s="9">
        <f t="shared" si="12"/>
        <v>1.000000003259629</v>
      </c>
      <c r="AJ667" s="9">
        <f>C667</f>
        <v>1250</v>
      </c>
      <c r="AK667" s="9">
        <f>IF(P667="completed",((V667-K667)*24*60),0)</f>
        <v>4.0000000025611371</v>
      </c>
      <c r="AL667" s="9">
        <f>IF(P667="completed",((U667-K667)*24*60),0)</f>
        <v>7.0000000018626451</v>
      </c>
      <c r="AM667" s="9" t="str">
        <f t="shared" si="13"/>
        <v>OTP Achieved</v>
      </c>
      <c r="AN667" s="9" t="str">
        <f t="shared" si="14"/>
        <v>OTP Achieved</v>
      </c>
    </row>
    <row r="668" spans="1:40" ht="15">
      <c r="A668" s="14" t="s">
        <v>106</v>
      </c>
      <c r="B668" s="15">
        <v>46313.473611111112</v>
      </c>
      <c r="C668" s="16">
        <v>465</v>
      </c>
      <c r="D668" s="17" t="s">
        <v>41</v>
      </c>
      <c r="E668" s="16">
        <v>2</v>
      </c>
      <c r="F668" s="17" t="s">
        <v>41</v>
      </c>
      <c r="G668" s="17" t="s">
        <v>41</v>
      </c>
      <c r="H668" s="17" t="s">
        <v>2111</v>
      </c>
      <c r="I668" s="15">
        <v>46313.474999999999</v>
      </c>
      <c r="J668" s="17" t="s">
        <v>41</v>
      </c>
      <c r="K668" s="15">
        <v>46313.474305555559</v>
      </c>
      <c r="L668" s="16">
        <v>25</v>
      </c>
      <c r="M668" s="17"/>
      <c r="N668" s="17"/>
      <c r="O668" s="15">
        <v>46313.473611111112</v>
      </c>
      <c r="P668" s="17" t="s">
        <v>43</v>
      </c>
      <c r="Q668" s="17" t="s">
        <v>108</v>
      </c>
      <c r="R668" s="17" t="s">
        <v>2112</v>
      </c>
      <c r="S668" s="16">
        <v>4247</v>
      </c>
      <c r="T668" s="17" t="s">
        <v>41</v>
      </c>
      <c r="U668" s="15">
        <v>46313.476388888892</v>
      </c>
      <c r="V668" s="15">
        <v>46313.476388888892</v>
      </c>
      <c r="W668" s="18" t="s">
        <v>2113</v>
      </c>
      <c r="X668" s="16">
        <v>22411</v>
      </c>
      <c r="Y668" s="17"/>
      <c r="Z668" s="16">
        <v>0</v>
      </c>
      <c r="AA668" s="20">
        <v>0.47361111111111109</v>
      </c>
      <c r="AB668" s="16">
        <v>2</v>
      </c>
      <c r="AC668" s="17" t="s">
        <v>41</v>
      </c>
      <c r="AD668" s="9" t="str">
        <f t="shared" si="10"/>
        <v>Actual</v>
      </c>
      <c r="AE668" s="9" t="str">
        <f t="shared" si="11"/>
        <v>TMK7</v>
      </c>
      <c r="AF668" s="9">
        <f>HOUR(O668)</f>
        <v>11</v>
      </c>
      <c r="AG668" s="9">
        <f>DAY(O668)</f>
        <v>18</v>
      </c>
      <c r="AH668" s="9">
        <f>IFERROR((I668-K668)*24*60,0)</f>
        <v>0.99999999278225005</v>
      </c>
      <c r="AI668" s="9">
        <f t="shared" si="12"/>
        <v>0.99999999278225005</v>
      </c>
      <c r="AJ668" s="9">
        <f>C668</f>
        <v>465</v>
      </c>
      <c r="AK668" s="9">
        <f>IF(P668="completed",((V668-K668)*24*60),0)</f>
        <v>2.9999999993015081</v>
      </c>
      <c r="AL668" s="9">
        <f>IF(P668="completed",((U668-K668)*24*60),0)</f>
        <v>2.9999999993015081</v>
      </c>
      <c r="AM668" s="9" t="str">
        <f t="shared" si="13"/>
        <v>OTP Breached</v>
      </c>
      <c r="AN668" s="9" t="str">
        <f t="shared" si="14"/>
        <v>OTP Achieved</v>
      </c>
    </row>
    <row r="669" spans="1:40" ht="15">
      <c r="A669" s="14" t="s">
        <v>67</v>
      </c>
      <c r="B669" s="15">
        <v>46313.473611111112</v>
      </c>
      <c r="C669" s="16">
        <v>1802</v>
      </c>
      <c r="D669" s="17" t="s">
        <v>41</v>
      </c>
      <c r="E669" s="16">
        <v>5</v>
      </c>
      <c r="F669" s="17" t="s">
        <v>41</v>
      </c>
      <c r="G669" s="17" t="s">
        <v>41</v>
      </c>
      <c r="H669" s="17" t="s">
        <v>2114</v>
      </c>
      <c r="I669" s="15">
        <v>46313.474305555559</v>
      </c>
      <c r="J669" s="17" t="s">
        <v>41</v>
      </c>
      <c r="K669" s="15">
        <v>46313.473611111112</v>
      </c>
      <c r="L669" s="16">
        <v>36</v>
      </c>
      <c r="M669" s="17"/>
      <c r="N669" s="17"/>
      <c r="O669" s="15">
        <v>46313.473611111112</v>
      </c>
      <c r="P669" s="17" t="s">
        <v>43</v>
      </c>
      <c r="Q669" s="17" t="s">
        <v>69</v>
      </c>
      <c r="R669" s="17" t="s">
        <v>2115</v>
      </c>
      <c r="S669" s="16">
        <v>4247</v>
      </c>
      <c r="T669" s="17" t="s">
        <v>41</v>
      </c>
      <c r="U669" s="15">
        <v>46313.478472222225</v>
      </c>
      <c r="V669" s="15">
        <v>46313.477083333331</v>
      </c>
      <c r="W669" s="18" t="s">
        <v>2116</v>
      </c>
      <c r="X669" s="16">
        <v>22411</v>
      </c>
      <c r="Y669" s="19"/>
      <c r="Z669" s="16">
        <v>0</v>
      </c>
      <c r="AA669" s="20">
        <v>0.47361111111111109</v>
      </c>
      <c r="AB669" s="16">
        <v>4</v>
      </c>
      <c r="AC669" s="17" t="s">
        <v>41</v>
      </c>
      <c r="AD669" s="9" t="str">
        <f t="shared" si="10"/>
        <v>Actual</v>
      </c>
      <c r="AE669" s="9" t="str">
        <f t="shared" si="11"/>
        <v>TMK7</v>
      </c>
      <c r="AF669" s="9">
        <f>HOUR(O669)</f>
        <v>11</v>
      </c>
      <c r="AG669" s="9">
        <f>DAY(O669)</f>
        <v>18</v>
      </c>
      <c r="AH669" s="9">
        <f>IFERROR((I669-K669)*24*60,0)</f>
        <v>1.000000003259629</v>
      </c>
      <c r="AI669" s="9">
        <f t="shared" si="12"/>
        <v>1.000000003259629</v>
      </c>
      <c r="AJ669" s="9">
        <f>C669</f>
        <v>1802</v>
      </c>
      <c r="AK669" s="9">
        <f>IF(P669="completed",((V669-K669)*24*60),0)</f>
        <v>4.9999999953433871</v>
      </c>
      <c r="AL669" s="9">
        <f>IF(P669="completed",((U669-K669)*24*60),0)</f>
        <v>7.0000000018626451</v>
      </c>
      <c r="AM669" s="9" t="str">
        <f t="shared" si="13"/>
        <v>OTP Achieved</v>
      </c>
      <c r="AN669" s="9" t="str">
        <f t="shared" si="14"/>
        <v>OTP Achieved</v>
      </c>
    </row>
    <row r="670" spans="1:40" ht="15">
      <c r="A670" s="14" t="s">
        <v>1239</v>
      </c>
      <c r="B670" s="15">
        <v>46313.472916666666</v>
      </c>
      <c r="C670" s="16">
        <v>2168</v>
      </c>
      <c r="D670" s="17" t="s">
        <v>41</v>
      </c>
      <c r="E670" s="16">
        <v>8</v>
      </c>
      <c r="F670" s="17" t="s">
        <v>41</v>
      </c>
      <c r="G670" s="17" t="s">
        <v>41</v>
      </c>
      <c r="H670" s="17" t="s">
        <v>2117</v>
      </c>
      <c r="I670" s="15">
        <v>46313.475694444445</v>
      </c>
      <c r="J670" s="17" t="s">
        <v>41</v>
      </c>
      <c r="K670" s="15">
        <v>46313.475694444445</v>
      </c>
      <c r="L670" s="16">
        <v>48</v>
      </c>
      <c r="M670" s="17"/>
      <c r="N670" s="17"/>
      <c r="O670" s="15">
        <v>46313.472916666666</v>
      </c>
      <c r="P670" s="17" t="s">
        <v>43</v>
      </c>
      <c r="Q670" s="17" t="s">
        <v>1241</v>
      </c>
      <c r="R670" s="17" t="s">
        <v>2118</v>
      </c>
      <c r="S670" s="16">
        <v>4247</v>
      </c>
      <c r="T670" s="17" t="s">
        <v>41</v>
      </c>
      <c r="U670" s="15">
        <v>46313.481249999997</v>
      </c>
      <c r="V670" s="15">
        <v>46313.480555555558</v>
      </c>
      <c r="W670" s="18" t="s">
        <v>2119</v>
      </c>
      <c r="X670" s="16">
        <v>22411</v>
      </c>
      <c r="Y670" s="17"/>
      <c r="Z670" s="16">
        <v>0</v>
      </c>
      <c r="AA670" s="20">
        <v>0.47291666666666665</v>
      </c>
      <c r="AB670" s="16">
        <v>7</v>
      </c>
      <c r="AC670" s="17" t="s">
        <v>41</v>
      </c>
      <c r="AD670" s="9" t="str">
        <f t="shared" si="10"/>
        <v>Actual</v>
      </c>
      <c r="AE670" s="9" t="str">
        <f t="shared" si="11"/>
        <v>TMK7</v>
      </c>
      <c r="AF670" s="9">
        <f>HOUR(O670)</f>
        <v>11</v>
      </c>
      <c r="AG670" s="9">
        <f>DAY(O670)</f>
        <v>18</v>
      </c>
      <c r="AH670" s="9">
        <f>IFERROR((I670-K670)*24*60,0)</f>
        <v>0</v>
      </c>
      <c r="AI670" s="9">
        <f t="shared" si="12"/>
        <v>0</v>
      </c>
      <c r="AJ670" s="9">
        <f>C670</f>
        <v>2168</v>
      </c>
      <c r="AK670" s="9">
        <f>IF(P670="completed",((V670-K670)*24*60),0)</f>
        <v>7.0000000018626451</v>
      </c>
      <c r="AL670" s="9">
        <f>IF(P670="completed",((U670-K670)*24*60),0)</f>
        <v>7.9999999946448952</v>
      </c>
      <c r="AM670" s="9" t="str">
        <f t="shared" si="13"/>
        <v>OTP Achieved</v>
      </c>
      <c r="AN670" s="9" t="str">
        <f t="shared" si="14"/>
        <v>OTP Achieved</v>
      </c>
    </row>
    <row r="671" spans="1:40" ht="15">
      <c r="A671" s="14" t="s">
        <v>1077</v>
      </c>
      <c r="B671" s="15">
        <v>46313.472916666666</v>
      </c>
      <c r="C671" s="16">
        <v>162</v>
      </c>
      <c r="D671" s="17" t="s">
        <v>41</v>
      </c>
      <c r="E671" s="16">
        <v>0</v>
      </c>
      <c r="F671" s="17" t="s">
        <v>41</v>
      </c>
      <c r="G671" s="17" t="s">
        <v>41</v>
      </c>
      <c r="H671" s="17" t="s">
        <v>2120</v>
      </c>
      <c r="I671" s="15">
        <v>46313.474305555559</v>
      </c>
      <c r="J671" s="17" t="s">
        <v>41</v>
      </c>
      <c r="K671" s="15">
        <v>46313.474305555559</v>
      </c>
      <c r="L671" s="16">
        <v>22</v>
      </c>
      <c r="M671" s="17"/>
      <c r="N671" s="17"/>
      <c r="O671" s="15">
        <v>46313.472916666666</v>
      </c>
      <c r="P671" s="17" t="s">
        <v>43</v>
      </c>
      <c r="Q671" s="17" t="s">
        <v>1079</v>
      </c>
      <c r="R671" s="17" t="s">
        <v>2121</v>
      </c>
      <c r="S671" s="16">
        <v>4247</v>
      </c>
      <c r="T671" s="17" t="s">
        <v>41</v>
      </c>
      <c r="U671" s="15">
        <v>46313.474999999999</v>
      </c>
      <c r="V671" s="15">
        <v>46313.474305555559</v>
      </c>
      <c r="W671" s="18" t="s">
        <v>2122</v>
      </c>
      <c r="X671" s="16">
        <v>22411</v>
      </c>
      <c r="Y671" s="19"/>
      <c r="Z671" s="16">
        <v>0</v>
      </c>
      <c r="AA671" s="20">
        <v>0.47291666666666665</v>
      </c>
      <c r="AB671" s="16">
        <v>0</v>
      </c>
      <c r="AC671" s="17" t="s">
        <v>41</v>
      </c>
      <c r="AD671" s="9" t="str">
        <f t="shared" si="10"/>
        <v>Actual</v>
      </c>
      <c r="AE671" s="9" t="str">
        <f t="shared" si="11"/>
        <v>TMK7</v>
      </c>
      <c r="AF671" s="9">
        <f>HOUR(O671)</f>
        <v>11</v>
      </c>
      <c r="AG671" s="9">
        <f>DAY(O671)</f>
        <v>18</v>
      </c>
      <c r="AH671" s="9">
        <f>IFERROR((I671-K671)*24*60,0)</f>
        <v>0</v>
      </c>
      <c r="AI671" s="9">
        <f t="shared" si="12"/>
        <v>0</v>
      </c>
      <c r="AJ671" s="9">
        <f>C671</f>
        <v>162</v>
      </c>
      <c r="AK671" s="9">
        <f>IF(P671="completed",((V671-K671)*24*60),0)</f>
        <v>0</v>
      </c>
      <c r="AL671" s="9">
        <f>IF(P671="completed",((U671-K671)*24*60),0)</f>
        <v>0.99999999278225005</v>
      </c>
      <c r="AM671" s="9" t="str">
        <f t="shared" si="13"/>
        <v>OTP Achieved</v>
      </c>
      <c r="AN671" s="9" t="str">
        <f t="shared" si="14"/>
        <v>OTP Achieved</v>
      </c>
    </row>
    <row r="672" spans="1:40" ht="15">
      <c r="A672" s="14" t="s">
        <v>177</v>
      </c>
      <c r="B672" s="15">
        <v>46313.472916666666</v>
      </c>
      <c r="C672" s="16">
        <v>1895</v>
      </c>
      <c r="D672" s="17" t="s">
        <v>41</v>
      </c>
      <c r="E672" s="16">
        <v>5</v>
      </c>
      <c r="F672" s="17" t="s">
        <v>41</v>
      </c>
      <c r="G672" s="17" t="s">
        <v>41</v>
      </c>
      <c r="H672" s="17" t="s">
        <v>2123</v>
      </c>
      <c r="I672" s="15">
        <v>46313.473611111112</v>
      </c>
      <c r="J672" s="17" t="s">
        <v>41</v>
      </c>
      <c r="K672" s="15">
        <v>46313.472916666666</v>
      </c>
      <c r="L672" s="16">
        <v>46</v>
      </c>
      <c r="M672" s="17"/>
      <c r="N672" s="17"/>
      <c r="O672" s="15">
        <v>46313.472916666666</v>
      </c>
      <c r="P672" s="17" t="s">
        <v>43</v>
      </c>
      <c r="Q672" s="17" t="s">
        <v>179</v>
      </c>
      <c r="R672" s="17" t="s">
        <v>2124</v>
      </c>
      <c r="S672" s="16">
        <v>4247</v>
      </c>
      <c r="T672" s="17" t="s">
        <v>41</v>
      </c>
      <c r="U672" s="15">
        <v>46313.478472222225</v>
      </c>
      <c r="V672" s="15">
        <v>46313.477083333331</v>
      </c>
      <c r="W672" s="18" t="s">
        <v>2125</v>
      </c>
      <c r="X672" s="16">
        <v>22411</v>
      </c>
      <c r="Y672" s="17"/>
      <c r="Z672" s="16">
        <v>0</v>
      </c>
      <c r="AA672" s="20">
        <v>0.47291666666666665</v>
      </c>
      <c r="AB672" s="16">
        <v>5</v>
      </c>
      <c r="AC672" s="17" t="s">
        <v>41</v>
      </c>
      <c r="AD672" s="9" t="str">
        <f t="shared" si="10"/>
        <v>Actual</v>
      </c>
      <c r="AE672" s="9" t="str">
        <f t="shared" si="11"/>
        <v>TMK7</v>
      </c>
      <c r="AF672" s="9">
        <f>HOUR(O672)</f>
        <v>11</v>
      </c>
      <c r="AG672" s="9">
        <f>DAY(O672)</f>
        <v>18</v>
      </c>
      <c r="AH672" s="9">
        <f>IFERROR((I672-K672)*24*60,0)</f>
        <v>1.000000003259629</v>
      </c>
      <c r="AI672" s="9">
        <f t="shared" si="12"/>
        <v>1.000000003259629</v>
      </c>
      <c r="AJ672" s="9">
        <f>C672</f>
        <v>1895</v>
      </c>
      <c r="AK672" s="9">
        <f>IF(P672="completed",((V672-K672)*24*60),0)</f>
        <v>5.9999999986030161</v>
      </c>
      <c r="AL672" s="9">
        <f>IF(P672="completed",((U672-K672)*24*60),0)</f>
        <v>8.0000000051222742</v>
      </c>
      <c r="AM672" s="9" t="str">
        <f t="shared" si="13"/>
        <v>OTP Achieved</v>
      </c>
      <c r="AN672" s="9" t="str">
        <f t="shared" si="14"/>
        <v>OTP Achieved</v>
      </c>
    </row>
    <row r="673" spans="1:40" ht="15">
      <c r="A673" s="14" t="s">
        <v>98</v>
      </c>
      <c r="B673" s="15">
        <v>46313.470833333333</v>
      </c>
      <c r="C673" s="16">
        <v>702</v>
      </c>
      <c r="D673" s="17" t="s">
        <v>41</v>
      </c>
      <c r="E673" s="16">
        <v>3</v>
      </c>
      <c r="F673" s="17" t="s">
        <v>41</v>
      </c>
      <c r="G673" s="17" t="s">
        <v>41</v>
      </c>
      <c r="H673" s="17" t="s">
        <v>2126</v>
      </c>
      <c r="I673" s="15">
        <v>46313.472222222219</v>
      </c>
      <c r="J673" s="17" t="s">
        <v>41</v>
      </c>
      <c r="K673" s="15">
        <v>46313.472222222219</v>
      </c>
      <c r="L673" s="16">
        <v>13</v>
      </c>
      <c r="M673" s="17"/>
      <c r="N673" s="17"/>
      <c r="O673" s="15">
        <v>46313.470833333333</v>
      </c>
      <c r="P673" s="17" t="s">
        <v>43</v>
      </c>
      <c r="Q673" s="17" t="s">
        <v>100</v>
      </c>
      <c r="R673" s="17" t="s">
        <v>2127</v>
      </c>
      <c r="S673" s="16">
        <v>4247</v>
      </c>
      <c r="T673" s="17" t="s">
        <v>41</v>
      </c>
      <c r="U673" s="15">
        <v>46313.474999999999</v>
      </c>
      <c r="V673" s="15">
        <v>46313.473611111112</v>
      </c>
      <c r="W673" s="18" t="s">
        <v>2128</v>
      </c>
      <c r="X673" s="16">
        <v>22411</v>
      </c>
      <c r="Y673" s="19"/>
      <c r="Z673" s="16">
        <v>0</v>
      </c>
      <c r="AA673" s="20">
        <v>0.47083333333333333</v>
      </c>
      <c r="AB673" s="16">
        <v>3</v>
      </c>
      <c r="AC673" s="17" t="s">
        <v>41</v>
      </c>
      <c r="AD673" s="9" t="str">
        <f t="shared" si="10"/>
        <v>Actual</v>
      </c>
      <c r="AE673" s="9" t="str">
        <f t="shared" si="11"/>
        <v>TMK7</v>
      </c>
      <c r="AF673" s="9">
        <f>HOUR(O673)</f>
        <v>11</v>
      </c>
      <c r="AG673" s="9">
        <f>DAY(O673)</f>
        <v>18</v>
      </c>
      <c r="AH673" s="9">
        <f>IFERROR((I673-K673)*24*60,0)</f>
        <v>0</v>
      </c>
      <c r="AI673" s="9">
        <f t="shared" si="12"/>
        <v>0</v>
      </c>
      <c r="AJ673" s="9">
        <f>C673</f>
        <v>702</v>
      </c>
      <c r="AK673" s="9">
        <f>IF(P673="completed",((V673-K673)*24*60),0)</f>
        <v>2.000000006519258</v>
      </c>
      <c r="AL673" s="9">
        <f>IF(P673="completed",((U673-K673)*24*60),0)</f>
        <v>4.0000000025611371</v>
      </c>
      <c r="AM673" s="9" t="str">
        <f t="shared" si="13"/>
        <v>OTP Achieved</v>
      </c>
      <c r="AN673" s="9" t="str">
        <f t="shared" si="14"/>
        <v>OTP Achieved</v>
      </c>
    </row>
    <row r="674" spans="1:40" ht="15">
      <c r="A674" s="14" t="s">
        <v>655</v>
      </c>
      <c r="B674" s="15">
        <v>46313.470833333333</v>
      </c>
      <c r="C674" s="16">
        <v>860</v>
      </c>
      <c r="D674" s="17" t="s">
        <v>41</v>
      </c>
      <c r="E674" s="16">
        <v>3</v>
      </c>
      <c r="F674" s="17" t="s">
        <v>41</v>
      </c>
      <c r="G674" s="17" t="s">
        <v>41</v>
      </c>
      <c r="H674" s="17" t="s">
        <v>2129</v>
      </c>
      <c r="I674" s="15">
        <v>46313.472222222219</v>
      </c>
      <c r="J674" s="17" t="s">
        <v>41</v>
      </c>
      <c r="K674" s="15">
        <v>46313.47152777778</v>
      </c>
      <c r="L674" s="16">
        <v>13</v>
      </c>
      <c r="M674" s="17"/>
      <c r="N674" s="17"/>
      <c r="O674" s="15">
        <v>46313.470833333333</v>
      </c>
      <c r="P674" s="17" t="s">
        <v>43</v>
      </c>
      <c r="Q674" s="17" t="s">
        <v>657</v>
      </c>
      <c r="R674" s="17" t="s">
        <v>2130</v>
      </c>
      <c r="S674" s="16">
        <v>4247</v>
      </c>
      <c r="T674" s="17" t="s">
        <v>41</v>
      </c>
      <c r="U674" s="15">
        <v>46313.474305555559</v>
      </c>
      <c r="V674" s="15">
        <v>46313.473611111112</v>
      </c>
      <c r="W674" s="18" t="s">
        <v>2131</v>
      </c>
      <c r="X674" s="16">
        <v>22411</v>
      </c>
      <c r="Y674" s="19"/>
      <c r="Z674" s="16">
        <v>0</v>
      </c>
      <c r="AA674" s="20">
        <v>0.47083333333333333</v>
      </c>
      <c r="AB674" s="16">
        <v>3</v>
      </c>
      <c r="AC674" s="17" t="s">
        <v>41</v>
      </c>
      <c r="AD674" s="9" t="str">
        <f t="shared" si="10"/>
        <v>Actual</v>
      </c>
      <c r="AE674" s="9" t="str">
        <f t="shared" si="11"/>
        <v>TMK7</v>
      </c>
      <c r="AF674" s="9">
        <f>HOUR(O674)</f>
        <v>11</v>
      </c>
      <c r="AG674" s="9">
        <f>DAY(O674)</f>
        <v>18</v>
      </c>
      <c r="AH674" s="9">
        <f>IFERROR((I674-K674)*24*60,0)</f>
        <v>0.99999999278225005</v>
      </c>
      <c r="AI674" s="9">
        <f t="shared" si="12"/>
        <v>0.99999999278225005</v>
      </c>
      <c r="AJ674" s="9">
        <f>C674</f>
        <v>860</v>
      </c>
      <c r="AK674" s="9">
        <f>IF(P674="completed",((V674-K674)*24*60),0)</f>
        <v>2.9999999993015081</v>
      </c>
      <c r="AL674" s="9">
        <f>IF(P674="completed",((U674-K674)*24*60),0)</f>
        <v>4.0000000025611371</v>
      </c>
      <c r="AM674" s="9" t="str">
        <f t="shared" si="13"/>
        <v>OTP Achieved</v>
      </c>
      <c r="AN674" s="9" t="str">
        <f t="shared" si="14"/>
        <v>OTP Achieved</v>
      </c>
    </row>
    <row r="675" spans="1:40" ht="15">
      <c r="A675" s="14" t="s">
        <v>1461</v>
      </c>
      <c r="B675" s="15">
        <v>46313.470833333333</v>
      </c>
      <c r="C675" s="16">
        <v>1576</v>
      </c>
      <c r="D675" s="17" t="s">
        <v>41</v>
      </c>
      <c r="E675" s="16">
        <v>5</v>
      </c>
      <c r="F675" s="17" t="s">
        <v>41</v>
      </c>
      <c r="G675" s="17" t="s">
        <v>41</v>
      </c>
      <c r="H675" s="17" t="s">
        <v>2132</v>
      </c>
      <c r="I675" s="15">
        <v>46313.472916666666</v>
      </c>
      <c r="J675" s="17" t="s">
        <v>41</v>
      </c>
      <c r="K675" s="15">
        <v>46313.472916666666</v>
      </c>
      <c r="L675" s="16">
        <v>19</v>
      </c>
      <c r="M675" s="17"/>
      <c r="N675" s="17"/>
      <c r="O675" s="15">
        <v>46313.470833333333</v>
      </c>
      <c r="P675" s="17" t="s">
        <v>43</v>
      </c>
      <c r="Q675" s="17" t="s">
        <v>1463</v>
      </c>
      <c r="R675" s="17" t="s">
        <v>2133</v>
      </c>
      <c r="S675" s="16">
        <v>4247</v>
      </c>
      <c r="T675" s="17" t="s">
        <v>41</v>
      </c>
      <c r="U675" s="15">
        <v>46313.478472222225</v>
      </c>
      <c r="V675" s="15">
        <v>46313.476388888892</v>
      </c>
      <c r="W675" s="18" t="s">
        <v>2134</v>
      </c>
      <c r="X675" s="16">
        <v>22411</v>
      </c>
      <c r="Y675" s="19"/>
      <c r="Z675" s="16">
        <v>0</v>
      </c>
      <c r="AA675" s="20">
        <v>0.47083333333333333</v>
      </c>
      <c r="AB675" s="16">
        <v>5</v>
      </c>
      <c r="AC675" s="17" t="s">
        <v>41</v>
      </c>
      <c r="AD675" s="9" t="str">
        <f t="shared" si="10"/>
        <v>Actual</v>
      </c>
      <c r="AE675" s="9" t="str">
        <f t="shared" si="11"/>
        <v>TMK7</v>
      </c>
      <c r="AF675" s="9">
        <f>HOUR(O675)</f>
        <v>11</v>
      </c>
      <c r="AG675" s="9">
        <f>DAY(O675)</f>
        <v>18</v>
      </c>
      <c r="AH675" s="9">
        <f>IFERROR((I675-K675)*24*60,0)</f>
        <v>0</v>
      </c>
      <c r="AI675" s="9">
        <f t="shared" si="12"/>
        <v>0</v>
      </c>
      <c r="AJ675" s="9">
        <f>C675</f>
        <v>1576</v>
      </c>
      <c r="AK675" s="9">
        <f>IF(P675="completed",((V675-K675)*24*60),0)</f>
        <v>5.0000000058207661</v>
      </c>
      <c r="AL675" s="9">
        <f>IF(P675="completed",((U675-K675)*24*60),0)</f>
        <v>8.0000000051222742</v>
      </c>
      <c r="AM675" s="9" t="str">
        <f t="shared" si="13"/>
        <v>OTP Achieved</v>
      </c>
      <c r="AN675" s="9" t="str">
        <f t="shared" si="14"/>
        <v>OTP Achieved</v>
      </c>
    </row>
    <row r="676" spans="1:40" ht="15">
      <c r="A676" s="14" t="s">
        <v>1336</v>
      </c>
      <c r="B676" s="15">
        <v>46313.470138888886</v>
      </c>
      <c r="C676" s="16">
        <v>1816</v>
      </c>
      <c r="D676" s="17" t="s">
        <v>41</v>
      </c>
      <c r="E676" s="16">
        <v>5</v>
      </c>
      <c r="F676" s="17" t="s">
        <v>41</v>
      </c>
      <c r="G676" s="17" t="s">
        <v>41</v>
      </c>
      <c r="H676" s="17" t="s">
        <v>2135</v>
      </c>
      <c r="I676" s="15">
        <v>46313.472222222219</v>
      </c>
      <c r="J676" s="17" t="s">
        <v>41</v>
      </c>
      <c r="K676" s="15">
        <v>46313.472222222219</v>
      </c>
      <c r="L676" s="16">
        <v>10</v>
      </c>
      <c r="M676" s="17"/>
      <c r="N676" s="17"/>
      <c r="O676" s="15">
        <v>46313.470138888886</v>
      </c>
      <c r="P676" s="17" t="s">
        <v>43</v>
      </c>
      <c r="Q676" s="17" t="s">
        <v>1338</v>
      </c>
      <c r="R676" s="17" t="s">
        <v>2136</v>
      </c>
      <c r="S676" s="16">
        <v>4247</v>
      </c>
      <c r="T676" s="17" t="s">
        <v>41</v>
      </c>
      <c r="U676" s="15">
        <v>46313.477777777778</v>
      </c>
      <c r="V676" s="15">
        <v>46313.475694444445</v>
      </c>
      <c r="W676" s="18" t="s">
        <v>2137</v>
      </c>
      <c r="X676" s="16">
        <v>22411</v>
      </c>
      <c r="Y676" s="19"/>
      <c r="Z676" s="16">
        <v>0</v>
      </c>
      <c r="AA676" s="20">
        <v>0.47013888888888888</v>
      </c>
      <c r="AB676" s="16">
        <v>5</v>
      </c>
      <c r="AC676" s="17" t="s">
        <v>41</v>
      </c>
      <c r="AD676" s="9" t="str">
        <f t="shared" si="10"/>
        <v>Actual</v>
      </c>
      <c r="AE676" s="9" t="str">
        <f t="shared" si="11"/>
        <v>TMK7</v>
      </c>
      <c r="AF676" s="9">
        <f>HOUR(O676)</f>
        <v>11</v>
      </c>
      <c r="AG676" s="9">
        <f>DAY(O676)</f>
        <v>18</v>
      </c>
      <c r="AH676" s="9">
        <f>IFERROR((I676-K676)*24*60,0)</f>
        <v>0</v>
      </c>
      <c r="AI676" s="9">
        <f t="shared" si="12"/>
        <v>0</v>
      </c>
      <c r="AJ676" s="9">
        <f>C676</f>
        <v>1816</v>
      </c>
      <c r="AK676" s="9">
        <f>IF(P676="completed",((V676-K676)*24*60),0)</f>
        <v>5.0000000058207661</v>
      </c>
      <c r="AL676" s="9">
        <f>IF(P676="completed",((U676-K676)*24*60),0)</f>
        <v>8.0000000051222742</v>
      </c>
      <c r="AM676" s="9" t="str">
        <f t="shared" si="13"/>
        <v>OTP Achieved</v>
      </c>
      <c r="AN676" s="9" t="str">
        <f t="shared" si="14"/>
        <v>OTP Achieved</v>
      </c>
    </row>
    <row r="677" spans="1:40" ht="15">
      <c r="A677" s="14" t="s">
        <v>1310</v>
      </c>
      <c r="B677" s="15">
        <v>46313.469444444447</v>
      </c>
      <c r="C677" s="16">
        <v>195</v>
      </c>
      <c r="D677" s="17" t="s">
        <v>41</v>
      </c>
      <c r="E677" s="16">
        <v>1</v>
      </c>
      <c r="F677" s="17" t="s">
        <v>41</v>
      </c>
      <c r="G677" s="17" t="s">
        <v>41</v>
      </c>
      <c r="H677" s="17" t="s">
        <v>2138</v>
      </c>
      <c r="I677" s="15">
        <v>46313.470138888886</v>
      </c>
      <c r="J677" s="17" t="s">
        <v>41</v>
      </c>
      <c r="K677" s="15">
        <v>46313.469444444447</v>
      </c>
      <c r="L677" s="16">
        <v>32</v>
      </c>
      <c r="M677" s="17"/>
      <c r="N677" s="17"/>
      <c r="O677" s="15">
        <v>46313.46875</v>
      </c>
      <c r="P677" s="17" t="s">
        <v>43</v>
      </c>
      <c r="Q677" s="17" t="s">
        <v>1312</v>
      </c>
      <c r="R677" s="17" t="s">
        <v>2139</v>
      </c>
      <c r="S677" s="16">
        <v>4247</v>
      </c>
      <c r="T677" s="17" t="s">
        <v>41</v>
      </c>
      <c r="U677" s="15">
        <v>46313.470833333333</v>
      </c>
      <c r="V677" s="15">
        <v>46313.470138888886</v>
      </c>
      <c r="W677" s="18" t="s">
        <v>2140</v>
      </c>
      <c r="X677" s="16">
        <v>22411</v>
      </c>
      <c r="Y677" s="19"/>
      <c r="Z677" s="16">
        <v>0</v>
      </c>
      <c r="AA677" s="20">
        <v>0.46944444444444444</v>
      </c>
      <c r="AB677" s="16">
        <v>0</v>
      </c>
      <c r="AC677" s="17" t="s">
        <v>41</v>
      </c>
      <c r="AD677" s="9" t="str">
        <f t="shared" si="10"/>
        <v>Actual</v>
      </c>
      <c r="AE677" s="9" t="str">
        <f t="shared" si="11"/>
        <v>TMK7</v>
      </c>
      <c r="AF677" s="9">
        <f>HOUR(O677)</f>
        <v>11</v>
      </c>
      <c r="AG677" s="9">
        <f>DAY(O677)</f>
        <v>18</v>
      </c>
      <c r="AH677" s="9">
        <f>IFERROR((I677-K677)*24*60,0)</f>
        <v>0.99999999278225005</v>
      </c>
      <c r="AI677" s="9">
        <f t="shared" si="12"/>
        <v>0.99999999278225005</v>
      </c>
      <c r="AJ677" s="9">
        <f>C677</f>
        <v>195</v>
      </c>
      <c r="AK677" s="9">
        <f>IF(P677="completed",((V677-K677)*24*60),0)</f>
        <v>0.99999999278225005</v>
      </c>
      <c r="AL677" s="9">
        <f>IF(P677="completed",((U677-K677)*24*60),0)</f>
        <v>1.9999999960418791</v>
      </c>
      <c r="AM677" s="9" t="str">
        <f t="shared" si="13"/>
        <v>OTP Achieved</v>
      </c>
      <c r="AN677" s="9" t="str">
        <f t="shared" si="14"/>
        <v>OTP Achieved</v>
      </c>
    </row>
    <row r="678" spans="1:40" ht="15">
      <c r="A678" s="14" t="s">
        <v>1624</v>
      </c>
      <c r="B678" s="15">
        <v>46313.46875</v>
      </c>
      <c r="C678" s="16">
        <v>591</v>
      </c>
      <c r="D678" s="17" t="s">
        <v>41</v>
      </c>
      <c r="E678" s="16">
        <v>2</v>
      </c>
      <c r="F678" s="17" t="s">
        <v>41</v>
      </c>
      <c r="G678" s="17" t="s">
        <v>41</v>
      </c>
      <c r="H678" s="17" t="s">
        <v>2141</v>
      </c>
      <c r="I678" s="15">
        <v>46313.470833333333</v>
      </c>
      <c r="J678" s="17" t="s">
        <v>41</v>
      </c>
      <c r="K678" s="15">
        <v>46313.470138888886</v>
      </c>
      <c r="L678" s="16">
        <v>12</v>
      </c>
      <c r="M678" s="17"/>
      <c r="N678" s="17"/>
      <c r="O678" s="15">
        <v>46313.46875</v>
      </c>
      <c r="P678" s="17" t="s">
        <v>43</v>
      </c>
      <c r="Q678" s="17" t="s">
        <v>1626</v>
      </c>
      <c r="R678" s="17" t="s">
        <v>2142</v>
      </c>
      <c r="S678" s="16">
        <v>4247</v>
      </c>
      <c r="T678" s="17" t="s">
        <v>41</v>
      </c>
      <c r="U678" s="15">
        <v>46313.472222222219</v>
      </c>
      <c r="V678" s="15">
        <v>46313.47152777778</v>
      </c>
      <c r="W678" s="18" t="s">
        <v>2143</v>
      </c>
      <c r="X678" s="16">
        <v>22411</v>
      </c>
      <c r="Y678" s="19"/>
      <c r="Z678" s="16">
        <v>0</v>
      </c>
      <c r="AA678" s="20">
        <v>0.46875</v>
      </c>
      <c r="AB678" s="16">
        <v>2</v>
      </c>
      <c r="AC678" s="17" t="s">
        <v>41</v>
      </c>
      <c r="AD678" s="9" t="str">
        <f t="shared" si="10"/>
        <v>Actual</v>
      </c>
      <c r="AE678" s="9" t="str">
        <f t="shared" si="11"/>
        <v>TMK7</v>
      </c>
      <c r="AF678" s="9">
        <f>HOUR(O678)</f>
        <v>11</v>
      </c>
      <c r="AG678" s="9">
        <f>DAY(O678)</f>
        <v>18</v>
      </c>
      <c r="AH678" s="9">
        <f>IFERROR((I678-K678)*24*60,0)</f>
        <v>1.000000003259629</v>
      </c>
      <c r="AI678" s="9">
        <f t="shared" si="12"/>
        <v>1.000000003259629</v>
      </c>
      <c r="AJ678" s="9">
        <f>C678</f>
        <v>591</v>
      </c>
      <c r="AK678" s="9">
        <f>IF(P678="completed",((V678-K678)*24*60),0)</f>
        <v>2.000000006519258</v>
      </c>
      <c r="AL678" s="9">
        <f>IF(P678="completed",((U678-K678)*24*60),0)</f>
        <v>2.9999999993015081</v>
      </c>
      <c r="AM678" s="9" t="str">
        <f t="shared" si="13"/>
        <v>OTP Achieved</v>
      </c>
      <c r="AN678" s="9" t="str">
        <f t="shared" si="14"/>
        <v>OTP Achieved</v>
      </c>
    </row>
    <row r="679" spans="1:40" ht="15">
      <c r="A679" s="14" t="s">
        <v>734</v>
      </c>
      <c r="B679" s="15">
        <v>46313.46875</v>
      </c>
      <c r="C679" s="16">
        <v>897</v>
      </c>
      <c r="D679" s="17" t="s">
        <v>41</v>
      </c>
      <c r="E679" s="16">
        <v>3</v>
      </c>
      <c r="F679" s="17" t="s">
        <v>41</v>
      </c>
      <c r="G679" s="17" t="s">
        <v>41</v>
      </c>
      <c r="H679" s="17" t="s">
        <v>2144</v>
      </c>
      <c r="I679" s="15">
        <v>46313.469444444447</v>
      </c>
      <c r="J679" s="17" t="s">
        <v>41</v>
      </c>
      <c r="K679" s="15">
        <v>46313.469444444447</v>
      </c>
      <c r="L679" s="16">
        <v>12</v>
      </c>
      <c r="M679" s="17"/>
      <c r="N679" s="17"/>
      <c r="O679" s="15">
        <v>46313.46875</v>
      </c>
      <c r="P679" s="17" t="s">
        <v>43</v>
      </c>
      <c r="Q679" s="17" t="s">
        <v>736</v>
      </c>
      <c r="R679" s="17" t="s">
        <v>2145</v>
      </c>
      <c r="S679" s="16">
        <v>4247</v>
      </c>
      <c r="T679" s="17" t="s">
        <v>41</v>
      </c>
      <c r="U679" s="15">
        <v>46313.472222222219</v>
      </c>
      <c r="V679" s="15">
        <v>46313.47152777778</v>
      </c>
      <c r="W679" s="18" t="s">
        <v>2146</v>
      </c>
      <c r="X679" s="16">
        <v>22411</v>
      </c>
      <c r="Y679" s="19"/>
      <c r="Z679" s="16">
        <v>0</v>
      </c>
      <c r="AA679" s="20">
        <v>0.46875</v>
      </c>
      <c r="AB679" s="16">
        <v>3</v>
      </c>
      <c r="AC679" s="17" t="s">
        <v>41</v>
      </c>
      <c r="AD679" s="9" t="str">
        <f t="shared" si="10"/>
        <v>Actual</v>
      </c>
      <c r="AE679" s="9" t="str">
        <f t="shared" si="11"/>
        <v>TMK7</v>
      </c>
      <c r="AF679" s="9">
        <f>HOUR(O679)</f>
        <v>11</v>
      </c>
      <c r="AG679" s="9">
        <f>DAY(O679)</f>
        <v>18</v>
      </c>
      <c r="AH679" s="9">
        <f>IFERROR((I679-K679)*24*60,0)</f>
        <v>0</v>
      </c>
      <c r="AI679" s="9">
        <f t="shared" si="12"/>
        <v>0</v>
      </c>
      <c r="AJ679" s="9">
        <f>C679</f>
        <v>897</v>
      </c>
      <c r="AK679" s="9">
        <f>IF(P679="completed",((V679-K679)*24*60),0)</f>
        <v>2.9999999993015081</v>
      </c>
      <c r="AL679" s="9">
        <f>IF(P679="completed",((U679-K679)*24*60),0)</f>
        <v>3.9999999920837581</v>
      </c>
      <c r="AM679" s="9" t="str">
        <f t="shared" si="13"/>
        <v>OTP Achieved</v>
      </c>
      <c r="AN679" s="9" t="str">
        <f t="shared" si="14"/>
        <v>OTP Achieved</v>
      </c>
    </row>
    <row r="680" spans="1:40" ht="15">
      <c r="A680" s="14" t="s">
        <v>1365</v>
      </c>
      <c r="B680" s="15">
        <v>46313.468055555553</v>
      </c>
      <c r="C680" s="16">
        <v>1129</v>
      </c>
      <c r="D680" s="17" t="s">
        <v>41</v>
      </c>
      <c r="E680" s="16">
        <v>4</v>
      </c>
      <c r="F680" s="17" t="s">
        <v>41</v>
      </c>
      <c r="G680" s="17" t="s">
        <v>41</v>
      </c>
      <c r="H680" s="17" t="s">
        <v>2147</v>
      </c>
      <c r="I680" s="15">
        <v>46313.469444444447</v>
      </c>
      <c r="J680" s="17" t="s">
        <v>41</v>
      </c>
      <c r="K680" s="15">
        <v>46313.469444444447</v>
      </c>
      <c r="L680" s="16">
        <v>25</v>
      </c>
      <c r="M680" s="17"/>
      <c r="N680" s="17"/>
      <c r="O680" s="15">
        <v>46313.468055555553</v>
      </c>
      <c r="P680" s="17" t="s">
        <v>43</v>
      </c>
      <c r="Q680" s="17" t="s">
        <v>1367</v>
      </c>
      <c r="R680" s="17" t="s">
        <v>2148</v>
      </c>
      <c r="S680" s="16">
        <v>4247</v>
      </c>
      <c r="T680" s="17" t="s">
        <v>41</v>
      </c>
      <c r="U680" s="15">
        <v>46313.472916666666</v>
      </c>
      <c r="V680" s="15">
        <v>46313.472222222219</v>
      </c>
      <c r="W680" s="18" t="s">
        <v>2149</v>
      </c>
      <c r="X680" s="16">
        <v>22411</v>
      </c>
      <c r="Y680" s="17"/>
      <c r="Z680" s="16">
        <v>0</v>
      </c>
      <c r="AA680" s="20">
        <v>0.46805555555555556</v>
      </c>
      <c r="AB680" s="16">
        <v>4</v>
      </c>
      <c r="AC680" s="17" t="s">
        <v>41</v>
      </c>
      <c r="AD680" s="9" t="str">
        <f t="shared" si="10"/>
        <v>Actual</v>
      </c>
      <c r="AE680" s="9" t="str">
        <f t="shared" si="11"/>
        <v>TMK7</v>
      </c>
      <c r="AF680" s="9">
        <f>HOUR(O680)</f>
        <v>11</v>
      </c>
      <c r="AG680" s="9">
        <f>DAY(O680)</f>
        <v>18</v>
      </c>
      <c r="AH680" s="9">
        <f>IFERROR((I680-K680)*24*60,0)</f>
        <v>0</v>
      </c>
      <c r="AI680" s="9">
        <f t="shared" si="12"/>
        <v>0</v>
      </c>
      <c r="AJ680" s="9">
        <f>C680</f>
        <v>1129</v>
      </c>
      <c r="AK680" s="9">
        <f>IF(P680="completed",((V680-K680)*24*60),0)</f>
        <v>3.9999999920837581</v>
      </c>
      <c r="AL680" s="9">
        <f>IF(P680="completed",((U680-K680)*24*60),0)</f>
        <v>4.9999999953433871</v>
      </c>
      <c r="AM680" s="9" t="str">
        <f t="shared" si="13"/>
        <v>OTP Achieved</v>
      </c>
      <c r="AN680" s="9" t="str">
        <f t="shared" si="14"/>
        <v>OTP Achieved</v>
      </c>
    </row>
    <row r="681" spans="1:40" ht="15">
      <c r="A681" s="14" t="s">
        <v>62</v>
      </c>
      <c r="B681" s="15">
        <v>46313.468055555553</v>
      </c>
      <c r="C681" s="16">
        <v>1193</v>
      </c>
      <c r="D681" s="17" t="s">
        <v>41</v>
      </c>
      <c r="E681" s="16">
        <v>4</v>
      </c>
      <c r="F681" s="17" t="s">
        <v>41</v>
      </c>
      <c r="G681" s="17" t="s">
        <v>41</v>
      </c>
      <c r="H681" s="17" t="s">
        <v>2150</v>
      </c>
      <c r="I681" s="15">
        <v>46313.469444444447</v>
      </c>
      <c r="J681" s="17" t="s">
        <v>41</v>
      </c>
      <c r="K681" s="15">
        <v>46313.46875</v>
      </c>
      <c r="L681" s="16">
        <v>15</v>
      </c>
      <c r="M681" s="17"/>
      <c r="N681" s="17"/>
      <c r="O681" s="15">
        <v>46313.468055555553</v>
      </c>
      <c r="P681" s="17" t="s">
        <v>43</v>
      </c>
      <c r="Q681" s="17" t="s">
        <v>64</v>
      </c>
      <c r="R681" s="17" t="s">
        <v>2151</v>
      </c>
      <c r="S681" s="16">
        <v>4247</v>
      </c>
      <c r="T681" s="17" t="s">
        <v>41</v>
      </c>
      <c r="U681" s="15">
        <v>46313.472916666666</v>
      </c>
      <c r="V681" s="15">
        <v>46313.47152777778</v>
      </c>
      <c r="W681" s="18" t="s">
        <v>2152</v>
      </c>
      <c r="X681" s="16">
        <v>22411</v>
      </c>
      <c r="Y681" s="19"/>
      <c r="Z681" s="16">
        <v>0</v>
      </c>
      <c r="AA681" s="20">
        <v>0.46805555555555556</v>
      </c>
      <c r="AB681" s="16">
        <v>4</v>
      </c>
      <c r="AC681" s="17" t="s">
        <v>41</v>
      </c>
      <c r="AD681" s="9" t="str">
        <f t="shared" si="10"/>
        <v>Actual</v>
      </c>
      <c r="AE681" s="9" t="str">
        <f t="shared" si="11"/>
        <v>TMK7</v>
      </c>
      <c r="AF681" s="9">
        <f>HOUR(O681)</f>
        <v>11</v>
      </c>
      <c r="AG681" s="9">
        <f>DAY(O681)</f>
        <v>18</v>
      </c>
      <c r="AH681" s="9">
        <f>IFERROR((I681-K681)*24*60,0)</f>
        <v>1.000000003259629</v>
      </c>
      <c r="AI681" s="9">
        <f t="shared" si="12"/>
        <v>1.000000003259629</v>
      </c>
      <c r="AJ681" s="9">
        <f>C681</f>
        <v>1193</v>
      </c>
      <c r="AK681" s="9">
        <f>IF(P681="completed",((V681-K681)*24*60),0)</f>
        <v>4.0000000025611371</v>
      </c>
      <c r="AL681" s="9">
        <f>IF(P681="completed",((U681-K681)*24*60),0)</f>
        <v>5.9999999986030161</v>
      </c>
      <c r="AM681" s="9" t="str">
        <f t="shared" si="13"/>
        <v>OTP Achieved</v>
      </c>
      <c r="AN681" s="9" t="str">
        <f t="shared" si="14"/>
        <v>OTP Achieved</v>
      </c>
    </row>
    <row r="682" spans="1:40" ht="15">
      <c r="A682" s="14" t="s">
        <v>1391</v>
      </c>
      <c r="B682" s="15">
        <v>46313.468055555553</v>
      </c>
      <c r="C682" s="16">
        <v>3528</v>
      </c>
      <c r="D682" s="17" t="s">
        <v>41</v>
      </c>
      <c r="E682" s="16">
        <v>8</v>
      </c>
      <c r="F682" s="17" t="s">
        <v>41</v>
      </c>
      <c r="G682" s="17" t="s">
        <v>41</v>
      </c>
      <c r="H682" s="17" t="s">
        <v>2153</v>
      </c>
      <c r="I682" s="15">
        <v>46313.469444444447</v>
      </c>
      <c r="J682" s="17" t="s">
        <v>41</v>
      </c>
      <c r="K682" s="15">
        <v>46313.469444444447</v>
      </c>
      <c r="L682" s="16">
        <v>15</v>
      </c>
      <c r="M682" s="17"/>
      <c r="N682" s="17"/>
      <c r="O682" s="15">
        <v>46313.468055555553</v>
      </c>
      <c r="P682" s="17" t="s">
        <v>43</v>
      </c>
      <c r="Q682" s="17" t="s">
        <v>1393</v>
      </c>
      <c r="R682" s="17" t="s">
        <v>2154</v>
      </c>
      <c r="S682" s="16">
        <v>4247</v>
      </c>
      <c r="T682" s="17" t="s">
        <v>41</v>
      </c>
      <c r="U682" s="15">
        <v>46313.478472222225</v>
      </c>
      <c r="V682" s="15">
        <v>46313.474305555559</v>
      </c>
      <c r="W682" s="18" t="s">
        <v>2155</v>
      </c>
      <c r="X682" s="16">
        <v>22411</v>
      </c>
      <c r="Y682" s="19"/>
      <c r="Z682" s="16">
        <v>0</v>
      </c>
      <c r="AA682" s="20">
        <v>0.46805555555555556</v>
      </c>
      <c r="AB682" s="16">
        <v>7</v>
      </c>
      <c r="AC682" s="17" t="s">
        <v>41</v>
      </c>
      <c r="AD682" s="9" t="str">
        <f t="shared" si="10"/>
        <v>Actual</v>
      </c>
      <c r="AE682" s="9" t="str">
        <f t="shared" si="11"/>
        <v>TMK7</v>
      </c>
      <c r="AF682" s="9">
        <f>HOUR(O682)</f>
        <v>11</v>
      </c>
      <c r="AG682" s="9">
        <f>DAY(O682)</f>
        <v>18</v>
      </c>
      <c r="AH682" s="9">
        <f>IFERROR((I682-K682)*24*60,0)</f>
        <v>0</v>
      </c>
      <c r="AI682" s="9">
        <f t="shared" si="12"/>
        <v>0</v>
      </c>
      <c r="AJ682" s="9">
        <f>C682</f>
        <v>3528</v>
      </c>
      <c r="AK682" s="9">
        <f>IF(P682="completed",((V682-K682)*24*60),0)</f>
        <v>7.0000000018626451</v>
      </c>
      <c r="AL682" s="9">
        <f>IF(P682="completed",((U682-K682)*24*60),0)</f>
        <v>13.000000000465661</v>
      </c>
      <c r="AM682" s="9" t="str">
        <f t="shared" si="13"/>
        <v>OTP Achieved</v>
      </c>
      <c r="AN682" s="9" t="str">
        <f t="shared" si="14"/>
        <v>OTP Achieved</v>
      </c>
    </row>
    <row r="683" spans="1:40" ht="15">
      <c r="A683" s="14" t="s">
        <v>1136</v>
      </c>
      <c r="B683" s="15">
        <v>46313.466666666667</v>
      </c>
      <c r="C683" s="16">
        <v>1229</v>
      </c>
      <c r="D683" s="17" t="s">
        <v>41</v>
      </c>
      <c r="E683" s="16">
        <v>5</v>
      </c>
      <c r="F683" s="17" t="s">
        <v>41</v>
      </c>
      <c r="G683" s="17" t="s">
        <v>41</v>
      </c>
      <c r="H683" s="17" t="s">
        <v>2156</v>
      </c>
      <c r="I683" s="15">
        <v>46313.467361111114</v>
      </c>
      <c r="J683" s="17" t="s">
        <v>41</v>
      </c>
      <c r="K683" s="15">
        <v>46313.467361111114</v>
      </c>
      <c r="L683" s="16">
        <v>9</v>
      </c>
      <c r="M683" s="17"/>
      <c r="N683" s="17"/>
      <c r="O683" s="15">
        <v>46313.466666666667</v>
      </c>
      <c r="P683" s="17" t="s">
        <v>43</v>
      </c>
      <c r="Q683" s="17" t="s">
        <v>1138</v>
      </c>
      <c r="R683" s="17" t="s">
        <v>2157</v>
      </c>
      <c r="S683" s="16">
        <v>4247</v>
      </c>
      <c r="T683" s="17" t="s">
        <v>41</v>
      </c>
      <c r="U683" s="15">
        <v>46313.47152777778</v>
      </c>
      <c r="V683" s="15">
        <v>46313.470833333333</v>
      </c>
      <c r="W683" s="18" t="s">
        <v>2158</v>
      </c>
      <c r="X683" s="16">
        <v>22411</v>
      </c>
      <c r="Y683" s="19"/>
      <c r="Z683" s="16">
        <v>0</v>
      </c>
      <c r="AA683" s="20">
        <v>0.46666666666666667</v>
      </c>
      <c r="AB683" s="16">
        <v>5</v>
      </c>
      <c r="AC683" s="17" t="s">
        <v>41</v>
      </c>
      <c r="AD683" s="9" t="str">
        <f t="shared" si="10"/>
        <v>Actual</v>
      </c>
      <c r="AE683" s="9" t="str">
        <f t="shared" si="11"/>
        <v>TMK7</v>
      </c>
      <c r="AF683" s="9">
        <f>HOUR(O683)</f>
        <v>11</v>
      </c>
      <c r="AG683" s="9">
        <f>DAY(O683)</f>
        <v>18</v>
      </c>
      <c r="AH683" s="9">
        <f>IFERROR((I683-K683)*24*60,0)</f>
        <v>0</v>
      </c>
      <c r="AI683" s="9">
        <f t="shared" si="12"/>
        <v>0</v>
      </c>
      <c r="AJ683" s="9">
        <f>C683</f>
        <v>1229</v>
      </c>
      <c r="AK683" s="9">
        <f>IF(P683="completed",((V683-K683)*24*60),0)</f>
        <v>4.9999999953433871</v>
      </c>
      <c r="AL683" s="9">
        <f>IF(P683="completed",((U683-K683)*24*60),0)</f>
        <v>5.9999999986030161</v>
      </c>
      <c r="AM683" s="9" t="str">
        <f t="shared" si="13"/>
        <v>OTP Achieved</v>
      </c>
      <c r="AN683" s="9" t="str">
        <f t="shared" si="14"/>
        <v>OTP Achieved</v>
      </c>
    </row>
    <row r="684" spans="1:40" ht="15">
      <c r="A684" s="14" t="s">
        <v>40</v>
      </c>
      <c r="B684" s="15">
        <v>46313.466666666667</v>
      </c>
      <c r="C684" s="16">
        <v>3699</v>
      </c>
      <c r="D684" s="17" t="s">
        <v>41</v>
      </c>
      <c r="E684" s="16">
        <v>10</v>
      </c>
      <c r="F684" s="17" t="s">
        <v>41</v>
      </c>
      <c r="G684" s="17" t="s">
        <v>41</v>
      </c>
      <c r="H684" s="17" t="s">
        <v>2159</v>
      </c>
      <c r="I684" s="15">
        <v>46313.468055555553</v>
      </c>
      <c r="J684" s="17" t="s">
        <v>41</v>
      </c>
      <c r="K684" s="15">
        <v>46313.467361111114</v>
      </c>
      <c r="L684" s="16">
        <v>24</v>
      </c>
      <c r="M684" s="17"/>
      <c r="N684" s="17"/>
      <c r="O684" s="15">
        <v>46313.466666666667</v>
      </c>
      <c r="P684" s="17" t="s">
        <v>43</v>
      </c>
      <c r="Q684" s="17" t="s">
        <v>44</v>
      </c>
      <c r="R684" s="17" t="s">
        <v>2160</v>
      </c>
      <c r="S684" s="16">
        <v>4247</v>
      </c>
      <c r="T684" s="17" t="s">
        <v>41</v>
      </c>
      <c r="U684" s="15">
        <v>46313.476388888892</v>
      </c>
      <c r="V684" s="15">
        <v>46313.474999999999</v>
      </c>
      <c r="W684" s="18" t="s">
        <v>2161</v>
      </c>
      <c r="X684" s="16">
        <v>22411</v>
      </c>
      <c r="Y684" s="19"/>
      <c r="Z684" s="16">
        <v>0</v>
      </c>
      <c r="AA684" s="20">
        <v>0.46666666666666667</v>
      </c>
      <c r="AB684" s="16">
        <v>10</v>
      </c>
      <c r="AC684" s="17" t="s">
        <v>41</v>
      </c>
      <c r="AD684" s="9" t="str">
        <f t="shared" si="10"/>
        <v>Actual</v>
      </c>
      <c r="AE684" s="9" t="str">
        <f t="shared" si="11"/>
        <v>TMK7</v>
      </c>
      <c r="AF684" s="9">
        <f>HOUR(O684)</f>
        <v>11</v>
      </c>
      <c r="AG684" s="9">
        <f>DAY(O684)</f>
        <v>18</v>
      </c>
      <c r="AH684" s="9">
        <f>IFERROR((I684-K684)*24*60,0)</f>
        <v>0.99999999278225005</v>
      </c>
      <c r="AI684" s="9">
        <f t="shared" si="12"/>
        <v>0.99999999278225005</v>
      </c>
      <c r="AJ684" s="9">
        <f>C684</f>
        <v>3699</v>
      </c>
      <c r="AK684" s="9">
        <f>IF(P684="completed",((V684-K684)*24*60),0)</f>
        <v>10.999999993946403</v>
      </c>
      <c r="AL684" s="9">
        <f>IF(P684="completed",((U684-K684)*24*60),0)</f>
        <v>13.000000000465661</v>
      </c>
      <c r="AM684" s="9" t="str">
        <f t="shared" si="13"/>
        <v>OTP Achieved</v>
      </c>
      <c r="AN684" s="9" t="str">
        <f t="shared" si="14"/>
        <v>OTP Achieved</v>
      </c>
    </row>
    <row r="685" spans="1:40" ht="15">
      <c r="A685" s="14" t="s">
        <v>190</v>
      </c>
      <c r="B685" s="15">
        <v>46313.466666666667</v>
      </c>
      <c r="C685" s="16">
        <v>2252</v>
      </c>
      <c r="D685" s="17" t="s">
        <v>41</v>
      </c>
      <c r="E685" s="16">
        <v>8</v>
      </c>
      <c r="F685" s="17" t="s">
        <v>41</v>
      </c>
      <c r="G685" s="17" t="s">
        <v>41</v>
      </c>
      <c r="H685" s="17" t="s">
        <v>2162</v>
      </c>
      <c r="I685" s="15">
        <v>46313.467361111114</v>
      </c>
      <c r="J685" s="17" t="s">
        <v>41</v>
      </c>
      <c r="K685" s="15">
        <v>46313.467361111114</v>
      </c>
      <c r="L685" s="16">
        <v>13</v>
      </c>
      <c r="M685" s="17"/>
      <c r="N685" s="17"/>
      <c r="O685" s="15">
        <v>46313.46597222222</v>
      </c>
      <c r="P685" s="17" t="s">
        <v>43</v>
      </c>
      <c r="Q685" s="17" t="s">
        <v>192</v>
      </c>
      <c r="R685" s="17" t="s">
        <v>2163</v>
      </c>
      <c r="S685" s="16">
        <v>4247</v>
      </c>
      <c r="T685" s="17" t="s">
        <v>41</v>
      </c>
      <c r="U685" s="15">
        <v>46313.472916666666</v>
      </c>
      <c r="V685" s="15">
        <v>46313.472222222219</v>
      </c>
      <c r="W685" s="18" t="s">
        <v>2164</v>
      </c>
      <c r="X685" s="16">
        <v>22411</v>
      </c>
      <c r="Y685" s="19"/>
      <c r="Z685" s="16">
        <v>0</v>
      </c>
      <c r="AA685" s="20">
        <v>0.46666666666666667</v>
      </c>
      <c r="AB685" s="16">
        <v>8</v>
      </c>
      <c r="AC685" s="17" t="s">
        <v>41</v>
      </c>
      <c r="AD685" s="9" t="str">
        <f t="shared" si="10"/>
        <v>Actual</v>
      </c>
      <c r="AE685" s="9" t="str">
        <f t="shared" si="11"/>
        <v>TMK7</v>
      </c>
      <c r="AF685" s="9">
        <f>HOUR(O685)</f>
        <v>11</v>
      </c>
      <c r="AG685" s="9">
        <f>DAY(O685)</f>
        <v>18</v>
      </c>
      <c r="AH685" s="9">
        <f>IFERROR((I685-K685)*24*60,0)</f>
        <v>0</v>
      </c>
      <c r="AI685" s="9">
        <f t="shared" si="12"/>
        <v>0</v>
      </c>
      <c r="AJ685" s="9">
        <f>C685</f>
        <v>2252</v>
      </c>
      <c r="AK685" s="9">
        <f>IF(P685="completed",((V685-K685)*24*60),0)</f>
        <v>6.9999999913852662</v>
      </c>
      <c r="AL685" s="9">
        <f>IF(P685="completed",((U685-K685)*24*60),0)</f>
        <v>7.9999999946448952</v>
      </c>
      <c r="AM685" s="9" t="str">
        <f t="shared" si="13"/>
        <v>OTP Achieved</v>
      </c>
      <c r="AN685" s="9" t="str">
        <f t="shared" si="14"/>
        <v>OTP Achieved</v>
      </c>
    </row>
    <row r="686" spans="1:40" ht="15">
      <c r="A686" s="14" t="s">
        <v>67</v>
      </c>
      <c r="B686" s="15">
        <v>46313.465277777781</v>
      </c>
      <c r="C686" s="16">
        <v>521</v>
      </c>
      <c r="D686" s="17" t="s">
        <v>41</v>
      </c>
      <c r="E686" s="16">
        <v>2</v>
      </c>
      <c r="F686" s="17" t="s">
        <v>41</v>
      </c>
      <c r="G686" s="17" t="s">
        <v>41</v>
      </c>
      <c r="H686" s="17" t="s">
        <v>2165</v>
      </c>
      <c r="I686" s="15">
        <v>46313.466666666667</v>
      </c>
      <c r="J686" s="17" t="s">
        <v>41</v>
      </c>
      <c r="K686" s="15">
        <v>46313.466666666667</v>
      </c>
      <c r="L686" s="16">
        <v>7</v>
      </c>
      <c r="M686" s="17"/>
      <c r="N686" s="17"/>
      <c r="O686" s="15">
        <v>46313.465277777781</v>
      </c>
      <c r="P686" s="17" t="s">
        <v>43</v>
      </c>
      <c r="Q686" s="17" t="s">
        <v>69</v>
      </c>
      <c r="R686" s="17" t="s">
        <v>2166</v>
      </c>
      <c r="S686" s="16">
        <v>4247</v>
      </c>
      <c r="T686" s="17" t="s">
        <v>41</v>
      </c>
      <c r="U686" s="15">
        <v>46313.468055555553</v>
      </c>
      <c r="V686" s="15">
        <v>46313.468055555553</v>
      </c>
      <c r="W686" s="18" t="s">
        <v>2167</v>
      </c>
      <c r="X686" s="16">
        <v>22411</v>
      </c>
      <c r="Y686" s="19"/>
      <c r="Z686" s="16">
        <v>0</v>
      </c>
      <c r="AA686" s="20">
        <v>0.46527777777777779</v>
      </c>
      <c r="AB686" s="16">
        <v>2</v>
      </c>
      <c r="AC686" s="17" t="s">
        <v>41</v>
      </c>
      <c r="AD686" s="9" t="str">
        <f t="shared" si="10"/>
        <v>Actual</v>
      </c>
      <c r="AE686" s="9" t="str">
        <f t="shared" si="11"/>
        <v>TMK7</v>
      </c>
      <c r="AF686" s="9">
        <f>HOUR(O686)</f>
        <v>11</v>
      </c>
      <c r="AG686" s="9">
        <f>DAY(O686)</f>
        <v>18</v>
      </c>
      <c r="AH686" s="9">
        <f>IFERROR((I686-K686)*24*60,0)</f>
        <v>0</v>
      </c>
      <c r="AI686" s="9">
        <f t="shared" si="12"/>
        <v>0</v>
      </c>
      <c r="AJ686" s="9">
        <f>C686</f>
        <v>521</v>
      </c>
      <c r="AK686" s="9">
        <f>IF(P686="completed",((V686-K686)*24*60),0)</f>
        <v>1.9999999960418791</v>
      </c>
      <c r="AL686" s="9">
        <f>IF(P686="completed",((U686-K686)*24*60),0)</f>
        <v>1.9999999960418791</v>
      </c>
      <c r="AM686" s="9" t="str">
        <f t="shared" si="13"/>
        <v>OTP Breached</v>
      </c>
      <c r="AN686" s="9" t="str">
        <f t="shared" si="14"/>
        <v>OTP Achieved</v>
      </c>
    </row>
    <row r="687" spans="1:40" ht="15">
      <c r="A687" s="14"/>
      <c r="B687" s="15">
        <v>46313.464583333334</v>
      </c>
      <c r="C687" s="16">
        <v>2978</v>
      </c>
      <c r="D687" s="17" t="s">
        <v>41</v>
      </c>
      <c r="E687" s="16" t="s">
        <v>1674</v>
      </c>
      <c r="F687" s="17" t="s">
        <v>41</v>
      </c>
      <c r="G687" s="17" t="s">
        <v>41</v>
      </c>
      <c r="H687" s="17" t="s">
        <v>2168</v>
      </c>
      <c r="I687" s="15"/>
      <c r="J687" s="17" t="s">
        <v>41</v>
      </c>
      <c r="K687" s="22" t="s">
        <v>41</v>
      </c>
      <c r="L687" s="16" t="s">
        <v>1674</v>
      </c>
      <c r="M687" s="17"/>
      <c r="N687" s="17"/>
      <c r="O687" s="15">
        <v>46313.464583333334</v>
      </c>
      <c r="P687" s="17" t="s">
        <v>1676</v>
      </c>
      <c r="Q687" s="17" t="s">
        <v>1674</v>
      </c>
      <c r="R687" s="17" t="s">
        <v>2169</v>
      </c>
      <c r="S687" s="16">
        <v>4247</v>
      </c>
      <c r="T687" s="17" t="s">
        <v>41</v>
      </c>
      <c r="U687" s="15">
        <v>46313.477083333331</v>
      </c>
      <c r="V687" s="15"/>
      <c r="W687" s="18" t="s">
        <v>2170</v>
      </c>
      <c r="X687" s="16">
        <v>22411</v>
      </c>
      <c r="Y687" s="17"/>
      <c r="Z687" s="16">
        <v>0</v>
      </c>
      <c r="AA687" s="20">
        <v>0.46458333333333335</v>
      </c>
      <c r="AB687" s="16" t="s">
        <v>1674</v>
      </c>
      <c r="AC687" s="17" t="s">
        <v>41</v>
      </c>
      <c r="AD687" s="9" t="str">
        <f t="shared" si="10"/>
        <v>Actual</v>
      </c>
      <c r="AE687" s="9" t="str">
        <f t="shared" si="11"/>
        <v>TMK7</v>
      </c>
      <c r="AF687" s="9">
        <f>HOUR(O687)</f>
        <v>11</v>
      </c>
      <c r="AG687" s="9">
        <f>DAY(O687)</f>
        <v>18</v>
      </c>
      <c r="AH687" s="9">
        <f>IFERROR((I687-K687)*24*60,0)</f>
        <v>0</v>
      </c>
      <c r="AI687" s="9">
        <f t="shared" si="12"/>
        <v>0</v>
      </c>
      <c r="AJ687" s="9">
        <f>C687</f>
        <v>2978</v>
      </c>
      <c r="AK687" s="9">
        <f>IF(P687="completed",((V687-K687)*24*60),0)</f>
        <v>0</v>
      </c>
      <c r="AL687" s="9">
        <f>IF(P687="completed",((U687-K687)*24*60),0)</f>
        <v>0</v>
      </c>
      <c r="AM687" s="9" t="str">
        <f t="shared" si="13"/>
        <v>OTP Breached</v>
      </c>
      <c r="AN687" s="9" t="str">
        <f t="shared" si="14"/>
        <v>OTP Achieved</v>
      </c>
    </row>
    <row r="688" spans="1:40" ht="15">
      <c r="A688" s="14" t="s">
        <v>711</v>
      </c>
      <c r="B688" s="15">
        <v>46313.464583333334</v>
      </c>
      <c r="C688" s="16">
        <v>1708</v>
      </c>
      <c r="D688" s="17" t="s">
        <v>41</v>
      </c>
      <c r="E688" s="16">
        <v>5</v>
      </c>
      <c r="F688" s="17" t="s">
        <v>41</v>
      </c>
      <c r="G688" s="17" t="s">
        <v>41</v>
      </c>
      <c r="H688" s="17" t="s">
        <v>2171</v>
      </c>
      <c r="I688" s="15">
        <v>46313.465277777781</v>
      </c>
      <c r="J688" s="17" t="s">
        <v>41</v>
      </c>
      <c r="K688" s="15">
        <v>46313.463888888888</v>
      </c>
      <c r="L688" s="16">
        <v>16</v>
      </c>
      <c r="M688" s="17"/>
      <c r="N688" s="17"/>
      <c r="O688" s="15">
        <v>46313.463194444441</v>
      </c>
      <c r="P688" s="17" t="s">
        <v>43</v>
      </c>
      <c r="Q688" s="17" t="s">
        <v>713</v>
      </c>
      <c r="R688" s="17" t="s">
        <v>2172</v>
      </c>
      <c r="S688" s="16">
        <v>4247</v>
      </c>
      <c r="T688" s="17" t="s">
        <v>41</v>
      </c>
      <c r="U688" s="15">
        <v>46313.470833333333</v>
      </c>
      <c r="V688" s="15">
        <v>46313.46875</v>
      </c>
      <c r="W688" s="18" t="s">
        <v>2173</v>
      </c>
      <c r="X688" s="16">
        <v>22411</v>
      </c>
      <c r="Y688" s="19"/>
      <c r="Z688" s="16">
        <v>0</v>
      </c>
      <c r="AA688" s="20">
        <v>0.46458333333333335</v>
      </c>
      <c r="AB688" s="16">
        <v>5</v>
      </c>
      <c r="AC688" s="17" t="s">
        <v>41</v>
      </c>
      <c r="AD688" s="9" t="str">
        <f t="shared" si="10"/>
        <v>Actual</v>
      </c>
      <c r="AE688" s="9" t="str">
        <f t="shared" si="11"/>
        <v>TMK7</v>
      </c>
      <c r="AF688" s="9">
        <f>HOUR(O688)</f>
        <v>11</v>
      </c>
      <c r="AG688" s="9">
        <f>DAY(O688)</f>
        <v>18</v>
      </c>
      <c r="AH688" s="9">
        <f>IFERROR((I688-K688)*24*60,0)</f>
        <v>2.000000006519258</v>
      </c>
      <c r="AI688" s="9">
        <f t="shared" si="12"/>
        <v>2.000000006519258</v>
      </c>
      <c r="AJ688" s="9">
        <f>C688</f>
        <v>1708</v>
      </c>
      <c r="AK688" s="9">
        <f>IF(P688="completed",((V688-K688)*24*60),0)</f>
        <v>7.0000000018626451</v>
      </c>
      <c r="AL688" s="9">
        <f>IF(P688="completed",((U688-K688)*24*60),0)</f>
        <v>10.000000001164153</v>
      </c>
      <c r="AM688" s="9" t="str">
        <f t="shared" si="13"/>
        <v>OTP Achieved</v>
      </c>
      <c r="AN688" s="9" t="str">
        <f t="shared" si="14"/>
        <v>OTP Achieved</v>
      </c>
    </row>
    <row r="689" spans="1:40" ht="15">
      <c r="A689" s="14" t="s">
        <v>655</v>
      </c>
      <c r="B689" s="15">
        <v>46313.463888888888</v>
      </c>
      <c r="C689" s="16">
        <v>1380</v>
      </c>
      <c r="D689" s="17" t="s">
        <v>41</v>
      </c>
      <c r="E689" s="16">
        <v>3</v>
      </c>
      <c r="F689" s="17" t="s">
        <v>41</v>
      </c>
      <c r="G689" s="17" t="s">
        <v>41</v>
      </c>
      <c r="H689" s="17" t="s">
        <v>2174</v>
      </c>
      <c r="I689" s="15">
        <v>46313.464583333334</v>
      </c>
      <c r="J689" s="17" t="s">
        <v>41</v>
      </c>
      <c r="K689" s="15">
        <v>46313.464583333334</v>
      </c>
      <c r="L689" s="16">
        <v>10</v>
      </c>
      <c r="M689" s="17"/>
      <c r="N689" s="17"/>
      <c r="O689" s="15">
        <v>46313.463194444441</v>
      </c>
      <c r="P689" s="17" t="s">
        <v>43</v>
      </c>
      <c r="Q689" s="17" t="s">
        <v>657</v>
      </c>
      <c r="R689" s="17" t="s">
        <v>2175</v>
      </c>
      <c r="S689" s="16">
        <v>4247</v>
      </c>
      <c r="T689" s="17" t="s">
        <v>41</v>
      </c>
      <c r="U689" s="15">
        <v>46313.46875</v>
      </c>
      <c r="V689" s="15">
        <v>46313.466666666667</v>
      </c>
      <c r="W689" s="18" t="s">
        <v>2176</v>
      </c>
      <c r="X689" s="16">
        <v>22411</v>
      </c>
      <c r="Y689" s="19"/>
      <c r="Z689" s="16">
        <v>0</v>
      </c>
      <c r="AA689" s="20">
        <v>0.46388888888888891</v>
      </c>
      <c r="AB689" s="16">
        <v>3</v>
      </c>
      <c r="AC689" s="17" t="s">
        <v>41</v>
      </c>
      <c r="AD689" s="9" t="str">
        <f t="shared" si="10"/>
        <v>Actual</v>
      </c>
      <c r="AE689" s="9" t="str">
        <f t="shared" si="11"/>
        <v>TMK7</v>
      </c>
      <c r="AF689" s="9">
        <f>HOUR(O689)</f>
        <v>11</v>
      </c>
      <c r="AG689" s="9">
        <f>DAY(O689)</f>
        <v>18</v>
      </c>
      <c r="AH689" s="9">
        <f>IFERROR((I689-K689)*24*60,0)</f>
        <v>0</v>
      </c>
      <c r="AI689" s="9">
        <f t="shared" si="12"/>
        <v>0</v>
      </c>
      <c r="AJ689" s="9">
        <f>C689</f>
        <v>1380</v>
      </c>
      <c r="AK689" s="9">
        <f>IF(P689="completed",((V689-K689)*24*60),0)</f>
        <v>2.9999999993015081</v>
      </c>
      <c r="AL689" s="9">
        <f>IF(P689="completed",((U689-K689)*24*60),0)</f>
        <v>5.9999999986030161</v>
      </c>
      <c r="AM689" s="9" t="str">
        <f t="shared" si="13"/>
        <v>OTP Achieved</v>
      </c>
      <c r="AN689" s="9" t="str">
        <f t="shared" si="14"/>
        <v>OTP Achieved</v>
      </c>
    </row>
    <row r="690" spans="1:40" ht="15">
      <c r="A690" s="14" t="s">
        <v>347</v>
      </c>
      <c r="B690" s="15">
        <v>46313.463888888888</v>
      </c>
      <c r="C690" s="16">
        <v>1166</v>
      </c>
      <c r="D690" s="17" t="s">
        <v>41</v>
      </c>
      <c r="E690" s="16">
        <v>4</v>
      </c>
      <c r="F690" s="17" t="s">
        <v>41</v>
      </c>
      <c r="G690" s="17" t="s">
        <v>41</v>
      </c>
      <c r="H690" s="17" t="s">
        <v>2177</v>
      </c>
      <c r="I690" s="15">
        <v>46313.464583333334</v>
      </c>
      <c r="J690" s="17" t="s">
        <v>41</v>
      </c>
      <c r="K690" s="15">
        <v>46313.464583333334</v>
      </c>
      <c r="L690" s="16">
        <v>7</v>
      </c>
      <c r="M690" s="17"/>
      <c r="N690" s="17"/>
      <c r="O690" s="15">
        <v>46313.463194444441</v>
      </c>
      <c r="P690" s="17" t="s">
        <v>43</v>
      </c>
      <c r="Q690" s="17" t="s">
        <v>349</v>
      </c>
      <c r="R690" s="17" t="s">
        <v>2178</v>
      </c>
      <c r="S690" s="16">
        <v>4247</v>
      </c>
      <c r="T690" s="17" t="s">
        <v>41</v>
      </c>
      <c r="U690" s="15">
        <v>46313.46875</v>
      </c>
      <c r="V690" s="15">
        <v>46313.467361111114</v>
      </c>
      <c r="W690" s="18" t="s">
        <v>2179</v>
      </c>
      <c r="X690" s="16">
        <v>22411</v>
      </c>
      <c r="Y690" s="17"/>
      <c r="Z690" s="16">
        <v>0</v>
      </c>
      <c r="AA690" s="20">
        <v>0.46388888888888891</v>
      </c>
      <c r="AB690" s="16">
        <v>4</v>
      </c>
      <c r="AC690" s="17" t="s">
        <v>41</v>
      </c>
      <c r="AD690" s="9" t="str">
        <f t="shared" si="10"/>
        <v>Actual</v>
      </c>
      <c r="AE690" s="9" t="str">
        <f t="shared" si="11"/>
        <v>TMK7</v>
      </c>
      <c r="AF690" s="9">
        <f>HOUR(O690)</f>
        <v>11</v>
      </c>
      <c r="AG690" s="9">
        <f>DAY(O690)</f>
        <v>18</v>
      </c>
      <c r="AH690" s="9">
        <f>IFERROR((I690-K690)*24*60,0)</f>
        <v>0</v>
      </c>
      <c r="AI690" s="9">
        <f t="shared" si="12"/>
        <v>0</v>
      </c>
      <c r="AJ690" s="9">
        <f>C690</f>
        <v>1166</v>
      </c>
      <c r="AK690" s="9">
        <f>IF(P690="completed",((V690-K690)*24*60),0)</f>
        <v>4.0000000025611371</v>
      </c>
      <c r="AL690" s="9">
        <f>IF(P690="completed",((U690-K690)*24*60),0)</f>
        <v>5.9999999986030161</v>
      </c>
      <c r="AM690" s="9" t="str">
        <f t="shared" si="13"/>
        <v>OTP Achieved</v>
      </c>
      <c r="AN690" s="9" t="str">
        <f t="shared" si="14"/>
        <v>OTP Achieved</v>
      </c>
    </row>
    <row r="691" spans="1:40" ht="15">
      <c r="A691" s="14" t="s">
        <v>93</v>
      </c>
      <c r="B691" s="15">
        <v>46313.463888888888</v>
      </c>
      <c r="C691" s="16">
        <v>2250</v>
      </c>
      <c r="D691" s="17" t="s">
        <v>41</v>
      </c>
      <c r="E691" s="16">
        <v>6</v>
      </c>
      <c r="F691" s="17" t="s">
        <v>41</v>
      </c>
      <c r="G691" s="17" t="s">
        <v>41</v>
      </c>
      <c r="H691" s="17" t="s">
        <v>2180</v>
      </c>
      <c r="I691" s="15">
        <v>46313.463888888888</v>
      </c>
      <c r="J691" s="17" t="s">
        <v>41</v>
      </c>
      <c r="K691" s="15">
        <v>46313.463194444441</v>
      </c>
      <c r="L691" s="16">
        <v>8</v>
      </c>
      <c r="M691" s="17"/>
      <c r="N691" s="17"/>
      <c r="O691" s="15">
        <v>46313.461111111108</v>
      </c>
      <c r="P691" s="17" t="s">
        <v>43</v>
      </c>
      <c r="Q691" s="17" t="s">
        <v>95</v>
      </c>
      <c r="R691" s="17" t="s">
        <v>2181</v>
      </c>
      <c r="S691" s="16">
        <v>4247</v>
      </c>
      <c r="T691" s="17" t="s">
        <v>41</v>
      </c>
      <c r="U691" s="15">
        <v>46313.469444444447</v>
      </c>
      <c r="V691" s="15">
        <v>46313.468055555553</v>
      </c>
      <c r="W691" s="18" t="s">
        <v>2182</v>
      </c>
      <c r="X691" s="16">
        <v>22411</v>
      </c>
      <c r="Y691" s="19"/>
      <c r="Z691" s="16">
        <v>0</v>
      </c>
      <c r="AA691" s="20">
        <v>0.46388888888888891</v>
      </c>
      <c r="AB691" s="16">
        <v>6</v>
      </c>
      <c r="AC691" s="17" t="s">
        <v>41</v>
      </c>
      <c r="AD691" s="9" t="str">
        <f t="shared" si="10"/>
        <v>Actual</v>
      </c>
      <c r="AE691" s="9" t="str">
        <f t="shared" si="11"/>
        <v>TMK7</v>
      </c>
      <c r="AF691" s="9">
        <f>HOUR(O691)</f>
        <v>11</v>
      </c>
      <c r="AG691" s="9">
        <f>DAY(O691)</f>
        <v>18</v>
      </c>
      <c r="AH691" s="9">
        <f>IFERROR((I691-K691)*24*60,0)</f>
        <v>1.000000003259629</v>
      </c>
      <c r="AI691" s="9">
        <f t="shared" si="12"/>
        <v>1.000000003259629</v>
      </c>
      <c r="AJ691" s="9">
        <f>C691</f>
        <v>2250</v>
      </c>
      <c r="AK691" s="9">
        <f>IF(P691="completed",((V691-K691)*24*60),0)</f>
        <v>7.0000000018626451</v>
      </c>
      <c r="AL691" s="9">
        <f>IF(P691="completed",((U691-K691)*24*60),0)</f>
        <v>9.0000000083819032</v>
      </c>
      <c r="AM691" s="9" t="str">
        <f t="shared" si="13"/>
        <v>OTP Achieved</v>
      </c>
      <c r="AN691" s="9" t="str">
        <f t="shared" si="14"/>
        <v>OTP Achieved</v>
      </c>
    </row>
    <row r="692" spans="1:40" ht="15">
      <c r="A692" s="14" t="s">
        <v>1077</v>
      </c>
      <c r="B692" s="15">
        <v>46313.463194444441</v>
      </c>
      <c r="C692" s="16">
        <v>1510</v>
      </c>
      <c r="D692" s="17" t="s">
        <v>41</v>
      </c>
      <c r="E692" s="16">
        <v>4</v>
      </c>
      <c r="F692" s="17" t="s">
        <v>41</v>
      </c>
      <c r="G692" s="17" t="s">
        <v>41</v>
      </c>
      <c r="H692" s="17" t="s">
        <v>2183</v>
      </c>
      <c r="I692" s="15">
        <v>46313.463194444441</v>
      </c>
      <c r="J692" s="17" t="s">
        <v>41</v>
      </c>
      <c r="K692" s="15">
        <v>46313.461111111108</v>
      </c>
      <c r="L692" s="16">
        <v>6</v>
      </c>
      <c r="M692" s="17"/>
      <c r="N692" s="17"/>
      <c r="O692" s="15">
        <v>46313.460416666669</v>
      </c>
      <c r="P692" s="17" t="s">
        <v>43</v>
      </c>
      <c r="Q692" s="17" t="s">
        <v>1079</v>
      </c>
      <c r="R692" s="17" t="s">
        <v>2184</v>
      </c>
      <c r="S692" s="16">
        <v>4247</v>
      </c>
      <c r="T692" s="17" t="s">
        <v>41</v>
      </c>
      <c r="U692" s="15">
        <v>46313.468055555553</v>
      </c>
      <c r="V692" s="15">
        <v>46313.46597222222</v>
      </c>
      <c r="W692" s="18" t="s">
        <v>2185</v>
      </c>
      <c r="X692" s="16">
        <v>22411</v>
      </c>
      <c r="Y692" s="19"/>
      <c r="Z692" s="16">
        <v>0</v>
      </c>
      <c r="AA692" s="20">
        <v>0.46319444444444446</v>
      </c>
      <c r="AB692" s="16">
        <v>4</v>
      </c>
      <c r="AC692" s="17" t="s">
        <v>41</v>
      </c>
      <c r="AD692" s="9" t="str">
        <f t="shared" si="10"/>
        <v>Actual</v>
      </c>
      <c r="AE692" s="9" t="str">
        <f t="shared" si="11"/>
        <v>TMK7</v>
      </c>
      <c r="AF692" s="9">
        <f>HOUR(O692)</f>
        <v>11</v>
      </c>
      <c r="AG692" s="9">
        <f>DAY(O692)</f>
        <v>18</v>
      </c>
      <c r="AH692" s="9">
        <f>IFERROR((I692-K692)*24*60,0)</f>
        <v>2.9999999993015081</v>
      </c>
      <c r="AI692" s="9">
        <f t="shared" si="12"/>
        <v>2.9999999993015081</v>
      </c>
      <c r="AJ692" s="9">
        <f>C692</f>
        <v>1510</v>
      </c>
      <c r="AK692" s="9">
        <f>IF(P692="completed",((V692-K692)*24*60),0)</f>
        <v>7.0000000018626451</v>
      </c>
      <c r="AL692" s="9">
        <f>IF(P692="completed",((U692-K692)*24*60),0)</f>
        <v>10.000000001164153</v>
      </c>
      <c r="AM692" s="9" t="str">
        <f t="shared" si="13"/>
        <v>OTP Achieved</v>
      </c>
      <c r="AN692" s="9" t="str">
        <f t="shared" si="14"/>
        <v>OTP Achieved</v>
      </c>
    </row>
    <row r="693" spans="1:40" ht="15">
      <c r="A693" s="14" t="s">
        <v>1239</v>
      </c>
      <c r="B693" s="15">
        <v>46313.463194444441</v>
      </c>
      <c r="C693" s="16">
        <v>1281</v>
      </c>
      <c r="D693" s="17" t="s">
        <v>41</v>
      </c>
      <c r="E693" s="16">
        <v>4</v>
      </c>
      <c r="F693" s="17" t="s">
        <v>41</v>
      </c>
      <c r="G693" s="17" t="s">
        <v>41</v>
      </c>
      <c r="H693" s="17" t="s">
        <v>2186</v>
      </c>
      <c r="I693" s="15">
        <v>46313.463194444441</v>
      </c>
      <c r="J693" s="17" t="s">
        <v>41</v>
      </c>
      <c r="K693" s="15">
        <v>46313.460416666669</v>
      </c>
      <c r="L693" s="16">
        <v>15</v>
      </c>
      <c r="M693" s="17"/>
      <c r="N693" s="17"/>
      <c r="O693" s="15">
        <v>46313.460416666669</v>
      </c>
      <c r="P693" s="17" t="s">
        <v>43</v>
      </c>
      <c r="Q693" s="17" t="s">
        <v>1241</v>
      </c>
      <c r="R693" s="17" t="s">
        <v>2187</v>
      </c>
      <c r="S693" s="16">
        <v>4247</v>
      </c>
      <c r="T693" s="17" t="s">
        <v>41</v>
      </c>
      <c r="U693" s="15">
        <v>46313.467361111114</v>
      </c>
      <c r="V693" s="15">
        <v>46313.46597222222</v>
      </c>
      <c r="W693" s="18" t="s">
        <v>2188</v>
      </c>
      <c r="X693" s="16">
        <v>22411</v>
      </c>
      <c r="Y693" s="19"/>
      <c r="Z693" s="16">
        <v>0</v>
      </c>
      <c r="AA693" s="20">
        <v>0.46319444444444446</v>
      </c>
      <c r="AB693" s="16">
        <v>4</v>
      </c>
      <c r="AC693" s="17" t="s">
        <v>41</v>
      </c>
      <c r="AD693" s="9" t="str">
        <f t="shared" si="10"/>
        <v>Actual</v>
      </c>
      <c r="AE693" s="9" t="str">
        <f t="shared" si="11"/>
        <v>TMK7</v>
      </c>
      <c r="AF693" s="9">
        <f>HOUR(O693)</f>
        <v>11</v>
      </c>
      <c r="AG693" s="9">
        <f>DAY(O693)</f>
        <v>18</v>
      </c>
      <c r="AH693" s="9">
        <f>IFERROR((I693-K693)*24*60,0)</f>
        <v>3.9999999920837581</v>
      </c>
      <c r="AI693" s="9">
        <f t="shared" si="12"/>
        <v>3.9999999920837581</v>
      </c>
      <c r="AJ693" s="9">
        <f>C693</f>
        <v>1281</v>
      </c>
      <c r="AK693" s="9">
        <f>IF(P693="completed",((V693-K693)*24*60),0)</f>
        <v>7.9999999946448952</v>
      </c>
      <c r="AL693" s="9">
        <f>IF(P693="completed",((U693-K693)*24*60),0)</f>
        <v>10.000000001164153</v>
      </c>
      <c r="AM693" s="9" t="str">
        <f t="shared" si="13"/>
        <v>OTP Achieved</v>
      </c>
      <c r="AN693" s="9" t="str">
        <f t="shared" si="14"/>
        <v>OTP Achieved</v>
      </c>
    </row>
    <row r="694" spans="1:40" ht="15">
      <c r="A694" s="14" t="s">
        <v>1136</v>
      </c>
      <c r="B694" s="15">
        <v>46313.463194444441</v>
      </c>
      <c r="C694" s="16">
        <v>405</v>
      </c>
      <c r="D694" s="17" t="s">
        <v>41</v>
      </c>
      <c r="E694" s="16">
        <v>2</v>
      </c>
      <c r="F694" s="17" t="s">
        <v>41</v>
      </c>
      <c r="G694" s="17" t="s">
        <v>41</v>
      </c>
      <c r="H694" s="17" t="s">
        <v>2189</v>
      </c>
      <c r="I694" s="15">
        <v>46313.463194444441</v>
      </c>
      <c r="J694" s="17" t="s">
        <v>41</v>
      </c>
      <c r="K694" s="15">
        <v>46313.461111111108</v>
      </c>
      <c r="L694" s="16">
        <v>8</v>
      </c>
      <c r="M694" s="17"/>
      <c r="N694" s="17"/>
      <c r="O694" s="15">
        <v>46313.459722222222</v>
      </c>
      <c r="P694" s="17" t="s">
        <v>43</v>
      </c>
      <c r="Q694" s="17" t="s">
        <v>1138</v>
      </c>
      <c r="R694" s="17" t="s">
        <v>2190</v>
      </c>
      <c r="S694" s="16">
        <v>4247</v>
      </c>
      <c r="T694" s="17" t="s">
        <v>41</v>
      </c>
      <c r="U694" s="15">
        <v>46313.465277777781</v>
      </c>
      <c r="V694" s="15">
        <v>46313.464583333334</v>
      </c>
      <c r="W694" s="18" t="s">
        <v>2191</v>
      </c>
      <c r="X694" s="16">
        <v>22411</v>
      </c>
      <c r="Y694" s="17"/>
      <c r="Z694" s="16">
        <v>0</v>
      </c>
      <c r="AA694" s="20">
        <v>0.46319444444444446</v>
      </c>
      <c r="AB694" s="16">
        <v>2</v>
      </c>
      <c r="AC694" s="17" t="s">
        <v>41</v>
      </c>
      <c r="AD694" s="9" t="str">
        <f t="shared" si="10"/>
        <v>Actual</v>
      </c>
      <c r="AE694" s="9" t="str">
        <f t="shared" si="11"/>
        <v>TMK7</v>
      </c>
      <c r="AF694" s="9">
        <f>HOUR(O694)</f>
        <v>11</v>
      </c>
      <c r="AG694" s="9">
        <f>DAY(O694)</f>
        <v>18</v>
      </c>
      <c r="AH694" s="9">
        <f>IFERROR((I694-K694)*24*60,0)</f>
        <v>2.9999999993015081</v>
      </c>
      <c r="AI694" s="9">
        <f t="shared" si="12"/>
        <v>2.9999999993015081</v>
      </c>
      <c r="AJ694" s="9">
        <f>C694</f>
        <v>405</v>
      </c>
      <c r="AK694" s="9">
        <f>IF(P694="completed",((V694-K694)*24*60),0)</f>
        <v>5.0000000058207661</v>
      </c>
      <c r="AL694" s="9">
        <f>IF(P694="completed",((U694-K694)*24*60),0)</f>
        <v>6.0000000090803951</v>
      </c>
      <c r="AM694" s="9" t="str">
        <f t="shared" si="13"/>
        <v>OTP Achieved</v>
      </c>
      <c r="AN694" s="9" t="str">
        <f t="shared" si="14"/>
        <v>OTP Achieved</v>
      </c>
    </row>
    <row r="695" spans="1:40" ht="15">
      <c r="A695" s="14" t="s">
        <v>1310</v>
      </c>
      <c r="B695" s="15">
        <v>46313.462500000001</v>
      </c>
      <c r="C695" s="16">
        <v>338</v>
      </c>
      <c r="D695" s="17" t="s">
        <v>41</v>
      </c>
      <c r="E695" s="16">
        <v>1</v>
      </c>
      <c r="F695" s="17" t="s">
        <v>41</v>
      </c>
      <c r="G695" s="17" t="s">
        <v>41</v>
      </c>
      <c r="H695" s="17" t="s">
        <v>2192</v>
      </c>
      <c r="I695" s="15">
        <v>46313.462500000001</v>
      </c>
      <c r="J695" s="17" t="s">
        <v>41</v>
      </c>
      <c r="K695" s="15">
        <v>46313.461111111108</v>
      </c>
      <c r="L695" s="16">
        <v>20</v>
      </c>
      <c r="M695" s="17"/>
      <c r="N695" s="17"/>
      <c r="O695" s="15">
        <v>46313.459722222222</v>
      </c>
      <c r="P695" s="17" t="s">
        <v>43</v>
      </c>
      <c r="Q695" s="17" t="s">
        <v>1312</v>
      </c>
      <c r="R695" s="17" t="s">
        <v>2193</v>
      </c>
      <c r="S695" s="16">
        <v>4247</v>
      </c>
      <c r="T695" s="17" t="s">
        <v>41</v>
      </c>
      <c r="U695" s="15">
        <v>46313.464583333334</v>
      </c>
      <c r="V695" s="15">
        <v>46313.463194444441</v>
      </c>
      <c r="W695" s="18" t="s">
        <v>2194</v>
      </c>
      <c r="X695" s="16">
        <v>22411</v>
      </c>
      <c r="Y695" s="19"/>
      <c r="Z695" s="16">
        <v>0</v>
      </c>
      <c r="AA695" s="20">
        <v>0.46250000000000002</v>
      </c>
      <c r="AB695" s="16">
        <v>1</v>
      </c>
      <c r="AC695" s="17" t="s">
        <v>41</v>
      </c>
      <c r="AD695" s="9" t="str">
        <f t="shared" si="10"/>
        <v>Actual</v>
      </c>
      <c r="AE695" s="9" t="str">
        <f t="shared" si="11"/>
        <v>TMK7</v>
      </c>
      <c r="AF695" s="9">
        <f>HOUR(O695)</f>
        <v>11</v>
      </c>
      <c r="AG695" s="9">
        <f>DAY(O695)</f>
        <v>18</v>
      </c>
      <c r="AH695" s="9">
        <f>IFERROR((I695-K695)*24*60,0)</f>
        <v>2.000000006519258</v>
      </c>
      <c r="AI695" s="9">
        <f t="shared" si="12"/>
        <v>2.000000006519258</v>
      </c>
      <c r="AJ695" s="9">
        <f>C695</f>
        <v>338</v>
      </c>
      <c r="AK695" s="9">
        <f>IF(P695="completed",((V695-K695)*24*60),0)</f>
        <v>2.9999999993015081</v>
      </c>
      <c r="AL695" s="9">
        <f>IF(P695="completed",((U695-K695)*24*60),0)</f>
        <v>5.0000000058207661</v>
      </c>
      <c r="AM695" s="9" t="str">
        <f t="shared" si="13"/>
        <v>OTP Achieved</v>
      </c>
      <c r="AN695" s="9" t="str">
        <f t="shared" si="14"/>
        <v>OTP Achieved</v>
      </c>
    </row>
    <row r="696" spans="1:40" ht="15">
      <c r="A696" s="14" t="s">
        <v>98</v>
      </c>
      <c r="B696" s="15">
        <v>46313.461805555555</v>
      </c>
      <c r="C696" s="16">
        <v>1569</v>
      </c>
      <c r="D696" s="17" t="s">
        <v>41</v>
      </c>
      <c r="E696" s="16">
        <v>4</v>
      </c>
      <c r="F696" s="17" t="s">
        <v>41</v>
      </c>
      <c r="G696" s="17" t="s">
        <v>41</v>
      </c>
      <c r="H696" s="17" t="s">
        <v>2195</v>
      </c>
      <c r="I696" s="15">
        <v>46313.462500000001</v>
      </c>
      <c r="J696" s="17" t="s">
        <v>41</v>
      </c>
      <c r="K696" s="15">
        <v>46313.460416666669</v>
      </c>
      <c r="L696" s="16">
        <v>14</v>
      </c>
      <c r="M696" s="17"/>
      <c r="N696" s="17"/>
      <c r="O696" s="15">
        <v>46313.459722222222</v>
      </c>
      <c r="P696" s="17" t="s">
        <v>43</v>
      </c>
      <c r="Q696" s="17" t="s">
        <v>100</v>
      </c>
      <c r="R696" s="17" t="s">
        <v>2196</v>
      </c>
      <c r="S696" s="16">
        <v>4247</v>
      </c>
      <c r="T696" s="17" t="s">
        <v>41</v>
      </c>
      <c r="U696" s="15">
        <v>46313.466666666667</v>
      </c>
      <c r="V696" s="15">
        <v>46313.464583333334</v>
      </c>
      <c r="W696" s="18" t="s">
        <v>2197</v>
      </c>
      <c r="X696" s="16">
        <v>22411</v>
      </c>
      <c r="Y696" s="19"/>
      <c r="Z696" s="16">
        <v>0</v>
      </c>
      <c r="AA696" s="20">
        <v>0.46180555555555558</v>
      </c>
      <c r="AB696" s="16">
        <v>4</v>
      </c>
      <c r="AC696" s="17" t="s">
        <v>41</v>
      </c>
      <c r="AD696" s="9" t="str">
        <f t="shared" si="10"/>
        <v>Actual</v>
      </c>
      <c r="AE696" s="9" t="str">
        <f t="shared" si="11"/>
        <v>TMK7</v>
      </c>
      <c r="AF696" s="9">
        <f>HOUR(O696)</f>
        <v>11</v>
      </c>
      <c r="AG696" s="9">
        <f>DAY(O696)</f>
        <v>18</v>
      </c>
      <c r="AH696" s="9">
        <f>IFERROR((I696-K696)*24*60,0)</f>
        <v>2.9999999993015081</v>
      </c>
      <c r="AI696" s="9">
        <f t="shared" si="12"/>
        <v>2.9999999993015081</v>
      </c>
      <c r="AJ696" s="9">
        <f>C696</f>
        <v>1569</v>
      </c>
      <c r="AK696" s="9">
        <f>IF(P696="completed",((V696-K696)*24*60),0)</f>
        <v>5.9999999986030161</v>
      </c>
      <c r="AL696" s="9">
        <f>IF(P696="completed",((U696-K696)*24*60),0)</f>
        <v>8.9999999979045242</v>
      </c>
      <c r="AM696" s="9" t="str">
        <f t="shared" si="13"/>
        <v>OTP Achieved</v>
      </c>
      <c r="AN696" s="9" t="str">
        <f t="shared" si="14"/>
        <v>OTP Achieved</v>
      </c>
    </row>
    <row r="697" spans="1:40" ht="15">
      <c r="A697" s="14" t="s">
        <v>106</v>
      </c>
      <c r="B697" s="15">
        <v>46313.461111111108</v>
      </c>
      <c r="C697" s="16">
        <v>1628</v>
      </c>
      <c r="D697" s="17" t="s">
        <v>41</v>
      </c>
      <c r="E697" s="16">
        <v>4</v>
      </c>
      <c r="F697" s="17" t="s">
        <v>41</v>
      </c>
      <c r="G697" s="17" t="s">
        <v>41</v>
      </c>
      <c r="H697" s="17" t="s">
        <v>2195</v>
      </c>
      <c r="I697" s="15">
        <v>46313.461111111108</v>
      </c>
      <c r="J697" s="17" t="s">
        <v>41</v>
      </c>
      <c r="K697" s="15">
        <v>46313.459722222222</v>
      </c>
      <c r="L697" s="16">
        <v>9</v>
      </c>
      <c r="M697" s="17"/>
      <c r="N697" s="17"/>
      <c r="O697" s="15">
        <v>46313.459722222222</v>
      </c>
      <c r="P697" s="17" t="s">
        <v>43</v>
      </c>
      <c r="Q697" s="17" t="s">
        <v>108</v>
      </c>
      <c r="R697" s="17" t="s">
        <v>2198</v>
      </c>
      <c r="S697" s="16">
        <v>4247</v>
      </c>
      <c r="T697" s="17" t="s">
        <v>41</v>
      </c>
      <c r="U697" s="15">
        <v>46313.46597222222</v>
      </c>
      <c r="V697" s="15">
        <v>46313.463888888888</v>
      </c>
      <c r="W697" s="18" t="s">
        <v>2199</v>
      </c>
      <c r="X697" s="16">
        <v>22411</v>
      </c>
      <c r="Y697" s="19"/>
      <c r="Z697" s="16">
        <v>0</v>
      </c>
      <c r="AA697" s="20">
        <v>0.46111111111111114</v>
      </c>
      <c r="AB697" s="16">
        <v>4</v>
      </c>
      <c r="AC697" s="17" t="s">
        <v>41</v>
      </c>
      <c r="AD697" s="9" t="str">
        <f t="shared" si="10"/>
        <v>Actual</v>
      </c>
      <c r="AE697" s="9" t="str">
        <f t="shared" si="11"/>
        <v>TMK7</v>
      </c>
      <c r="AF697" s="9">
        <f>HOUR(O697)</f>
        <v>11</v>
      </c>
      <c r="AG697" s="9">
        <f>DAY(O697)</f>
        <v>18</v>
      </c>
      <c r="AH697" s="9">
        <f>IFERROR((I697-K697)*24*60,0)</f>
        <v>1.9999999960418791</v>
      </c>
      <c r="AI697" s="9">
        <f t="shared" si="12"/>
        <v>1.9999999960418791</v>
      </c>
      <c r="AJ697" s="9">
        <f>C697</f>
        <v>1628</v>
      </c>
      <c r="AK697" s="9">
        <f>IF(P697="completed",((V697-K697)*24*60),0)</f>
        <v>5.9999999986030161</v>
      </c>
      <c r="AL697" s="9">
        <f>IF(P697="completed",((U697-K697)*24*60),0)</f>
        <v>8.9999999979045242</v>
      </c>
      <c r="AM697" s="9" t="str">
        <f t="shared" si="13"/>
        <v>OTP Achieved</v>
      </c>
      <c r="AN697" s="9" t="str">
        <f t="shared" si="14"/>
        <v>OTP Achieved</v>
      </c>
    </row>
    <row r="698" spans="1:40" ht="15">
      <c r="A698" s="14" t="s">
        <v>1461</v>
      </c>
      <c r="B698" s="15">
        <v>46313.461111111108</v>
      </c>
      <c r="C698" s="16">
        <v>1168</v>
      </c>
      <c r="D698" s="17" t="s">
        <v>41</v>
      </c>
      <c r="E698" s="16">
        <v>4</v>
      </c>
      <c r="F698" s="17" t="s">
        <v>41</v>
      </c>
      <c r="G698" s="17" t="s">
        <v>41</v>
      </c>
      <c r="H698" s="17" t="s">
        <v>2200</v>
      </c>
      <c r="I698" s="15">
        <v>46313.461111111108</v>
      </c>
      <c r="J698" s="17" t="s">
        <v>41</v>
      </c>
      <c r="K698" s="15">
        <v>46313.459027777775</v>
      </c>
      <c r="L698" s="16">
        <v>22</v>
      </c>
      <c r="M698" s="17"/>
      <c r="N698" s="17"/>
      <c r="O698" s="15">
        <v>46313.458333333336</v>
      </c>
      <c r="P698" s="17" t="s">
        <v>43</v>
      </c>
      <c r="Q698" s="17" t="s">
        <v>1463</v>
      </c>
      <c r="R698" s="17" t="s">
        <v>2201</v>
      </c>
      <c r="S698" s="16">
        <v>4247</v>
      </c>
      <c r="T698" s="17" t="s">
        <v>41</v>
      </c>
      <c r="U698" s="15">
        <v>46313.464583333334</v>
      </c>
      <c r="V698" s="15">
        <v>46313.463194444441</v>
      </c>
      <c r="W698" s="18" t="s">
        <v>2202</v>
      </c>
      <c r="X698" s="16">
        <v>22411</v>
      </c>
      <c r="Y698" s="17"/>
      <c r="Z698" s="16">
        <v>0</v>
      </c>
      <c r="AA698" s="20">
        <v>0.46111111111111114</v>
      </c>
      <c r="AB698" s="16">
        <v>3</v>
      </c>
      <c r="AC698" s="17" t="s">
        <v>41</v>
      </c>
      <c r="AD698" s="9" t="str">
        <f t="shared" si="10"/>
        <v>Actual</v>
      </c>
      <c r="AE698" s="9" t="str">
        <f t="shared" si="11"/>
        <v>TMK7</v>
      </c>
      <c r="AF698" s="9">
        <f>HOUR(O698)</f>
        <v>11</v>
      </c>
      <c r="AG698" s="9">
        <f>DAY(O698)</f>
        <v>18</v>
      </c>
      <c r="AH698" s="9">
        <f>IFERROR((I698-K698)*24*60,0)</f>
        <v>2.9999999993015081</v>
      </c>
      <c r="AI698" s="9">
        <f t="shared" si="12"/>
        <v>2.9999999993015081</v>
      </c>
      <c r="AJ698" s="9">
        <f>C698</f>
        <v>1168</v>
      </c>
      <c r="AK698" s="9">
        <f>IF(P698="completed",((V698-K698)*24*60),0)</f>
        <v>5.9999999986030161</v>
      </c>
      <c r="AL698" s="9">
        <f>IF(P698="completed",((U698-K698)*24*60),0)</f>
        <v>8.0000000051222742</v>
      </c>
      <c r="AM698" s="9" t="str">
        <f t="shared" si="13"/>
        <v>OTP Achieved</v>
      </c>
      <c r="AN698" s="9" t="str">
        <f t="shared" si="14"/>
        <v>OTP Achieved</v>
      </c>
    </row>
    <row r="699" spans="1:40" ht="15">
      <c r="A699" s="14" t="s">
        <v>1365</v>
      </c>
      <c r="B699" s="15">
        <v>46313.460416666669</v>
      </c>
      <c r="C699" s="16">
        <v>1054</v>
      </c>
      <c r="D699" s="17" t="s">
        <v>41</v>
      </c>
      <c r="E699" s="16">
        <v>3</v>
      </c>
      <c r="F699" s="17" t="s">
        <v>41</v>
      </c>
      <c r="G699" s="17" t="s">
        <v>41</v>
      </c>
      <c r="H699" s="17" t="s">
        <v>2203</v>
      </c>
      <c r="I699" s="15">
        <v>46313.461111111108</v>
      </c>
      <c r="J699" s="17" t="s">
        <v>41</v>
      </c>
      <c r="K699" s="15">
        <v>46313.458333333336</v>
      </c>
      <c r="L699" s="16">
        <v>26</v>
      </c>
      <c r="M699" s="17"/>
      <c r="N699" s="17"/>
      <c r="O699" s="15">
        <v>46313.457638888889</v>
      </c>
      <c r="P699" s="17" t="s">
        <v>43</v>
      </c>
      <c r="Q699" s="17" t="s">
        <v>1367</v>
      </c>
      <c r="R699" s="17" t="s">
        <v>2204</v>
      </c>
      <c r="S699" s="16">
        <v>4247</v>
      </c>
      <c r="T699" s="17" t="s">
        <v>41</v>
      </c>
      <c r="U699" s="15">
        <v>46313.463888888888</v>
      </c>
      <c r="V699" s="15">
        <v>46313.463194444441</v>
      </c>
      <c r="W699" s="18" t="s">
        <v>2205</v>
      </c>
      <c r="X699" s="16">
        <v>22411</v>
      </c>
      <c r="Y699" s="17"/>
      <c r="Z699" s="16">
        <v>0</v>
      </c>
      <c r="AA699" s="20">
        <v>0.46041666666666664</v>
      </c>
      <c r="AB699" s="16">
        <v>3</v>
      </c>
      <c r="AC699" s="17" t="s">
        <v>41</v>
      </c>
      <c r="AD699" s="9" t="str">
        <f t="shared" si="10"/>
        <v>Actual</v>
      </c>
      <c r="AE699" s="9" t="str">
        <f t="shared" si="11"/>
        <v>TMK7</v>
      </c>
      <c r="AF699" s="9">
        <f>HOUR(O699)</f>
        <v>10</v>
      </c>
      <c r="AG699" s="9">
        <f>DAY(O699)</f>
        <v>18</v>
      </c>
      <c r="AH699" s="9">
        <f>IFERROR((I699-K699)*24*60,0)</f>
        <v>3.9999999920837581</v>
      </c>
      <c r="AI699" s="9">
        <f t="shared" si="12"/>
        <v>3.9999999920837581</v>
      </c>
      <c r="AJ699" s="9">
        <f>C699</f>
        <v>1054</v>
      </c>
      <c r="AK699" s="9">
        <f>IF(P699="completed",((V699-K699)*24*60),0)</f>
        <v>6.9999999913852662</v>
      </c>
      <c r="AL699" s="9">
        <f>IF(P699="completed",((U699-K699)*24*60),0)</f>
        <v>7.9999999946448952</v>
      </c>
      <c r="AM699" s="9" t="str">
        <f t="shared" si="13"/>
        <v>OTP Achieved</v>
      </c>
      <c r="AN699" s="9" t="str">
        <f t="shared" si="14"/>
        <v>OTP Achieved</v>
      </c>
    </row>
    <row r="700" spans="1:40" ht="15">
      <c r="A700" s="14" t="s">
        <v>177</v>
      </c>
      <c r="B700" s="15">
        <v>46313.460416666669</v>
      </c>
      <c r="C700" s="16">
        <v>2324</v>
      </c>
      <c r="D700" s="17" t="s">
        <v>41</v>
      </c>
      <c r="E700" s="16">
        <v>6</v>
      </c>
      <c r="F700" s="17" t="s">
        <v>41</v>
      </c>
      <c r="G700" s="17" t="s">
        <v>41</v>
      </c>
      <c r="H700" s="17" t="s">
        <v>2206</v>
      </c>
      <c r="I700" s="15">
        <v>46313.461111111108</v>
      </c>
      <c r="J700" s="17" t="s">
        <v>41</v>
      </c>
      <c r="K700" s="15">
        <v>46313.458333333336</v>
      </c>
      <c r="L700" s="16">
        <v>30</v>
      </c>
      <c r="M700" s="17"/>
      <c r="N700" s="17"/>
      <c r="O700" s="15">
        <v>46313.456944444442</v>
      </c>
      <c r="P700" s="17" t="s">
        <v>43</v>
      </c>
      <c r="Q700" s="17" t="s">
        <v>179</v>
      </c>
      <c r="R700" s="17" t="s">
        <v>2207</v>
      </c>
      <c r="S700" s="16">
        <v>4247</v>
      </c>
      <c r="T700" s="17" t="s">
        <v>41</v>
      </c>
      <c r="U700" s="15">
        <v>46313.468055555553</v>
      </c>
      <c r="V700" s="15">
        <v>46313.465277777781</v>
      </c>
      <c r="W700" s="18" t="s">
        <v>2208</v>
      </c>
      <c r="X700" s="16">
        <v>22411</v>
      </c>
      <c r="Y700" s="19"/>
      <c r="Z700" s="16">
        <v>0</v>
      </c>
      <c r="AA700" s="20">
        <v>0.46041666666666664</v>
      </c>
      <c r="AB700" s="16">
        <v>6</v>
      </c>
      <c r="AC700" s="17" t="s">
        <v>41</v>
      </c>
      <c r="AD700" s="9" t="str">
        <f t="shared" si="10"/>
        <v>Actual</v>
      </c>
      <c r="AE700" s="9" t="str">
        <f t="shared" si="11"/>
        <v>TMK7</v>
      </c>
      <c r="AF700" s="9">
        <f>HOUR(O700)</f>
        <v>10</v>
      </c>
      <c r="AG700" s="9">
        <f>DAY(O700)</f>
        <v>18</v>
      </c>
      <c r="AH700" s="9">
        <f>IFERROR((I700-K700)*24*60,0)</f>
        <v>3.9999999920837581</v>
      </c>
      <c r="AI700" s="9">
        <f t="shared" si="12"/>
        <v>3.9999999920837581</v>
      </c>
      <c r="AJ700" s="9">
        <f>C700</f>
        <v>2324</v>
      </c>
      <c r="AK700" s="9">
        <f>IF(P700="completed",((V700-K700)*24*60),0)</f>
        <v>10.000000001164153</v>
      </c>
      <c r="AL700" s="9">
        <f>IF(P700="completed",((U700-K700)*24*60),0)</f>
        <v>13.999999993247911</v>
      </c>
      <c r="AM700" s="9" t="str">
        <f t="shared" si="13"/>
        <v>OTP Achieved</v>
      </c>
      <c r="AN700" s="9" t="str">
        <f t="shared" si="14"/>
        <v>OTP Achieved</v>
      </c>
    </row>
    <row r="701" spans="1:40" ht="15">
      <c r="A701" s="14" t="s">
        <v>185</v>
      </c>
      <c r="B701" s="15">
        <v>46313.460416666669</v>
      </c>
      <c r="C701" s="16">
        <v>3128</v>
      </c>
      <c r="D701" s="17" t="s">
        <v>41</v>
      </c>
      <c r="E701" s="16">
        <v>10</v>
      </c>
      <c r="F701" s="17" t="s">
        <v>41</v>
      </c>
      <c r="G701" s="17" t="s">
        <v>41</v>
      </c>
      <c r="H701" s="17" t="s">
        <v>2209</v>
      </c>
      <c r="I701" s="15">
        <v>46313.461111111108</v>
      </c>
      <c r="J701" s="17" t="s">
        <v>41</v>
      </c>
      <c r="K701" s="15">
        <v>46313.456944444442</v>
      </c>
      <c r="L701" s="16">
        <v>29</v>
      </c>
      <c r="M701" s="17"/>
      <c r="N701" s="17"/>
      <c r="O701" s="15">
        <v>46313.456250000003</v>
      </c>
      <c r="P701" s="17" t="s">
        <v>43</v>
      </c>
      <c r="Q701" s="17" t="s">
        <v>187</v>
      </c>
      <c r="R701" s="17" t="s">
        <v>2210</v>
      </c>
      <c r="S701" s="16">
        <v>4247</v>
      </c>
      <c r="T701" s="17" t="s">
        <v>41</v>
      </c>
      <c r="U701" s="15">
        <v>46313.46875</v>
      </c>
      <c r="V701" s="15">
        <v>46313.467361111114</v>
      </c>
      <c r="W701" s="18" t="s">
        <v>2211</v>
      </c>
      <c r="X701" s="16">
        <v>22411</v>
      </c>
      <c r="Y701" s="19"/>
      <c r="Z701" s="16">
        <v>0</v>
      </c>
      <c r="AA701" s="20">
        <v>0.46041666666666664</v>
      </c>
      <c r="AB701" s="16">
        <v>9</v>
      </c>
      <c r="AC701" s="17" t="s">
        <v>41</v>
      </c>
      <c r="AD701" s="9" t="str">
        <f t="shared" si="10"/>
        <v>Actual</v>
      </c>
      <c r="AE701" s="9" t="str">
        <f t="shared" si="11"/>
        <v>TMK7</v>
      </c>
      <c r="AF701" s="9">
        <f>HOUR(O701)</f>
        <v>10</v>
      </c>
      <c r="AG701" s="9">
        <f>DAY(O701)</f>
        <v>18</v>
      </c>
      <c r="AH701" s="9">
        <f>IFERROR((I701-K701)*24*60,0)</f>
        <v>5.9999999986030161</v>
      </c>
      <c r="AI701" s="9">
        <f t="shared" si="12"/>
        <v>5.9999999986030161</v>
      </c>
      <c r="AJ701" s="9">
        <f>C701</f>
        <v>3128</v>
      </c>
      <c r="AK701" s="9">
        <f>IF(P701="completed",((V701-K701)*24*60),0)</f>
        <v>15.000000006984919</v>
      </c>
      <c r="AL701" s="9">
        <f>IF(P701="completed",((U701-K701)*24*60),0)</f>
        <v>17.000000003026798</v>
      </c>
      <c r="AM701" s="9" t="str">
        <f t="shared" si="13"/>
        <v>OTP Achieved</v>
      </c>
      <c r="AN701" s="9" t="str">
        <f t="shared" si="14"/>
        <v>OTP Achieved</v>
      </c>
    </row>
    <row r="702" spans="1:40" ht="15">
      <c r="A702" s="14" t="s">
        <v>734</v>
      </c>
      <c r="B702" s="15">
        <v>46313.459722222222</v>
      </c>
      <c r="C702" s="16">
        <v>1217</v>
      </c>
      <c r="D702" s="17" t="s">
        <v>41</v>
      </c>
      <c r="E702" s="16">
        <v>4</v>
      </c>
      <c r="F702" s="17" t="s">
        <v>41</v>
      </c>
      <c r="G702" s="17" t="s">
        <v>41</v>
      </c>
      <c r="H702" s="17" t="s">
        <v>2212</v>
      </c>
      <c r="I702" s="15">
        <v>46313.460416666669</v>
      </c>
      <c r="J702" s="17" t="s">
        <v>41</v>
      </c>
      <c r="K702" s="15">
        <v>46313.456944444442</v>
      </c>
      <c r="L702" s="16">
        <v>20</v>
      </c>
      <c r="M702" s="17"/>
      <c r="N702" s="17"/>
      <c r="O702" s="15">
        <v>46313.456250000003</v>
      </c>
      <c r="P702" s="17" t="s">
        <v>43</v>
      </c>
      <c r="Q702" s="17" t="s">
        <v>736</v>
      </c>
      <c r="R702" s="17" t="s">
        <v>2213</v>
      </c>
      <c r="S702" s="16">
        <v>4247</v>
      </c>
      <c r="T702" s="17" t="s">
        <v>41</v>
      </c>
      <c r="U702" s="15">
        <v>46313.464583333334</v>
      </c>
      <c r="V702" s="15">
        <v>46313.463194444441</v>
      </c>
      <c r="W702" s="18" t="s">
        <v>2214</v>
      </c>
      <c r="X702" s="16">
        <v>22411</v>
      </c>
      <c r="Y702" s="19"/>
      <c r="Z702" s="16">
        <v>0</v>
      </c>
      <c r="AA702" s="20">
        <v>0.4597222222222222</v>
      </c>
      <c r="AB702" s="16">
        <v>4</v>
      </c>
      <c r="AC702" s="17" t="s">
        <v>41</v>
      </c>
      <c r="AD702" s="9" t="str">
        <f t="shared" si="10"/>
        <v>Actual</v>
      </c>
      <c r="AE702" s="9" t="str">
        <f t="shared" si="11"/>
        <v>TMK7</v>
      </c>
      <c r="AF702" s="9">
        <f>HOUR(O702)</f>
        <v>10</v>
      </c>
      <c r="AG702" s="9">
        <f>DAY(O702)</f>
        <v>18</v>
      </c>
      <c r="AH702" s="9">
        <f>IFERROR((I702-K702)*24*60,0)</f>
        <v>5.0000000058207661</v>
      </c>
      <c r="AI702" s="9">
        <f t="shared" si="12"/>
        <v>5.0000000058207661</v>
      </c>
      <c r="AJ702" s="9">
        <f>C702</f>
        <v>1217</v>
      </c>
      <c r="AK702" s="9">
        <f>IF(P702="completed",((V702-K702)*24*60),0)</f>
        <v>8.9999999979045242</v>
      </c>
      <c r="AL702" s="9">
        <f>IF(P702="completed",((U702-K702)*24*60),0)</f>
        <v>11.000000004423782</v>
      </c>
      <c r="AM702" s="9" t="str">
        <f t="shared" si="13"/>
        <v>OTP Achieved</v>
      </c>
      <c r="AN702" s="9" t="str">
        <f t="shared" si="14"/>
        <v>OTP Achieved</v>
      </c>
    </row>
    <row r="703" spans="1:40" ht="15">
      <c r="A703" s="14" t="s">
        <v>1965</v>
      </c>
      <c r="B703" s="15">
        <v>46313.460416666669</v>
      </c>
      <c r="C703" s="16">
        <v>2171</v>
      </c>
      <c r="D703" s="17" t="s">
        <v>41</v>
      </c>
      <c r="E703" s="16">
        <v>6</v>
      </c>
      <c r="F703" s="17" t="s">
        <v>41</v>
      </c>
      <c r="G703" s="17" t="s">
        <v>41</v>
      </c>
      <c r="H703" s="17" t="s">
        <v>2215</v>
      </c>
      <c r="I703" s="15">
        <v>46313.460416666669</v>
      </c>
      <c r="J703" s="17" t="s">
        <v>41</v>
      </c>
      <c r="K703" s="15">
        <v>46313.456944444442</v>
      </c>
      <c r="L703" s="16">
        <v>18</v>
      </c>
      <c r="M703" s="17"/>
      <c r="N703" s="17"/>
      <c r="O703" s="15">
        <v>46313.456250000003</v>
      </c>
      <c r="P703" s="17" t="s">
        <v>43</v>
      </c>
      <c r="Q703" s="17" t="s">
        <v>1967</v>
      </c>
      <c r="R703" s="17" t="s">
        <v>2216</v>
      </c>
      <c r="S703" s="16">
        <v>4247</v>
      </c>
      <c r="T703" s="17" t="s">
        <v>41</v>
      </c>
      <c r="U703" s="15">
        <v>46313.46597222222</v>
      </c>
      <c r="V703" s="15">
        <v>46313.464583333334</v>
      </c>
      <c r="W703" s="18" t="s">
        <v>2217</v>
      </c>
      <c r="X703" s="16">
        <v>22411</v>
      </c>
      <c r="Y703" s="19"/>
      <c r="Z703" s="16">
        <v>0</v>
      </c>
      <c r="AA703" s="20">
        <v>0.46041666666666664</v>
      </c>
      <c r="AB703" s="16">
        <v>6</v>
      </c>
      <c r="AC703" s="17" t="s">
        <v>41</v>
      </c>
      <c r="AD703" s="9" t="str">
        <f t="shared" si="10"/>
        <v>Actual</v>
      </c>
      <c r="AE703" s="9" t="str">
        <f t="shared" si="11"/>
        <v>TMK7</v>
      </c>
      <c r="AF703" s="9">
        <f>HOUR(O703)</f>
        <v>10</v>
      </c>
      <c r="AG703" s="9">
        <f>DAY(O703)</f>
        <v>18</v>
      </c>
      <c r="AH703" s="9">
        <f>IFERROR((I703-K703)*24*60,0)</f>
        <v>5.0000000058207661</v>
      </c>
      <c r="AI703" s="9">
        <f t="shared" si="12"/>
        <v>5.0000000058207661</v>
      </c>
      <c r="AJ703" s="9">
        <f>C703</f>
        <v>2171</v>
      </c>
      <c r="AK703" s="9">
        <f>IF(P703="completed",((V703-K703)*24*60),0)</f>
        <v>11.000000004423782</v>
      </c>
      <c r="AL703" s="9">
        <f>IF(P703="completed",((U703-K703)*24*60),0)</f>
        <v>13.000000000465661</v>
      </c>
      <c r="AM703" s="9" t="str">
        <f t="shared" si="13"/>
        <v>OTP Achieved</v>
      </c>
      <c r="AN703" s="9" t="str">
        <f t="shared" si="14"/>
        <v>OTP Achieved</v>
      </c>
    </row>
    <row r="704" spans="1:40" ht="15">
      <c r="A704" s="14" t="s">
        <v>52</v>
      </c>
      <c r="B704" s="15">
        <v>46313.459722222222</v>
      </c>
      <c r="C704" s="16">
        <v>2403</v>
      </c>
      <c r="D704" s="17" t="s">
        <v>41</v>
      </c>
      <c r="E704" s="16">
        <v>8</v>
      </c>
      <c r="F704" s="17" t="s">
        <v>41</v>
      </c>
      <c r="G704" s="17" t="s">
        <v>41</v>
      </c>
      <c r="H704" s="17" t="s">
        <v>2218</v>
      </c>
      <c r="I704" s="15">
        <v>46313.459722222222</v>
      </c>
      <c r="J704" s="17" t="s">
        <v>41</v>
      </c>
      <c r="K704" s="15">
        <v>46313.457638888889</v>
      </c>
      <c r="L704" s="16">
        <v>24</v>
      </c>
      <c r="M704" s="17"/>
      <c r="N704" s="17"/>
      <c r="O704" s="15">
        <v>46313.456250000003</v>
      </c>
      <c r="P704" s="17" t="s">
        <v>43</v>
      </c>
      <c r="Q704" s="17" t="s">
        <v>54</v>
      </c>
      <c r="R704" s="17" t="s">
        <v>2219</v>
      </c>
      <c r="S704" s="16">
        <v>4247</v>
      </c>
      <c r="T704" s="17" t="s">
        <v>41</v>
      </c>
      <c r="U704" s="15">
        <v>46313.466666666667</v>
      </c>
      <c r="V704" s="15">
        <v>46313.464583333334</v>
      </c>
      <c r="W704" s="18" t="s">
        <v>2220</v>
      </c>
      <c r="X704" s="16">
        <v>22411</v>
      </c>
      <c r="Y704" s="19"/>
      <c r="Z704" s="16">
        <v>0</v>
      </c>
      <c r="AA704" s="20">
        <v>0.4597222222222222</v>
      </c>
      <c r="AB704" s="16">
        <v>7</v>
      </c>
      <c r="AC704" s="17" t="s">
        <v>41</v>
      </c>
      <c r="AD704" s="9" t="str">
        <f t="shared" si="10"/>
        <v>Actual</v>
      </c>
      <c r="AE704" s="9" t="str">
        <f t="shared" si="11"/>
        <v>TMK7</v>
      </c>
      <c r="AF704" s="9">
        <f>HOUR(O704)</f>
        <v>10</v>
      </c>
      <c r="AG704" s="9">
        <f>DAY(O704)</f>
        <v>18</v>
      </c>
      <c r="AH704" s="9">
        <f>IFERROR((I704-K704)*24*60,0)</f>
        <v>2.9999999993015081</v>
      </c>
      <c r="AI704" s="9">
        <f t="shared" si="12"/>
        <v>2.9999999993015081</v>
      </c>
      <c r="AJ704" s="9">
        <f>C704</f>
        <v>2403</v>
      </c>
      <c r="AK704" s="9">
        <f>IF(P704="completed",((V704-K704)*24*60),0)</f>
        <v>10.000000001164153</v>
      </c>
      <c r="AL704" s="9">
        <f>IF(P704="completed",((U704-K704)*24*60),0)</f>
        <v>13.000000000465661</v>
      </c>
      <c r="AM704" s="9" t="str">
        <f t="shared" si="13"/>
        <v>OTP Achieved</v>
      </c>
      <c r="AN704" s="9" t="str">
        <f t="shared" si="14"/>
        <v>OTP Achieved</v>
      </c>
    </row>
    <row r="705" spans="1:40" ht="15">
      <c r="A705" s="14" t="s">
        <v>655</v>
      </c>
      <c r="B705" s="15">
        <v>46313.459027777775</v>
      </c>
      <c r="C705" s="16">
        <v>142</v>
      </c>
      <c r="D705" s="17" t="s">
        <v>41</v>
      </c>
      <c r="E705" s="16">
        <v>1</v>
      </c>
      <c r="F705" s="17" t="s">
        <v>41</v>
      </c>
      <c r="G705" s="17" t="s">
        <v>41</v>
      </c>
      <c r="H705" s="17" t="s">
        <v>2221</v>
      </c>
      <c r="I705" s="15">
        <v>46313.459027777775</v>
      </c>
      <c r="J705" s="17" t="s">
        <v>41</v>
      </c>
      <c r="K705" s="15">
        <v>46313.458333333336</v>
      </c>
      <c r="L705" s="16">
        <v>22</v>
      </c>
      <c r="M705" s="17"/>
      <c r="N705" s="17"/>
      <c r="O705" s="15">
        <v>46313.454861111109</v>
      </c>
      <c r="P705" s="17" t="s">
        <v>43</v>
      </c>
      <c r="Q705" s="17" t="s">
        <v>657</v>
      </c>
      <c r="R705" s="17" t="s">
        <v>2222</v>
      </c>
      <c r="S705" s="16">
        <v>4247</v>
      </c>
      <c r="T705" s="17" t="s">
        <v>41</v>
      </c>
      <c r="U705" s="15">
        <v>46313.459722222222</v>
      </c>
      <c r="V705" s="15">
        <v>46313.459027777775</v>
      </c>
      <c r="W705" s="18" t="s">
        <v>2223</v>
      </c>
      <c r="X705" s="16">
        <v>22411</v>
      </c>
      <c r="Y705" s="17"/>
      <c r="Z705" s="16">
        <v>0</v>
      </c>
      <c r="AA705" s="20">
        <v>0.45902777777777776</v>
      </c>
      <c r="AB705" s="16">
        <v>0</v>
      </c>
      <c r="AC705" s="17" t="s">
        <v>41</v>
      </c>
      <c r="AD705" s="9" t="str">
        <f t="shared" si="10"/>
        <v>Actual</v>
      </c>
      <c r="AE705" s="9" t="str">
        <f t="shared" si="11"/>
        <v>TMK7</v>
      </c>
      <c r="AF705" s="9">
        <f>HOUR(O705)</f>
        <v>10</v>
      </c>
      <c r="AG705" s="9">
        <f>DAY(O705)</f>
        <v>18</v>
      </c>
      <c r="AH705" s="9">
        <f>IFERROR((I705-K705)*24*60,0)</f>
        <v>0.99999999278225005</v>
      </c>
      <c r="AI705" s="9">
        <f t="shared" si="12"/>
        <v>0.99999999278225005</v>
      </c>
      <c r="AJ705" s="9">
        <f>C705</f>
        <v>142</v>
      </c>
      <c r="AK705" s="9">
        <f>IF(P705="completed",((V705-K705)*24*60),0)</f>
        <v>0.99999999278225005</v>
      </c>
      <c r="AL705" s="9">
        <f>IF(P705="completed",((U705-K705)*24*60),0)</f>
        <v>1.9999999960418791</v>
      </c>
      <c r="AM705" s="9" t="str">
        <f t="shared" si="13"/>
        <v>OTP Achieved</v>
      </c>
      <c r="AN705" s="9" t="str">
        <f t="shared" si="14"/>
        <v>OTP Achieved</v>
      </c>
    </row>
    <row r="706" spans="1:40" ht="15">
      <c r="A706" s="14" t="s">
        <v>1592</v>
      </c>
      <c r="B706" s="15">
        <v>46313.458333333336</v>
      </c>
      <c r="C706" s="16">
        <v>3876</v>
      </c>
      <c r="D706" s="17" t="s">
        <v>41</v>
      </c>
      <c r="E706" s="16">
        <v>10</v>
      </c>
      <c r="F706" s="17" t="s">
        <v>41</v>
      </c>
      <c r="G706" s="17" t="s">
        <v>41</v>
      </c>
      <c r="H706" s="17" t="s">
        <v>2224</v>
      </c>
      <c r="I706" s="15">
        <v>46313.458333333336</v>
      </c>
      <c r="J706" s="17" t="s">
        <v>41</v>
      </c>
      <c r="K706" s="15">
        <v>46313.455555555556</v>
      </c>
      <c r="L706" s="16">
        <v>16</v>
      </c>
      <c r="M706" s="17"/>
      <c r="N706" s="17"/>
      <c r="O706" s="15">
        <v>46313.454861111109</v>
      </c>
      <c r="P706" s="17" t="s">
        <v>43</v>
      </c>
      <c r="Q706" s="17" t="s">
        <v>1594</v>
      </c>
      <c r="R706" s="17" t="s">
        <v>2225</v>
      </c>
      <c r="S706" s="16">
        <v>4247</v>
      </c>
      <c r="T706" s="17" t="s">
        <v>41</v>
      </c>
      <c r="U706" s="15">
        <v>46313.468055555553</v>
      </c>
      <c r="V706" s="15">
        <v>46313.465277777781</v>
      </c>
      <c r="W706" s="18" t="s">
        <v>2226</v>
      </c>
      <c r="X706" s="16">
        <v>22411</v>
      </c>
      <c r="Y706" s="19"/>
      <c r="Z706" s="16">
        <v>0</v>
      </c>
      <c r="AA706" s="20">
        <v>0.45833333333333331</v>
      </c>
      <c r="AB706" s="16">
        <v>9</v>
      </c>
      <c r="AC706" s="17" t="s">
        <v>41</v>
      </c>
      <c r="AD706" s="9" t="str">
        <f t="shared" si="10"/>
        <v>Actual</v>
      </c>
      <c r="AE706" s="9" t="str">
        <f t="shared" si="11"/>
        <v>TMK7</v>
      </c>
      <c r="AF706" s="9">
        <f>HOUR(O706)</f>
        <v>10</v>
      </c>
      <c r="AG706" s="9">
        <f>DAY(O706)</f>
        <v>18</v>
      </c>
      <c r="AH706" s="9">
        <f>IFERROR((I706-K706)*24*60,0)</f>
        <v>4.0000000025611371</v>
      </c>
      <c r="AI706" s="9">
        <f t="shared" si="12"/>
        <v>4.0000000025611371</v>
      </c>
      <c r="AJ706" s="9">
        <f>C706</f>
        <v>3876</v>
      </c>
      <c r="AK706" s="9">
        <f>IF(P706="completed",((V706-K706)*24*60),0)</f>
        <v>14.00000000372529</v>
      </c>
      <c r="AL706" s="9">
        <f>IF(P706="completed",((U706-K706)*24*60),0)</f>
        <v>17.999999995809048</v>
      </c>
      <c r="AM706" s="9" t="str">
        <f t="shared" si="13"/>
        <v>OTP Achieved</v>
      </c>
      <c r="AN706" s="9" t="str">
        <f t="shared" si="14"/>
        <v>OTP Achieved</v>
      </c>
    </row>
    <row r="707" spans="1:40" ht="15">
      <c r="A707" s="14" t="s">
        <v>62</v>
      </c>
      <c r="B707" s="15">
        <v>46313.456250000003</v>
      </c>
      <c r="C707" s="16">
        <v>1918</v>
      </c>
      <c r="D707" s="17" t="s">
        <v>41</v>
      </c>
      <c r="E707" s="16">
        <v>7</v>
      </c>
      <c r="F707" s="17" t="s">
        <v>41</v>
      </c>
      <c r="G707" s="17" t="s">
        <v>41</v>
      </c>
      <c r="H707" s="17" t="s">
        <v>2227</v>
      </c>
      <c r="I707" s="15">
        <v>46313.456944444442</v>
      </c>
      <c r="J707" s="17" t="s">
        <v>41</v>
      </c>
      <c r="K707" s="15">
        <v>46313.456250000003</v>
      </c>
      <c r="L707" s="16">
        <v>32</v>
      </c>
      <c r="M707" s="17"/>
      <c r="N707" s="17"/>
      <c r="O707" s="15">
        <v>46313.454861111109</v>
      </c>
      <c r="P707" s="17" t="s">
        <v>43</v>
      </c>
      <c r="Q707" s="17" t="s">
        <v>64</v>
      </c>
      <c r="R707" s="17" t="s">
        <v>2228</v>
      </c>
      <c r="S707" s="16">
        <v>4247</v>
      </c>
      <c r="T707" s="17" t="s">
        <v>41</v>
      </c>
      <c r="U707" s="15">
        <v>46313.461805555555</v>
      </c>
      <c r="V707" s="15">
        <v>46313.461111111108</v>
      </c>
      <c r="W707" s="18" t="s">
        <v>2229</v>
      </c>
      <c r="X707" s="16">
        <v>22411</v>
      </c>
      <c r="Y707" s="19"/>
      <c r="Z707" s="16">
        <v>0</v>
      </c>
      <c r="AA707" s="20">
        <v>0.45624999999999999</v>
      </c>
      <c r="AB707" s="16">
        <v>6</v>
      </c>
      <c r="AC707" s="17" t="s">
        <v>41</v>
      </c>
      <c r="AD707" s="9" t="str">
        <f t="shared" si="10"/>
        <v>Actual</v>
      </c>
      <c r="AE707" s="9" t="str">
        <f t="shared" si="11"/>
        <v>TMK7</v>
      </c>
      <c r="AF707" s="9">
        <f>HOUR(O707)</f>
        <v>10</v>
      </c>
      <c r="AG707" s="9">
        <f>DAY(O707)</f>
        <v>18</v>
      </c>
      <c r="AH707" s="9">
        <f>IFERROR((I707-K707)*24*60,0)</f>
        <v>0.99999999278225005</v>
      </c>
      <c r="AI707" s="9">
        <f t="shared" si="12"/>
        <v>0.99999999278225005</v>
      </c>
      <c r="AJ707" s="9">
        <f>C707</f>
        <v>1918</v>
      </c>
      <c r="AK707" s="9">
        <f>IF(P707="completed",((V707-K707)*24*60),0)</f>
        <v>6.9999999913852662</v>
      </c>
      <c r="AL707" s="9">
        <f>IF(P707="completed",((U707-K707)*24*60),0)</f>
        <v>7.9999999946448952</v>
      </c>
      <c r="AM707" s="9" t="str">
        <f t="shared" si="13"/>
        <v>OTP Achieved</v>
      </c>
      <c r="AN707" s="9" t="str">
        <f t="shared" si="14"/>
        <v>OTP Achieved</v>
      </c>
    </row>
    <row r="708" spans="1:40" ht="15">
      <c r="A708" s="14" t="s">
        <v>98</v>
      </c>
      <c r="B708" s="15">
        <v>46313.455555555556</v>
      </c>
      <c r="C708" s="16">
        <v>1227</v>
      </c>
      <c r="D708" s="17" t="s">
        <v>41</v>
      </c>
      <c r="E708" s="16">
        <v>3</v>
      </c>
      <c r="F708" s="17" t="s">
        <v>41</v>
      </c>
      <c r="G708" s="17" t="s">
        <v>41</v>
      </c>
      <c r="H708" s="17" t="s">
        <v>2230</v>
      </c>
      <c r="I708" s="15">
        <v>46313.456250000003</v>
      </c>
      <c r="J708" s="17" t="s">
        <v>41</v>
      </c>
      <c r="K708" s="15">
        <v>46313.455555555556</v>
      </c>
      <c r="L708" s="16">
        <v>24</v>
      </c>
      <c r="M708" s="17"/>
      <c r="N708" s="17"/>
      <c r="O708" s="15">
        <v>46313.454861111109</v>
      </c>
      <c r="P708" s="17" t="s">
        <v>43</v>
      </c>
      <c r="Q708" s="17" t="s">
        <v>100</v>
      </c>
      <c r="R708" s="17" t="s">
        <v>2231</v>
      </c>
      <c r="S708" s="16">
        <v>4247</v>
      </c>
      <c r="T708" s="17" t="s">
        <v>41</v>
      </c>
      <c r="U708" s="15">
        <v>46313.460416666669</v>
      </c>
      <c r="V708" s="15">
        <v>46313.458333333336</v>
      </c>
      <c r="W708" s="18" t="s">
        <v>2232</v>
      </c>
      <c r="X708" s="16">
        <v>22411</v>
      </c>
      <c r="Y708" s="19"/>
      <c r="Z708" s="16">
        <v>0</v>
      </c>
      <c r="AA708" s="20">
        <v>0.45555555555555555</v>
      </c>
      <c r="AB708" s="16">
        <v>3</v>
      </c>
      <c r="AC708" s="17" t="s">
        <v>41</v>
      </c>
      <c r="AD708" s="9" t="str">
        <f t="shared" si="10"/>
        <v>Actual</v>
      </c>
      <c r="AE708" s="9" t="str">
        <f t="shared" si="11"/>
        <v>TMK7</v>
      </c>
      <c r="AF708" s="9">
        <f>HOUR(O708)</f>
        <v>10</v>
      </c>
      <c r="AG708" s="9">
        <f>DAY(O708)</f>
        <v>18</v>
      </c>
      <c r="AH708" s="9">
        <f>IFERROR((I708-K708)*24*60,0)</f>
        <v>1.000000003259629</v>
      </c>
      <c r="AI708" s="9">
        <f t="shared" si="12"/>
        <v>1.000000003259629</v>
      </c>
      <c r="AJ708" s="9">
        <f>C708</f>
        <v>1227</v>
      </c>
      <c r="AK708" s="9">
        <f>IF(P708="completed",((V708-K708)*24*60),0)</f>
        <v>4.0000000025611371</v>
      </c>
      <c r="AL708" s="9">
        <f>IF(P708="completed",((U708-K708)*24*60),0)</f>
        <v>7.0000000018626451</v>
      </c>
      <c r="AM708" s="9" t="str">
        <f t="shared" si="13"/>
        <v>OTP Achieved</v>
      </c>
      <c r="AN708" s="9" t="str">
        <f t="shared" si="14"/>
        <v>OTP Achieved</v>
      </c>
    </row>
    <row r="709" spans="1:40" ht="15.75" customHeight="1">
      <c r="A709" s="9" t="s">
        <v>1239</v>
      </c>
      <c r="B709" s="25">
        <v>46313.455555555556</v>
      </c>
      <c r="C709" s="9">
        <v>765</v>
      </c>
      <c r="D709" s="9" t="s">
        <v>41</v>
      </c>
      <c r="E709" s="9">
        <v>4</v>
      </c>
      <c r="F709" s="9" t="s">
        <v>41</v>
      </c>
      <c r="G709" s="9" t="s">
        <v>41</v>
      </c>
      <c r="H709" s="9" t="s">
        <v>2233</v>
      </c>
      <c r="I709" s="25">
        <v>46313.455555555556</v>
      </c>
      <c r="J709" s="9" t="s">
        <v>41</v>
      </c>
      <c r="K709" s="25">
        <v>46313.454861111109</v>
      </c>
      <c r="L709" s="9">
        <v>30</v>
      </c>
      <c r="O709" s="25">
        <v>46313.45416666667</v>
      </c>
      <c r="P709" s="9" t="s">
        <v>43</v>
      </c>
      <c r="Q709" s="9" t="s">
        <v>1241</v>
      </c>
      <c r="R709" s="9" t="s">
        <v>2234</v>
      </c>
      <c r="S709" s="9">
        <v>4247</v>
      </c>
      <c r="T709" s="9" t="s">
        <v>41</v>
      </c>
      <c r="U709" s="25">
        <v>46313.458333333336</v>
      </c>
      <c r="V709" s="25">
        <v>46313.457638888889</v>
      </c>
      <c r="W709" s="26" t="s">
        <v>2235</v>
      </c>
      <c r="X709" s="9">
        <v>22411</v>
      </c>
      <c r="Y709" s="25"/>
      <c r="Z709" s="9">
        <v>0</v>
      </c>
      <c r="AA709" s="27">
        <v>0.45555555555555555</v>
      </c>
      <c r="AB709" s="9">
        <v>3</v>
      </c>
      <c r="AC709" s="9" t="s">
        <v>41</v>
      </c>
      <c r="AD709" s="9" t="str">
        <f t="shared" si="10"/>
        <v>Actual</v>
      </c>
      <c r="AE709" s="9" t="str">
        <f t="shared" si="11"/>
        <v>TMK7</v>
      </c>
      <c r="AF709" s="9">
        <f>HOUR(O709)</f>
        <v>10</v>
      </c>
      <c r="AG709" s="9">
        <f>DAY(O709)</f>
        <v>18</v>
      </c>
      <c r="AH709" s="9">
        <f>IFERROR((I709-K709)*24*60,0)</f>
        <v>1.000000003259629</v>
      </c>
      <c r="AI709" s="9">
        <f t="shared" si="12"/>
        <v>1.000000003259629</v>
      </c>
      <c r="AJ709" s="9">
        <f>C709</f>
        <v>765</v>
      </c>
      <c r="AK709" s="9">
        <f>IF(P709="completed",((V709-K709)*24*60),0)</f>
        <v>4.0000000025611371</v>
      </c>
      <c r="AL709" s="9">
        <f>IF(P709="completed",((U709-K709)*24*60),0)</f>
        <v>5.0000000058207661</v>
      </c>
      <c r="AM709" s="9" t="str">
        <f t="shared" si="13"/>
        <v>OTP Achieved</v>
      </c>
      <c r="AN709" s="9" t="str">
        <f t="shared" si="14"/>
        <v>OTP Achieved</v>
      </c>
    </row>
    <row r="710" spans="1:40" ht="15.75" customHeight="1">
      <c r="A710" s="9" t="s">
        <v>106</v>
      </c>
      <c r="B710" s="25">
        <v>46313.454861111109</v>
      </c>
      <c r="C710" s="9">
        <v>818</v>
      </c>
      <c r="D710" s="9" t="s">
        <v>41</v>
      </c>
      <c r="E710" s="9">
        <v>3</v>
      </c>
      <c r="F710" s="9" t="s">
        <v>41</v>
      </c>
      <c r="G710" s="9" t="s">
        <v>41</v>
      </c>
      <c r="H710" s="9" t="s">
        <v>2233</v>
      </c>
      <c r="I710" s="25">
        <v>46313.454861111109</v>
      </c>
      <c r="J710" s="9" t="s">
        <v>41</v>
      </c>
      <c r="K710" s="25">
        <v>46313.454861111109</v>
      </c>
      <c r="L710" s="9">
        <v>13</v>
      </c>
      <c r="O710" s="25">
        <v>46313.45416666667</v>
      </c>
      <c r="P710" s="9" t="s">
        <v>43</v>
      </c>
      <c r="Q710" s="9" t="s">
        <v>108</v>
      </c>
      <c r="R710" s="9" t="s">
        <v>2236</v>
      </c>
      <c r="S710" s="9">
        <v>4247</v>
      </c>
      <c r="T710" s="9" t="s">
        <v>41</v>
      </c>
      <c r="U710" s="25">
        <v>46313.457638888889</v>
      </c>
      <c r="V710" s="25">
        <v>46313.456944444442</v>
      </c>
      <c r="W710" s="26" t="s">
        <v>2237</v>
      </c>
      <c r="X710" s="9">
        <v>22411</v>
      </c>
      <c r="Y710" s="25"/>
      <c r="Z710" s="9">
        <v>0</v>
      </c>
      <c r="AA710" s="27">
        <v>0.4548611111111111</v>
      </c>
      <c r="AB710" s="9">
        <v>3</v>
      </c>
      <c r="AC710" s="9" t="s">
        <v>41</v>
      </c>
      <c r="AD710" s="9" t="str">
        <f t="shared" si="10"/>
        <v>Actual</v>
      </c>
      <c r="AE710" s="9" t="str">
        <f t="shared" si="11"/>
        <v>TMK7</v>
      </c>
      <c r="AF710" s="9">
        <f>HOUR(O710)</f>
        <v>10</v>
      </c>
      <c r="AG710" s="9">
        <f>DAY(O710)</f>
        <v>18</v>
      </c>
      <c r="AH710" s="9">
        <f>IFERROR((I710-K710)*24*60,0)</f>
        <v>0</v>
      </c>
      <c r="AI710" s="9">
        <f t="shared" si="12"/>
        <v>0</v>
      </c>
      <c r="AJ710" s="9">
        <f>C710</f>
        <v>818</v>
      </c>
      <c r="AK710" s="9">
        <f>IF(P710="completed",((V710-K710)*24*60),0)</f>
        <v>2.9999999993015081</v>
      </c>
      <c r="AL710" s="9">
        <f>IF(P710="completed",((U710-K710)*24*60),0)</f>
        <v>4.0000000025611371</v>
      </c>
      <c r="AM710" s="9" t="str">
        <f t="shared" si="13"/>
        <v>OTP Achieved</v>
      </c>
      <c r="AN710" s="9" t="str">
        <f t="shared" si="14"/>
        <v>OTP Achieved</v>
      </c>
    </row>
    <row r="711" spans="1:40" ht="15.75" customHeight="1">
      <c r="A711" s="9" t="s">
        <v>1310</v>
      </c>
      <c r="B711" s="25">
        <v>46313.45416666667</v>
      </c>
      <c r="C711" s="9">
        <v>338</v>
      </c>
      <c r="D711" s="9" t="s">
        <v>41</v>
      </c>
      <c r="E711" s="9">
        <v>1</v>
      </c>
      <c r="F711" s="9" t="s">
        <v>41</v>
      </c>
      <c r="G711" s="9" t="s">
        <v>41</v>
      </c>
      <c r="H711" s="9" t="s">
        <v>2238</v>
      </c>
      <c r="I711" s="25">
        <v>46313.455555555556</v>
      </c>
      <c r="J711" s="9" t="s">
        <v>41</v>
      </c>
      <c r="K711" s="25">
        <v>46313.455555555556</v>
      </c>
      <c r="L711" s="9">
        <v>20</v>
      </c>
      <c r="O711" s="25">
        <v>46313.45416666667</v>
      </c>
      <c r="P711" s="9" t="s">
        <v>43</v>
      </c>
      <c r="Q711" s="9" t="s">
        <v>1312</v>
      </c>
      <c r="R711" s="9" t="s">
        <v>2239</v>
      </c>
      <c r="S711" s="9">
        <v>4247</v>
      </c>
      <c r="T711" s="9" t="s">
        <v>41</v>
      </c>
      <c r="U711" s="25">
        <v>46313.457638888889</v>
      </c>
      <c r="V711" s="25">
        <v>46313.455555555556</v>
      </c>
      <c r="W711" s="26" t="s">
        <v>2240</v>
      </c>
      <c r="X711" s="9">
        <v>22411</v>
      </c>
      <c r="Z711" s="9">
        <v>0</v>
      </c>
      <c r="AA711" s="27">
        <v>0.45416666666666666</v>
      </c>
      <c r="AB711" s="9">
        <v>0</v>
      </c>
      <c r="AC711" s="9" t="s">
        <v>41</v>
      </c>
      <c r="AD711" s="9" t="str">
        <f t="shared" si="10"/>
        <v>Actual</v>
      </c>
      <c r="AE711" s="9" t="str">
        <f t="shared" si="11"/>
        <v>TMK7</v>
      </c>
      <c r="AF711" s="9">
        <f>HOUR(O711)</f>
        <v>10</v>
      </c>
      <c r="AG711" s="9">
        <f>DAY(O711)</f>
        <v>18</v>
      </c>
      <c r="AH711" s="9">
        <f>IFERROR((I711-K711)*24*60,0)</f>
        <v>0</v>
      </c>
      <c r="AI711" s="9">
        <f t="shared" si="12"/>
        <v>0</v>
      </c>
      <c r="AJ711" s="9">
        <f>C711</f>
        <v>338</v>
      </c>
      <c r="AK711" s="9">
        <f>IF(P711="completed",((V711-K711)*24*60),0)</f>
        <v>0</v>
      </c>
      <c r="AL711" s="9">
        <f>IF(P711="completed",((U711-K711)*24*60),0)</f>
        <v>2.9999999993015081</v>
      </c>
      <c r="AM711" s="9" t="str">
        <f t="shared" si="13"/>
        <v>OTP Achieved</v>
      </c>
      <c r="AN711" s="9" t="str">
        <f t="shared" si="14"/>
        <v>OTP Achieved</v>
      </c>
    </row>
    <row r="712" spans="1:40" ht="15.75" customHeight="1">
      <c r="A712" s="9" t="s">
        <v>711</v>
      </c>
      <c r="B712" s="25">
        <v>46313.45416666667</v>
      </c>
      <c r="C712" s="9">
        <v>1045</v>
      </c>
      <c r="D712" s="9" t="s">
        <v>41</v>
      </c>
      <c r="E712" s="9">
        <v>4</v>
      </c>
      <c r="F712" s="9" t="s">
        <v>41</v>
      </c>
      <c r="G712" s="9" t="s">
        <v>41</v>
      </c>
      <c r="H712" s="9" t="s">
        <v>2241</v>
      </c>
      <c r="I712" s="25">
        <v>46313.454861111109</v>
      </c>
      <c r="J712" s="9" t="s">
        <v>41</v>
      </c>
      <c r="K712" s="25">
        <v>46313.454861111109</v>
      </c>
      <c r="L712" s="9">
        <v>9</v>
      </c>
      <c r="O712" s="25">
        <v>46313.453472222223</v>
      </c>
      <c r="P712" s="9" t="s">
        <v>43</v>
      </c>
      <c r="Q712" s="9" t="s">
        <v>713</v>
      </c>
      <c r="R712" s="9" t="s">
        <v>2242</v>
      </c>
      <c r="S712" s="9">
        <v>4247</v>
      </c>
      <c r="T712" s="9" t="s">
        <v>41</v>
      </c>
      <c r="U712" s="25">
        <v>46313.457638888889</v>
      </c>
      <c r="V712" s="25">
        <v>46313.456944444442</v>
      </c>
      <c r="W712" s="26" t="s">
        <v>2243</v>
      </c>
      <c r="X712" s="9">
        <v>22411</v>
      </c>
      <c r="Z712" s="9">
        <v>0</v>
      </c>
      <c r="AA712" s="27">
        <v>0.45416666666666666</v>
      </c>
      <c r="AB712" s="9">
        <v>4</v>
      </c>
      <c r="AC712" s="9" t="s">
        <v>41</v>
      </c>
      <c r="AD712" s="9" t="str">
        <f t="shared" si="10"/>
        <v>Actual</v>
      </c>
      <c r="AE712" s="9" t="str">
        <f t="shared" si="11"/>
        <v>TMK7</v>
      </c>
      <c r="AF712" s="9">
        <f>HOUR(O712)</f>
        <v>10</v>
      </c>
      <c r="AG712" s="9">
        <f>DAY(O712)</f>
        <v>18</v>
      </c>
      <c r="AH712" s="9">
        <f>IFERROR((I712-K712)*24*60,0)</f>
        <v>0</v>
      </c>
      <c r="AI712" s="9">
        <f t="shared" si="12"/>
        <v>0</v>
      </c>
      <c r="AJ712" s="9">
        <f>C712</f>
        <v>1045</v>
      </c>
      <c r="AK712" s="9">
        <f>IF(P712="completed",((V712-K712)*24*60),0)</f>
        <v>2.9999999993015081</v>
      </c>
      <c r="AL712" s="9">
        <f>IF(P712="completed",((U712-K712)*24*60),0)</f>
        <v>4.0000000025611371</v>
      </c>
      <c r="AM712" s="9" t="str">
        <f t="shared" si="13"/>
        <v>OTP Achieved</v>
      </c>
      <c r="AN712" s="9" t="str">
        <f t="shared" si="14"/>
        <v>OTP Achieved</v>
      </c>
    </row>
    <row r="713" spans="1:40" ht="15.75" customHeight="1">
      <c r="A713" s="9" t="s">
        <v>1391</v>
      </c>
      <c r="B713" s="25">
        <v>46313.452777777777</v>
      </c>
      <c r="C713" s="9">
        <v>2276</v>
      </c>
      <c r="D713" s="9" t="s">
        <v>41</v>
      </c>
      <c r="E713" s="9">
        <v>7</v>
      </c>
      <c r="F713" s="9" t="s">
        <v>41</v>
      </c>
      <c r="G713" s="9" t="s">
        <v>41</v>
      </c>
      <c r="H713" s="9" t="s">
        <v>2244</v>
      </c>
      <c r="I713" s="25">
        <v>46313.454861111109</v>
      </c>
      <c r="J713" s="9" t="s">
        <v>41</v>
      </c>
      <c r="K713" s="25">
        <v>46313.454861111109</v>
      </c>
      <c r="L713" s="9">
        <v>8</v>
      </c>
      <c r="O713" s="25">
        <v>46313.452777777777</v>
      </c>
      <c r="P713" s="9" t="s">
        <v>43</v>
      </c>
      <c r="Q713" s="9" t="s">
        <v>1393</v>
      </c>
      <c r="R713" s="9" t="s">
        <v>2245</v>
      </c>
      <c r="S713" s="9">
        <v>4247</v>
      </c>
      <c r="T713" s="9" t="s">
        <v>41</v>
      </c>
      <c r="U713" s="25">
        <v>46313.460416666669</v>
      </c>
      <c r="V713" s="25">
        <v>46313.459722222222</v>
      </c>
      <c r="W713" s="26" t="s">
        <v>2246</v>
      </c>
      <c r="X713" s="9">
        <v>22411</v>
      </c>
      <c r="Y713" s="25"/>
      <c r="Z713" s="9">
        <v>0</v>
      </c>
      <c r="AA713" s="27">
        <v>0.45277777777777778</v>
      </c>
      <c r="AB713" s="9">
        <v>7</v>
      </c>
      <c r="AC713" s="9" t="s">
        <v>41</v>
      </c>
      <c r="AD713" s="9" t="str">
        <f t="shared" si="10"/>
        <v>Actual</v>
      </c>
      <c r="AE713" s="9" t="str">
        <f t="shared" si="11"/>
        <v>TMK7</v>
      </c>
      <c r="AF713" s="9">
        <f>HOUR(O713)</f>
        <v>10</v>
      </c>
      <c r="AG713" s="9">
        <f>DAY(O713)</f>
        <v>18</v>
      </c>
      <c r="AH713" s="9">
        <f>IFERROR((I713-K713)*24*60,0)</f>
        <v>0</v>
      </c>
      <c r="AI713" s="9">
        <f t="shared" si="12"/>
        <v>0</v>
      </c>
      <c r="AJ713" s="9">
        <f>C713</f>
        <v>2276</v>
      </c>
      <c r="AK713" s="9">
        <f>IF(P713="completed",((V713-K713)*24*60),0)</f>
        <v>7.0000000018626451</v>
      </c>
      <c r="AL713" s="9">
        <f>IF(P713="completed",((U713-K713)*24*60),0)</f>
        <v>8.0000000051222742</v>
      </c>
      <c r="AM713" s="9" t="str">
        <f t="shared" si="13"/>
        <v>OTP Achieved</v>
      </c>
      <c r="AN713" s="9" t="str">
        <f t="shared" si="14"/>
        <v>OTP Achieved</v>
      </c>
    </row>
    <row r="714" spans="1:40" ht="15.75" customHeight="1">
      <c r="A714" s="9" t="s">
        <v>2247</v>
      </c>
      <c r="B714" s="25">
        <v>46313.452777777777</v>
      </c>
      <c r="C714" s="9">
        <v>2190</v>
      </c>
      <c r="D714" s="9" t="s">
        <v>41</v>
      </c>
      <c r="E714" s="9">
        <v>7</v>
      </c>
      <c r="F714" s="9" t="s">
        <v>41</v>
      </c>
      <c r="G714" s="9" t="s">
        <v>41</v>
      </c>
      <c r="H714" s="9" t="s">
        <v>2248</v>
      </c>
      <c r="I714" s="25">
        <v>46313.45416666667</v>
      </c>
      <c r="J714" s="9" t="s">
        <v>41</v>
      </c>
      <c r="K714" s="25">
        <v>46313.453472222223</v>
      </c>
      <c r="L714" s="9">
        <v>31</v>
      </c>
      <c r="O714" s="25">
        <v>46313.452777777777</v>
      </c>
      <c r="P714" s="9" t="s">
        <v>43</v>
      </c>
      <c r="Q714" s="9" t="s">
        <v>2249</v>
      </c>
      <c r="R714" s="9" t="s">
        <v>2250</v>
      </c>
      <c r="S714" s="9">
        <v>4247</v>
      </c>
      <c r="T714" s="9" t="s">
        <v>41</v>
      </c>
      <c r="U714" s="25">
        <v>46313.460416666669</v>
      </c>
      <c r="V714" s="25">
        <v>46313.458333333336</v>
      </c>
      <c r="W714" s="26" t="s">
        <v>2251</v>
      </c>
      <c r="X714" s="9">
        <v>22411</v>
      </c>
      <c r="Z714" s="9">
        <v>0</v>
      </c>
      <c r="AA714" s="27">
        <v>0.45277777777777778</v>
      </c>
      <c r="AB714" s="9">
        <v>7</v>
      </c>
      <c r="AC714" s="9" t="s">
        <v>41</v>
      </c>
      <c r="AD714" s="9" t="str">
        <f t="shared" si="10"/>
        <v>Actual</v>
      </c>
      <c r="AE714" s="9" t="str">
        <f t="shared" si="11"/>
        <v>TMK7</v>
      </c>
      <c r="AF714" s="9">
        <f>HOUR(O714)</f>
        <v>10</v>
      </c>
      <c r="AG714" s="9">
        <f>DAY(O714)</f>
        <v>18</v>
      </c>
      <c r="AH714" s="9">
        <f>IFERROR((I714-K714)*24*60,0)</f>
        <v>1.000000003259629</v>
      </c>
      <c r="AI714" s="9">
        <f t="shared" si="12"/>
        <v>1.000000003259629</v>
      </c>
      <c r="AJ714" s="9">
        <f>C714</f>
        <v>2190</v>
      </c>
      <c r="AK714" s="9">
        <f>IF(P714="completed",((V714-K714)*24*60),0)</f>
        <v>7.0000000018626451</v>
      </c>
      <c r="AL714" s="9">
        <f>IF(P714="completed",((U714-K714)*24*60),0)</f>
        <v>10.000000001164153</v>
      </c>
      <c r="AM714" s="9" t="str">
        <f t="shared" si="13"/>
        <v>OTP Achieved</v>
      </c>
      <c r="AN714" s="9" t="str">
        <f t="shared" si="14"/>
        <v>OTP Achieved</v>
      </c>
    </row>
    <row r="715" spans="1:40" ht="15.75" customHeight="1">
      <c r="A715" s="9" t="s">
        <v>1624</v>
      </c>
      <c r="B715" s="25">
        <v>46313.452777777777</v>
      </c>
      <c r="C715" s="9">
        <v>2148</v>
      </c>
      <c r="D715" s="9" t="s">
        <v>41</v>
      </c>
      <c r="E715" s="9">
        <v>7</v>
      </c>
      <c r="F715" s="9" t="s">
        <v>41</v>
      </c>
      <c r="G715" s="9" t="s">
        <v>41</v>
      </c>
      <c r="H715" s="9" t="s">
        <v>2252</v>
      </c>
      <c r="I715" s="25">
        <v>46313.454861111109</v>
      </c>
      <c r="J715" s="9" t="s">
        <v>41</v>
      </c>
      <c r="K715" s="25">
        <v>46313.45416666667</v>
      </c>
      <c r="L715" s="9">
        <v>36</v>
      </c>
      <c r="O715" s="25">
        <v>46313.452777777777</v>
      </c>
      <c r="P715" s="9" t="s">
        <v>43</v>
      </c>
      <c r="Q715" s="9" t="s">
        <v>1626</v>
      </c>
      <c r="R715" s="9" t="s">
        <v>2253</v>
      </c>
      <c r="S715" s="9">
        <v>4247</v>
      </c>
      <c r="T715" s="9" t="s">
        <v>41</v>
      </c>
      <c r="U715" s="25">
        <v>46313.459722222222</v>
      </c>
      <c r="V715" s="25">
        <v>46313.459027777775</v>
      </c>
      <c r="W715" s="26" t="s">
        <v>2254</v>
      </c>
      <c r="X715" s="9">
        <v>22411</v>
      </c>
      <c r="Y715" s="25"/>
      <c r="Z715" s="9">
        <v>0</v>
      </c>
      <c r="AA715" s="27">
        <v>0.45277777777777778</v>
      </c>
      <c r="AB715" s="9">
        <v>6</v>
      </c>
      <c r="AC715" s="9" t="s">
        <v>41</v>
      </c>
      <c r="AD715" s="9" t="str">
        <f t="shared" si="10"/>
        <v>Actual</v>
      </c>
      <c r="AE715" s="9" t="str">
        <f t="shared" si="11"/>
        <v>TMK7</v>
      </c>
      <c r="AF715" s="9">
        <f>HOUR(O715)</f>
        <v>10</v>
      </c>
      <c r="AG715" s="9">
        <f>DAY(O715)</f>
        <v>18</v>
      </c>
      <c r="AH715" s="9">
        <f>IFERROR((I715-K715)*24*60,0)</f>
        <v>0.99999999278225005</v>
      </c>
      <c r="AI715" s="9">
        <f t="shared" si="12"/>
        <v>0.99999999278225005</v>
      </c>
      <c r="AJ715" s="9">
        <f>C715</f>
        <v>2148</v>
      </c>
      <c r="AK715" s="9">
        <f>IF(P715="completed",((V715-K715)*24*60),0)</f>
        <v>6.9999999913852662</v>
      </c>
      <c r="AL715" s="9">
        <f>IF(P715="completed",((U715-K715)*24*60),0)</f>
        <v>7.9999999946448952</v>
      </c>
      <c r="AM715" s="9" t="str">
        <f t="shared" si="13"/>
        <v>OTP Achieved</v>
      </c>
      <c r="AN715" s="9" t="str">
        <f t="shared" si="14"/>
        <v>OTP Achieved</v>
      </c>
    </row>
    <row r="716" spans="1:40" ht="15.75" customHeight="1">
      <c r="A716" s="9" t="s">
        <v>67</v>
      </c>
      <c r="B716" s="25">
        <v>46313.452777777777</v>
      </c>
      <c r="C716" s="9">
        <v>1537</v>
      </c>
      <c r="D716" s="9" t="s">
        <v>41</v>
      </c>
      <c r="E716" s="9">
        <v>4</v>
      </c>
      <c r="F716" s="9" t="s">
        <v>41</v>
      </c>
      <c r="G716" s="9" t="s">
        <v>41</v>
      </c>
      <c r="H716" s="9" t="s">
        <v>2255</v>
      </c>
      <c r="I716" s="25">
        <v>46313.453472222223</v>
      </c>
      <c r="J716" s="9" t="s">
        <v>41</v>
      </c>
      <c r="K716" s="25">
        <v>46313.453472222223</v>
      </c>
      <c r="L716" s="9">
        <v>12</v>
      </c>
      <c r="O716" s="25">
        <v>46313.452777777777</v>
      </c>
      <c r="P716" s="9" t="s">
        <v>43</v>
      </c>
      <c r="Q716" s="9" t="s">
        <v>69</v>
      </c>
      <c r="R716" s="9" t="s">
        <v>2256</v>
      </c>
      <c r="S716" s="9">
        <v>4247</v>
      </c>
      <c r="T716" s="9" t="s">
        <v>41</v>
      </c>
      <c r="U716" s="25">
        <v>46313.458333333336</v>
      </c>
      <c r="V716" s="25">
        <v>46313.456250000003</v>
      </c>
      <c r="W716" s="26" t="s">
        <v>2257</v>
      </c>
      <c r="X716" s="9">
        <v>22411</v>
      </c>
      <c r="Y716" s="25"/>
      <c r="Z716" s="9">
        <v>0</v>
      </c>
      <c r="AA716" s="27">
        <v>0.45277777777777778</v>
      </c>
      <c r="AB716" s="9">
        <v>4</v>
      </c>
      <c r="AC716" s="9" t="s">
        <v>41</v>
      </c>
      <c r="AD716" s="9" t="str">
        <f t="shared" si="10"/>
        <v>Actual</v>
      </c>
      <c r="AE716" s="9" t="str">
        <f t="shared" si="11"/>
        <v>TMK7</v>
      </c>
      <c r="AF716" s="9">
        <f>HOUR(O716)</f>
        <v>10</v>
      </c>
      <c r="AG716" s="9">
        <f>DAY(O716)</f>
        <v>18</v>
      </c>
      <c r="AH716" s="9">
        <f>IFERROR((I716-K716)*24*60,0)</f>
        <v>0</v>
      </c>
      <c r="AI716" s="9">
        <f t="shared" si="12"/>
        <v>0</v>
      </c>
      <c r="AJ716" s="9">
        <f>C716</f>
        <v>1537</v>
      </c>
      <c r="AK716" s="9">
        <f>IF(P716="completed",((V716-K716)*24*60),0)</f>
        <v>4.0000000025611371</v>
      </c>
      <c r="AL716" s="9">
        <f>IF(P716="completed",((U716-K716)*24*60),0)</f>
        <v>7.0000000018626451</v>
      </c>
      <c r="AM716" s="9" t="str">
        <f t="shared" si="13"/>
        <v>OTP Achieved</v>
      </c>
      <c r="AN716" s="9" t="str">
        <f t="shared" si="14"/>
        <v>OTP Achieved</v>
      </c>
    </row>
    <row r="717" spans="1:40" ht="15.75" customHeight="1">
      <c r="A717" s="9" t="s">
        <v>2258</v>
      </c>
      <c r="B717" s="25">
        <v>46313.452777777777</v>
      </c>
      <c r="C717" s="9">
        <v>2040</v>
      </c>
      <c r="D717" s="9" t="s">
        <v>41</v>
      </c>
      <c r="E717" s="9">
        <v>8</v>
      </c>
      <c r="F717" s="9" t="s">
        <v>41</v>
      </c>
      <c r="G717" s="9" t="s">
        <v>41</v>
      </c>
      <c r="H717" s="9" t="s">
        <v>2259</v>
      </c>
      <c r="I717" s="25">
        <v>46313.453472222223</v>
      </c>
      <c r="J717" s="9" t="s">
        <v>41</v>
      </c>
      <c r="K717" s="25">
        <v>46313.453472222223</v>
      </c>
      <c r="L717" s="9">
        <v>17</v>
      </c>
      <c r="O717" s="25">
        <v>46313.451388888891</v>
      </c>
      <c r="P717" s="9" t="s">
        <v>43</v>
      </c>
      <c r="Q717" s="9" t="s">
        <v>2260</v>
      </c>
      <c r="R717" s="9" t="s">
        <v>2261</v>
      </c>
      <c r="S717" s="9">
        <v>4247</v>
      </c>
      <c r="T717" s="9" t="s">
        <v>41</v>
      </c>
      <c r="U717" s="25">
        <v>46313.459722222222</v>
      </c>
      <c r="V717" s="25">
        <v>46313.459027777775</v>
      </c>
      <c r="W717" s="26" t="s">
        <v>2262</v>
      </c>
      <c r="X717" s="9">
        <v>22411</v>
      </c>
      <c r="Z717" s="9">
        <v>0</v>
      </c>
      <c r="AA717" s="27">
        <v>0.45277777777777778</v>
      </c>
      <c r="AB717" s="9">
        <v>8</v>
      </c>
      <c r="AC717" s="9" t="s">
        <v>41</v>
      </c>
      <c r="AD717" s="9" t="str">
        <f t="shared" si="10"/>
        <v>Actual</v>
      </c>
      <c r="AE717" s="9" t="str">
        <f t="shared" si="11"/>
        <v>TMK7</v>
      </c>
      <c r="AF717" s="9">
        <f>HOUR(O717)</f>
        <v>10</v>
      </c>
      <c r="AG717" s="9">
        <f>DAY(O717)</f>
        <v>18</v>
      </c>
      <c r="AH717" s="9">
        <f>IFERROR((I717-K717)*24*60,0)</f>
        <v>0</v>
      </c>
      <c r="AI717" s="9">
        <f t="shared" si="12"/>
        <v>0</v>
      </c>
      <c r="AJ717" s="9">
        <f>C717</f>
        <v>2040</v>
      </c>
      <c r="AK717" s="9">
        <f>IF(P717="completed",((V717-K717)*24*60),0)</f>
        <v>7.9999999946448952</v>
      </c>
      <c r="AL717" s="9">
        <f>IF(P717="completed",((U717-K717)*24*60),0)</f>
        <v>8.9999999979045242</v>
      </c>
      <c r="AM717" s="9" t="str">
        <f t="shared" si="13"/>
        <v>OTP Achieved</v>
      </c>
      <c r="AN717" s="9" t="str">
        <f t="shared" si="14"/>
        <v>OTP Achieved</v>
      </c>
    </row>
    <row r="718" spans="1:40" ht="15.75" customHeight="1">
      <c r="A718" s="9" t="s">
        <v>40</v>
      </c>
      <c r="B718" s="25">
        <v>46313.45208333333</v>
      </c>
      <c r="C718" s="9">
        <v>2026</v>
      </c>
      <c r="D718" s="9" t="s">
        <v>41</v>
      </c>
      <c r="E718" s="9">
        <v>7</v>
      </c>
      <c r="F718" s="9" t="s">
        <v>41</v>
      </c>
      <c r="G718" s="9" t="s">
        <v>41</v>
      </c>
      <c r="H718" s="9" t="s">
        <v>2259</v>
      </c>
      <c r="I718" s="25">
        <v>46313.453472222223</v>
      </c>
      <c r="J718" s="9" t="s">
        <v>41</v>
      </c>
      <c r="K718" s="25">
        <v>46313.453472222223</v>
      </c>
      <c r="L718" s="9">
        <v>17</v>
      </c>
      <c r="O718" s="25">
        <v>46313.451388888891</v>
      </c>
      <c r="P718" s="9" t="s">
        <v>43</v>
      </c>
      <c r="Q718" s="9" t="s">
        <v>44</v>
      </c>
      <c r="R718" s="9" t="s">
        <v>2263</v>
      </c>
      <c r="S718" s="9">
        <v>4247</v>
      </c>
      <c r="T718" s="9" t="s">
        <v>41</v>
      </c>
      <c r="U718" s="25">
        <v>46313.457638888889</v>
      </c>
      <c r="V718" s="25">
        <v>46313.457638888889</v>
      </c>
      <c r="W718" s="26" t="s">
        <v>2264</v>
      </c>
      <c r="X718" s="9">
        <v>22411</v>
      </c>
      <c r="Y718" s="25"/>
      <c r="Z718" s="9">
        <v>0</v>
      </c>
      <c r="AA718" s="27">
        <v>0.45208333333333334</v>
      </c>
      <c r="AB718" s="9">
        <v>6</v>
      </c>
      <c r="AC718" s="9" t="s">
        <v>41</v>
      </c>
      <c r="AD718" s="9" t="str">
        <f t="shared" si="10"/>
        <v>Actual</v>
      </c>
      <c r="AE718" s="9" t="str">
        <f t="shared" si="11"/>
        <v>TMK7</v>
      </c>
      <c r="AF718" s="9">
        <f>HOUR(O718)</f>
        <v>10</v>
      </c>
      <c r="AG718" s="9">
        <f>DAY(O718)</f>
        <v>18</v>
      </c>
      <c r="AH718" s="9">
        <f>IFERROR((I718-K718)*24*60,0)</f>
        <v>0</v>
      </c>
      <c r="AI718" s="9">
        <f t="shared" si="12"/>
        <v>0</v>
      </c>
      <c r="AJ718" s="9">
        <f>C718</f>
        <v>2026</v>
      </c>
      <c r="AK718" s="9">
        <f>IF(P718="completed",((V718-K718)*24*60),0)</f>
        <v>5.9999999986030161</v>
      </c>
      <c r="AL718" s="9">
        <f>IF(P718="completed",((U718-K718)*24*60),0)</f>
        <v>5.9999999986030161</v>
      </c>
      <c r="AM718" s="9" t="str">
        <f t="shared" si="13"/>
        <v>OTP Breached</v>
      </c>
      <c r="AN718" s="9" t="str">
        <f t="shared" si="14"/>
        <v>OTP Achieved</v>
      </c>
    </row>
    <row r="719" spans="1:40" ht="15.75" customHeight="1">
      <c r="A719" s="9" t="s">
        <v>190</v>
      </c>
      <c r="B719" s="25">
        <v>46313.451388888891</v>
      </c>
      <c r="C719" s="9">
        <v>2460</v>
      </c>
      <c r="D719" s="9" t="s">
        <v>41</v>
      </c>
      <c r="E719" s="9">
        <v>7</v>
      </c>
      <c r="F719" s="9" t="s">
        <v>41</v>
      </c>
      <c r="G719" s="9" t="s">
        <v>41</v>
      </c>
      <c r="H719" s="9" t="s">
        <v>2265</v>
      </c>
      <c r="I719" s="25">
        <v>46313.452777777777</v>
      </c>
      <c r="J719" s="9" t="s">
        <v>41</v>
      </c>
      <c r="K719" s="25">
        <v>46313.45208333333</v>
      </c>
      <c r="L719" s="9">
        <v>27</v>
      </c>
      <c r="O719" s="25">
        <v>46313.451388888891</v>
      </c>
      <c r="P719" s="9" t="s">
        <v>43</v>
      </c>
      <c r="Q719" s="9" t="s">
        <v>192</v>
      </c>
      <c r="R719" s="9" t="s">
        <v>2266</v>
      </c>
      <c r="S719" s="9">
        <v>4247</v>
      </c>
      <c r="T719" s="9" t="s">
        <v>41</v>
      </c>
      <c r="U719" s="25">
        <v>46313.458333333336</v>
      </c>
      <c r="V719" s="25">
        <v>46313.456944444442</v>
      </c>
      <c r="W719" s="26" t="s">
        <v>2267</v>
      </c>
      <c r="X719" s="9">
        <v>22411</v>
      </c>
      <c r="Y719" s="25"/>
      <c r="Z719" s="9">
        <v>0</v>
      </c>
      <c r="AA719" s="27">
        <v>0.4513888888888889</v>
      </c>
      <c r="AB719" s="9">
        <v>7</v>
      </c>
      <c r="AC719" s="9" t="s">
        <v>41</v>
      </c>
      <c r="AD719" s="9" t="str">
        <f t="shared" si="10"/>
        <v>Actual</v>
      </c>
      <c r="AE719" s="9" t="str">
        <f t="shared" si="11"/>
        <v>TMK7</v>
      </c>
      <c r="AF719" s="9">
        <f>HOUR(O719)</f>
        <v>10</v>
      </c>
      <c r="AG719" s="9">
        <f>DAY(O719)</f>
        <v>18</v>
      </c>
      <c r="AH719" s="9">
        <f>IFERROR((I719-K719)*24*60,0)</f>
        <v>1.000000003259629</v>
      </c>
      <c r="AI719" s="9">
        <f t="shared" si="12"/>
        <v>1.000000003259629</v>
      </c>
      <c r="AJ719" s="9">
        <f>C719</f>
        <v>2460</v>
      </c>
      <c r="AK719" s="9">
        <f>IF(P719="completed",((V719-K719)*24*60),0)</f>
        <v>7.0000000018626451</v>
      </c>
      <c r="AL719" s="9">
        <f>IF(P719="completed",((U719-K719)*24*60),0)</f>
        <v>9.0000000083819032</v>
      </c>
      <c r="AM719" s="9" t="str">
        <f t="shared" si="13"/>
        <v>OTP Achieved</v>
      </c>
      <c r="AN719" s="9" t="str">
        <f t="shared" si="14"/>
        <v>OTP Achieved</v>
      </c>
    </row>
    <row r="720" spans="1:40" ht="15.75" customHeight="1">
      <c r="A720" s="9" t="s">
        <v>347</v>
      </c>
      <c r="B720" s="25">
        <v>46313.451388888891</v>
      </c>
      <c r="C720" s="9">
        <v>1605</v>
      </c>
      <c r="D720" s="9" t="s">
        <v>41</v>
      </c>
      <c r="E720" s="9">
        <v>5</v>
      </c>
      <c r="F720" s="9" t="s">
        <v>41</v>
      </c>
      <c r="G720" s="9" t="s">
        <v>41</v>
      </c>
      <c r="H720" s="9" t="s">
        <v>2268</v>
      </c>
      <c r="I720" s="25">
        <v>46313.45208333333</v>
      </c>
      <c r="J720" s="9" t="s">
        <v>41</v>
      </c>
      <c r="K720" s="25">
        <v>46313.45208333333</v>
      </c>
      <c r="L720" s="9">
        <v>19</v>
      </c>
      <c r="O720" s="25">
        <v>46313.451388888891</v>
      </c>
      <c r="P720" s="9" t="s">
        <v>43</v>
      </c>
      <c r="Q720" s="9" t="s">
        <v>349</v>
      </c>
      <c r="R720" s="9" t="s">
        <v>2269</v>
      </c>
      <c r="S720" s="9">
        <v>4247</v>
      </c>
      <c r="T720" s="9" t="s">
        <v>41</v>
      </c>
      <c r="U720" s="25">
        <v>46313.456944444442</v>
      </c>
      <c r="V720" s="25">
        <v>46313.454861111109</v>
      </c>
      <c r="W720" s="26" t="s">
        <v>2270</v>
      </c>
      <c r="X720" s="9">
        <v>22411</v>
      </c>
      <c r="Y720" s="25"/>
      <c r="Z720" s="9">
        <v>0</v>
      </c>
      <c r="AA720" s="27">
        <v>0.4513888888888889</v>
      </c>
      <c r="AB720" s="9">
        <v>4</v>
      </c>
      <c r="AC720" s="9" t="s">
        <v>41</v>
      </c>
      <c r="AD720" s="9" t="str">
        <f t="shared" si="10"/>
        <v>Actual</v>
      </c>
      <c r="AE720" s="9" t="str">
        <f t="shared" si="11"/>
        <v>TMK7</v>
      </c>
      <c r="AF720" s="9">
        <f>HOUR(O720)</f>
        <v>10</v>
      </c>
      <c r="AG720" s="9">
        <f>DAY(O720)</f>
        <v>18</v>
      </c>
      <c r="AH720" s="9">
        <f>IFERROR((I720-K720)*24*60,0)</f>
        <v>0</v>
      </c>
      <c r="AI720" s="9">
        <f t="shared" si="12"/>
        <v>0</v>
      </c>
      <c r="AJ720" s="9">
        <f>C720</f>
        <v>1605</v>
      </c>
      <c r="AK720" s="9">
        <f>IF(P720="completed",((V720-K720)*24*60),0)</f>
        <v>4.0000000025611371</v>
      </c>
      <c r="AL720" s="9">
        <f>IF(P720="completed",((U720-K720)*24*60),0)</f>
        <v>7.0000000018626451</v>
      </c>
      <c r="AM720" s="9" t="str">
        <f t="shared" si="13"/>
        <v>OTP Achieved</v>
      </c>
      <c r="AN720" s="9" t="str">
        <f t="shared" si="14"/>
        <v>OTP Achieved</v>
      </c>
    </row>
    <row r="721" spans="1:40" ht="15.75" customHeight="1">
      <c r="A721" s="9" t="s">
        <v>62</v>
      </c>
      <c r="B721" s="25">
        <v>46313.451388888891</v>
      </c>
      <c r="C721" s="9">
        <v>245</v>
      </c>
      <c r="D721" s="9" t="s">
        <v>41</v>
      </c>
      <c r="E721" s="9">
        <v>2</v>
      </c>
      <c r="F721" s="9" t="s">
        <v>41</v>
      </c>
      <c r="G721" s="9" t="s">
        <v>41</v>
      </c>
      <c r="H721" s="9" t="s">
        <v>2271</v>
      </c>
      <c r="I721" s="25">
        <v>46313.45208333333</v>
      </c>
      <c r="J721" s="9" t="s">
        <v>41</v>
      </c>
      <c r="K721" s="25">
        <v>46313.45208333333</v>
      </c>
      <c r="L721" s="9">
        <v>6</v>
      </c>
      <c r="O721" s="25">
        <v>46313.451388888891</v>
      </c>
      <c r="P721" s="9" t="s">
        <v>43</v>
      </c>
      <c r="Q721" s="9" t="s">
        <v>64</v>
      </c>
      <c r="R721" s="9" t="s">
        <v>2272</v>
      </c>
      <c r="S721" s="9">
        <v>4247</v>
      </c>
      <c r="T721" s="9" t="s">
        <v>41</v>
      </c>
      <c r="U721" s="25">
        <v>46313.453472222223</v>
      </c>
      <c r="V721" s="25">
        <v>46313.45416666667</v>
      </c>
      <c r="W721" s="26" t="s">
        <v>2273</v>
      </c>
      <c r="X721" s="9">
        <v>22411</v>
      </c>
      <c r="Y721" s="25"/>
      <c r="Z721" s="9">
        <v>0</v>
      </c>
      <c r="AA721" s="27">
        <v>0.4513888888888889</v>
      </c>
      <c r="AB721" s="9">
        <v>2</v>
      </c>
      <c r="AC721" s="9" t="s">
        <v>41</v>
      </c>
      <c r="AD721" s="9" t="str">
        <f t="shared" si="10"/>
        <v>Actual</v>
      </c>
      <c r="AE721" s="9" t="str">
        <f t="shared" si="11"/>
        <v>TMK7</v>
      </c>
      <c r="AF721" s="9">
        <f>HOUR(O721)</f>
        <v>10</v>
      </c>
      <c r="AG721" s="9">
        <f>DAY(O721)</f>
        <v>18</v>
      </c>
      <c r="AH721" s="9">
        <f>IFERROR((I721-K721)*24*60,0)</f>
        <v>0</v>
      </c>
      <c r="AI721" s="9">
        <f t="shared" si="12"/>
        <v>0</v>
      </c>
      <c r="AJ721" s="9">
        <f>C721</f>
        <v>245</v>
      </c>
      <c r="AK721" s="9">
        <f>IF(P721="completed",((V721-K721)*24*60),0)</f>
        <v>3.000000009778887</v>
      </c>
      <c r="AL721" s="9">
        <f>IF(P721="completed",((U721-K721)*24*60),0)</f>
        <v>2.000000006519258</v>
      </c>
      <c r="AM721" s="9" t="str">
        <f t="shared" si="13"/>
        <v>OTP Breached</v>
      </c>
      <c r="AN721" s="9" t="str">
        <f t="shared" si="14"/>
        <v>OTP Achieved</v>
      </c>
    </row>
    <row r="722" spans="1:40" ht="15.75" customHeight="1">
      <c r="A722" s="9" t="s">
        <v>655</v>
      </c>
      <c r="B722" s="25">
        <v>46313.451388888891</v>
      </c>
      <c r="C722" s="9">
        <v>1005</v>
      </c>
      <c r="D722" s="9" t="s">
        <v>41</v>
      </c>
      <c r="E722" s="9">
        <v>3</v>
      </c>
      <c r="F722" s="9" t="s">
        <v>41</v>
      </c>
      <c r="G722" s="9" t="s">
        <v>41</v>
      </c>
      <c r="H722" s="9" t="s">
        <v>2274</v>
      </c>
      <c r="I722" s="25">
        <v>46313.452777777777</v>
      </c>
      <c r="J722" s="9" t="s">
        <v>41</v>
      </c>
      <c r="K722" s="25">
        <v>46313.452777777777</v>
      </c>
      <c r="L722" s="9">
        <v>23</v>
      </c>
      <c r="O722" s="25">
        <v>46313.451388888891</v>
      </c>
      <c r="P722" s="9" t="s">
        <v>43</v>
      </c>
      <c r="Q722" s="9" t="s">
        <v>657</v>
      </c>
      <c r="R722" s="9" t="s">
        <v>2275</v>
      </c>
      <c r="S722" s="9">
        <v>4247</v>
      </c>
      <c r="T722" s="9" t="s">
        <v>41</v>
      </c>
      <c r="U722" s="25">
        <v>46313.456250000003</v>
      </c>
      <c r="V722" s="25">
        <v>46313.454861111109</v>
      </c>
      <c r="W722" s="26" t="s">
        <v>2276</v>
      </c>
      <c r="X722" s="9">
        <v>22411</v>
      </c>
      <c r="Z722" s="9">
        <v>0</v>
      </c>
      <c r="AA722" s="27">
        <v>0.4513888888888889</v>
      </c>
      <c r="AB722" s="9">
        <v>2</v>
      </c>
      <c r="AC722" s="9" t="s">
        <v>41</v>
      </c>
      <c r="AD722" s="9" t="str">
        <f t="shared" si="10"/>
        <v>Actual</v>
      </c>
      <c r="AE722" s="9" t="str">
        <f t="shared" si="11"/>
        <v>TMK7</v>
      </c>
      <c r="AF722" s="9">
        <f>HOUR(O722)</f>
        <v>10</v>
      </c>
      <c r="AG722" s="9">
        <f>DAY(O722)</f>
        <v>18</v>
      </c>
      <c r="AH722" s="9">
        <f>IFERROR((I722-K722)*24*60,0)</f>
        <v>0</v>
      </c>
      <c r="AI722" s="9">
        <f t="shared" si="12"/>
        <v>0</v>
      </c>
      <c r="AJ722" s="9">
        <f>C722</f>
        <v>1005</v>
      </c>
      <c r="AK722" s="9">
        <f>IF(P722="completed",((V722-K722)*24*60),0)</f>
        <v>2.9999999993015081</v>
      </c>
      <c r="AL722" s="9">
        <f>IF(P722="completed",((U722-K722)*24*60),0)</f>
        <v>5.0000000058207661</v>
      </c>
      <c r="AM722" s="9" t="str">
        <f t="shared" si="13"/>
        <v>OTP Achieved</v>
      </c>
      <c r="AN722" s="9" t="str">
        <f t="shared" si="14"/>
        <v>OTP Achieved</v>
      </c>
    </row>
    <row r="723" spans="1:40" ht="15.75" customHeight="1">
      <c r="A723" s="9" t="s">
        <v>177</v>
      </c>
      <c r="B723" s="25">
        <v>46313.451388888891</v>
      </c>
      <c r="C723" s="9">
        <v>955</v>
      </c>
      <c r="D723" s="9" t="s">
        <v>41</v>
      </c>
      <c r="E723" s="9">
        <v>4</v>
      </c>
      <c r="F723" s="9" t="s">
        <v>41</v>
      </c>
      <c r="G723" s="9" t="s">
        <v>41</v>
      </c>
      <c r="H723" s="9" t="s">
        <v>2274</v>
      </c>
      <c r="I723" s="25">
        <v>46313.451388888891</v>
      </c>
      <c r="J723" s="9" t="s">
        <v>41</v>
      </c>
      <c r="K723" s="25">
        <v>46313.451388888891</v>
      </c>
      <c r="L723" s="9">
        <v>20</v>
      </c>
      <c r="O723" s="25">
        <v>46313.451388888891</v>
      </c>
      <c r="P723" s="9" t="s">
        <v>43</v>
      </c>
      <c r="Q723" s="9" t="s">
        <v>179</v>
      </c>
      <c r="R723" s="9" t="s">
        <v>2277</v>
      </c>
      <c r="S723" s="9">
        <v>4247</v>
      </c>
      <c r="T723" s="9" t="s">
        <v>41</v>
      </c>
      <c r="U723" s="25">
        <v>46313.454861111109</v>
      </c>
      <c r="V723" s="25">
        <v>46313.45416666667</v>
      </c>
      <c r="W723" s="26" t="s">
        <v>2278</v>
      </c>
      <c r="X723" s="9">
        <v>22411</v>
      </c>
      <c r="Z723" s="9">
        <v>0</v>
      </c>
      <c r="AA723" s="27">
        <v>0.4513888888888889</v>
      </c>
      <c r="AB723" s="9">
        <v>4</v>
      </c>
      <c r="AC723" s="9" t="s">
        <v>41</v>
      </c>
      <c r="AD723" s="9" t="str">
        <f t="shared" si="10"/>
        <v>Actual</v>
      </c>
      <c r="AE723" s="9" t="str">
        <f t="shared" si="11"/>
        <v>TMK7</v>
      </c>
      <c r="AF723" s="9">
        <f>HOUR(O723)</f>
        <v>10</v>
      </c>
      <c r="AG723" s="9">
        <f>DAY(O723)</f>
        <v>18</v>
      </c>
      <c r="AH723" s="9">
        <f>IFERROR((I723-K723)*24*60,0)</f>
        <v>0</v>
      </c>
      <c r="AI723" s="9">
        <f t="shared" si="12"/>
        <v>0</v>
      </c>
      <c r="AJ723" s="9">
        <f>C723</f>
        <v>955</v>
      </c>
      <c r="AK723" s="9">
        <f>IF(P723="completed",((V723-K723)*24*60),0)</f>
        <v>4.0000000025611371</v>
      </c>
      <c r="AL723" s="9">
        <f>IF(P723="completed",((U723-K723)*24*60),0)</f>
        <v>4.9999999953433871</v>
      </c>
      <c r="AM723" s="9" t="str">
        <f t="shared" si="13"/>
        <v>OTP Achieved</v>
      </c>
      <c r="AN723" s="9" t="str">
        <f t="shared" si="14"/>
        <v>OTP Achieved</v>
      </c>
    </row>
    <row r="724" spans="1:40" ht="15.75" customHeight="1">
      <c r="A724" s="9" t="s">
        <v>93</v>
      </c>
      <c r="B724" s="25">
        <v>46313.450694444444</v>
      </c>
      <c r="C724" s="9">
        <v>2240</v>
      </c>
      <c r="D724" s="9" t="s">
        <v>41</v>
      </c>
      <c r="E724" s="9">
        <v>6</v>
      </c>
      <c r="F724" s="9" t="s">
        <v>41</v>
      </c>
      <c r="G724" s="9" t="s">
        <v>41</v>
      </c>
      <c r="H724" s="9" t="s">
        <v>2279</v>
      </c>
      <c r="I724" s="25">
        <v>46313.45208333333</v>
      </c>
      <c r="J724" s="9" t="s">
        <v>41</v>
      </c>
      <c r="K724" s="25">
        <v>46313.45208333333</v>
      </c>
      <c r="L724" s="9">
        <v>11</v>
      </c>
      <c r="O724" s="25">
        <v>46313.450694444444</v>
      </c>
      <c r="P724" s="9" t="s">
        <v>43</v>
      </c>
      <c r="Q724" s="9" t="s">
        <v>95</v>
      </c>
      <c r="R724" s="9" t="s">
        <v>2280</v>
      </c>
      <c r="S724" s="9">
        <v>4247</v>
      </c>
      <c r="T724" s="9" t="s">
        <v>41</v>
      </c>
      <c r="U724" s="25">
        <v>46313.456944444442</v>
      </c>
      <c r="V724" s="25">
        <v>46313.456250000003</v>
      </c>
      <c r="W724" s="26" t="s">
        <v>2281</v>
      </c>
      <c r="X724" s="9">
        <v>22411</v>
      </c>
      <c r="Y724" s="25"/>
      <c r="Z724" s="9">
        <v>0</v>
      </c>
      <c r="AA724" s="27">
        <v>0.45069444444444445</v>
      </c>
      <c r="AB724" s="9">
        <v>6</v>
      </c>
      <c r="AC724" s="9" t="s">
        <v>41</v>
      </c>
      <c r="AD724" s="9" t="str">
        <f t="shared" si="10"/>
        <v>Actual</v>
      </c>
      <c r="AE724" s="9" t="str">
        <f t="shared" si="11"/>
        <v>TMK7</v>
      </c>
      <c r="AF724" s="9">
        <f>HOUR(O724)</f>
        <v>10</v>
      </c>
      <c r="AG724" s="9">
        <f>DAY(O724)</f>
        <v>18</v>
      </c>
      <c r="AH724" s="9">
        <f>IFERROR((I724-K724)*24*60,0)</f>
        <v>0</v>
      </c>
      <c r="AI724" s="9">
        <f t="shared" si="12"/>
        <v>0</v>
      </c>
      <c r="AJ724" s="9">
        <f>C724</f>
        <v>2240</v>
      </c>
      <c r="AK724" s="9">
        <f>IF(P724="completed",((V724-K724)*24*60),0)</f>
        <v>6.0000000090803951</v>
      </c>
      <c r="AL724" s="9">
        <f>IF(P724="completed",((U724-K724)*24*60),0)</f>
        <v>7.0000000018626451</v>
      </c>
      <c r="AM724" s="9" t="str">
        <f t="shared" si="13"/>
        <v>OTP Achieved</v>
      </c>
      <c r="AN724" s="9" t="str">
        <f t="shared" si="14"/>
        <v>OTP Achieved</v>
      </c>
    </row>
    <row r="725" spans="1:40" ht="15.75" customHeight="1">
      <c r="A725" s="9" t="s">
        <v>1336</v>
      </c>
      <c r="B725" s="25">
        <v>46313.45</v>
      </c>
      <c r="C725" s="9">
        <v>2172</v>
      </c>
      <c r="D725" s="9" t="s">
        <v>41</v>
      </c>
      <c r="E725" s="9">
        <v>8</v>
      </c>
      <c r="F725" s="9" t="s">
        <v>41</v>
      </c>
      <c r="G725" s="9" t="s">
        <v>41</v>
      </c>
      <c r="H725" s="9" t="s">
        <v>2282</v>
      </c>
      <c r="I725" s="25">
        <v>46313.450694444444</v>
      </c>
      <c r="J725" s="9" t="s">
        <v>41</v>
      </c>
      <c r="K725" s="25">
        <v>46313.450694444444</v>
      </c>
      <c r="L725" s="9">
        <v>6</v>
      </c>
      <c r="O725" s="25">
        <v>46313.45</v>
      </c>
      <c r="P725" s="9" t="s">
        <v>43</v>
      </c>
      <c r="Q725" s="9" t="s">
        <v>1338</v>
      </c>
      <c r="R725" s="9" t="s">
        <v>2283</v>
      </c>
      <c r="S725" s="9">
        <v>4247</v>
      </c>
      <c r="T725" s="9" t="s">
        <v>41</v>
      </c>
      <c r="U725" s="25">
        <v>46313.456944444442</v>
      </c>
      <c r="V725" s="25">
        <v>46313.455555555556</v>
      </c>
      <c r="W725" s="26" t="s">
        <v>2284</v>
      </c>
      <c r="X725" s="9">
        <v>22411</v>
      </c>
      <c r="Z725" s="9">
        <v>0</v>
      </c>
      <c r="AA725" s="27">
        <v>0.45</v>
      </c>
      <c r="AB725" s="9">
        <v>8</v>
      </c>
      <c r="AC725" s="9" t="s">
        <v>41</v>
      </c>
      <c r="AD725" s="9" t="str">
        <f t="shared" si="10"/>
        <v>Actual</v>
      </c>
      <c r="AE725" s="9" t="str">
        <f t="shared" si="11"/>
        <v>TMK7</v>
      </c>
      <c r="AF725" s="9">
        <f>HOUR(O725)</f>
        <v>10</v>
      </c>
      <c r="AG725" s="9">
        <f>DAY(O725)</f>
        <v>18</v>
      </c>
      <c r="AH725" s="9">
        <f>IFERROR((I725-K725)*24*60,0)</f>
        <v>0</v>
      </c>
      <c r="AI725" s="9">
        <f t="shared" si="12"/>
        <v>0</v>
      </c>
      <c r="AJ725" s="9">
        <f>C725</f>
        <v>2172</v>
      </c>
      <c r="AK725" s="9">
        <f>IF(P725="completed",((V725-K725)*24*60),0)</f>
        <v>7.0000000018626451</v>
      </c>
      <c r="AL725" s="9">
        <f>IF(P725="completed",((U725-K725)*24*60),0)</f>
        <v>8.9999999979045242</v>
      </c>
      <c r="AM725" s="9" t="str">
        <f t="shared" si="13"/>
        <v>OTP Achieved</v>
      </c>
      <c r="AN725" s="9" t="str">
        <f t="shared" si="14"/>
        <v>OTP Achieved</v>
      </c>
    </row>
    <row r="726" spans="1:40" ht="15.75" customHeight="1">
      <c r="A726" s="9" t="s">
        <v>1365</v>
      </c>
      <c r="B726" s="25">
        <v>46313.449305555558</v>
      </c>
      <c r="C726" s="9">
        <v>1179</v>
      </c>
      <c r="D726" s="9" t="s">
        <v>41</v>
      </c>
      <c r="E726" s="9">
        <v>5</v>
      </c>
      <c r="F726" s="9" t="s">
        <v>41</v>
      </c>
      <c r="G726" s="9" t="s">
        <v>41</v>
      </c>
      <c r="H726" s="9" t="s">
        <v>2285</v>
      </c>
      <c r="I726" s="25">
        <v>46313.451388888891</v>
      </c>
      <c r="J726" s="9" t="s">
        <v>41</v>
      </c>
      <c r="K726" s="25">
        <v>46313.450694444444</v>
      </c>
      <c r="L726" s="9">
        <v>31</v>
      </c>
      <c r="O726" s="25">
        <v>46313.449305555558</v>
      </c>
      <c r="P726" s="9" t="s">
        <v>43</v>
      </c>
      <c r="Q726" s="9" t="s">
        <v>1367</v>
      </c>
      <c r="R726" s="9" t="s">
        <v>2286</v>
      </c>
      <c r="S726" s="9">
        <v>4247</v>
      </c>
      <c r="T726" s="9" t="s">
        <v>41</v>
      </c>
      <c r="U726" s="25">
        <v>46313.455555555556</v>
      </c>
      <c r="V726" s="25">
        <v>46313.45416666667</v>
      </c>
      <c r="W726" s="26" t="s">
        <v>2287</v>
      </c>
      <c r="X726" s="9">
        <v>22411</v>
      </c>
      <c r="Y726" s="25"/>
      <c r="Z726" s="9">
        <v>0</v>
      </c>
      <c r="AA726" s="27">
        <v>0.44930555555555557</v>
      </c>
      <c r="AB726" s="9">
        <v>5</v>
      </c>
      <c r="AC726" s="9" t="s">
        <v>41</v>
      </c>
      <c r="AD726" s="9" t="str">
        <f t="shared" si="10"/>
        <v>Actual</v>
      </c>
      <c r="AE726" s="9" t="str">
        <f t="shared" si="11"/>
        <v>TMK7</v>
      </c>
      <c r="AF726" s="9">
        <f>HOUR(O726)</f>
        <v>10</v>
      </c>
      <c r="AG726" s="9">
        <f>DAY(O726)</f>
        <v>18</v>
      </c>
      <c r="AH726" s="9">
        <f>IFERROR((I726-K726)*24*60,0)</f>
        <v>1.000000003259629</v>
      </c>
      <c r="AI726" s="9">
        <f t="shared" si="12"/>
        <v>1.000000003259629</v>
      </c>
      <c r="AJ726" s="9">
        <f>C726</f>
        <v>1179</v>
      </c>
      <c r="AK726" s="9">
        <f>IF(P726="completed",((V726-K726)*24*60),0)</f>
        <v>5.0000000058207661</v>
      </c>
      <c r="AL726" s="9">
        <f>IF(P726="completed",((U726-K726)*24*60),0)</f>
        <v>7.0000000018626451</v>
      </c>
      <c r="AM726" s="9" t="str">
        <f t="shared" si="13"/>
        <v>OTP Achieved</v>
      </c>
      <c r="AN726" s="9" t="str">
        <f t="shared" si="14"/>
        <v>OTP Achieved</v>
      </c>
    </row>
    <row r="727" spans="1:40" ht="15.75" customHeight="1">
      <c r="A727" s="9" t="s">
        <v>1136</v>
      </c>
      <c r="B727" s="25">
        <v>46313.449305555558</v>
      </c>
      <c r="C727" s="9">
        <v>1845</v>
      </c>
      <c r="D727" s="9" t="s">
        <v>41</v>
      </c>
      <c r="E727" s="9">
        <v>7</v>
      </c>
      <c r="F727" s="9" t="s">
        <v>41</v>
      </c>
      <c r="G727" s="9" t="s">
        <v>41</v>
      </c>
      <c r="H727" s="9" t="s">
        <v>2288</v>
      </c>
      <c r="I727" s="25">
        <v>46313.451388888891</v>
      </c>
      <c r="J727" s="9" t="s">
        <v>41</v>
      </c>
      <c r="K727" s="25">
        <v>46313.451388888891</v>
      </c>
      <c r="L727" s="9">
        <v>10</v>
      </c>
      <c r="O727" s="25">
        <v>46313.449305555558</v>
      </c>
      <c r="P727" s="9" t="s">
        <v>43</v>
      </c>
      <c r="Q727" s="9" t="s">
        <v>1138</v>
      </c>
      <c r="R727" s="9" t="s">
        <v>2289</v>
      </c>
      <c r="S727" s="9">
        <v>4247</v>
      </c>
      <c r="T727" s="9" t="s">
        <v>41</v>
      </c>
      <c r="U727" s="25">
        <v>46313.456250000003</v>
      </c>
      <c r="V727" s="25">
        <v>46313.456250000003</v>
      </c>
      <c r="W727" s="26" t="s">
        <v>2290</v>
      </c>
      <c r="X727" s="9">
        <v>22411</v>
      </c>
      <c r="Z727" s="9">
        <v>0</v>
      </c>
      <c r="AA727" s="27">
        <v>0.44930555555555557</v>
      </c>
      <c r="AB727" s="9">
        <v>7</v>
      </c>
      <c r="AC727" s="9" t="s">
        <v>41</v>
      </c>
      <c r="AD727" s="9" t="str">
        <f t="shared" si="10"/>
        <v>Actual</v>
      </c>
      <c r="AE727" s="9" t="str">
        <f t="shared" si="11"/>
        <v>TMK7</v>
      </c>
      <c r="AF727" s="9">
        <f>HOUR(O727)</f>
        <v>10</v>
      </c>
      <c r="AG727" s="9">
        <f>DAY(O727)</f>
        <v>18</v>
      </c>
      <c r="AH727" s="9">
        <f>IFERROR((I727-K727)*24*60,0)</f>
        <v>0</v>
      </c>
      <c r="AI727" s="9">
        <f t="shared" si="12"/>
        <v>0</v>
      </c>
      <c r="AJ727" s="9">
        <f>C727</f>
        <v>1845</v>
      </c>
      <c r="AK727" s="9">
        <f>IF(P727="completed",((V727-K727)*24*60),0)</f>
        <v>7.0000000018626451</v>
      </c>
      <c r="AL727" s="9">
        <f>IF(P727="completed",((U727-K727)*24*60),0)</f>
        <v>7.0000000018626451</v>
      </c>
      <c r="AM727" s="9" t="str">
        <f t="shared" si="13"/>
        <v>OTP Breached</v>
      </c>
      <c r="AN727" s="9" t="str">
        <f t="shared" si="14"/>
        <v>OTP Achieved</v>
      </c>
    </row>
    <row r="728" spans="1:40" ht="15.75" customHeight="1">
      <c r="A728" s="9" t="s">
        <v>106</v>
      </c>
      <c r="B728" s="25">
        <v>46313.449305555558</v>
      </c>
      <c r="C728" s="9">
        <v>215</v>
      </c>
      <c r="D728" s="9" t="s">
        <v>41</v>
      </c>
      <c r="E728" s="9">
        <v>1</v>
      </c>
      <c r="F728" s="9" t="s">
        <v>41</v>
      </c>
      <c r="G728" s="9" t="s">
        <v>41</v>
      </c>
      <c r="H728" s="9" t="s">
        <v>2291</v>
      </c>
      <c r="I728" s="25">
        <v>46313.450694444444</v>
      </c>
      <c r="J728" s="9" t="s">
        <v>41</v>
      </c>
      <c r="K728" s="25">
        <v>46313.45</v>
      </c>
      <c r="L728" s="9">
        <v>33</v>
      </c>
      <c r="O728" s="25">
        <v>46313.449305555558</v>
      </c>
      <c r="P728" s="9" t="s">
        <v>43</v>
      </c>
      <c r="Q728" s="9" t="s">
        <v>108</v>
      </c>
      <c r="R728" s="9" t="s">
        <v>2292</v>
      </c>
      <c r="S728" s="9">
        <v>4247</v>
      </c>
      <c r="T728" s="9" t="s">
        <v>41</v>
      </c>
      <c r="U728" s="25">
        <v>46313.451388888891</v>
      </c>
      <c r="V728" s="25">
        <v>46313.450694444444</v>
      </c>
      <c r="W728" s="26" t="s">
        <v>2293</v>
      </c>
      <c r="X728" s="9">
        <v>22411</v>
      </c>
      <c r="Y728" s="25"/>
      <c r="Z728" s="9">
        <v>0</v>
      </c>
      <c r="AA728" s="27">
        <v>0.44930555555555557</v>
      </c>
      <c r="AB728" s="9">
        <v>1</v>
      </c>
      <c r="AC728" s="9" t="s">
        <v>41</v>
      </c>
      <c r="AD728" s="9" t="str">
        <f t="shared" si="10"/>
        <v>Actual</v>
      </c>
      <c r="AE728" s="9" t="str">
        <f t="shared" si="11"/>
        <v>TMK7</v>
      </c>
      <c r="AF728" s="9">
        <f>HOUR(O728)</f>
        <v>10</v>
      </c>
      <c r="AG728" s="9">
        <f>DAY(O728)</f>
        <v>18</v>
      </c>
      <c r="AH728" s="9">
        <f>IFERROR((I728-K728)*24*60,0)</f>
        <v>1.000000003259629</v>
      </c>
      <c r="AI728" s="9">
        <f t="shared" si="12"/>
        <v>1.000000003259629</v>
      </c>
      <c r="AJ728" s="9">
        <f>C728</f>
        <v>215</v>
      </c>
      <c r="AK728" s="9">
        <f>IF(P728="completed",((V728-K728)*24*60),0)</f>
        <v>1.000000003259629</v>
      </c>
      <c r="AL728" s="9">
        <f>IF(P728="completed",((U728-K728)*24*60),0)</f>
        <v>2.000000006519258</v>
      </c>
      <c r="AM728" s="9" t="str">
        <f t="shared" si="13"/>
        <v>OTP Achieved</v>
      </c>
      <c r="AN728" s="9" t="str">
        <f t="shared" si="14"/>
        <v>OTP Achieved</v>
      </c>
    </row>
    <row r="729" spans="1:40" ht="15.75" customHeight="1">
      <c r="A729" s="9" t="s">
        <v>185</v>
      </c>
      <c r="B729" s="25">
        <v>46313.448611111111</v>
      </c>
      <c r="C729" s="9">
        <v>1736</v>
      </c>
      <c r="D729" s="9" t="s">
        <v>41</v>
      </c>
      <c r="E729" s="9">
        <v>6</v>
      </c>
      <c r="F729" s="9" t="s">
        <v>41</v>
      </c>
      <c r="G729" s="9" t="s">
        <v>41</v>
      </c>
      <c r="H729" s="9" t="s">
        <v>2294</v>
      </c>
      <c r="I729" s="25">
        <v>46313.45</v>
      </c>
      <c r="J729" s="9" t="s">
        <v>41</v>
      </c>
      <c r="K729" s="25">
        <v>46313.45</v>
      </c>
      <c r="L729" s="9">
        <v>12</v>
      </c>
      <c r="O729" s="25">
        <v>46313.448611111111</v>
      </c>
      <c r="P729" s="9" t="s">
        <v>43</v>
      </c>
      <c r="Q729" s="9" t="s">
        <v>187</v>
      </c>
      <c r="R729" s="9" t="s">
        <v>2295</v>
      </c>
      <c r="S729" s="9">
        <v>4247</v>
      </c>
      <c r="T729" s="9" t="s">
        <v>41</v>
      </c>
      <c r="U729" s="25">
        <v>46313.456250000003</v>
      </c>
      <c r="V729" s="25">
        <v>46313.45416666667</v>
      </c>
      <c r="W729" s="26" t="s">
        <v>2296</v>
      </c>
      <c r="X729" s="9">
        <v>22411</v>
      </c>
      <c r="Y729" s="25"/>
      <c r="Z729" s="9">
        <v>0</v>
      </c>
      <c r="AA729" s="27">
        <v>0.44861111111111113</v>
      </c>
      <c r="AB729" s="9">
        <v>6</v>
      </c>
      <c r="AC729" s="9" t="s">
        <v>41</v>
      </c>
      <c r="AD729" s="9" t="str">
        <f t="shared" si="10"/>
        <v>Actual</v>
      </c>
      <c r="AE729" s="9" t="str">
        <f t="shared" si="11"/>
        <v>TMK7</v>
      </c>
      <c r="AF729" s="9">
        <f>HOUR(O729)</f>
        <v>10</v>
      </c>
      <c r="AG729" s="9">
        <f>DAY(O729)</f>
        <v>18</v>
      </c>
      <c r="AH729" s="9">
        <f>IFERROR((I729-K729)*24*60,0)</f>
        <v>0</v>
      </c>
      <c r="AI729" s="9">
        <f t="shared" si="12"/>
        <v>0</v>
      </c>
      <c r="AJ729" s="9">
        <f>C729</f>
        <v>1736</v>
      </c>
      <c r="AK729" s="9">
        <f>IF(P729="completed",((V729-K729)*24*60),0)</f>
        <v>6.0000000090803951</v>
      </c>
      <c r="AL729" s="9">
        <f>IF(P729="completed",((U729-K729)*24*60),0)</f>
        <v>9.0000000083819032</v>
      </c>
      <c r="AM729" s="9" t="str">
        <f t="shared" si="13"/>
        <v>OTP Achieved</v>
      </c>
      <c r="AN729" s="9" t="str">
        <f t="shared" si="14"/>
        <v>OTP Achieved</v>
      </c>
    </row>
    <row r="730" spans="1:40" ht="15.75" customHeight="1">
      <c r="A730" s="9" t="s">
        <v>1391</v>
      </c>
      <c r="B730" s="25">
        <v>46313.447222222225</v>
      </c>
      <c r="C730" s="9">
        <v>832</v>
      </c>
      <c r="D730" s="9" t="s">
        <v>41</v>
      </c>
      <c r="E730" s="9">
        <v>2</v>
      </c>
      <c r="F730" s="9" t="s">
        <v>41</v>
      </c>
      <c r="G730" s="9" t="s">
        <v>41</v>
      </c>
      <c r="H730" s="9" t="s">
        <v>2297</v>
      </c>
      <c r="I730" s="25">
        <v>46313.447222222225</v>
      </c>
      <c r="J730" s="9" t="s">
        <v>41</v>
      </c>
      <c r="K730" s="25">
        <v>46313.447222222225</v>
      </c>
      <c r="L730" s="9">
        <v>14</v>
      </c>
      <c r="O730" s="25">
        <v>46313.447222222225</v>
      </c>
      <c r="P730" s="9" t="s">
        <v>43</v>
      </c>
      <c r="Q730" s="9" t="s">
        <v>1393</v>
      </c>
      <c r="R730" s="9" t="s">
        <v>2298</v>
      </c>
      <c r="S730" s="9">
        <v>4247</v>
      </c>
      <c r="T730" s="9" t="s">
        <v>41</v>
      </c>
      <c r="U730" s="25">
        <v>46313.45</v>
      </c>
      <c r="V730" s="25">
        <v>46313.448611111111</v>
      </c>
      <c r="W730" s="26" t="s">
        <v>2299</v>
      </c>
      <c r="X730" s="9">
        <v>22411</v>
      </c>
      <c r="Z730" s="9">
        <v>0</v>
      </c>
      <c r="AA730" s="27">
        <v>0.44722222222222224</v>
      </c>
      <c r="AB730" s="9">
        <v>2</v>
      </c>
      <c r="AC730" s="9" t="s">
        <v>41</v>
      </c>
      <c r="AD730" s="9" t="str">
        <f t="shared" si="10"/>
        <v>Actual</v>
      </c>
      <c r="AE730" s="9" t="str">
        <f t="shared" si="11"/>
        <v>TMK7</v>
      </c>
      <c r="AF730" s="9">
        <f>HOUR(O730)</f>
        <v>10</v>
      </c>
      <c r="AG730" s="9">
        <f>DAY(O730)</f>
        <v>18</v>
      </c>
      <c r="AH730" s="9">
        <f>IFERROR((I730-K730)*24*60,0)</f>
        <v>0</v>
      </c>
      <c r="AI730" s="9">
        <f t="shared" si="12"/>
        <v>0</v>
      </c>
      <c r="AJ730" s="9">
        <f>C730</f>
        <v>832</v>
      </c>
      <c r="AK730" s="9">
        <f>IF(P730="completed",((V730-K730)*24*60),0)</f>
        <v>1.9999999960418791</v>
      </c>
      <c r="AL730" s="9">
        <f>IF(P730="completed",((U730-K730)*24*60),0)</f>
        <v>3.9999999920837581</v>
      </c>
      <c r="AM730" s="9" t="str">
        <f t="shared" si="13"/>
        <v>OTP Achieved</v>
      </c>
      <c r="AN730" s="9" t="str">
        <f t="shared" si="14"/>
        <v>OTP Achieved</v>
      </c>
    </row>
    <row r="731" spans="1:40" ht="15.75" customHeight="1">
      <c r="A731" s="9" t="s">
        <v>734</v>
      </c>
      <c r="B731" s="25">
        <v>46313.447222222225</v>
      </c>
      <c r="C731" s="9">
        <v>2074</v>
      </c>
      <c r="D731" s="9" t="s">
        <v>41</v>
      </c>
      <c r="E731" s="9">
        <v>6</v>
      </c>
      <c r="F731" s="9" t="s">
        <v>41</v>
      </c>
      <c r="G731" s="9" t="s">
        <v>41</v>
      </c>
      <c r="H731" s="9" t="s">
        <v>2300</v>
      </c>
      <c r="I731" s="25">
        <v>46313.447916666664</v>
      </c>
      <c r="J731" s="9" t="s">
        <v>41</v>
      </c>
      <c r="K731" s="25">
        <v>46313.447916666664</v>
      </c>
      <c r="L731" s="9">
        <v>39</v>
      </c>
      <c r="O731" s="25">
        <v>46313.447222222225</v>
      </c>
      <c r="P731" s="9" t="s">
        <v>43</v>
      </c>
      <c r="Q731" s="9" t="s">
        <v>736</v>
      </c>
      <c r="R731" s="9" t="s">
        <v>2301</v>
      </c>
      <c r="S731" s="9">
        <v>4247</v>
      </c>
      <c r="T731" s="9" t="s">
        <v>41</v>
      </c>
      <c r="U731" s="25">
        <v>46313.452777777777</v>
      </c>
      <c r="V731" s="25">
        <v>46313.45208333333</v>
      </c>
      <c r="W731" s="26" t="s">
        <v>2302</v>
      </c>
      <c r="X731" s="9">
        <v>22411</v>
      </c>
      <c r="Z731" s="9">
        <v>0</v>
      </c>
      <c r="AA731" s="27">
        <v>0.44722222222222224</v>
      </c>
      <c r="AB731" s="9">
        <v>6</v>
      </c>
      <c r="AC731" s="9" t="s">
        <v>41</v>
      </c>
      <c r="AD731" s="9" t="str">
        <f t="shared" si="10"/>
        <v>Actual</v>
      </c>
      <c r="AE731" s="9" t="str">
        <f t="shared" si="11"/>
        <v>TMK7</v>
      </c>
      <c r="AF731" s="9">
        <f>HOUR(O731)</f>
        <v>10</v>
      </c>
      <c r="AG731" s="9">
        <f>DAY(O731)</f>
        <v>18</v>
      </c>
      <c r="AH731" s="9">
        <f>IFERROR((I731-K731)*24*60,0)</f>
        <v>0</v>
      </c>
      <c r="AI731" s="9">
        <f t="shared" si="12"/>
        <v>0</v>
      </c>
      <c r="AJ731" s="9">
        <f>C731</f>
        <v>2074</v>
      </c>
      <c r="AK731" s="9">
        <f>IF(P731="completed",((V731-K731)*24*60),0)</f>
        <v>5.9999999986030161</v>
      </c>
      <c r="AL731" s="9">
        <f>IF(P731="completed",((U731-K731)*24*60),0)</f>
        <v>7.0000000018626451</v>
      </c>
      <c r="AM731" s="9" t="str">
        <f t="shared" si="13"/>
        <v>OTP Achieved</v>
      </c>
      <c r="AN731" s="9" t="str">
        <f t="shared" si="14"/>
        <v>OTP Achieved</v>
      </c>
    </row>
    <row r="732" spans="1:40" ht="15.75" customHeight="1">
      <c r="A732" s="9" t="s">
        <v>98</v>
      </c>
      <c r="B732" s="25">
        <v>46313.445833333331</v>
      </c>
      <c r="C732" s="9">
        <v>2088</v>
      </c>
      <c r="D732" s="9" t="s">
        <v>41</v>
      </c>
      <c r="E732" s="9">
        <v>5</v>
      </c>
      <c r="F732" s="9" t="s">
        <v>41</v>
      </c>
      <c r="G732" s="9" t="s">
        <v>41</v>
      </c>
      <c r="H732" s="9" t="s">
        <v>2303</v>
      </c>
      <c r="I732" s="25">
        <v>46313.446527777778</v>
      </c>
      <c r="J732" s="9" t="s">
        <v>41</v>
      </c>
      <c r="K732" s="25">
        <v>46313.445833333331</v>
      </c>
      <c r="L732" s="9">
        <v>22</v>
      </c>
      <c r="O732" s="25">
        <v>46313.445833333331</v>
      </c>
      <c r="P732" s="9" t="s">
        <v>43</v>
      </c>
      <c r="Q732" s="9" t="s">
        <v>100</v>
      </c>
      <c r="R732" s="9" t="s">
        <v>2304</v>
      </c>
      <c r="S732" s="9">
        <v>4247</v>
      </c>
      <c r="T732" s="9" t="s">
        <v>41</v>
      </c>
      <c r="U732" s="25">
        <v>46313.450694444444</v>
      </c>
      <c r="V732" s="25">
        <v>46313.449305555558</v>
      </c>
      <c r="W732" s="26" t="s">
        <v>2305</v>
      </c>
      <c r="X732" s="9">
        <v>22411</v>
      </c>
      <c r="Z732" s="9">
        <v>0</v>
      </c>
      <c r="AA732" s="27">
        <v>0.44583333333333336</v>
      </c>
      <c r="AB732" s="9">
        <v>5</v>
      </c>
      <c r="AC732" s="9" t="s">
        <v>41</v>
      </c>
      <c r="AD732" s="9" t="str">
        <f t="shared" si="10"/>
        <v>Actual</v>
      </c>
      <c r="AE732" s="9" t="str">
        <f t="shared" si="11"/>
        <v>TMK7</v>
      </c>
      <c r="AF732" s="9">
        <f>HOUR(O732)</f>
        <v>10</v>
      </c>
      <c r="AG732" s="9">
        <f>DAY(O732)</f>
        <v>18</v>
      </c>
      <c r="AH732" s="9">
        <f>IFERROR((I732-K732)*24*60,0)</f>
        <v>1.000000003259629</v>
      </c>
      <c r="AI732" s="9">
        <f t="shared" si="12"/>
        <v>1.000000003259629</v>
      </c>
      <c r="AJ732" s="9">
        <f>C732</f>
        <v>2088</v>
      </c>
      <c r="AK732" s="9">
        <f>IF(P732="completed",((V732-K732)*24*60),0)</f>
        <v>5.0000000058207661</v>
      </c>
      <c r="AL732" s="9">
        <f>IF(P732="completed",((U732-K732)*24*60),0)</f>
        <v>7.0000000018626451</v>
      </c>
      <c r="AM732" s="9" t="str">
        <f t="shared" si="13"/>
        <v>OTP Achieved</v>
      </c>
      <c r="AN732" s="9" t="str">
        <f t="shared" si="14"/>
        <v>OTP Achieved</v>
      </c>
    </row>
    <row r="733" spans="1:40" ht="15.75" customHeight="1">
      <c r="A733" s="9" t="s">
        <v>52</v>
      </c>
      <c r="B733" s="25">
        <v>46313.445833333331</v>
      </c>
      <c r="C733" s="9">
        <v>2284</v>
      </c>
      <c r="D733" s="9" t="s">
        <v>41</v>
      </c>
      <c r="E733" s="9">
        <v>8</v>
      </c>
      <c r="F733" s="9" t="s">
        <v>41</v>
      </c>
      <c r="G733" s="9" t="s">
        <v>41</v>
      </c>
      <c r="H733" s="9" t="s">
        <v>2306</v>
      </c>
      <c r="I733" s="25">
        <v>46313.446527777778</v>
      </c>
      <c r="J733" s="9" t="s">
        <v>41</v>
      </c>
      <c r="K733" s="25">
        <v>46313.446527777778</v>
      </c>
      <c r="L733" s="9">
        <v>30</v>
      </c>
      <c r="O733" s="25">
        <v>46313.445833333331</v>
      </c>
      <c r="P733" s="9" t="s">
        <v>43</v>
      </c>
      <c r="Q733" s="9" t="s">
        <v>54</v>
      </c>
      <c r="R733" s="9" t="s">
        <v>2307</v>
      </c>
      <c r="S733" s="9">
        <v>4247</v>
      </c>
      <c r="T733" s="9" t="s">
        <v>41</v>
      </c>
      <c r="U733" s="25">
        <v>46313.453472222223</v>
      </c>
      <c r="V733" s="25">
        <v>46313.45208333333</v>
      </c>
      <c r="W733" s="26" t="s">
        <v>2308</v>
      </c>
      <c r="X733" s="9">
        <v>22411</v>
      </c>
      <c r="Y733" s="25"/>
      <c r="Z733" s="9">
        <v>0</v>
      </c>
      <c r="AA733" s="27">
        <v>0.44583333333333336</v>
      </c>
      <c r="AB733" s="9">
        <v>7</v>
      </c>
      <c r="AC733" s="9" t="s">
        <v>41</v>
      </c>
      <c r="AD733" s="9" t="str">
        <f t="shared" si="10"/>
        <v>Actual</v>
      </c>
      <c r="AE733" s="9" t="str">
        <f t="shared" si="11"/>
        <v>TMK7</v>
      </c>
      <c r="AF733" s="9">
        <f>HOUR(O733)</f>
        <v>10</v>
      </c>
      <c r="AG733" s="9">
        <f>DAY(O733)</f>
        <v>18</v>
      </c>
      <c r="AH733" s="9">
        <f>IFERROR((I733-K733)*24*60,0)</f>
        <v>0</v>
      </c>
      <c r="AI733" s="9">
        <f t="shared" si="12"/>
        <v>0</v>
      </c>
      <c r="AJ733" s="9">
        <f>C733</f>
        <v>2284</v>
      </c>
      <c r="AK733" s="9">
        <f>IF(P733="completed",((V733-K733)*24*60),0)</f>
        <v>7.9999999946448952</v>
      </c>
      <c r="AL733" s="9">
        <f>IF(P733="completed",((U733-K733)*24*60),0)</f>
        <v>10.000000001164153</v>
      </c>
      <c r="AM733" s="9" t="str">
        <f t="shared" si="13"/>
        <v>OTP Achieved</v>
      </c>
      <c r="AN733" s="9" t="str">
        <f t="shared" si="14"/>
        <v>OTP Achieved</v>
      </c>
    </row>
    <row r="734" spans="1:40" ht="15.75" customHeight="1">
      <c r="A734" s="9" t="s">
        <v>190</v>
      </c>
      <c r="B734" s="25">
        <v>46313.444444444445</v>
      </c>
      <c r="C734" s="9">
        <v>117</v>
      </c>
      <c r="D734" s="9" t="s">
        <v>41</v>
      </c>
      <c r="E734" s="9">
        <v>0</v>
      </c>
      <c r="F734" s="9" t="s">
        <v>41</v>
      </c>
      <c r="G734" s="9" t="s">
        <v>41</v>
      </c>
      <c r="H734" s="9" t="s">
        <v>2309</v>
      </c>
      <c r="I734" s="25">
        <v>46313.445138888892</v>
      </c>
      <c r="J734" s="9" t="s">
        <v>41</v>
      </c>
      <c r="K734" s="25">
        <v>46313.445138888892</v>
      </c>
      <c r="L734" s="9">
        <v>20</v>
      </c>
      <c r="O734" s="25">
        <v>46313.444444444445</v>
      </c>
      <c r="P734" s="9" t="s">
        <v>43</v>
      </c>
      <c r="Q734" s="9" t="s">
        <v>192</v>
      </c>
      <c r="R734" s="9" t="s">
        <v>2310</v>
      </c>
      <c r="S734" s="9">
        <v>4247</v>
      </c>
      <c r="T734" s="9" t="s">
        <v>41</v>
      </c>
      <c r="U734" s="25">
        <v>46313.446527777778</v>
      </c>
      <c r="V734" s="25">
        <v>46313.445138888892</v>
      </c>
      <c r="W734" s="26" t="s">
        <v>2311</v>
      </c>
      <c r="X734" s="9">
        <v>22411</v>
      </c>
      <c r="Z734" s="9">
        <v>0</v>
      </c>
      <c r="AA734" s="27">
        <v>0.44444444444444442</v>
      </c>
      <c r="AB734" s="9">
        <v>0</v>
      </c>
      <c r="AC734" s="9" t="s">
        <v>41</v>
      </c>
      <c r="AD734" s="9" t="str">
        <f t="shared" si="10"/>
        <v>Actual</v>
      </c>
      <c r="AE734" s="9" t="str">
        <f t="shared" si="11"/>
        <v>TMK7</v>
      </c>
      <c r="AF734" s="9">
        <f>HOUR(O734)</f>
        <v>10</v>
      </c>
      <c r="AG734" s="9">
        <f>DAY(O734)</f>
        <v>18</v>
      </c>
      <c r="AH734" s="9">
        <f>IFERROR((I734-K734)*24*60,0)</f>
        <v>0</v>
      </c>
      <c r="AI734" s="9">
        <f t="shared" si="12"/>
        <v>0</v>
      </c>
      <c r="AJ734" s="9">
        <f>C734</f>
        <v>117</v>
      </c>
      <c r="AK734" s="9">
        <f>IF(P734="completed",((V734-K734)*24*60),0)</f>
        <v>0</v>
      </c>
      <c r="AL734" s="9">
        <f>IF(P734="completed",((U734-K734)*24*60),0)</f>
        <v>1.9999999960418791</v>
      </c>
      <c r="AM734" s="9" t="str">
        <f t="shared" si="13"/>
        <v>OTP Achieved</v>
      </c>
      <c r="AN734" s="9" t="str">
        <f t="shared" si="14"/>
        <v>OTP Achieved</v>
      </c>
    </row>
    <row r="735" spans="1:40" ht="15.75" customHeight="1">
      <c r="A735" s="9" t="s">
        <v>347</v>
      </c>
      <c r="B735" s="25">
        <v>46313.444444444445</v>
      </c>
      <c r="C735" s="9">
        <v>621</v>
      </c>
      <c r="D735" s="9" t="s">
        <v>41</v>
      </c>
      <c r="E735" s="9">
        <v>2</v>
      </c>
      <c r="F735" s="9" t="s">
        <v>41</v>
      </c>
      <c r="G735" s="9" t="s">
        <v>41</v>
      </c>
      <c r="H735" s="9" t="s">
        <v>2312</v>
      </c>
      <c r="I735" s="25">
        <v>46313.445833333331</v>
      </c>
      <c r="J735" s="9" t="s">
        <v>41</v>
      </c>
      <c r="K735" s="25">
        <v>46313.445833333331</v>
      </c>
      <c r="L735" s="9">
        <v>19</v>
      </c>
      <c r="O735" s="25">
        <v>46313.443749999999</v>
      </c>
      <c r="P735" s="9" t="s">
        <v>43</v>
      </c>
      <c r="Q735" s="9" t="s">
        <v>349</v>
      </c>
      <c r="R735" s="9" t="s">
        <v>2313</v>
      </c>
      <c r="S735" s="9">
        <v>4247</v>
      </c>
      <c r="T735" s="9" t="s">
        <v>41</v>
      </c>
      <c r="U735" s="25">
        <v>46313.447916666664</v>
      </c>
      <c r="V735" s="25">
        <v>46313.447222222225</v>
      </c>
      <c r="W735" s="26" t="s">
        <v>2314</v>
      </c>
      <c r="X735" s="9">
        <v>22411</v>
      </c>
      <c r="Y735" s="25"/>
      <c r="Z735" s="9">
        <v>0</v>
      </c>
      <c r="AA735" s="27">
        <v>0.44444444444444442</v>
      </c>
      <c r="AB735" s="9">
        <v>2</v>
      </c>
      <c r="AC735" s="9" t="s">
        <v>41</v>
      </c>
      <c r="AD735" s="9" t="str">
        <f t="shared" si="10"/>
        <v>Actual</v>
      </c>
      <c r="AE735" s="9" t="str">
        <f t="shared" si="11"/>
        <v>TMK7</v>
      </c>
      <c r="AF735" s="9">
        <f>HOUR(O735)</f>
        <v>10</v>
      </c>
      <c r="AG735" s="9">
        <f>DAY(O735)</f>
        <v>18</v>
      </c>
      <c r="AH735" s="9">
        <f>IFERROR((I735-K735)*24*60,0)</f>
        <v>0</v>
      </c>
      <c r="AI735" s="9">
        <f t="shared" si="12"/>
        <v>0</v>
      </c>
      <c r="AJ735" s="9">
        <f>C735</f>
        <v>621</v>
      </c>
      <c r="AK735" s="9">
        <f>IF(P735="completed",((V735-K735)*24*60),0)</f>
        <v>2.000000006519258</v>
      </c>
      <c r="AL735" s="9">
        <f>IF(P735="completed",((U735-K735)*24*60),0)</f>
        <v>2.9999999993015081</v>
      </c>
      <c r="AM735" s="9" t="str">
        <f t="shared" si="13"/>
        <v>OTP Achieved</v>
      </c>
      <c r="AN735" s="9" t="str">
        <f t="shared" si="14"/>
        <v>OTP Achieved</v>
      </c>
    </row>
    <row r="736" spans="1:40" ht="15.75" customHeight="1">
      <c r="A736" s="9" t="s">
        <v>1239</v>
      </c>
      <c r="B736" s="25">
        <v>46313.444444444445</v>
      </c>
      <c r="C736" s="9">
        <v>1725</v>
      </c>
      <c r="D736" s="9" t="s">
        <v>41</v>
      </c>
      <c r="E736" s="9">
        <v>5</v>
      </c>
      <c r="F736" s="9" t="s">
        <v>41</v>
      </c>
      <c r="G736" s="9" t="s">
        <v>41</v>
      </c>
      <c r="H736" s="9" t="s">
        <v>2315</v>
      </c>
      <c r="I736" s="25">
        <v>46313.445138888892</v>
      </c>
      <c r="J736" s="9" t="s">
        <v>41</v>
      </c>
      <c r="K736" s="25">
        <v>46313.444444444445</v>
      </c>
      <c r="L736" s="9">
        <v>30</v>
      </c>
      <c r="O736" s="25">
        <v>46313.443749999999</v>
      </c>
      <c r="P736" s="9" t="s">
        <v>43</v>
      </c>
      <c r="Q736" s="9" t="s">
        <v>1241</v>
      </c>
      <c r="R736" s="9" t="s">
        <v>2316</v>
      </c>
      <c r="S736" s="9">
        <v>4247</v>
      </c>
      <c r="T736" s="9" t="s">
        <v>41</v>
      </c>
      <c r="U736" s="25">
        <v>46313.449305555558</v>
      </c>
      <c r="V736" s="25">
        <v>46313.447916666664</v>
      </c>
      <c r="W736" s="26" t="s">
        <v>2317</v>
      </c>
      <c r="X736" s="9">
        <v>22411</v>
      </c>
      <c r="Y736" s="25"/>
      <c r="Z736" s="9">
        <v>0</v>
      </c>
      <c r="AA736" s="27">
        <v>0.44444444444444442</v>
      </c>
      <c r="AB736" s="9">
        <v>5</v>
      </c>
      <c r="AC736" s="9" t="s">
        <v>41</v>
      </c>
      <c r="AD736" s="9" t="str">
        <f t="shared" si="10"/>
        <v>Actual</v>
      </c>
      <c r="AE736" s="9" t="str">
        <f t="shared" si="11"/>
        <v>TMK7</v>
      </c>
      <c r="AF736" s="9">
        <f>HOUR(O736)</f>
        <v>10</v>
      </c>
      <c r="AG736" s="9">
        <f>DAY(O736)</f>
        <v>18</v>
      </c>
      <c r="AH736" s="9">
        <f>IFERROR((I736-K736)*24*60,0)</f>
        <v>1.000000003259629</v>
      </c>
      <c r="AI736" s="9">
        <f t="shared" si="12"/>
        <v>1.000000003259629</v>
      </c>
      <c r="AJ736" s="9">
        <f>C736</f>
        <v>1725</v>
      </c>
      <c r="AK736" s="9">
        <f>IF(P736="completed",((V736-K736)*24*60),0)</f>
        <v>4.9999999953433871</v>
      </c>
      <c r="AL736" s="9">
        <f>IF(P736="completed",((U736-K736)*24*60),0)</f>
        <v>7.0000000018626451</v>
      </c>
      <c r="AM736" s="9" t="str">
        <f t="shared" si="13"/>
        <v>OTP Achieved</v>
      </c>
      <c r="AN736" s="9" t="str">
        <f t="shared" si="14"/>
        <v>OTP Achieved</v>
      </c>
    </row>
    <row r="737" spans="1:40" ht="15.75" customHeight="1">
      <c r="A737" s="9" t="s">
        <v>2318</v>
      </c>
      <c r="B737" s="25">
        <v>46313.443749999999</v>
      </c>
      <c r="C737" s="9">
        <v>1187</v>
      </c>
      <c r="D737" s="9" t="s">
        <v>41</v>
      </c>
      <c r="E737" s="9">
        <v>6</v>
      </c>
      <c r="F737" s="9" t="s">
        <v>41</v>
      </c>
      <c r="G737" s="9" t="s">
        <v>41</v>
      </c>
      <c r="H737" s="9" t="s">
        <v>2319</v>
      </c>
      <c r="I737" s="25">
        <v>46313.445833333331</v>
      </c>
      <c r="J737" s="9" t="s">
        <v>41</v>
      </c>
      <c r="K737" s="25">
        <v>46313.443749999999</v>
      </c>
      <c r="L737" s="9">
        <v>150</v>
      </c>
      <c r="O737" s="25">
        <v>46313.443749999999</v>
      </c>
      <c r="P737" s="9" t="s">
        <v>43</v>
      </c>
      <c r="Q737" s="9" t="s">
        <v>2320</v>
      </c>
      <c r="R737" s="9" t="s">
        <v>2321</v>
      </c>
      <c r="S737" s="9">
        <v>4247</v>
      </c>
      <c r="T737" s="9" t="s">
        <v>41</v>
      </c>
      <c r="U737" s="25">
        <v>46313.45</v>
      </c>
      <c r="V737" s="25">
        <v>46313.448611111111</v>
      </c>
      <c r="W737" s="26" t="s">
        <v>2322</v>
      </c>
      <c r="X737" s="9">
        <v>22411</v>
      </c>
      <c r="Y737" s="25"/>
      <c r="Z737" s="9">
        <v>0</v>
      </c>
      <c r="AA737" s="27">
        <v>0.44374999999999998</v>
      </c>
      <c r="AB737" s="9">
        <v>4</v>
      </c>
      <c r="AC737" s="9" t="s">
        <v>41</v>
      </c>
      <c r="AD737" s="9" t="str">
        <f t="shared" si="10"/>
        <v>Actual</v>
      </c>
      <c r="AE737" s="9" t="str">
        <f t="shared" si="11"/>
        <v>TMK7</v>
      </c>
      <c r="AF737" s="9">
        <f>HOUR(O737)</f>
        <v>10</v>
      </c>
      <c r="AG737" s="9">
        <f>DAY(O737)</f>
        <v>18</v>
      </c>
      <c r="AH737" s="9">
        <f>IFERROR((I737-K737)*24*60,0)</f>
        <v>2.9999999993015081</v>
      </c>
      <c r="AI737" s="9">
        <f t="shared" si="12"/>
        <v>2.9999999993015081</v>
      </c>
      <c r="AJ737" s="9">
        <f>C737</f>
        <v>1187</v>
      </c>
      <c r="AK737" s="9">
        <f>IF(P737="completed",((V737-K737)*24*60),0)</f>
        <v>7.0000000018626451</v>
      </c>
      <c r="AL737" s="9">
        <f>IF(P737="completed",((U737-K737)*24*60),0)</f>
        <v>8.9999999979045242</v>
      </c>
      <c r="AM737" s="9" t="str">
        <f t="shared" si="13"/>
        <v>OTP Achieved</v>
      </c>
      <c r="AN737" s="9" t="str">
        <f t="shared" si="14"/>
        <v>OTP Achieved</v>
      </c>
    </row>
    <row r="738" spans="1:40" ht="15.75" customHeight="1">
      <c r="A738" s="9" t="s">
        <v>1461</v>
      </c>
      <c r="B738" s="25">
        <v>46313.443749999999</v>
      </c>
      <c r="C738" s="9">
        <v>3519</v>
      </c>
      <c r="D738" s="9" t="s">
        <v>41</v>
      </c>
      <c r="E738" s="9">
        <v>12</v>
      </c>
      <c r="F738" s="9" t="s">
        <v>41</v>
      </c>
      <c r="G738" s="9" t="s">
        <v>41</v>
      </c>
      <c r="H738" s="9" t="s">
        <v>2323</v>
      </c>
      <c r="I738" s="25">
        <v>46313.445138888892</v>
      </c>
      <c r="J738" s="9" t="s">
        <v>41</v>
      </c>
      <c r="K738" s="25">
        <v>46313.444444444445</v>
      </c>
      <c r="L738" s="9">
        <v>51</v>
      </c>
      <c r="O738" s="25">
        <v>46313.443749999999</v>
      </c>
      <c r="P738" s="9" t="s">
        <v>43</v>
      </c>
      <c r="Q738" s="9" t="s">
        <v>1463</v>
      </c>
      <c r="R738" s="9" t="s">
        <v>2324</v>
      </c>
      <c r="S738" s="9">
        <v>4247</v>
      </c>
      <c r="T738" s="9" t="s">
        <v>41</v>
      </c>
      <c r="U738" s="25">
        <v>46313.454861111109</v>
      </c>
      <c r="V738" s="25">
        <v>46313.452777777777</v>
      </c>
      <c r="W738" s="26" t="s">
        <v>2325</v>
      </c>
      <c r="X738" s="9">
        <v>22411</v>
      </c>
      <c r="Y738" s="25"/>
      <c r="Z738" s="9">
        <v>0</v>
      </c>
      <c r="AA738" s="27">
        <v>0.44374999999999998</v>
      </c>
      <c r="AB738" s="9">
        <v>11</v>
      </c>
      <c r="AC738" s="9" t="s">
        <v>41</v>
      </c>
      <c r="AD738" s="9" t="str">
        <f t="shared" si="10"/>
        <v>Actual</v>
      </c>
      <c r="AE738" s="9" t="str">
        <f t="shared" si="11"/>
        <v>TMK7</v>
      </c>
      <c r="AF738" s="9">
        <f>HOUR(O738)</f>
        <v>10</v>
      </c>
      <c r="AG738" s="9">
        <f>DAY(O738)</f>
        <v>18</v>
      </c>
      <c r="AH738" s="9">
        <f>IFERROR((I738-K738)*24*60,0)</f>
        <v>1.000000003259629</v>
      </c>
      <c r="AI738" s="9">
        <f t="shared" si="12"/>
        <v>1.000000003259629</v>
      </c>
      <c r="AJ738" s="9">
        <f>C738</f>
        <v>3519</v>
      </c>
      <c r="AK738" s="9">
        <f>IF(P738="completed",((V738-K738)*24*60),0)</f>
        <v>11.999999997206032</v>
      </c>
      <c r="AL738" s="9">
        <f>IF(P738="completed",((U738-K738)*24*60),0)</f>
        <v>14.99999999650754</v>
      </c>
      <c r="AM738" s="9" t="str">
        <f t="shared" si="13"/>
        <v>OTP Achieved</v>
      </c>
      <c r="AN738" s="9" t="str">
        <f t="shared" si="14"/>
        <v>OTP Achieved</v>
      </c>
    </row>
    <row r="739" spans="1:40" ht="15.75" customHeight="1">
      <c r="A739" s="9" t="s">
        <v>1965</v>
      </c>
      <c r="B739" s="25">
        <v>46313.443749999999</v>
      </c>
      <c r="C739" s="9">
        <v>2092</v>
      </c>
      <c r="D739" s="9" t="s">
        <v>41</v>
      </c>
      <c r="E739" s="9">
        <v>7</v>
      </c>
      <c r="F739" s="9" t="s">
        <v>41</v>
      </c>
      <c r="G739" s="9" t="s">
        <v>41</v>
      </c>
      <c r="H739" s="9" t="s">
        <v>2326</v>
      </c>
      <c r="I739" s="25">
        <v>46313.444444444445</v>
      </c>
      <c r="J739" s="9" t="s">
        <v>41</v>
      </c>
      <c r="K739" s="25">
        <v>46313.443749999999</v>
      </c>
      <c r="L739" s="9">
        <v>33</v>
      </c>
      <c r="O739" s="25">
        <v>46313.443055555559</v>
      </c>
      <c r="P739" s="9" t="s">
        <v>43</v>
      </c>
      <c r="Q739" s="9" t="s">
        <v>1967</v>
      </c>
      <c r="R739" s="9" t="s">
        <v>2327</v>
      </c>
      <c r="S739" s="9">
        <v>4247</v>
      </c>
      <c r="T739" s="9" t="s">
        <v>41</v>
      </c>
      <c r="U739" s="25">
        <v>46313.448611111111</v>
      </c>
      <c r="V739" s="25">
        <v>46313.448611111111</v>
      </c>
      <c r="W739" s="26" t="s">
        <v>2328</v>
      </c>
      <c r="X739" s="9">
        <v>22411</v>
      </c>
      <c r="Y739" s="25"/>
      <c r="Z739" s="9">
        <v>0</v>
      </c>
      <c r="AA739" s="27">
        <v>0.44374999999999998</v>
      </c>
      <c r="AB739" s="9">
        <v>7</v>
      </c>
      <c r="AC739" s="9" t="s">
        <v>41</v>
      </c>
      <c r="AD739" s="9" t="str">
        <f t="shared" si="10"/>
        <v>Actual</v>
      </c>
      <c r="AE739" s="9" t="str">
        <f t="shared" si="11"/>
        <v>TMK7</v>
      </c>
      <c r="AF739" s="9">
        <f>HOUR(O739)</f>
        <v>10</v>
      </c>
      <c r="AG739" s="9">
        <f>DAY(O739)</f>
        <v>18</v>
      </c>
      <c r="AH739" s="9">
        <f>IFERROR((I739-K739)*24*60,0)</f>
        <v>1.000000003259629</v>
      </c>
      <c r="AI739" s="9">
        <f t="shared" si="12"/>
        <v>1.000000003259629</v>
      </c>
      <c r="AJ739" s="9">
        <f>C739</f>
        <v>2092</v>
      </c>
      <c r="AK739" s="9">
        <f>IF(P739="completed",((V739-K739)*24*60),0)</f>
        <v>7.0000000018626451</v>
      </c>
      <c r="AL739" s="9">
        <f>IF(P739="completed",((U739-K739)*24*60),0)</f>
        <v>7.0000000018626451</v>
      </c>
      <c r="AM739" s="9" t="str">
        <f t="shared" si="13"/>
        <v>OTP Breached</v>
      </c>
      <c r="AN739" s="9" t="str">
        <f t="shared" si="14"/>
        <v>OTP Achieved</v>
      </c>
    </row>
    <row r="740" spans="1:40" ht="15.75" customHeight="1">
      <c r="A740" s="9" t="s">
        <v>655</v>
      </c>
      <c r="B740" s="25">
        <v>46313.443055555559</v>
      </c>
      <c r="C740" s="9">
        <v>215</v>
      </c>
      <c r="D740" s="9" t="s">
        <v>41</v>
      </c>
      <c r="E740" s="9">
        <v>0</v>
      </c>
      <c r="F740" s="9" t="s">
        <v>41</v>
      </c>
      <c r="G740" s="9" t="s">
        <v>41</v>
      </c>
      <c r="H740" s="9" t="s">
        <v>2329</v>
      </c>
      <c r="I740" s="25">
        <v>46313.443749999999</v>
      </c>
      <c r="J740" s="9" t="s">
        <v>41</v>
      </c>
      <c r="K740" s="25">
        <v>46313.443749999999</v>
      </c>
      <c r="L740" s="9">
        <v>12</v>
      </c>
      <c r="O740" s="25">
        <v>46313.443055555559</v>
      </c>
      <c r="P740" s="9" t="s">
        <v>43</v>
      </c>
      <c r="Q740" s="9" t="s">
        <v>657</v>
      </c>
      <c r="R740" s="9" t="s">
        <v>2330</v>
      </c>
      <c r="S740" s="9">
        <v>4247</v>
      </c>
      <c r="T740" s="9" t="s">
        <v>41</v>
      </c>
      <c r="U740" s="25">
        <v>46313.445138888892</v>
      </c>
      <c r="V740" s="25">
        <v>46313.443749999999</v>
      </c>
      <c r="W740" s="26" t="s">
        <v>2331</v>
      </c>
      <c r="X740" s="9">
        <v>22411</v>
      </c>
      <c r="Y740" s="25"/>
      <c r="Z740" s="9">
        <v>0</v>
      </c>
      <c r="AA740" s="27">
        <v>0.44305555555555554</v>
      </c>
      <c r="AB740" s="9">
        <v>0</v>
      </c>
      <c r="AC740" s="9" t="s">
        <v>41</v>
      </c>
      <c r="AD740" s="9" t="str">
        <f t="shared" si="10"/>
        <v>Actual</v>
      </c>
      <c r="AE740" s="9" t="str">
        <f t="shared" si="11"/>
        <v>TMK7</v>
      </c>
      <c r="AF740" s="9">
        <f>HOUR(O740)</f>
        <v>10</v>
      </c>
      <c r="AG740" s="9">
        <f>DAY(O740)</f>
        <v>18</v>
      </c>
      <c r="AH740" s="9">
        <f>IFERROR((I740-K740)*24*60,0)</f>
        <v>0</v>
      </c>
      <c r="AI740" s="9">
        <f t="shared" si="12"/>
        <v>0</v>
      </c>
      <c r="AJ740" s="9">
        <f>C740</f>
        <v>215</v>
      </c>
      <c r="AK740" s="9">
        <f>IF(P740="completed",((V740-K740)*24*60),0)</f>
        <v>0</v>
      </c>
      <c r="AL740" s="9">
        <f>IF(P740="completed",((U740-K740)*24*60),0)</f>
        <v>2.000000006519258</v>
      </c>
      <c r="AM740" s="9" t="str">
        <f t="shared" si="13"/>
        <v>OTP Achieved</v>
      </c>
      <c r="AN740" s="9" t="str">
        <f t="shared" si="14"/>
        <v>OTP Achieved</v>
      </c>
    </row>
    <row r="741" spans="1:40" ht="15.75" customHeight="1">
      <c r="A741" s="9" t="s">
        <v>1624</v>
      </c>
      <c r="B741" s="25">
        <v>46313.443055555559</v>
      </c>
      <c r="C741" s="9">
        <v>1360</v>
      </c>
      <c r="D741" s="9" t="s">
        <v>41</v>
      </c>
      <c r="E741" s="9">
        <v>5</v>
      </c>
      <c r="F741" s="9" t="s">
        <v>41</v>
      </c>
      <c r="G741" s="9" t="s">
        <v>41</v>
      </c>
      <c r="H741" s="9" t="s">
        <v>2332</v>
      </c>
      <c r="I741" s="25">
        <v>46313.443749999999</v>
      </c>
      <c r="J741" s="9" t="s">
        <v>41</v>
      </c>
      <c r="K741" s="25">
        <v>46313.443055555559</v>
      </c>
      <c r="L741" s="9">
        <v>28</v>
      </c>
      <c r="O741" s="25">
        <v>46313.442361111112</v>
      </c>
      <c r="P741" s="9" t="s">
        <v>43</v>
      </c>
      <c r="Q741" s="9" t="s">
        <v>1626</v>
      </c>
      <c r="R741" s="9" t="s">
        <v>2333</v>
      </c>
      <c r="S741" s="9">
        <v>4247</v>
      </c>
      <c r="T741" s="9" t="s">
        <v>41</v>
      </c>
      <c r="U741" s="25">
        <v>46313.447916666664</v>
      </c>
      <c r="V741" s="25">
        <v>46313.447222222225</v>
      </c>
      <c r="W741" s="26" t="s">
        <v>2334</v>
      </c>
      <c r="X741" s="9">
        <v>22411</v>
      </c>
      <c r="Y741" s="25"/>
      <c r="Z741" s="9">
        <v>0</v>
      </c>
      <c r="AA741" s="27">
        <v>0.44305555555555554</v>
      </c>
      <c r="AB741" s="9">
        <v>5</v>
      </c>
      <c r="AC741" s="9" t="s">
        <v>41</v>
      </c>
      <c r="AD741" s="9" t="str">
        <f t="shared" si="10"/>
        <v>Actual</v>
      </c>
      <c r="AE741" s="9" t="str">
        <f t="shared" si="11"/>
        <v>TMK7</v>
      </c>
      <c r="AF741" s="9">
        <f>HOUR(O741)</f>
        <v>10</v>
      </c>
      <c r="AG741" s="9">
        <f>DAY(O741)</f>
        <v>18</v>
      </c>
      <c r="AH741" s="9">
        <f>IFERROR((I741-K741)*24*60,0)</f>
        <v>0.99999999278225005</v>
      </c>
      <c r="AI741" s="9">
        <f t="shared" si="12"/>
        <v>0.99999999278225005</v>
      </c>
      <c r="AJ741" s="9">
        <f>C741</f>
        <v>1360</v>
      </c>
      <c r="AK741" s="9">
        <f>IF(P741="completed",((V741-K741)*24*60),0)</f>
        <v>5.9999999986030161</v>
      </c>
      <c r="AL741" s="9">
        <f>IF(P741="completed",((U741-K741)*24*60),0)</f>
        <v>6.9999999913852662</v>
      </c>
      <c r="AM741" s="9" t="str">
        <f t="shared" si="13"/>
        <v>OTP Achieved</v>
      </c>
      <c r="AN741" s="9" t="str">
        <f t="shared" si="14"/>
        <v>OTP Achieved</v>
      </c>
    </row>
    <row r="742" spans="1:40" ht="15.75" customHeight="1">
      <c r="A742" s="9" t="s">
        <v>2247</v>
      </c>
      <c r="B742" s="25">
        <v>46313.441666666666</v>
      </c>
      <c r="C742" s="9">
        <v>1853</v>
      </c>
      <c r="D742" s="9" t="s">
        <v>41</v>
      </c>
      <c r="E742" s="9">
        <v>5</v>
      </c>
      <c r="F742" s="9" t="s">
        <v>41</v>
      </c>
      <c r="G742" s="9" t="s">
        <v>41</v>
      </c>
      <c r="H742" s="9" t="s">
        <v>2335</v>
      </c>
      <c r="I742" s="25">
        <v>46313.442361111112</v>
      </c>
      <c r="J742" s="9" t="s">
        <v>41</v>
      </c>
      <c r="K742" s="25">
        <v>46313.442361111112</v>
      </c>
      <c r="L742" s="9">
        <v>19</v>
      </c>
      <c r="O742" s="25">
        <v>46313.441666666666</v>
      </c>
      <c r="P742" s="9" t="s">
        <v>43</v>
      </c>
      <c r="Q742" s="9" t="s">
        <v>2249</v>
      </c>
      <c r="R742" s="9" t="s">
        <v>2336</v>
      </c>
      <c r="S742" s="9">
        <v>4247</v>
      </c>
      <c r="T742" s="9" t="s">
        <v>41</v>
      </c>
      <c r="U742" s="25">
        <v>46313.446527777778</v>
      </c>
      <c r="V742" s="25">
        <v>46313.445833333331</v>
      </c>
      <c r="W742" s="26" t="s">
        <v>2337</v>
      </c>
      <c r="X742" s="9">
        <v>22411</v>
      </c>
      <c r="Y742" s="25"/>
      <c r="Z742" s="9">
        <v>0</v>
      </c>
      <c r="AA742" s="27">
        <v>0.44166666666666665</v>
      </c>
      <c r="AB742" s="9">
        <v>5</v>
      </c>
      <c r="AC742" s="9" t="s">
        <v>41</v>
      </c>
      <c r="AD742" s="9" t="str">
        <f t="shared" si="10"/>
        <v>Actual</v>
      </c>
      <c r="AE742" s="9" t="str">
        <f t="shared" si="11"/>
        <v>TMK7</v>
      </c>
      <c r="AF742" s="9">
        <f>HOUR(O742)</f>
        <v>10</v>
      </c>
      <c r="AG742" s="9">
        <f>DAY(O742)</f>
        <v>18</v>
      </c>
      <c r="AH742" s="9">
        <f>IFERROR((I742-K742)*24*60,0)</f>
        <v>0</v>
      </c>
      <c r="AI742" s="9">
        <f t="shared" si="12"/>
        <v>0</v>
      </c>
      <c r="AJ742" s="9">
        <f>C742</f>
        <v>1853</v>
      </c>
      <c r="AK742" s="9">
        <f>IF(P742="completed",((V742-K742)*24*60),0)</f>
        <v>4.9999999953433871</v>
      </c>
      <c r="AL742" s="9">
        <f>IF(P742="completed",((U742-K742)*24*60),0)</f>
        <v>5.9999999986030161</v>
      </c>
      <c r="AM742" s="9" t="str">
        <f t="shared" si="13"/>
        <v>OTP Achieved</v>
      </c>
      <c r="AN742" s="9" t="str">
        <f t="shared" si="14"/>
        <v>OTP Achieved</v>
      </c>
    </row>
    <row r="743" spans="1:40" ht="15.75" customHeight="1">
      <c r="A743" s="9" t="s">
        <v>1171</v>
      </c>
      <c r="B743" s="25">
        <v>46313.441666666666</v>
      </c>
      <c r="C743" s="9">
        <v>2317</v>
      </c>
      <c r="D743" s="9" t="s">
        <v>41</v>
      </c>
      <c r="E743" s="9">
        <v>7</v>
      </c>
      <c r="F743" s="9" t="s">
        <v>41</v>
      </c>
      <c r="G743" s="9" t="s">
        <v>41</v>
      </c>
      <c r="H743" s="9" t="s">
        <v>2338</v>
      </c>
      <c r="I743" s="25">
        <v>46313.443055555559</v>
      </c>
      <c r="J743" s="9" t="s">
        <v>41</v>
      </c>
      <c r="K743" s="25">
        <v>46313.443055555559</v>
      </c>
      <c r="L743" s="9">
        <v>42</v>
      </c>
      <c r="O743" s="25">
        <v>46313.440972222219</v>
      </c>
      <c r="P743" s="9" t="s">
        <v>43</v>
      </c>
      <c r="Q743" s="9" t="s">
        <v>1173</v>
      </c>
      <c r="R743" s="9" t="s">
        <v>2339</v>
      </c>
      <c r="S743" s="9">
        <v>4247</v>
      </c>
      <c r="T743" s="9" t="s">
        <v>41</v>
      </c>
      <c r="U743" s="25">
        <v>46313.45</v>
      </c>
      <c r="V743" s="25">
        <v>46313.447916666664</v>
      </c>
      <c r="W743" s="26" t="s">
        <v>2340</v>
      </c>
      <c r="X743" s="9">
        <v>22411</v>
      </c>
      <c r="Y743" s="25"/>
      <c r="Z743" s="9">
        <v>0</v>
      </c>
      <c r="AA743" s="27">
        <v>0.44166666666666665</v>
      </c>
      <c r="AB743" s="9">
        <v>7</v>
      </c>
      <c r="AC743" s="9" t="s">
        <v>41</v>
      </c>
      <c r="AD743" s="9" t="str">
        <f t="shared" si="10"/>
        <v>Actual</v>
      </c>
      <c r="AE743" s="9" t="str">
        <f t="shared" si="11"/>
        <v>TMK7</v>
      </c>
      <c r="AF743" s="9">
        <f>HOUR(O743)</f>
        <v>10</v>
      </c>
      <c r="AG743" s="9">
        <f>DAY(O743)</f>
        <v>18</v>
      </c>
      <c r="AH743" s="9">
        <f>IFERROR((I743-K743)*24*60,0)</f>
        <v>0</v>
      </c>
      <c r="AI743" s="9">
        <f t="shared" si="12"/>
        <v>0</v>
      </c>
      <c r="AJ743" s="9">
        <f>C743</f>
        <v>2317</v>
      </c>
      <c r="AK743" s="9">
        <f>IF(P743="completed",((V743-K743)*24*60),0)</f>
        <v>6.9999999913852662</v>
      </c>
      <c r="AL743" s="9">
        <f>IF(P743="completed",((U743-K743)*24*60),0)</f>
        <v>9.9999999906867743</v>
      </c>
      <c r="AM743" s="9" t="str">
        <f t="shared" si="13"/>
        <v>OTP Achieved</v>
      </c>
      <c r="AN743" s="9" t="str">
        <f t="shared" si="14"/>
        <v>OTP Achieved</v>
      </c>
    </row>
    <row r="744" spans="1:40" ht="15.75" customHeight="1">
      <c r="A744" s="9" t="s">
        <v>2258</v>
      </c>
      <c r="B744" s="25">
        <v>46313.440972222219</v>
      </c>
      <c r="C744" s="9">
        <v>2076</v>
      </c>
      <c r="D744" s="9" t="s">
        <v>41</v>
      </c>
      <c r="E744" s="9">
        <v>4</v>
      </c>
      <c r="F744" s="9" t="s">
        <v>41</v>
      </c>
      <c r="G744" s="9" t="s">
        <v>41</v>
      </c>
      <c r="H744" s="9" t="s">
        <v>2341</v>
      </c>
      <c r="I744" s="25">
        <v>46313.441666666666</v>
      </c>
      <c r="J744" s="9" t="s">
        <v>41</v>
      </c>
      <c r="K744" s="25">
        <v>46313.441666666666</v>
      </c>
      <c r="L744" s="9">
        <v>17</v>
      </c>
      <c r="O744" s="25">
        <v>46313.440972222219</v>
      </c>
      <c r="P744" s="9" t="s">
        <v>43</v>
      </c>
      <c r="Q744" s="9" t="s">
        <v>2260</v>
      </c>
      <c r="R744" s="9" t="s">
        <v>2342</v>
      </c>
      <c r="S744" s="9">
        <v>4247</v>
      </c>
      <c r="T744" s="9" t="s">
        <v>41</v>
      </c>
      <c r="U744" s="25">
        <v>46313.447222222225</v>
      </c>
      <c r="V744" s="25">
        <v>46313.444444444445</v>
      </c>
      <c r="W744" s="26" t="s">
        <v>2343</v>
      </c>
      <c r="X744" s="9">
        <v>22411</v>
      </c>
      <c r="Y744" s="25"/>
      <c r="Z744" s="9">
        <v>0</v>
      </c>
      <c r="AA744" s="27">
        <v>0.44097222222222221</v>
      </c>
      <c r="AB744" s="9">
        <v>4</v>
      </c>
      <c r="AC744" s="9" t="s">
        <v>41</v>
      </c>
      <c r="AD744" s="9" t="str">
        <f t="shared" si="10"/>
        <v>Actual</v>
      </c>
      <c r="AE744" s="9" t="str">
        <f t="shared" si="11"/>
        <v>TMK7</v>
      </c>
      <c r="AF744" s="9">
        <f>HOUR(O744)</f>
        <v>10</v>
      </c>
      <c r="AG744" s="9">
        <f>DAY(O744)</f>
        <v>18</v>
      </c>
      <c r="AH744" s="9">
        <f>IFERROR((I744-K744)*24*60,0)</f>
        <v>0</v>
      </c>
      <c r="AI744" s="9">
        <f t="shared" si="12"/>
        <v>0</v>
      </c>
      <c r="AJ744" s="9">
        <f>C744</f>
        <v>2076</v>
      </c>
      <c r="AK744" s="9">
        <f>IF(P744="completed",((V744-K744)*24*60),0)</f>
        <v>4.0000000025611371</v>
      </c>
      <c r="AL744" s="9">
        <f>IF(P744="completed",((U744-K744)*24*60),0)</f>
        <v>8.0000000051222742</v>
      </c>
      <c r="AM744" s="9" t="str">
        <f t="shared" si="13"/>
        <v>OTP Achieved</v>
      </c>
      <c r="AN744" s="9" t="str">
        <f t="shared" si="14"/>
        <v>OTP Achieved</v>
      </c>
    </row>
    <row r="745" spans="1:40" ht="15.75" customHeight="1">
      <c r="A745" s="9" t="s">
        <v>62</v>
      </c>
      <c r="B745" s="25">
        <v>46313.44027777778</v>
      </c>
      <c r="C745" s="9">
        <v>337</v>
      </c>
      <c r="D745" s="9" t="s">
        <v>41</v>
      </c>
      <c r="E745" s="9">
        <v>0</v>
      </c>
      <c r="F745" s="9" t="s">
        <v>41</v>
      </c>
      <c r="G745" s="9" t="s">
        <v>41</v>
      </c>
      <c r="H745" s="9" t="s">
        <v>2344</v>
      </c>
      <c r="I745" s="25">
        <v>46313.443055555559</v>
      </c>
      <c r="J745" s="9" t="s">
        <v>41</v>
      </c>
      <c r="K745" s="25">
        <v>46313.442361111112</v>
      </c>
      <c r="L745" s="9">
        <v>25</v>
      </c>
      <c r="O745" s="25">
        <v>46313.44027777778</v>
      </c>
      <c r="P745" s="9" t="s">
        <v>43</v>
      </c>
      <c r="Q745" s="9" t="s">
        <v>64</v>
      </c>
      <c r="R745" s="9" t="s">
        <v>2345</v>
      </c>
      <c r="S745" s="9">
        <v>4247</v>
      </c>
      <c r="T745" s="9" t="s">
        <v>41</v>
      </c>
      <c r="U745" s="25">
        <v>46313.444444444445</v>
      </c>
      <c r="V745" s="25">
        <v>46313.443055555559</v>
      </c>
      <c r="W745" s="26" t="s">
        <v>2346</v>
      </c>
      <c r="X745" s="9">
        <v>22411</v>
      </c>
      <c r="Y745" s="25"/>
      <c r="Z745" s="9">
        <v>0</v>
      </c>
      <c r="AA745" s="27">
        <v>0.44027777777777777</v>
      </c>
      <c r="AB745" s="9">
        <v>0</v>
      </c>
      <c r="AC745" s="9" t="s">
        <v>41</v>
      </c>
      <c r="AD745" s="9" t="str">
        <f t="shared" si="10"/>
        <v>Actual</v>
      </c>
      <c r="AE745" s="9" t="str">
        <f t="shared" si="11"/>
        <v>TMK7</v>
      </c>
      <c r="AF745" s="9">
        <f>HOUR(O745)</f>
        <v>10</v>
      </c>
      <c r="AG745" s="9">
        <f>DAY(O745)</f>
        <v>18</v>
      </c>
      <c r="AH745" s="9">
        <f>IFERROR((I745-K745)*24*60,0)</f>
        <v>1.000000003259629</v>
      </c>
      <c r="AI745" s="9">
        <f t="shared" si="12"/>
        <v>1.000000003259629</v>
      </c>
      <c r="AJ745" s="9">
        <f>C745</f>
        <v>337</v>
      </c>
      <c r="AK745" s="9">
        <f>IF(P745="completed",((V745-K745)*24*60),0)</f>
        <v>1.000000003259629</v>
      </c>
      <c r="AL745" s="9">
        <f>IF(P745="completed",((U745-K745)*24*60),0)</f>
        <v>2.9999999993015081</v>
      </c>
      <c r="AM745" s="9" t="str">
        <f t="shared" si="13"/>
        <v>OTP Achieved</v>
      </c>
      <c r="AN745" s="9" t="str">
        <f t="shared" si="14"/>
        <v>OTP Achieved</v>
      </c>
    </row>
    <row r="746" spans="1:40" ht="15.75" customHeight="1">
      <c r="A746" s="9" t="s">
        <v>177</v>
      </c>
      <c r="B746" s="25">
        <v>46313.44027777778</v>
      </c>
      <c r="C746" s="9">
        <v>253</v>
      </c>
      <c r="D746" s="9" t="s">
        <v>41</v>
      </c>
      <c r="E746" s="9">
        <v>1</v>
      </c>
      <c r="F746" s="9" t="s">
        <v>41</v>
      </c>
      <c r="G746" s="9" t="s">
        <v>41</v>
      </c>
      <c r="H746" s="9" t="s">
        <v>2347</v>
      </c>
      <c r="I746" s="25">
        <v>46313.441666666666</v>
      </c>
      <c r="J746" s="9" t="s">
        <v>41</v>
      </c>
      <c r="K746" s="25">
        <v>46313.441666666666</v>
      </c>
      <c r="L746" s="9">
        <v>29</v>
      </c>
      <c r="O746" s="25">
        <v>46313.439583333333</v>
      </c>
      <c r="P746" s="9" t="s">
        <v>43</v>
      </c>
      <c r="Q746" s="9" t="s">
        <v>179</v>
      </c>
      <c r="R746" s="9" t="s">
        <v>2348</v>
      </c>
      <c r="S746" s="9">
        <v>4247</v>
      </c>
      <c r="T746" s="9" t="s">
        <v>41</v>
      </c>
      <c r="U746" s="25">
        <v>46313.443055555559</v>
      </c>
      <c r="V746" s="25">
        <v>46313.441666666666</v>
      </c>
      <c r="W746" s="26" t="s">
        <v>2349</v>
      </c>
      <c r="X746" s="9">
        <v>22411</v>
      </c>
      <c r="Y746" s="25"/>
      <c r="Z746" s="9">
        <v>0</v>
      </c>
      <c r="AA746" s="27">
        <v>0.44027777777777777</v>
      </c>
      <c r="AB746" s="9">
        <v>0</v>
      </c>
      <c r="AC746" s="9" t="s">
        <v>41</v>
      </c>
      <c r="AD746" s="9" t="str">
        <f t="shared" si="10"/>
        <v>Actual</v>
      </c>
      <c r="AE746" s="9" t="str">
        <f t="shared" si="11"/>
        <v>TMK7</v>
      </c>
      <c r="AF746" s="9">
        <f>HOUR(O746)</f>
        <v>10</v>
      </c>
      <c r="AG746" s="9">
        <f>DAY(O746)</f>
        <v>18</v>
      </c>
      <c r="AH746" s="9">
        <f>IFERROR((I746-K746)*24*60,0)</f>
        <v>0</v>
      </c>
      <c r="AI746" s="9">
        <f t="shared" si="12"/>
        <v>0</v>
      </c>
      <c r="AJ746" s="9">
        <f>C746</f>
        <v>253</v>
      </c>
      <c r="AK746" s="9">
        <f>IF(P746="completed",((V746-K746)*24*60),0)</f>
        <v>0</v>
      </c>
      <c r="AL746" s="9">
        <f>IF(P746="completed",((U746-K746)*24*60),0)</f>
        <v>2.000000006519258</v>
      </c>
      <c r="AM746" s="9" t="str">
        <f t="shared" si="13"/>
        <v>OTP Achieved</v>
      </c>
      <c r="AN746" s="9" t="str">
        <f t="shared" si="14"/>
        <v>OTP Achieved</v>
      </c>
    </row>
    <row r="747" spans="1:40" ht="15.75" customHeight="1">
      <c r="A747" s="9" t="s">
        <v>379</v>
      </c>
      <c r="B747" s="25">
        <v>46313.439583333333</v>
      </c>
      <c r="C747" s="9">
        <v>2232</v>
      </c>
      <c r="D747" s="9" t="s">
        <v>41</v>
      </c>
      <c r="E747" s="9">
        <v>8</v>
      </c>
      <c r="F747" s="9" t="s">
        <v>41</v>
      </c>
      <c r="G747" s="9" t="s">
        <v>41</v>
      </c>
      <c r="H747" s="9" t="s">
        <v>2350</v>
      </c>
      <c r="I747" s="25">
        <v>46313.440972222219</v>
      </c>
      <c r="J747" s="9" t="s">
        <v>41</v>
      </c>
      <c r="K747" s="25">
        <v>46313.44027777778</v>
      </c>
      <c r="L747" s="9">
        <v>43</v>
      </c>
      <c r="O747" s="25">
        <v>46313.438888888886</v>
      </c>
      <c r="P747" s="9" t="s">
        <v>43</v>
      </c>
      <c r="Q747" s="9" t="s">
        <v>381</v>
      </c>
      <c r="R747" s="9" t="s">
        <v>2351</v>
      </c>
      <c r="S747" s="9">
        <v>4247</v>
      </c>
      <c r="T747" s="9" t="s">
        <v>41</v>
      </c>
      <c r="U747" s="25">
        <v>46313.445833333331</v>
      </c>
      <c r="V747" s="25">
        <v>46313.445833333331</v>
      </c>
      <c r="W747" s="26" t="s">
        <v>2352</v>
      </c>
      <c r="X747" s="9">
        <v>22411</v>
      </c>
      <c r="Z747" s="9">
        <v>0</v>
      </c>
      <c r="AA747" s="27">
        <v>0.43958333333333333</v>
      </c>
      <c r="AB747" s="9">
        <v>7</v>
      </c>
      <c r="AC747" s="9" t="s">
        <v>41</v>
      </c>
      <c r="AD747" s="9" t="str">
        <f t="shared" si="10"/>
        <v>Actual</v>
      </c>
      <c r="AE747" s="9" t="str">
        <f t="shared" si="11"/>
        <v>TMK7</v>
      </c>
      <c r="AF747" s="9">
        <f>HOUR(O747)</f>
        <v>10</v>
      </c>
      <c r="AG747" s="9">
        <f>DAY(O747)</f>
        <v>18</v>
      </c>
      <c r="AH747" s="9">
        <f>IFERROR((I747-K747)*24*60,0)</f>
        <v>0.99999999278225005</v>
      </c>
      <c r="AI747" s="9">
        <f t="shared" si="12"/>
        <v>0.99999999278225005</v>
      </c>
      <c r="AJ747" s="9">
        <f>C747</f>
        <v>2232</v>
      </c>
      <c r="AK747" s="9">
        <f>IF(P747="completed",((V747-K747)*24*60),0)</f>
        <v>7.9999999946448952</v>
      </c>
      <c r="AL747" s="9">
        <f>IF(P747="completed",((U747-K747)*24*60),0)</f>
        <v>7.9999999946448952</v>
      </c>
      <c r="AM747" s="9" t="str">
        <f t="shared" si="13"/>
        <v>OTP Breached</v>
      </c>
      <c r="AN747" s="9" t="str">
        <f t="shared" si="14"/>
        <v>OTP Achieved</v>
      </c>
    </row>
    <row r="748" spans="1:40" ht="15.75" customHeight="1">
      <c r="A748" s="9" t="s">
        <v>93</v>
      </c>
      <c r="B748" s="25">
        <v>46313.438888888886</v>
      </c>
      <c r="C748" s="9">
        <v>380</v>
      </c>
      <c r="D748" s="9" t="s">
        <v>41</v>
      </c>
      <c r="E748" s="9">
        <v>1</v>
      </c>
      <c r="F748" s="9" t="s">
        <v>41</v>
      </c>
      <c r="G748" s="9" t="s">
        <v>41</v>
      </c>
      <c r="H748" s="9" t="s">
        <v>2353</v>
      </c>
      <c r="I748" s="25">
        <v>46313.439583333333</v>
      </c>
      <c r="J748" s="9" t="s">
        <v>41</v>
      </c>
      <c r="K748" s="25">
        <v>46313.439583333333</v>
      </c>
      <c r="L748" s="9">
        <v>37</v>
      </c>
      <c r="O748" s="25">
        <v>46313.438888888886</v>
      </c>
      <c r="P748" s="9" t="s">
        <v>43</v>
      </c>
      <c r="Q748" s="9" t="s">
        <v>95</v>
      </c>
      <c r="R748" s="9" t="s">
        <v>2354</v>
      </c>
      <c r="S748" s="9">
        <v>4247</v>
      </c>
      <c r="T748" s="9" t="s">
        <v>41</v>
      </c>
      <c r="U748" s="25">
        <v>46313.441666666666</v>
      </c>
      <c r="V748" s="25">
        <v>46313.439583333333</v>
      </c>
      <c r="W748" s="26" t="s">
        <v>2355</v>
      </c>
      <c r="X748" s="9">
        <v>22411</v>
      </c>
      <c r="Y748" s="25"/>
      <c r="Z748" s="9">
        <v>0</v>
      </c>
      <c r="AA748" s="27">
        <v>0.43888888888888888</v>
      </c>
      <c r="AB748" s="9">
        <v>0</v>
      </c>
      <c r="AC748" s="9" t="s">
        <v>41</v>
      </c>
      <c r="AD748" s="9" t="str">
        <f t="shared" si="10"/>
        <v>Actual</v>
      </c>
      <c r="AE748" s="9" t="str">
        <f t="shared" si="11"/>
        <v>TMK7</v>
      </c>
      <c r="AF748" s="9">
        <f>HOUR(O748)</f>
        <v>10</v>
      </c>
      <c r="AG748" s="9">
        <f>DAY(O748)</f>
        <v>18</v>
      </c>
      <c r="AH748" s="9">
        <f>IFERROR((I748-K748)*24*60,0)</f>
        <v>0</v>
      </c>
      <c r="AI748" s="9">
        <f t="shared" si="12"/>
        <v>0</v>
      </c>
      <c r="AJ748" s="9">
        <f>C748</f>
        <v>380</v>
      </c>
      <c r="AK748" s="9">
        <f>IF(P748="completed",((V748-K748)*24*60),0)</f>
        <v>0</v>
      </c>
      <c r="AL748" s="9">
        <f>IF(P748="completed",((U748-K748)*24*60),0)</f>
        <v>2.9999999993015081</v>
      </c>
      <c r="AM748" s="9" t="str">
        <f t="shared" si="13"/>
        <v>OTP Achieved</v>
      </c>
      <c r="AN748" s="9" t="str">
        <f t="shared" si="14"/>
        <v>OTP Achieved</v>
      </c>
    </row>
    <row r="749" spans="1:40" ht="15.75" customHeight="1">
      <c r="A749" s="9" t="s">
        <v>711</v>
      </c>
      <c r="B749" s="25">
        <v>46313.4375</v>
      </c>
      <c r="C749" s="9">
        <v>2274</v>
      </c>
      <c r="D749" s="9" t="s">
        <v>41</v>
      </c>
      <c r="E749" s="9">
        <v>7</v>
      </c>
      <c r="F749" s="9" t="s">
        <v>41</v>
      </c>
      <c r="G749" s="9" t="s">
        <v>41</v>
      </c>
      <c r="H749" s="9" t="s">
        <v>2356</v>
      </c>
      <c r="I749" s="25">
        <v>46313.438888888886</v>
      </c>
      <c r="J749" s="9" t="s">
        <v>41</v>
      </c>
      <c r="K749" s="25">
        <v>46313.438194444447</v>
      </c>
      <c r="L749" s="9">
        <v>30</v>
      </c>
      <c r="O749" s="25">
        <v>46313.4375</v>
      </c>
      <c r="P749" s="9" t="s">
        <v>43</v>
      </c>
      <c r="Q749" s="9" t="s">
        <v>713</v>
      </c>
      <c r="R749" s="9" t="s">
        <v>2357</v>
      </c>
      <c r="S749" s="9">
        <v>4247</v>
      </c>
      <c r="T749" s="9" t="s">
        <v>41</v>
      </c>
      <c r="U749" s="25">
        <v>46313.444444444445</v>
      </c>
      <c r="V749" s="25">
        <v>46313.443055555559</v>
      </c>
      <c r="W749" s="26" t="s">
        <v>2358</v>
      </c>
      <c r="X749" s="9">
        <v>22411</v>
      </c>
      <c r="Z749" s="9">
        <v>0</v>
      </c>
      <c r="AA749" s="27">
        <v>0.4375</v>
      </c>
      <c r="AB749" s="9">
        <v>7</v>
      </c>
      <c r="AC749" s="9" t="s">
        <v>41</v>
      </c>
      <c r="AD749" s="9" t="str">
        <f t="shared" si="10"/>
        <v>Actual</v>
      </c>
      <c r="AE749" s="9" t="str">
        <f t="shared" si="11"/>
        <v>TMK7</v>
      </c>
      <c r="AF749" s="9">
        <f>HOUR(O749)</f>
        <v>10</v>
      </c>
      <c r="AG749" s="9">
        <f>DAY(O749)</f>
        <v>18</v>
      </c>
      <c r="AH749" s="9">
        <f>IFERROR((I749-K749)*24*60,0)</f>
        <v>0.99999999278225005</v>
      </c>
      <c r="AI749" s="9">
        <f t="shared" si="12"/>
        <v>0.99999999278225005</v>
      </c>
      <c r="AJ749" s="9">
        <f>C749</f>
        <v>2274</v>
      </c>
      <c r="AK749" s="9">
        <f>IF(P749="completed",((V749-K749)*24*60),0)</f>
        <v>7.0000000018626451</v>
      </c>
      <c r="AL749" s="9">
        <f>IF(P749="completed",((U749-K749)*24*60),0)</f>
        <v>8.9999999979045242</v>
      </c>
      <c r="AM749" s="9" t="str">
        <f t="shared" si="13"/>
        <v>OTP Achieved</v>
      </c>
      <c r="AN749" s="9" t="str">
        <f t="shared" si="14"/>
        <v>OTP Achieved</v>
      </c>
    </row>
    <row r="750" spans="1:40" ht="15.75" customHeight="1">
      <c r="A750" s="9" t="s">
        <v>1077</v>
      </c>
      <c r="B750" s="25">
        <v>46313.436111111114</v>
      </c>
      <c r="C750" s="9">
        <v>3983</v>
      </c>
      <c r="D750" s="9" t="s">
        <v>41</v>
      </c>
      <c r="E750" s="9">
        <v>13</v>
      </c>
      <c r="F750" s="9" t="s">
        <v>41</v>
      </c>
      <c r="G750" s="9" t="s">
        <v>41</v>
      </c>
      <c r="H750" s="9" t="s">
        <v>2359</v>
      </c>
      <c r="I750" s="25">
        <v>46313.436805555553</v>
      </c>
      <c r="J750" s="9" t="s">
        <v>41</v>
      </c>
      <c r="K750" s="25">
        <v>46313.436805555553</v>
      </c>
      <c r="L750" s="9">
        <v>20</v>
      </c>
      <c r="O750" s="25">
        <v>46313.436111111114</v>
      </c>
      <c r="P750" s="9" t="s">
        <v>43</v>
      </c>
      <c r="Q750" s="9" t="s">
        <v>1079</v>
      </c>
      <c r="R750" s="9" t="s">
        <v>2360</v>
      </c>
      <c r="S750" s="9">
        <v>4247</v>
      </c>
      <c r="T750" s="9" t="s">
        <v>41</v>
      </c>
      <c r="U750" s="25">
        <v>46313.447222222225</v>
      </c>
      <c r="V750" s="25">
        <v>46313.445833333331</v>
      </c>
      <c r="W750" s="26" t="s">
        <v>2361</v>
      </c>
      <c r="X750" s="9">
        <v>22411</v>
      </c>
      <c r="Z750" s="9">
        <v>0</v>
      </c>
      <c r="AA750" s="27">
        <v>0.43611111111111112</v>
      </c>
      <c r="AB750" s="9">
        <v>13</v>
      </c>
      <c r="AC750" s="9" t="s">
        <v>41</v>
      </c>
      <c r="AD750" s="9" t="str">
        <f t="shared" si="10"/>
        <v>Actual</v>
      </c>
      <c r="AE750" s="9" t="str">
        <f t="shared" si="11"/>
        <v>TMK7</v>
      </c>
      <c r="AF750" s="9">
        <f>HOUR(O750)</f>
        <v>10</v>
      </c>
      <c r="AG750" s="9">
        <f>DAY(O750)</f>
        <v>18</v>
      </c>
      <c r="AH750" s="9">
        <f>IFERROR((I750-K750)*24*60,0)</f>
        <v>0</v>
      </c>
      <c r="AI750" s="9">
        <f t="shared" si="12"/>
        <v>0</v>
      </c>
      <c r="AJ750" s="9">
        <f>C750</f>
        <v>3983</v>
      </c>
      <c r="AK750" s="9">
        <f>IF(P750="completed",((V750-K750)*24*60),0)</f>
        <v>13.000000000465661</v>
      </c>
      <c r="AL750" s="9">
        <f>IF(P750="completed",((U750-K750)*24*60),0)</f>
        <v>15.000000006984919</v>
      </c>
      <c r="AM750" s="9" t="str">
        <f t="shared" si="13"/>
        <v>OTP Achieved</v>
      </c>
      <c r="AN750" s="9" t="str">
        <f t="shared" si="14"/>
        <v>OTP Achieved</v>
      </c>
    </row>
    <row r="751" spans="1:40" ht="15.75" customHeight="1">
      <c r="A751" s="9" t="s">
        <v>1336</v>
      </c>
      <c r="B751" s="25">
        <v>46313.43472222222</v>
      </c>
      <c r="C751" s="9">
        <v>2011</v>
      </c>
      <c r="D751" s="9" t="s">
        <v>41</v>
      </c>
      <c r="E751" s="9">
        <v>6</v>
      </c>
      <c r="F751" s="9" t="s">
        <v>41</v>
      </c>
      <c r="G751" s="9" t="s">
        <v>41</v>
      </c>
      <c r="H751" s="9" t="s">
        <v>2362</v>
      </c>
      <c r="I751" s="25">
        <v>46313.435416666667</v>
      </c>
      <c r="J751" s="9" t="s">
        <v>41</v>
      </c>
      <c r="K751" s="25">
        <v>46313.435416666667</v>
      </c>
      <c r="L751" s="9">
        <v>14</v>
      </c>
      <c r="O751" s="25">
        <v>46313.43472222222</v>
      </c>
      <c r="P751" s="9" t="s">
        <v>43</v>
      </c>
      <c r="Q751" s="9" t="s">
        <v>1338</v>
      </c>
      <c r="R751" s="9" t="s">
        <v>2363</v>
      </c>
      <c r="S751" s="9">
        <v>4247</v>
      </c>
      <c r="T751" s="9" t="s">
        <v>41</v>
      </c>
      <c r="U751" s="25">
        <v>46313.44027777778</v>
      </c>
      <c r="V751" s="25">
        <v>46313.439583333333</v>
      </c>
      <c r="W751" s="26" t="s">
        <v>2364</v>
      </c>
      <c r="X751" s="9">
        <v>22411</v>
      </c>
      <c r="Y751" s="25"/>
      <c r="Z751" s="9">
        <v>0</v>
      </c>
      <c r="AA751" s="27">
        <v>0.43472222222222223</v>
      </c>
      <c r="AB751" s="9">
        <v>6</v>
      </c>
      <c r="AC751" s="9" t="s">
        <v>41</v>
      </c>
      <c r="AD751" s="9" t="str">
        <f t="shared" si="10"/>
        <v>Actual</v>
      </c>
      <c r="AE751" s="9" t="str">
        <f t="shared" si="11"/>
        <v>TMK7</v>
      </c>
      <c r="AF751" s="9">
        <f>HOUR(O751)</f>
        <v>10</v>
      </c>
      <c r="AG751" s="9">
        <f>DAY(O751)</f>
        <v>18</v>
      </c>
      <c r="AH751" s="9">
        <f>IFERROR((I751-K751)*24*60,0)</f>
        <v>0</v>
      </c>
      <c r="AI751" s="9">
        <f t="shared" si="12"/>
        <v>0</v>
      </c>
      <c r="AJ751" s="9">
        <f>C751</f>
        <v>2011</v>
      </c>
      <c r="AK751" s="9">
        <f>IF(P751="completed",((V751-K751)*24*60),0)</f>
        <v>5.9999999986030161</v>
      </c>
      <c r="AL751" s="9">
        <f>IF(P751="completed",((U751-K751)*24*60),0)</f>
        <v>7.0000000018626451</v>
      </c>
      <c r="AM751" s="9" t="str">
        <f t="shared" si="13"/>
        <v>OTP Achieved</v>
      </c>
      <c r="AN751" s="9" t="str">
        <f t="shared" si="14"/>
        <v>OTP Achieved</v>
      </c>
    </row>
    <row r="752" spans="1:40" ht="15.75" customHeight="1">
      <c r="A752" s="9" t="s">
        <v>734</v>
      </c>
      <c r="B752" s="25">
        <v>46313.433333333334</v>
      </c>
      <c r="C752" s="9">
        <v>833</v>
      </c>
      <c r="D752" s="9" t="s">
        <v>41</v>
      </c>
      <c r="E752" s="9">
        <v>3</v>
      </c>
      <c r="F752" s="9" t="s">
        <v>41</v>
      </c>
      <c r="G752" s="9" t="s">
        <v>41</v>
      </c>
      <c r="H752" s="9" t="s">
        <v>2365</v>
      </c>
      <c r="I752" s="25">
        <v>46313.43472222222</v>
      </c>
      <c r="J752" s="9" t="s">
        <v>41</v>
      </c>
      <c r="K752" s="25">
        <v>46313.43472222222</v>
      </c>
      <c r="L752" s="9">
        <v>9</v>
      </c>
      <c r="O752" s="25">
        <v>46313.432638888888</v>
      </c>
      <c r="P752" s="9" t="s">
        <v>43</v>
      </c>
      <c r="Q752" s="9" t="s">
        <v>736</v>
      </c>
      <c r="R752" s="9" t="s">
        <v>2366</v>
      </c>
      <c r="S752" s="9">
        <v>4247</v>
      </c>
      <c r="T752" s="9" t="s">
        <v>41</v>
      </c>
      <c r="U752" s="25">
        <v>46313.4375</v>
      </c>
      <c r="V752" s="25">
        <v>46313.436805555553</v>
      </c>
      <c r="W752" s="26" t="s">
        <v>2367</v>
      </c>
      <c r="X752" s="9">
        <v>22411</v>
      </c>
      <c r="Y752" s="25"/>
      <c r="Z752" s="9">
        <v>0</v>
      </c>
      <c r="AA752" s="27">
        <v>0.43333333333333335</v>
      </c>
      <c r="AB752" s="9">
        <v>3</v>
      </c>
      <c r="AC752" s="9" t="s">
        <v>41</v>
      </c>
      <c r="AD752" s="9" t="str">
        <f t="shared" si="10"/>
        <v>Actual</v>
      </c>
      <c r="AE752" s="9" t="str">
        <f t="shared" si="11"/>
        <v>TMK7</v>
      </c>
      <c r="AF752" s="9">
        <f>HOUR(O752)</f>
        <v>10</v>
      </c>
      <c r="AG752" s="9">
        <f>DAY(O752)</f>
        <v>18</v>
      </c>
      <c r="AH752" s="9">
        <f>IFERROR((I752-K752)*24*60,0)</f>
        <v>0</v>
      </c>
      <c r="AI752" s="9">
        <f t="shared" si="12"/>
        <v>0</v>
      </c>
      <c r="AJ752" s="9">
        <f>C752</f>
        <v>833</v>
      </c>
      <c r="AK752" s="9">
        <f>IF(P752="completed",((V752-K752)*24*60),0)</f>
        <v>2.9999999993015081</v>
      </c>
      <c r="AL752" s="9">
        <f>IF(P752="completed",((U752-K752)*24*60),0)</f>
        <v>4.0000000025611371</v>
      </c>
      <c r="AM752" s="9" t="str">
        <f t="shared" si="13"/>
        <v>OTP Achieved</v>
      </c>
      <c r="AN752" s="9" t="str">
        <f t="shared" si="14"/>
        <v>OTP Achieved</v>
      </c>
    </row>
    <row r="753" spans="1:40" ht="15.75" customHeight="1">
      <c r="A753" s="9" t="s">
        <v>52</v>
      </c>
      <c r="B753" s="25">
        <v>46313.432638888888</v>
      </c>
      <c r="C753" s="9">
        <v>1354</v>
      </c>
      <c r="D753" s="9" t="s">
        <v>41</v>
      </c>
      <c r="E753" s="9">
        <v>3</v>
      </c>
      <c r="F753" s="9" t="s">
        <v>41</v>
      </c>
      <c r="G753" s="9" t="s">
        <v>41</v>
      </c>
      <c r="H753" s="9" t="s">
        <v>2368</v>
      </c>
      <c r="I753" s="25">
        <v>46313.434027777781</v>
      </c>
      <c r="J753" s="9" t="s">
        <v>41</v>
      </c>
      <c r="K753" s="25">
        <v>46313.434027777781</v>
      </c>
      <c r="L753" s="9">
        <v>9</v>
      </c>
      <c r="O753" s="25">
        <v>46313.432638888888</v>
      </c>
      <c r="P753" s="9" t="s">
        <v>43</v>
      </c>
      <c r="Q753" s="9" t="s">
        <v>54</v>
      </c>
      <c r="R753" s="9" t="s">
        <v>2369</v>
      </c>
      <c r="S753" s="9">
        <v>4247</v>
      </c>
      <c r="T753" s="9" t="s">
        <v>41</v>
      </c>
      <c r="U753" s="25">
        <v>46313.438194444447</v>
      </c>
      <c r="V753" s="25">
        <v>46313.436111111114</v>
      </c>
      <c r="W753" s="26" t="s">
        <v>2370</v>
      </c>
      <c r="X753" s="9">
        <v>22411</v>
      </c>
      <c r="Z753" s="9">
        <v>0</v>
      </c>
      <c r="AA753" s="27">
        <v>0.43263888888888891</v>
      </c>
      <c r="AB753" s="9">
        <v>3</v>
      </c>
      <c r="AC753" s="9" t="s">
        <v>41</v>
      </c>
      <c r="AD753" s="9" t="str">
        <f t="shared" si="10"/>
        <v>Actual</v>
      </c>
      <c r="AE753" s="9" t="str">
        <f t="shared" si="11"/>
        <v>TMK7</v>
      </c>
      <c r="AF753" s="9">
        <f>HOUR(O753)</f>
        <v>10</v>
      </c>
      <c r="AG753" s="9">
        <f>DAY(O753)</f>
        <v>18</v>
      </c>
      <c r="AH753" s="9">
        <f>IFERROR((I753-K753)*24*60,0)</f>
        <v>0</v>
      </c>
      <c r="AI753" s="9">
        <f t="shared" si="12"/>
        <v>0</v>
      </c>
      <c r="AJ753" s="9">
        <f>C753</f>
        <v>1354</v>
      </c>
      <c r="AK753" s="9">
        <f>IF(P753="completed",((V753-K753)*24*60),0)</f>
        <v>2.9999999993015081</v>
      </c>
      <c r="AL753" s="9">
        <f>IF(P753="completed",((U753-K753)*24*60),0)</f>
        <v>5.9999999986030161</v>
      </c>
      <c r="AM753" s="9" t="str">
        <f t="shared" si="13"/>
        <v>OTP Achieved</v>
      </c>
      <c r="AN753" s="9" t="str">
        <f t="shared" si="14"/>
        <v>OTP Achieved</v>
      </c>
    </row>
    <row r="754" spans="1:40" ht="15.75" customHeight="1">
      <c r="A754" s="9" t="s">
        <v>106</v>
      </c>
      <c r="B754" s="25">
        <v>46313.431944444441</v>
      </c>
      <c r="C754" s="9">
        <v>1517</v>
      </c>
      <c r="D754" s="9" t="s">
        <v>41</v>
      </c>
      <c r="E754" s="9">
        <v>4</v>
      </c>
      <c r="F754" s="9" t="s">
        <v>41</v>
      </c>
      <c r="G754" s="9" t="s">
        <v>41</v>
      </c>
      <c r="H754" s="9" t="s">
        <v>2371</v>
      </c>
      <c r="I754" s="25">
        <v>46313.434027777781</v>
      </c>
      <c r="J754" s="9" t="s">
        <v>41</v>
      </c>
      <c r="K754" s="25">
        <v>46313.434027777781</v>
      </c>
      <c r="L754" s="9">
        <v>17</v>
      </c>
      <c r="O754" s="25">
        <v>46313.431944444441</v>
      </c>
      <c r="P754" s="9" t="s">
        <v>43</v>
      </c>
      <c r="Q754" s="9" t="s">
        <v>108</v>
      </c>
      <c r="R754" s="9" t="s">
        <v>2372</v>
      </c>
      <c r="S754" s="9">
        <v>4247</v>
      </c>
      <c r="T754" s="9" t="s">
        <v>41</v>
      </c>
      <c r="U754" s="25">
        <v>46313.438888888886</v>
      </c>
      <c r="V754" s="25">
        <v>46313.436805555553</v>
      </c>
      <c r="W754" s="26" t="s">
        <v>2373</v>
      </c>
      <c r="X754" s="9">
        <v>22411</v>
      </c>
      <c r="Z754" s="9">
        <v>0</v>
      </c>
      <c r="AA754" s="27">
        <v>0.43194444444444446</v>
      </c>
      <c r="AB754" s="9">
        <v>4</v>
      </c>
      <c r="AC754" s="9" t="s">
        <v>41</v>
      </c>
      <c r="AD754" s="9" t="str">
        <f t="shared" si="10"/>
        <v>Actual</v>
      </c>
      <c r="AE754" s="9" t="str">
        <f t="shared" si="11"/>
        <v>TMK7</v>
      </c>
      <c r="AF754" s="9">
        <f>HOUR(O754)</f>
        <v>10</v>
      </c>
      <c r="AG754" s="9">
        <f>DAY(O754)</f>
        <v>18</v>
      </c>
      <c r="AH754" s="9">
        <f>IFERROR((I754-K754)*24*60,0)</f>
        <v>0</v>
      </c>
      <c r="AI754" s="9">
        <f t="shared" si="12"/>
        <v>0</v>
      </c>
      <c r="AJ754" s="9">
        <f>C754</f>
        <v>1517</v>
      </c>
      <c r="AK754" s="9">
        <f>IF(P754="completed",((V754-K754)*24*60),0)</f>
        <v>3.9999999920837581</v>
      </c>
      <c r="AL754" s="9">
        <f>IF(P754="completed",((U754-K754)*24*60),0)</f>
        <v>6.9999999913852662</v>
      </c>
      <c r="AM754" s="9" t="str">
        <f t="shared" si="13"/>
        <v>OTP Achieved</v>
      </c>
      <c r="AN754" s="9" t="str">
        <f t="shared" si="14"/>
        <v>OTP Achieved</v>
      </c>
    </row>
    <row r="755" spans="1:40" ht="15.75" customHeight="1">
      <c r="A755" s="9" t="s">
        <v>185</v>
      </c>
      <c r="B755" s="25">
        <v>46313.431250000001</v>
      </c>
      <c r="C755" s="9">
        <v>1062</v>
      </c>
      <c r="D755" s="9" t="s">
        <v>41</v>
      </c>
      <c r="E755" s="9">
        <v>5</v>
      </c>
      <c r="F755" s="9" t="s">
        <v>41</v>
      </c>
      <c r="G755" s="9" t="s">
        <v>41</v>
      </c>
      <c r="H755" s="9" t="s">
        <v>2374</v>
      </c>
      <c r="I755" s="25">
        <v>46313.432638888888</v>
      </c>
      <c r="J755" s="9" t="s">
        <v>41</v>
      </c>
      <c r="K755" s="25">
        <v>46313.432638888888</v>
      </c>
      <c r="L755" s="9">
        <v>19</v>
      </c>
      <c r="O755" s="25">
        <v>46313.431250000001</v>
      </c>
      <c r="P755" s="9" t="s">
        <v>43</v>
      </c>
      <c r="Q755" s="9" t="s">
        <v>187</v>
      </c>
      <c r="R755" s="9" t="s">
        <v>2375</v>
      </c>
      <c r="S755" s="9">
        <v>4247</v>
      </c>
      <c r="T755" s="9" t="s">
        <v>41</v>
      </c>
      <c r="U755" s="25">
        <v>46313.436111111114</v>
      </c>
      <c r="V755" s="25">
        <v>46313.435416666667</v>
      </c>
      <c r="W755" s="26" t="s">
        <v>2376</v>
      </c>
      <c r="X755" s="9">
        <v>22411</v>
      </c>
      <c r="Y755" s="25"/>
      <c r="Z755" s="9">
        <v>0</v>
      </c>
      <c r="AA755" s="27">
        <v>0.43125000000000002</v>
      </c>
      <c r="AB755" s="9">
        <v>4</v>
      </c>
      <c r="AC755" s="9" t="s">
        <v>41</v>
      </c>
      <c r="AD755" s="9" t="str">
        <f t="shared" si="10"/>
        <v>Actual</v>
      </c>
      <c r="AE755" s="9" t="str">
        <f t="shared" si="11"/>
        <v>TMK7</v>
      </c>
      <c r="AF755" s="9">
        <f>HOUR(O755)</f>
        <v>10</v>
      </c>
      <c r="AG755" s="9">
        <f>DAY(O755)</f>
        <v>18</v>
      </c>
      <c r="AH755" s="9">
        <f>IFERROR((I755-K755)*24*60,0)</f>
        <v>0</v>
      </c>
      <c r="AI755" s="9">
        <f t="shared" si="12"/>
        <v>0</v>
      </c>
      <c r="AJ755" s="9">
        <f>C755</f>
        <v>1062</v>
      </c>
      <c r="AK755" s="9">
        <f>IF(P755="completed",((V755-K755)*24*60),0)</f>
        <v>4.0000000025611371</v>
      </c>
      <c r="AL755" s="9">
        <f>IF(P755="completed",((U755-K755)*24*60),0)</f>
        <v>5.0000000058207661</v>
      </c>
      <c r="AM755" s="9" t="str">
        <f t="shared" si="13"/>
        <v>OTP Achieved</v>
      </c>
      <c r="AN755" s="9" t="str">
        <f t="shared" si="14"/>
        <v>OTP Achieved</v>
      </c>
    </row>
    <row r="756" spans="1:40" ht="15.75" customHeight="1">
      <c r="A756" s="9" t="s">
        <v>1310</v>
      </c>
      <c r="B756" s="25">
        <v>46313.431250000001</v>
      </c>
      <c r="C756" s="9">
        <v>1520</v>
      </c>
      <c r="D756" s="9" t="s">
        <v>41</v>
      </c>
      <c r="E756" s="9">
        <v>6</v>
      </c>
      <c r="F756" s="9" t="s">
        <v>41</v>
      </c>
      <c r="G756" s="9" t="s">
        <v>41</v>
      </c>
      <c r="H756" s="9" t="s">
        <v>2377</v>
      </c>
      <c r="I756" s="25">
        <v>46313.431944444441</v>
      </c>
      <c r="J756" s="9" t="s">
        <v>41</v>
      </c>
      <c r="K756" s="25">
        <v>46313.431250000001</v>
      </c>
      <c r="L756" s="9">
        <v>23</v>
      </c>
      <c r="O756" s="25">
        <v>46313.431250000001</v>
      </c>
      <c r="P756" s="9" t="s">
        <v>43</v>
      </c>
      <c r="Q756" s="9" t="s">
        <v>1312</v>
      </c>
      <c r="R756" s="9" t="s">
        <v>2378</v>
      </c>
      <c r="S756" s="9">
        <v>4247</v>
      </c>
      <c r="T756" s="9" t="s">
        <v>41</v>
      </c>
      <c r="U756" s="25">
        <v>46313.435416666667</v>
      </c>
      <c r="V756" s="25">
        <v>46313.435416666667</v>
      </c>
      <c r="W756" s="26" t="s">
        <v>2379</v>
      </c>
      <c r="X756" s="9">
        <v>22411</v>
      </c>
      <c r="Y756" s="25"/>
      <c r="Z756" s="9">
        <v>0</v>
      </c>
      <c r="AA756" s="27">
        <v>0.43125000000000002</v>
      </c>
      <c r="AB756" s="9">
        <v>5</v>
      </c>
      <c r="AC756" s="9" t="s">
        <v>41</v>
      </c>
      <c r="AD756" s="9" t="str">
        <f t="shared" si="10"/>
        <v>Actual</v>
      </c>
      <c r="AE756" s="9" t="str">
        <f t="shared" si="11"/>
        <v>TMK7</v>
      </c>
      <c r="AF756" s="9">
        <f>HOUR(O756)</f>
        <v>10</v>
      </c>
      <c r="AG756" s="9">
        <f>DAY(O756)</f>
        <v>18</v>
      </c>
      <c r="AH756" s="9">
        <f>IFERROR((I756-K756)*24*60,0)</f>
        <v>0.99999999278225005</v>
      </c>
      <c r="AI756" s="9">
        <f t="shared" si="12"/>
        <v>0.99999999278225005</v>
      </c>
      <c r="AJ756" s="9">
        <f>C756</f>
        <v>1520</v>
      </c>
      <c r="AK756" s="9">
        <f>IF(P756="completed",((V756-K756)*24*60),0)</f>
        <v>5.9999999986030161</v>
      </c>
      <c r="AL756" s="9">
        <f>IF(P756="completed",((U756-K756)*24*60),0)</f>
        <v>5.9999999986030161</v>
      </c>
      <c r="AM756" s="9" t="str">
        <f t="shared" si="13"/>
        <v>OTP Breached</v>
      </c>
      <c r="AN756" s="9" t="str">
        <f t="shared" si="14"/>
        <v>OTP Achieved</v>
      </c>
    </row>
    <row r="757" spans="1:40" ht="15.75" customHeight="1">
      <c r="A757" s="9" t="s">
        <v>1365</v>
      </c>
      <c r="B757" s="25">
        <v>46313.431250000001</v>
      </c>
      <c r="C757" s="9">
        <v>2361</v>
      </c>
      <c r="D757" s="9" t="s">
        <v>41</v>
      </c>
      <c r="E757" s="9">
        <v>6</v>
      </c>
      <c r="F757" s="9" t="s">
        <v>41</v>
      </c>
      <c r="G757" s="9" t="s">
        <v>41</v>
      </c>
      <c r="H757" s="9" t="s">
        <v>2380</v>
      </c>
      <c r="I757" s="25">
        <v>46313.431944444441</v>
      </c>
      <c r="J757" s="9" t="s">
        <v>41</v>
      </c>
      <c r="K757" s="25">
        <v>46313.431944444441</v>
      </c>
      <c r="L757" s="9">
        <v>6</v>
      </c>
      <c r="O757" s="25">
        <v>46313.430555555555</v>
      </c>
      <c r="P757" s="9" t="s">
        <v>43</v>
      </c>
      <c r="Q757" s="9" t="s">
        <v>1367</v>
      </c>
      <c r="R757" s="9" t="s">
        <v>2381</v>
      </c>
      <c r="S757" s="9">
        <v>4247</v>
      </c>
      <c r="T757" s="9" t="s">
        <v>41</v>
      </c>
      <c r="U757" s="25">
        <v>46313.439583333333</v>
      </c>
      <c r="V757" s="25">
        <v>46313.436805555553</v>
      </c>
      <c r="W757" s="26" t="s">
        <v>2382</v>
      </c>
      <c r="X757" s="9">
        <v>22411</v>
      </c>
      <c r="Y757" s="25"/>
      <c r="Z757" s="9">
        <v>0</v>
      </c>
      <c r="AA757" s="27">
        <v>0.43125000000000002</v>
      </c>
      <c r="AB757" s="9">
        <v>6</v>
      </c>
      <c r="AC757" s="9" t="s">
        <v>41</v>
      </c>
      <c r="AD757" s="9" t="str">
        <f t="shared" si="10"/>
        <v>Actual</v>
      </c>
      <c r="AE757" s="9" t="str">
        <f t="shared" si="11"/>
        <v>TMK7</v>
      </c>
      <c r="AF757" s="9">
        <f>HOUR(O757)</f>
        <v>10</v>
      </c>
      <c r="AG757" s="9">
        <f>DAY(O757)</f>
        <v>18</v>
      </c>
      <c r="AH757" s="9">
        <f>IFERROR((I757-K757)*24*60,0)</f>
        <v>0</v>
      </c>
      <c r="AI757" s="9">
        <f t="shared" si="12"/>
        <v>0</v>
      </c>
      <c r="AJ757" s="9">
        <f>C757</f>
        <v>2361</v>
      </c>
      <c r="AK757" s="9">
        <f>IF(P757="completed",((V757-K757)*24*60),0)</f>
        <v>7.0000000018626451</v>
      </c>
      <c r="AL757" s="9">
        <f>IF(P757="completed",((U757-K757)*24*60),0)</f>
        <v>11.000000004423782</v>
      </c>
      <c r="AM757" s="9" t="str">
        <f t="shared" si="13"/>
        <v>OTP Achieved</v>
      </c>
      <c r="AN757" s="9" t="str">
        <f t="shared" si="14"/>
        <v>OTP Achieved</v>
      </c>
    </row>
    <row r="758" spans="1:40" ht="15.75" customHeight="1">
      <c r="A758" s="9" t="s">
        <v>1136</v>
      </c>
      <c r="B758" s="25">
        <v>46313.430555555555</v>
      </c>
      <c r="C758" s="9">
        <v>2230</v>
      </c>
      <c r="D758" s="9" t="s">
        <v>41</v>
      </c>
      <c r="E758" s="9">
        <v>6</v>
      </c>
      <c r="F758" s="9" t="s">
        <v>41</v>
      </c>
      <c r="G758" s="9" t="s">
        <v>41</v>
      </c>
      <c r="H758" s="9" t="s">
        <v>2383</v>
      </c>
      <c r="I758" s="25">
        <v>46313.432638888888</v>
      </c>
      <c r="J758" s="9" t="s">
        <v>41</v>
      </c>
      <c r="K758" s="25">
        <v>46313.431944444441</v>
      </c>
      <c r="L758" s="9">
        <v>14</v>
      </c>
      <c r="O758" s="25">
        <v>46313.430555555555</v>
      </c>
      <c r="P758" s="9" t="s">
        <v>43</v>
      </c>
      <c r="Q758" s="9" t="s">
        <v>1138</v>
      </c>
      <c r="R758" s="9" t="s">
        <v>2384</v>
      </c>
      <c r="S758" s="9">
        <v>4247</v>
      </c>
      <c r="T758" s="9" t="s">
        <v>41</v>
      </c>
      <c r="U758" s="25">
        <v>46313.4375</v>
      </c>
      <c r="V758" s="25">
        <v>46313.436111111114</v>
      </c>
      <c r="W758" s="26" t="s">
        <v>2385</v>
      </c>
      <c r="X758" s="9">
        <v>22411</v>
      </c>
      <c r="Y758" s="25"/>
      <c r="Z758" s="9">
        <v>0</v>
      </c>
      <c r="AA758" s="27">
        <v>0.43055555555555558</v>
      </c>
      <c r="AB758" s="9">
        <v>6</v>
      </c>
      <c r="AC758" s="9" t="s">
        <v>41</v>
      </c>
      <c r="AD758" s="9" t="str">
        <f t="shared" si="10"/>
        <v>Actual</v>
      </c>
      <c r="AE758" s="9" t="str">
        <f t="shared" si="11"/>
        <v>TMK7</v>
      </c>
      <c r="AF758" s="9">
        <f>HOUR(O758)</f>
        <v>10</v>
      </c>
      <c r="AG758" s="9">
        <f>DAY(O758)</f>
        <v>18</v>
      </c>
      <c r="AH758" s="9">
        <f>IFERROR((I758-K758)*24*60,0)</f>
        <v>1.000000003259629</v>
      </c>
      <c r="AI758" s="9">
        <f t="shared" si="12"/>
        <v>1.000000003259629</v>
      </c>
      <c r="AJ758" s="9">
        <f>C758</f>
        <v>2230</v>
      </c>
      <c r="AK758" s="9">
        <f>IF(P758="completed",((V758-K758)*24*60),0)</f>
        <v>6.0000000090803951</v>
      </c>
      <c r="AL758" s="9">
        <f>IF(P758="completed",((U758-K758)*24*60),0)</f>
        <v>8.0000000051222742</v>
      </c>
      <c r="AM758" s="9" t="str">
        <f t="shared" si="13"/>
        <v>OTP Achieved</v>
      </c>
      <c r="AN758" s="9" t="str">
        <f t="shared" si="14"/>
        <v>OTP Achieved</v>
      </c>
    </row>
    <row r="759" spans="1:40" ht="15.75" customHeight="1">
      <c r="A759" s="9" t="s">
        <v>177</v>
      </c>
      <c r="B759" s="25">
        <v>46313.430555555555</v>
      </c>
      <c r="C759" s="9">
        <v>238</v>
      </c>
      <c r="D759" s="9" t="s">
        <v>41</v>
      </c>
      <c r="E759" s="9">
        <v>0</v>
      </c>
      <c r="F759" s="9" t="s">
        <v>41</v>
      </c>
      <c r="G759" s="9" t="s">
        <v>41</v>
      </c>
      <c r="H759" s="9" t="s">
        <v>2386</v>
      </c>
      <c r="I759" s="25">
        <v>46313.431250000001</v>
      </c>
      <c r="J759" s="9" t="s">
        <v>41</v>
      </c>
      <c r="K759" s="25">
        <v>46313.430555555555</v>
      </c>
      <c r="L759" s="9">
        <v>21</v>
      </c>
      <c r="O759" s="25">
        <v>46313.429861111108</v>
      </c>
      <c r="P759" s="9" t="s">
        <v>43</v>
      </c>
      <c r="Q759" s="9" t="s">
        <v>179</v>
      </c>
      <c r="R759" s="9" t="s">
        <v>2387</v>
      </c>
      <c r="S759" s="9">
        <v>4247</v>
      </c>
      <c r="T759" s="9" t="s">
        <v>41</v>
      </c>
      <c r="U759" s="25">
        <v>46313.432638888888</v>
      </c>
      <c r="V759" s="25">
        <v>46313.431250000001</v>
      </c>
      <c r="W759" s="26" t="s">
        <v>2388</v>
      </c>
      <c r="X759" s="9">
        <v>22411</v>
      </c>
      <c r="Y759" s="25"/>
      <c r="Z759" s="9">
        <v>0</v>
      </c>
      <c r="AA759" s="27">
        <v>0.43055555555555558</v>
      </c>
      <c r="AB759" s="9">
        <v>0</v>
      </c>
      <c r="AC759" s="9" t="s">
        <v>41</v>
      </c>
      <c r="AD759" s="9" t="str">
        <f t="shared" si="10"/>
        <v>Actual</v>
      </c>
      <c r="AE759" s="9" t="str">
        <f t="shared" si="11"/>
        <v>TMK7</v>
      </c>
      <c r="AF759" s="9">
        <f>HOUR(O759)</f>
        <v>10</v>
      </c>
      <c r="AG759" s="9">
        <f>DAY(O759)</f>
        <v>18</v>
      </c>
      <c r="AH759" s="9">
        <f>IFERROR((I759-K759)*24*60,0)</f>
        <v>1.000000003259629</v>
      </c>
      <c r="AI759" s="9">
        <f t="shared" si="12"/>
        <v>1.000000003259629</v>
      </c>
      <c r="AJ759" s="9">
        <f>C759</f>
        <v>238</v>
      </c>
      <c r="AK759" s="9">
        <f>IF(P759="completed",((V759-K759)*24*60),0)</f>
        <v>1.000000003259629</v>
      </c>
      <c r="AL759" s="9">
        <f>IF(P759="completed",((U759-K759)*24*60),0)</f>
        <v>2.9999999993015081</v>
      </c>
      <c r="AM759" s="9" t="str">
        <f t="shared" si="13"/>
        <v>OTP Achieved</v>
      </c>
      <c r="AN759" s="9" t="str">
        <f t="shared" si="14"/>
        <v>OTP Achieved</v>
      </c>
    </row>
    <row r="760" spans="1:40" ht="15.75" customHeight="1">
      <c r="A760" s="9" t="s">
        <v>1171</v>
      </c>
      <c r="B760" s="25">
        <v>46313.431250000001</v>
      </c>
      <c r="C760" s="9">
        <v>1376</v>
      </c>
      <c r="D760" s="9" t="s">
        <v>41</v>
      </c>
      <c r="E760" s="9">
        <v>4</v>
      </c>
      <c r="F760" s="9" t="s">
        <v>41</v>
      </c>
      <c r="G760" s="9" t="s">
        <v>41</v>
      </c>
      <c r="H760" s="9" t="s">
        <v>2389</v>
      </c>
      <c r="I760" s="25">
        <v>46313.431250000001</v>
      </c>
      <c r="J760" s="9" t="s">
        <v>41</v>
      </c>
      <c r="K760" s="25">
        <v>46313.429861111108</v>
      </c>
      <c r="L760" s="9">
        <v>22</v>
      </c>
      <c r="O760" s="25">
        <v>46313.428472222222</v>
      </c>
      <c r="P760" s="9" t="s">
        <v>43</v>
      </c>
      <c r="Q760" s="9" t="s">
        <v>1173</v>
      </c>
      <c r="R760" s="9" t="s">
        <v>2390</v>
      </c>
      <c r="S760" s="9">
        <v>4247</v>
      </c>
      <c r="T760" s="9" t="s">
        <v>41</v>
      </c>
      <c r="U760" s="25">
        <v>46313.43472222222</v>
      </c>
      <c r="V760" s="25">
        <v>46313.433333333334</v>
      </c>
      <c r="W760" s="26" t="s">
        <v>2391</v>
      </c>
      <c r="X760" s="9">
        <v>22411</v>
      </c>
      <c r="Z760" s="9">
        <v>0</v>
      </c>
      <c r="AA760" s="27">
        <v>0.43125000000000002</v>
      </c>
      <c r="AB760" s="9">
        <v>3</v>
      </c>
      <c r="AC760" s="9" t="s">
        <v>41</v>
      </c>
      <c r="AD760" s="9" t="str">
        <f t="shared" si="10"/>
        <v>Actual</v>
      </c>
      <c r="AE760" s="9" t="str">
        <f t="shared" si="11"/>
        <v>TMK7</v>
      </c>
      <c r="AF760" s="9">
        <f>HOUR(O760)</f>
        <v>10</v>
      </c>
      <c r="AG760" s="9">
        <f>DAY(O760)</f>
        <v>18</v>
      </c>
      <c r="AH760" s="9">
        <f>IFERROR((I760-K760)*24*60,0)</f>
        <v>2.000000006519258</v>
      </c>
      <c r="AI760" s="9">
        <f t="shared" si="12"/>
        <v>2.000000006519258</v>
      </c>
      <c r="AJ760" s="9">
        <f>C760</f>
        <v>1376</v>
      </c>
      <c r="AK760" s="9">
        <f>IF(P760="completed",((V760-K760)*24*60),0)</f>
        <v>5.0000000058207661</v>
      </c>
      <c r="AL760" s="9">
        <f>IF(P760="completed",((U760-K760)*24*60),0)</f>
        <v>7.0000000018626451</v>
      </c>
      <c r="AM760" s="9" t="str">
        <f t="shared" si="13"/>
        <v>OTP Achieved</v>
      </c>
      <c r="AN760" s="9" t="str">
        <f t="shared" si="14"/>
        <v>OTP Achieved</v>
      </c>
    </row>
    <row r="761" spans="1:40" ht="15.75" customHeight="1">
      <c r="A761" s="9" t="s">
        <v>2247</v>
      </c>
      <c r="B761" s="25">
        <v>46313.430555555555</v>
      </c>
      <c r="C761" s="9">
        <v>289</v>
      </c>
      <c r="D761" s="9" t="s">
        <v>41</v>
      </c>
      <c r="E761" s="9">
        <v>2</v>
      </c>
      <c r="F761" s="9" t="s">
        <v>41</v>
      </c>
      <c r="G761" s="9" t="s">
        <v>41</v>
      </c>
      <c r="H761" s="9" t="s">
        <v>2392</v>
      </c>
      <c r="I761" s="25">
        <v>46313.430555555555</v>
      </c>
      <c r="J761" s="9" t="s">
        <v>41</v>
      </c>
      <c r="K761" s="25">
        <v>46313.428472222222</v>
      </c>
      <c r="L761" s="9">
        <v>31</v>
      </c>
      <c r="O761" s="25">
        <v>46313.427777777775</v>
      </c>
      <c r="P761" s="9" t="s">
        <v>43</v>
      </c>
      <c r="Q761" s="9" t="s">
        <v>2249</v>
      </c>
      <c r="R761" s="9" t="s">
        <v>2393</v>
      </c>
      <c r="S761" s="9">
        <v>4247</v>
      </c>
      <c r="T761" s="9" t="s">
        <v>41</v>
      </c>
      <c r="U761" s="25">
        <v>46313.431944444441</v>
      </c>
      <c r="V761" s="25">
        <v>46313.431250000001</v>
      </c>
      <c r="W761" s="26" t="s">
        <v>2394</v>
      </c>
      <c r="X761" s="9">
        <v>22411</v>
      </c>
      <c r="Z761" s="9">
        <v>0</v>
      </c>
      <c r="AA761" s="27">
        <v>0.43055555555555558</v>
      </c>
      <c r="AB761" s="9">
        <v>1</v>
      </c>
      <c r="AC761" s="9" t="s">
        <v>41</v>
      </c>
      <c r="AD761" s="9" t="str">
        <f t="shared" si="10"/>
        <v>Actual</v>
      </c>
      <c r="AE761" s="9" t="str">
        <f t="shared" si="11"/>
        <v>TMK7</v>
      </c>
      <c r="AF761" s="9">
        <f>HOUR(O761)</f>
        <v>10</v>
      </c>
      <c r="AG761" s="9">
        <f>DAY(O761)</f>
        <v>18</v>
      </c>
      <c r="AH761" s="9">
        <f>IFERROR((I761-K761)*24*60,0)</f>
        <v>2.9999999993015081</v>
      </c>
      <c r="AI761" s="9">
        <f t="shared" si="12"/>
        <v>2.9999999993015081</v>
      </c>
      <c r="AJ761" s="9">
        <f>C761</f>
        <v>289</v>
      </c>
      <c r="AK761" s="9">
        <f>IF(P761="completed",((V761-K761)*24*60),0)</f>
        <v>4.0000000025611371</v>
      </c>
      <c r="AL761" s="9">
        <f>IF(P761="completed",((U761-K761)*24*60),0)</f>
        <v>4.9999999953433871</v>
      </c>
      <c r="AM761" s="9" t="str">
        <f t="shared" si="13"/>
        <v>OTP Achieved</v>
      </c>
      <c r="AN761" s="9" t="str">
        <f t="shared" si="14"/>
        <v>OTP Achieved</v>
      </c>
    </row>
    <row r="762" spans="1:40" ht="15.75" customHeight="1">
      <c r="A762" s="9" t="s">
        <v>347</v>
      </c>
      <c r="B762" s="25">
        <v>46313.429861111108</v>
      </c>
      <c r="C762" s="9">
        <v>1941</v>
      </c>
      <c r="D762" s="9" t="s">
        <v>41</v>
      </c>
      <c r="E762" s="9">
        <v>5</v>
      </c>
      <c r="F762" s="9" t="s">
        <v>41</v>
      </c>
      <c r="G762" s="9" t="s">
        <v>41</v>
      </c>
      <c r="H762" s="9" t="s">
        <v>2395</v>
      </c>
      <c r="I762" s="25">
        <v>46313.429861111108</v>
      </c>
      <c r="J762" s="9" t="s">
        <v>41</v>
      </c>
      <c r="K762" s="25">
        <v>46313.429861111108</v>
      </c>
      <c r="L762" s="9">
        <v>18</v>
      </c>
      <c r="O762" s="25">
        <v>46313.427083333336</v>
      </c>
      <c r="P762" s="9" t="s">
        <v>43</v>
      </c>
      <c r="Q762" s="9" t="s">
        <v>349</v>
      </c>
      <c r="R762" s="9" t="s">
        <v>2396</v>
      </c>
      <c r="S762" s="9">
        <v>4247</v>
      </c>
      <c r="T762" s="9" t="s">
        <v>41</v>
      </c>
      <c r="U762" s="25">
        <v>46313.43472222222</v>
      </c>
      <c r="V762" s="25">
        <v>46313.433333333334</v>
      </c>
      <c r="W762" s="26" t="s">
        <v>2397</v>
      </c>
      <c r="X762" s="9">
        <v>22411</v>
      </c>
      <c r="Y762" s="25"/>
      <c r="Z762" s="9">
        <v>0</v>
      </c>
      <c r="AA762" s="27">
        <v>0.42986111111111114</v>
      </c>
      <c r="AB762" s="9">
        <v>5</v>
      </c>
      <c r="AC762" s="9" t="s">
        <v>41</v>
      </c>
      <c r="AD762" s="9" t="str">
        <f t="shared" si="10"/>
        <v>Actual</v>
      </c>
      <c r="AE762" s="9" t="str">
        <f t="shared" si="11"/>
        <v>TMK7</v>
      </c>
      <c r="AF762" s="9">
        <f>HOUR(O762)</f>
        <v>10</v>
      </c>
      <c r="AG762" s="9">
        <f>DAY(O762)</f>
        <v>18</v>
      </c>
      <c r="AH762" s="9">
        <f>IFERROR((I762-K762)*24*60,0)</f>
        <v>0</v>
      </c>
      <c r="AI762" s="9">
        <f t="shared" si="12"/>
        <v>0</v>
      </c>
      <c r="AJ762" s="9">
        <f>C762</f>
        <v>1941</v>
      </c>
      <c r="AK762" s="9">
        <f>IF(P762="completed",((V762-K762)*24*60),0)</f>
        <v>5.0000000058207661</v>
      </c>
      <c r="AL762" s="9">
        <f>IF(P762="completed",((U762-K762)*24*60),0)</f>
        <v>7.0000000018626451</v>
      </c>
      <c r="AM762" s="9" t="str">
        <f t="shared" si="13"/>
        <v>OTP Achieved</v>
      </c>
      <c r="AN762" s="9" t="str">
        <f t="shared" si="14"/>
        <v>OTP Achieved</v>
      </c>
    </row>
    <row r="763" spans="1:40" ht="15.75" customHeight="1">
      <c r="A763" s="9" t="s">
        <v>98</v>
      </c>
      <c r="B763" s="25">
        <v>46313.429166666669</v>
      </c>
      <c r="C763" s="9">
        <v>2337</v>
      </c>
      <c r="D763" s="9" t="s">
        <v>41</v>
      </c>
      <c r="E763" s="9">
        <v>7</v>
      </c>
      <c r="F763" s="9" t="s">
        <v>41</v>
      </c>
      <c r="G763" s="9" t="s">
        <v>41</v>
      </c>
      <c r="H763" s="9" t="s">
        <v>2398</v>
      </c>
      <c r="I763" s="25">
        <v>46313.429166666669</v>
      </c>
      <c r="J763" s="9" t="s">
        <v>41</v>
      </c>
      <c r="K763" s="25">
        <v>46313.427777777775</v>
      </c>
      <c r="L763" s="9">
        <v>21</v>
      </c>
      <c r="O763" s="25">
        <v>46313.427083333336</v>
      </c>
      <c r="P763" s="9" t="s">
        <v>43</v>
      </c>
      <c r="Q763" s="9" t="s">
        <v>100</v>
      </c>
      <c r="R763" s="9" t="s">
        <v>2399</v>
      </c>
      <c r="S763" s="9">
        <v>4247</v>
      </c>
      <c r="T763" s="9" t="s">
        <v>41</v>
      </c>
      <c r="U763" s="25">
        <v>46313.436111111114</v>
      </c>
      <c r="V763" s="25">
        <v>46313.434027777781</v>
      </c>
      <c r="W763" s="26" t="s">
        <v>2400</v>
      </c>
      <c r="X763" s="9">
        <v>22411</v>
      </c>
      <c r="Y763" s="25"/>
      <c r="Z763" s="9">
        <v>0</v>
      </c>
      <c r="AA763" s="27">
        <v>0.42916666666666664</v>
      </c>
      <c r="AB763" s="9">
        <v>7</v>
      </c>
      <c r="AC763" s="9" t="s">
        <v>41</v>
      </c>
      <c r="AD763" s="9" t="str">
        <f t="shared" si="10"/>
        <v>Actual</v>
      </c>
      <c r="AE763" s="9" t="str">
        <f t="shared" si="11"/>
        <v>TMK7</v>
      </c>
      <c r="AF763" s="9">
        <f>HOUR(O763)</f>
        <v>10</v>
      </c>
      <c r="AG763" s="9">
        <f>DAY(O763)</f>
        <v>18</v>
      </c>
      <c r="AH763" s="9">
        <f>IFERROR((I763-K763)*24*60,0)</f>
        <v>2.000000006519258</v>
      </c>
      <c r="AI763" s="9">
        <f t="shared" si="12"/>
        <v>2.000000006519258</v>
      </c>
      <c r="AJ763" s="9">
        <f>C763</f>
        <v>2337</v>
      </c>
      <c r="AK763" s="9">
        <f>IF(P763="completed",((V763-K763)*24*60),0)</f>
        <v>9.0000000083819032</v>
      </c>
      <c r="AL763" s="9">
        <f>IF(P763="completed",((U763-K763)*24*60),0)</f>
        <v>12.000000007683411</v>
      </c>
      <c r="AM763" s="9" t="str">
        <f t="shared" si="13"/>
        <v>OTP Achieved</v>
      </c>
      <c r="AN763" s="9" t="str">
        <f t="shared" si="14"/>
        <v>OTP Achieved</v>
      </c>
    </row>
    <row r="764" spans="1:40" ht="15.75" customHeight="1">
      <c r="A764" s="9" t="s">
        <v>1365</v>
      </c>
      <c r="B764" s="25">
        <v>46313.429166666669</v>
      </c>
      <c r="C764" s="9">
        <v>67</v>
      </c>
      <c r="D764" s="9" t="s">
        <v>41</v>
      </c>
      <c r="E764" s="9">
        <v>0</v>
      </c>
      <c r="F764" s="9" t="s">
        <v>41</v>
      </c>
      <c r="G764" s="9" t="s">
        <v>41</v>
      </c>
      <c r="H764" s="9" t="s">
        <v>2401</v>
      </c>
      <c r="I764" s="25">
        <v>46313.429166666669</v>
      </c>
      <c r="J764" s="9" t="s">
        <v>41</v>
      </c>
      <c r="K764" s="25">
        <v>46313.427083333336</v>
      </c>
      <c r="L764" s="9">
        <v>14</v>
      </c>
      <c r="O764" s="25">
        <v>46313.426388888889</v>
      </c>
      <c r="P764" s="9" t="s">
        <v>43</v>
      </c>
      <c r="Q764" s="9" t="s">
        <v>1367</v>
      </c>
      <c r="R764" s="9" t="s">
        <v>2402</v>
      </c>
      <c r="S764" s="9">
        <v>4247</v>
      </c>
      <c r="T764" s="9" t="s">
        <v>41</v>
      </c>
      <c r="U764" s="25">
        <v>46313.429166666669</v>
      </c>
      <c r="V764" s="25">
        <v>46313.429166666669</v>
      </c>
      <c r="W764" s="26" t="s">
        <v>2403</v>
      </c>
      <c r="X764" s="9">
        <v>22411</v>
      </c>
      <c r="Y764" s="25"/>
      <c r="Z764" s="9">
        <v>0</v>
      </c>
      <c r="AA764" s="27">
        <v>0.42916666666666664</v>
      </c>
      <c r="AB764" s="9">
        <v>0</v>
      </c>
      <c r="AC764" s="9" t="s">
        <v>41</v>
      </c>
      <c r="AD764" s="9" t="str">
        <f t="shared" si="10"/>
        <v>Actual</v>
      </c>
      <c r="AE764" s="9" t="str">
        <f t="shared" si="11"/>
        <v>TMK7</v>
      </c>
      <c r="AF764" s="9">
        <f>HOUR(O764)</f>
        <v>10</v>
      </c>
      <c r="AG764" s="9">
        <f>DAY(O764)</f>
        <v>18</v>
      </c>
      <c r="AH764" s="9">
        <f>IFERROR((I764-K764)*24*60,0)</f>
        <v>2.9999999993015081</v>
      </c>
      <c r="AI764" s="9">
        <f t="shared" si="12"/>
        <v>2.9999999993015081</v>
      </c>
      <c r="AJ764" s="9">
        <f>C764</f>
        <v>67</v>
      </c>
      <c r="AK764" s="9">
        <f>IF(P764="completed",((V764-K764)*24*60),0)</f>
        <v>2.9999999993015081</v>
      </c>
      <c r="AL764" s="9">
        <f>IF(P764="completed",((U764-K764)*24*60),0)</f>
        <v>2.9999999993015081</v>
      </c>
      <c r="AM764" s="9" t="str">
        <f t="shared" si="13"/>
        <v>OTP Breached</v>
      </c>
      <c r="AN764" s="9" t="str">
        <f t="shared" si="14"/>
        <v>OTP Achieved</v>
      </c>
    </row>
    <row r="765" spans="1:40" ht="15.75" customHeight="1">
      <c r="A765" s="9" t="s">
        <v>655</v>
      </c>
      <c r="B765" s="25">
        <v>46313.428472222222</v>
      </c>
      <c r="C765" s="9">
        <v>1914</v>
      </c>
      <c r="D765" s="9" t="s">
        <v>41</v>
      </c>
      <c r="E765" s="9">
        <v>5</v>
      </c>
      <c r="F765" s="9" t="s">
        <v>41</v>
      </c>
      <c r="G765" s="9" t="s">
        <v>41</v>
      </c>
      <c r="H765" s="9" t="s">
        <v>2404</v>
      </c>
      <c r="I765" s="25">
        <v>46313.429166666669</v>
      </c>
      <c r="J765" s="9" t="s">
        <v>41</v>
      </c>
      <c r="K765" s="25">
        <v>46313.427083333336</v>
      </c>
      <c r="L765" s="9">
        <v>26</v>
      </c>
      <c r="O765" s="25">
        <v>46313.426388888889</v>
      </c>
      <c r="P765" s="9" t="s">
        <v>43</v>
      </c>
      <c r="Q765" s="9" t="s">
        <v>657</v>
      </c>
      <c r="R765" s="9" t="s">
        <v>2405</v>
      </c>
      <c r="S765" s="9">
        <v>4247</v>
      </c>
      <c r="T765" s="9" t="s">
        <v>41</v>
      </c>
      <c r="U765" s="25">
        <v>46313.43472222222</v>
      </c>
      <c r="V765" s="25">
        <v>46313.431944444441</v>
      </c>
      <c r="W765" s="26" t="s">
        <v>2406</v>
      </c>
      <c r="X765" s="9">
        <v>22411</v>
      </c>
      <c r="Z765" s="9">
        <v>0</v>
      </c>
      <c r="AA765" s="27">
        <v>0.4284722222222222</v>
      </c>
      <c r="AB765" s="9">
        <v>4</v>
      </c>
      <c r="AC765" s="9" t="s">
        <v>41</v>
      </c>
      <c r="AD765" s="9" t="str">
        <f t="shared" si="10"/>
        <v>Actual</v>
      </c>
      <c r="AE765" s="9" t="str">
        <f t="shared" si="11"/>
        <v>TMK7</v>
      </c>
      <c r="AF765" s="9">
        <f>HOUR(O765)</f>
        <v>10</v>
      </c>
      <c r="AG765" s="9">
        <f>DAY(O765)</f>
        <v>18</v>
      </c>
      <c r="AH765" s="9">
        <f>IFERROR((I765-K765)*24*60,0)</f>
        <v>2.9999999993015081</v>
      </c>
      <c r="AI765" s="9">
        <f t="shared" si="12"/>
        <v>2.9999999993015081</v>
      </c>
      <c r="AJ765" s="9">
        <f>C765</f>
        <v>1914</v>
      </c>
      <c r="AK765" s="9">
        <f>IF(P765="completed",((V765-K765)*24*60),0)</f>
        <v>6.9999999913852662</v>
      </c>
      <c r="AL765" s="9">
        <f>IF(P765="completed",((U765-K765)*24*60),0)</f>
        <v>10.999999993946403</v>
      </c>
      <c r="AM765" s="9" t="str">
        <f t="shared" si="13"/>
        <v>OTP Achieved</v>
      </c>
      <c r="AN765" s="9" t="str">
        <f t="shared" si="14"/>
        <v>OTP Achieved</v>
      </c>
    </row>
    <row r="766" spans="1:40" ht="15.75" customHeight="1">
      <c r="A766" s="9" t="s">
        <v>1239</v>
      </c>
      <c r="B766" s="25">
        <v>46313.427083333336</v>
      </c>
      <c r="C766" s="9">
        <v>1435</v>
      </c>
      <c r="D766" s="9" t="s">
        <v>41</v>
      </c>
      <c r="E766" s="9">
        <v>5</v>
      </c>
      <c r="F766" s="9" t="s">
        <v>41</v>
      </c>
      <c r="G766" s="9" t="s">
        <v>41</v>
      </c>
      <c r="H766" s="9" t="s">
        <v>2407</v>
      </c>
      <c r="I766" s="25">
        <v>46313.427083333336</v>
      </c>
      <c r="J766" s="9" t="s">
        <v>41</v>
      </c>
      <c r="K766" s="25">
        <v>46313.427083333336</v>
      </c>
      <c r="L766" s="9">
        <v>8</v>
      </c>
      <c r="O766" s="25">
        <v>46313.426388888889</v>
      </c>
      <c r="P766" s="9" t="s">
        <v>43</v>
      </c>
      <c r="Q766" s="9" t="s">
        <v>1241</v>
      </c>
      <c r="R766" s="9" t="s">
        <v>2408</v>
      </c>
      <c r="S766" s="9">
        <v>4247</v>
      </c>
      <c r="T766" s="9" t="s">
        <v>41</v>
      </c>
      <c r="U766" s="25">
        <v>46313.431250000001</v>
      </c>
      <c r="V766" s="25">
        <v>46313.431250000001</v>
      </c>
      <c r="W766" s="26" t="s">
        <v>2409</v>
      </c>
      <c r="X766" s="9">
        <v>22411</v>
      </c>
      <c r="Y766" s="25"/>
      <c r="Z766" s="9">
        <v>0</v>
      </c>
      <c r="AA766" s="27">
        <v>0.42708333333333331</v>
      </c>
      <c r="AB766" s="9">
        <v>5</v>
      </c>
      <c r="AC766" s="9" t="s">
        <v>41</v>
      </c>
      <c r="AD766" s="9" t="str">
        <f t="shared" si="10"/>
        <v>Actual</v>
      </c>
      <c r="AE766" s="9" t="str">
        <f t="shared" si="11"/>
        <v>TMK7</v>
      </c>
      <c r="AF766" s="9">
        <f>HOUR(O766)</f>
        <v>10</v>
      </c>
      <c r="AG766" s="9">
        <f>DAY(O766)</f>
        <v>18</v>
      </c>
      <c r="AH766" s="9">
        <f>IFERROR((I766-K766)*24*60,0)</f>
        <v>0</v>
      </c>
      <c r="AI766" s="9">
        <f t="shared" si="12"/>
        <v>0</v>
      </c>
      <c r="AJ766" s="9">
        <f>C766</f>
        <v>1435</v>
      </c>
      <c r="AK766" s="9">
        <f>IF(P766="completed",((V766-K766)*24*60),0)</f>
        <v>5.9999999986030161</v>
      </c>
      <c r="AL766" s="9">
        <f>IF(P766="completed",((U766-K766)*24*60),0)</f>
        <v>5.9999999986030161</v>
      </c>
      <c r="AM766" s="9" t="str">
        <f t="shared" si="13"/>
        <v>OTP Breached</v>
      </c>
      <c r="AN766" s="9" t="str">
        <f t="shared" si="14"/>
        <v>OTP Achieved</v>
      </c>
    </row>
    <row r="767" spans="1:40" ht="15.75" customHeight="1">
      <c r="A767" s="9" t="s">
        <v>1965</v>
      </c>
      <c r="B767" s="25">
        <v>46313.427083333336</v>
      </c>
      <c r="C767" s="9">
        <v>1669</v>
      </c>
      <c r="D767" s="9" t="s">
        <v>41</v>
      </c>
      <c r="E767" s="9">
        <v>7</v>
      </c>
      <c r="F767" s="9" t="s">
        <v>41</v>
      </c>
      <c r="G767" s="9" t="s">
        <v>41</v>
      </c>
      <c r="H767" s="9" t="s">
        <v>2410</v>
      </c>
      <c r="I767" s="25">
        <v>46313.427083333336</v>
      </c>
      <c r="J767" s="9" t="s">
        <v>41</v>
      </c>
      <c r="K767" s="25">
        <v>46313.427083333336</v>
      </c>
      <c r="L767" s="9">
        <v>28</v>
      </c>
      <c r="O767" s="25">
        <v>46313.425694444442</v>
      </c>
      <c r="P767" s="9" t="s">
        <v>43</v>
      </c>
      <c r="Q767" s="9" t="s">
        <v>1967</v>
      </c>
      <c r="R767" s="9" t="s">
        <v>2411</v>
      </c>
      <c r="S767" s="9">
        <v>4247</v>
      </c>
      <c r="T767" s="9" t="s">
        <v>41</v>
      </c>
      <c r="U767" s="25">
        <v>46313.431944444441</v>
      </c>
      <c r="V767" s="25">
        <v>46313.431944444441</v>
      </c>
      <c r="W767" s="26" t="s">
        <v>2412</v>
      </c>
      <c r="X767" s="9">
        <v>22411</v>
      </c>
      <c r="Z767" s="9">
        <v>0</v>
      </c>
      <c r="AA767" s="27">
        <v>0.42708333333333331</v>
      </c>
      <c r="AB767" s="9">
        <v>6</v>
      </c>
      <c r="AC767" s="9" t="s">
        <v>41</v>
      </c>
      <c r="AD767" s="9" t="str">
        <f t="shared" ref="AD767:AD1021" si="15">IF(LEFT(R767,2)="AM","Dummy","Actual")</f>
        <v>Actual</v>
      </c>
      <c r="AE767" s="9" t="str">
        <f t="shared" ref="AE767:AE1021" si="16">LEFT(H767,4)</f>
        <v>TMK7</v>
      </c>
      <c r="AF767" s="9">
        <f>HOUR(O767)</f>
        <v>10</v>
      </c>
      <c r="AG767" s="9">
        <f>DAY(O767)</f>
        <v>18</v>
      </c>
      <c r="AH767" s="9">
        <f>IFERROR((I767-K767)*24*60,0)</f>
        <v>0</v>
      </c>
      <c r="AI767" s="9">
        <f t="shared" ref="AI767:AI1021" si="17">IF(AH767&gt;0,AH767,0)</f>
        <v>0</v>
      </c>
      <c r="AJ767" s="9">
        <f>C767</f>
        <v>1669</v>
      </c>
      <c r="AK767" s="9">
        <f>IF(P767="completed",((V767-K767)*24*60),0)</f>
        <v>6.9999999913852662</v>
      </c>
      <c r="AL767" s="9">
        <f>IF(P767="completed",((U767-K767)*24*60),0)</f>
        <v>6.9999999913852662</v>
      </c>
      <c r="AM767" s="9" t="str">
        <f t="shared" ref="AM767:AM1021" si="18">IF(AK767&lt;AL767,"OTP Achieved","OTP Breached")</f>
        <v>OTP Breached</v>
      </c>
      <c r="AN767" s="9" t="str">
        <f t="shared" ref="AN767:AN1021" si="19">IF(AK767&lt;(AL767+3),"OTP Achieved","OTP Breached")</f>
        <v>OTP Achieved</v>
      </c>
    </row>
    <row r="768" spans="1:40" ht="15.75" customHeight="1">
      <c r="A768" s="9" t="s">
        <v>190</v>
      </c>
      <c r="B768" s="25">
        <v>46313.426388888889</v>
      </c>
      <c r="C768" s="9">
        <v>1696</v>
      </c>
      <c r="D768" s="9" t="s">
        <v>41</v>
      </c>
      <c r="E768" s="9">
        <v>6</v>
      </c>
      <c r="F768" s="9" t="s">
        <v>41</v>
      </c>
      <c r="G768" s="9" t="s">
        <v>41</v>
      </c>
      <c r="H768" s="9" t="s">
        <v>2410</v>
      </c>
      <c r="I768" s="25">
        <v>46313.427777777775</v>
      </c>
      <c r="J768" s="9" t="s">
        <v>41</v>
      </c>
      <c r="K768" s="25">
        <v>46313.427083333336</v>
      </c>
      <c r="L768" s="9">
        <v>20</v>
      </c>
      <c r="O768" s="25">
        <v>46313.425694444442</v>
      </c>
      <c r="P768" s="9" t="s">
        <v>43</v>
      </c>
      <c r="Q768" s="9" t="s">
        <v>192</v>
      </c>
      <c r="R768" s="9" t="s">
        <v>2413</v>
      </c>
      <c r="S768" s="9">
        <v>4247</v>
      </c>
      <c r="T768" s="9" t="s">
        <v>41</v>
      </c>
      <c r="U768" s="25">
        <v>46313.431944444441</v>
      </c>
      <c r="V768" s="25">
        <v>46313.431250000001</v>
      </c>
      <c r="W768" s="26" t="s">
        <v>2414</v>
      </c>
      <c r="X768" s="9">
        <v>22411</v>
      </c>
      <c r="Z768" s="9">
        <v>0</v>
      </c>
      <c r="AA768" s="27">
        <v>0.42638888888888887</v>
      </c>
      <c r="AB768" s="9">
        <v>5</v>
      </c>
      <c r="AC768" s="9" t="s">
        <v>41</v>
      </c>
      <c r="AD768" s="9" t="str">
        <f t="shared" si="15"/>
        <v>Actual</v>
      </c>
      <c r="AE768" s="9" t="str">
        <f t="shared" si="16"/>
        <v>TMK7</v>
      </c>
      <c r="AF768" s="9">
        <f>HOUR(O768)</f>
        <v>10</v>
      </c>
      <c r="AG768" s="9">
        <f>DAY(O768)</f>
        <v>18</v>
      </c>
      <c r="AH768" s="9">
        <f>IFERROR((I768-K768)*24*60,0)</f>
        <v>0.99999999278225005</v>
      </c>
      <c r="AI768" s="9">
        <f t="shared" si="17"/>
        <v>0.99999999278225005</v>
      </c>
      <c r="AJ768" s="9">
        <f>C768</f>
        <v>1696</v>
      </c>
      <c r="AK768" s="9">
        <f>IF(P768="completed",((V768-K768)*24*60),0)</f>
        <v>5.9999999986030161</v>
      </c>
      <c r="AL768" s="9">
        <f>IF(P768="completed",((U768-K768)*24*60),0)</f>
        <v>6.9999999913852662</v>
      </c>
      <c r="AM768" s="9" t="str">
        <f t="shared" si="18"/>
        <v>OTP Achieved</v>
      </c>
      <c r="AN768" s="9" t="str">
        <f t="shared" si="19"/>
        <v>OTP Achieved</v>
      </c>
    </row>
    <row r="769" spans="1:40" ht="15.75" customHeight="1">
      <c r="A769" s="9" t="s">
        <v>1336</v>
      </c>
      <c r="B769" s="25">
        <v>46313.425694444442</v>
      </c>
      <c r="C769" s="9">
        <v>688</v>
      </c>
      <c r="D769" s="9" t="s">
        <v>41</v>
      </c>
      <c r="E769" s="9">
        <v>3</v>
      </c>
      <c r="F769" s="9" t="s">
        <v>41</v>
      </c>
      <c r="G769" s="9" t="s">
        <v>41</v>
      </c>
      <c r="H769" s="9" t="s">
        <v>2415</v>
      </c>
      <c r="I769" s="25">
        <v>46313.427777777775</v>
      </c>
      <c r="J769" s="9" t="s">
        <v>41</v>
      </c>
      <c r="K769" s="25">
        <v>46313.427083333336</v>
      </c>
      <c r="L769" s="9">
        <v>18</v>
      </c>
      <c r="O769" s="25">
        <v>46313.425694444442</v>
      </c>
      <c r="P769" s="9" t="s">
        <v>43</v>
      </c>
      <c r="Q769" s="9" t="s">
        <v>1338</v>
      </c>
      <c r="R769" s="9" t="s">
        <v>2416</v>
      </c>
      <c r="S769" s="9">
        <v>4247</v>
      </c>
      <c r="T769" s="9" t="s">
        <v>41</v>
      </c>
      <c r="U769" s="25">
        <v>46313.429861111108</v>
      </c>
      <c r="V769" s="25">
        <v>46313.429166666669</v>
      </c>
      <c r="W769" s="26" t="s">
        <v>2417</v>
      </c>
      <c r="X769" s="9">
        <v>22411</v>
      </c>
      <c r="Z769" s="9">
        <v>0</v>
      </c>
      <c r="AA769" s="27">
        <v>0.42569444444444443</v>
      </c>
      <c r="AB769" s="9">
        <v>3</v>
      </c>
      <c r="AC769" s="9" t="s">
        <v>41</v>
      </c>
      <c r="AD769" s="9" t="str">
        <f t="shared" si="15"/>
        <v>Actual</v>
      </c>
      <c r="AE769" s="9" t="str">
        <f t="shared" si="16"/>
        <v>TMK7</v>
      </c>
      <c r="AF769" s="9">
        <f>HOUR(O769)</f>
        <v>10</v>
      </c>
      <c r="AG769" s="9">
        <f>DAY(O769)</f>
        <v>18</v>
      </c>
      <c r="AH769" s="9">
        <f>IFERROR((I769-K769)*24*60,0)</f>
        <v>0.99999999278225005</v>
      </c>
      <c r="AI769" s="9">
        <f t="shared" si="17"/>
        <v>0.99999999278225005</v>
      </c>
      <c r="AJ769" s="9">
        <f>C769</f>
        <v>688</v>
      </c>
      <c r="AK769" s="9">
        <f>IF(P769="completed",((V769-K769)*24*60),0)</f>
        <v>2.9999999993015081</v>
      </c>
      <c r="AL769" s="9">
        <f>IF(P769="completed",((U769-K769)*24*60),0)</f>
        <v>3.9999999920837581</v>
      </c>
      <c r="AM769" s="9" t="str">
        <f t="shared" si="18"/>
        <v>OTP Achieved</v>
      </c>
      <c r="AN769" s="9" t="str">
        <f t="shared" si="19"/>
        <v>OTP Achieved</v>
      </c>
    </row>
    <row r="770" spans="1:40" ht="15.75" customHeight="1">
      <c r="A770" s="9" t="s">
        <v>67</v>
      </c>
      <c r="B770" s="25">
        <v>46313.425694444442</v>
      </c>
      <c r="C770" s="9">
        <v>1327</v>
      </c>
      <c r="D770" s="9" t="s">
        <v>41</v>
      </c>
      <c r="E770" s="9">
        <v>4</v>
      </c>
      <c r="F770" s="9" t="s">
        <v>41</v>
      </c>
      <c r="G770" s="9" t="s">
        <v>41</v>
      </c>
      <c r="H770" s="9" t="s">
        <v>2418</v>
      </c>
      <c r="I770" s="25">
        <v>46313.427083333336</v>
      </c>
      <c r="J770" s="9" t="s">
        <v>41</v>
      </c>
      <c r="K770" s="25">
        <v>46313.427083333336</v>
      </c>
      <c r="L770" s="9">
        <v>17</v>
      </c>
      <c r="O770" s="25">
        <v>46313.425694444442</v>
      </c>
      <c r="P770" s="9" t="s">
        <v>43</v>
      </c>
      <c r="Q770" s="9" t="s">
        <v>69</v>
      </c>
      <c r="R770" s="9" t="s">
        <v>2419</v>
      </c>
      <c r="S770" s="9">
        <v>4247</v>
      </c>
      <c r="T770" s="9" t="s">
        <v>41</v>
      </c>
      <c r="U770" s="25">
        <v>46313.430555555555</v>
      </c>
      <c r="V770" s="25">
        <v>46313.429861111108</v>
      </c>
      <c r="W770" s="26" t="s">
        <v>2420</v>
      </c>
      <c r="X770" s="9">
        <v>22411</v>
      </c>
      <c r="Y770" s="25"/>
      <c r="Z770" s="9">
        <v>0</v>
      </c>
      <c r="AA770" s="27">
        <v>0.42569444444444443</v>
      </c>
      <c r="AB770" s="9">
        <v>4</v>
      </c>
      <c r="AC770" s="9" t="s">
        <v>41</v>
      </c>
      <c r="AD770" s="9" t="str">
        <f t="shared" si="15"/>
        <v>Actual</v>
      </c>
      <c r="AE770" s="9" t="str">
        <f t="shared" si="16"/>
        <v>TMK7</v>
      </c>
      <c r="AF770" s="9">
        <f>HOUR(O770)</f>
        <v>10</v>
      </c>
      <c r="AG770" s="9">
        <f>DAY(O770)</f>
        <v>18</v>
      </c>
      <c r="AH770" s="9">
        <f>IFERROR((I770-K770)*24*60,0)</f>
        <v>0</v>
      </c>
      <c r="AI770" s="9">
        <f t="shared" si="17"/>
        <v>0</v>
      </c>
      <c r="AJ770" s="9">
        <f>C770</f>
        <v>1327</v>
      </c>
      <c r="AK770" s="9">
        <f>IF(P770="completed",((V770-K770)*24*60),0)</f>
        <v>3.9999999920837581</v>
      </c>
      <c r="AL770" s="9">
        <f>IF(P770="completed",((U770-K770)*24*60),0)</f>
        <v>4.9999999953433871</v>
      </c>
      <c r="AM770" s="9" t="str">
        <f t="shared" si="18"/>
        <v>OTP Achieved</v>
      </c>
      <c r="AN770" s="9" t="str">
        <f t="shared" si="19"/>
        <v>OTP Achieved</v>
      </c>
    </row>
    <row r="771" spans="1:40" ht="15.75" customHeight="1">
      <c r="A771" s="9" t="s">
        <v>177</v>
      </c>
      <c r="B771" s="25">
        <v>46313.425000000003</v>
      </c>
      <c r="C771" s="9">
        <v>280</v>
      </c>
      <c r="D771" s="9" t="s">
        <v>41</v>
      </c>
      <c r="E771" s="9">
        <v>2</v>
      </c>
      <c r="F771" s="9" t="s">
        <v>41</v>
      </c>
      <c r="G771" s="9" t="s">
        <v>41</v>
      </c>
      <c r="H771" s="9" t="s">
        <v>2421</v>
      </c>
      <c r="I771" s="25">
        <v>46313.426388888889</v>
      </c>
      <c r="J771" s="9" t="s">
        <v>41</v>
      </c>
      <c r="K771" s="25">
        <v>46313.426388888889</v>
      </c>
      <c r="L771" s="9">
        <v>12</v>
      </c>
      <c r="O771" s="25">
        <v>46313.425000000003</v>
      </c>
      <c r="P771" s="9" t="s">
        <v>43</v>
      </c>
      <c r="Q771" s="9" t="s">
        <v>179</v>
      </c>
      <c r="R771" s="9" t="s">
        <v>2422</v>
      </c>
      <c r="S771" s="9">
        <v>4247</v>
      </c>
      <c r="T771" s="9" t="s">
        <v>41</v>
      </c>
      <c r="U771" s="25">
        <v>46313.427777777775</v>
      </c>
      <c r="V771" s="25">
        <v>46313.427777777775</v>
      </c>
      <c r="W771" s="26" t="s">
        <v>2423</v>
      </c>
      <c r="X771" s="9">
        <v>22411</v>
      </c>
      <c r="Z771" s="9">
        <v>0</v>
      </c>
      <c r="AA771" s="27">
        <v>0.42499999999999999</v>
      </c>
      <c r="AB771" s="9">
        <v>2</v>
      </c>
      <c r="AC771" s="9" t="s">
        <v>41</v>
      </c>
      <c r="AD771" s="9" t="str">
        <f t="shared" si="15"/>
        <v>Actual</v>
      </c>
      <c r="AE771" s="9" t="str">
        <f t="shared" si="16"/>
        <v>TMK7</v>
      </c>
      <c r="AF771" s="9">
        <f>HOUR(O771)</f>
        <v>10</v>
      </c>
      <c r="AG771" s="9">
        <f>DAY(O771)</f>
        <v>18</v>
      </c>
      <c r="AH771" s="9">
        <f>IFERROR((I771-K771)*24*60,0)</f>
        <v>0</v>
      </c>
      <c r="AI771" s="9">
        <f t="shared" si="17"/>
        <v>0</v>
      </c>
      <c r="AJ771" s="9">
        <f>C771</f>
        <v>280</v>
      </c>
      <c r="AK771" s="9">
        <f>IF(P771="completed",((V771-K771)*24*60),0)</f>
        <v>1.9999999960418791</v>
      </c>
      <c r="AL771" s="9">
        <f>IF(P771="completed",((U771-K771)*24*60),0)</f>
        <v>1.9999999960418791</v>
      </c>
      <c r="AM771" s="9" t="str">
        <f t="shared" si="18"/>
        <v>OTP Breached</v>
      </c>
      <c r="AN771" s="9" t="str">
        <f t="shared" si="19"/>
        <v>OTP Achieved</v>
      </c>
    </row>
    <row r="772" spans="1:40" ht="15.75" customHeight="1">
      <c r="A772" s="9" t="s">
        <v>1461</v>
      </c>
      <c r="B772" s="25">
        <v>46313.425000000003</v>
      </c>
      <c r="C772" s="9">
        <v>2228</v>
      </c>
      <c r="D772" s="9" t="s">
        <v>41</v>
      </c>
      <c r="E772" s="9">
        <v>7</v>
      </c>
      <c r="F772" s="9" t="s">
        <v>41</v>
      </c>
      <c r="G772" s="9" t="s">
        <v>41</v>
      </c>
      <c r="H772" s="9" t="s">
        <v>2424</v>
      </c>
      <c r="I772" s="25">
        <v>46313.425694444442</v>
      </c>
      <c r="J772" s="9" t="s">
        <v>41</v>
      </c>
      <c r="K772" s="25">
        <v>46313.425694444442</v>
      </c>
      <c r="L772" s="9">
        <v>10</v>
      </c>
      <c r="O772" s="25">
        <v>46313.425000000003</v>
      </c>
      <c r="P772" s="9" t="s">
        <v>43</v>
      </c>
      <c r="Q772" s="9" t="s">
        <v>1463</v>
      </c>
      <c r="R772" s="9" t="s">
        <v>2425</v>
      </c>
      <c r="S772" s="9">
        <v>4247</v>
      </c>
      <c r="T772" s="9" t="s">
        <v>41</v>
      </c>
      <c r="U772" s="25">
        <v>46313.432638888888</v>
      </c>
      <c r="V772" s="25">
        <v>46313.430555555555</v>
      </c>
      <c r="W772" s="26" t="s">
        <v>2426</v>
      </c>
      <c r="X772" s="9">
        <v>22411</v>
      </c>
      <c r="Y772" s="25"/>
      <c r="Z772" s="9">
        <v>0</v>
      </c>
      <c r="AA772" s="27">
        <v>0.42499999999999999</v>
      </c>
      <c r="AB772" s="9">
        <v>7</v>
      </c>
      <c r="AC772" s="9" t="s">
        <v>41</v>
      </c>
      <c r="AD772" s="9" t="str">
        <f t="shared" si="15"/>
        <v>Actual</v>
      </c>
      <c r="AE772" s="9" t="str">
        <f t="shared" si="16"/>
        <v>TMK7</v>
      </c>
      <c r="AF772" s="9">
        <f>HOUR(O772)</f>
        <v>10</v>
      </c>
      <c r="AG772" s="9">
        <f>DAY(O772)</f>
        <v>18</v>
      </c>
      <c r="AH772" s="9">
        <f>IFERROR((I772-K772)*24*60,0)</f>
        <v>0</v>
      </c>
      <c r="AI772" s="9">
        <f t="shared" si="17"/>
        <v>0</v>
      </c>
      <c r="AJ772" s="9">
        <f>C772</f>
        <v>2228</v>
      </c>
      <c r="AK772" s="9">
        <f>IF(P772="completed",((V772-K772)*24*60),0)</f>
        <v>7.0000000018626451</v>
      </c>
      <c r="AL772" s="9">
        <f>IF(P772="completed",((U772-K772)*24*60),0)</f>
        <v>10.000000001164153</v>
      </c>
      <c r="AM772" s="9" t="str">
        <f t="shared" si="18"/>
        <v>OTP Achieved</v>
      </c>
      <c r="AN772" s="9" t="str">
        <f t="shared" si="19"/>
        <v>OTP Achieved</v>
      </c>
    </row>
    <row r="773" spans="1:40" ht="15.75" customHeight="1">
      <c r="A773" s="9" t="s">
        <v>62</v>
      </c>
      <c r="B773" s="25">
        <v>46313.424305555556</v>
      </c>
      <c r="C773" s="9">
        <v>1923</v>
      </c>
      <c r="D773" s="9" t="s">
        <v>41</v>
      </c>
      <c r="E773" s="9">
        <v>5</v>
      </c>
      <c r="F773" s="9" t="s">
        <v>41</v>
      </c>
      <c r="G773" s="9" t="s">
        <v>41</v>
      </c>
      <c r="H773" s="9" t="s">
        <v>2427</v>
      </c>
      <c r="I773" s="25">
        <v>46313.425000000003</v>
      </c>
      <c r="J773" s="9" t="s">
        <v>41</v>
      </c>
      <c r="K773" s="25">
        <v>46313.425000000003</v>
      </c>
      <c r="L773" s="9">
        <v>21</v>
      </c>
      <c r="O773" s="25">
        <v>46313.424305555556</v>
      </c>
      <c r="P773" s="9" t="s">
        <v>43</v>
      </c>
      <c r="Q773" s="9" t="s">
        <v>64</v>
      </c>
      <c r="R773" s="9" t="s">
        <v>2428</v>
      </c>
      <c r="S773" s="9">
        <v>4247</v>
      </c>
      <c r="T773" s="9" t="s">
        <v>41</v>
      </c>
      <c r="U773" s="25">
        <v>46313.429861111108</v>
      </c>
      <c r="V773" s="25">
        <v>46313.428472222222</v>
      </c>
      <c r="W773" s="26" t="s">
        <v>2429</v>
      </c>
      <c r="X773" s="9">
        <v>22411</v>
      </c>
      <c r="Y773" s="25"/>
      <c r="Z773" s="9">
        <v>0</v>
      </c>
      <c r="AA773" s="27">
        <v>0.42430555555555555</v>
      </c>
      <c r="AB773" s="9">
        <v>5</v>
      </c>
      <c r="AC773" s="9" t="s">
        <v>41</v>
      </c>
      <c r="AD773" s="9" t="str">
        <f t="shared" si="15"/>
        <v>Actual</v>
      </c>
      <c r="AE773" s="9" t="str">
        <f t="shared" si="16"/>
        <v>TMK7</v>
      </c>
      <c r="AF773" s="9">
        <f>HOUR(O773)</f>
        <v>10</v>
      </c>
      <c r="AG773" s="9">
        <f>DAY(O773)</f>
        <v>18</v>
      </c>
      <c r="AH773" s="9">
        <f>IFERROR((I773-K773)*24*60,0)</f>
        <v>0</v>
      </c>
      <c r="AI773" s="9">
        <f t="shared" si="17"/>
        <v>0</v>
      </c>
      <c r="AJ773" s="9">
        <f>C773</f>
        <v>1923</v>
      </c>
      <c r="AK773" s="9">
        <f>IF(P773="completed",((V773-K773)*24*60),0)</f>
        <v>4.9999999953433871</v>
      </c>
      <c r="AL773" s="9">
        <f>IF(P773="completed",((U773-K773)*24*60),0)</f>
        <v>6.9999999913852662</v>
      </c>
      <c r="AM773" s="9" t="str">
        <f t="shared" si="18"/>
        <v>OTP Achieved</v>
      </c>
      <c r="AN773" s="9" t="str">
        <f t="shared" si="19"/>
        <v>OTP Achieved</v>
      </c>
    </row>
    <row r="774" spans="1:40" ht="15.75" customHeight="1">
      <c r="A774" s="9" t="s">
        <v>1391</v>
      </c>
      <c r="B774" s="25">
        <v>46313.423611111109</v>
      </c>
      <c r="C774" s="9">
        <v>2390</v>
      </c>
      <c r="D774" s="9" t="s">
        <v>41</v>
      </c>
      <c r="E774" s="9">
        <v>7</v>
      </c>
      <c r="F774" s="9" t="s">
        <v>41</v>
      </c>
      <c r="G774" s="9" t="s">
        <v>41</v>
      </c>
      <c r="H774" s="9" t="s">
        <v>2430</v>
      </c>
      <c r="I774" s="25">
        <v>46313.426388888889</v>
      </c>
      <c r="J774" s="9" t="s">
        <v>41</v>
      </c>
      <c r="K774" s="25">
        <v>46313.426388888889</v>
      </c>
      <c r="L774" s="9">
        <v>17</v>
      </c>
      <c r="O774" s="25">
        <v>46313.42291666667</v>
      </c>
      <c r="P774" s="9" t="s">
        <v>43</v>
      </c>
      <c r="Q774" s="9" t="s">
        <v>1393</v>
      </c>
      <c r="R774" s="9" t="s">
        <v>2431</v>
      </c>
      <c r="S774" s="9">
        <v>4247</v>
      </c>
      <c r="T774" s="9" t="s">
        <v>41</v>
      </c>
      <c r="U774" s="25">
        <v>46313.431944444441</v>
      </c>
      <c r="V774" s="25">
        <v>46313.431250000001</v>
      </c>
      <c r="W774" s="26" t="s">
        <v>2432</v>
      </c>
      <c r="X774" s="9">
        <v>22411</v>
      </c>
      <c r="Z774" s="9">
        <v>0</v>
      </c>
      <c r="AA774" s="27">
        <v>0.4236111111111111</v>
      </c>
      <c r="AB774" s="9">
        <v>7</v>
      </c>
      <c r="AC774" s="9" t="s">
        <v>41</v>
      </c>
      <c r="AD774" s="9" t="str">
        <f t="shared" si="15"/>
        <v>Actual</v>
      </c>
      <c r="AE774" s="9" t="str">
        <f t="shared" si="16"/>
        <v>TMK7</v>
      </c>
      <c r="AF774" s="9">
        <f>HOUR(O774)</f>
        <v>10</v>
      </c>
      <c r="AG774" s="9">
        <f>DAY(O774)</f>
        <v>18</v>
      </c>
      <c r="AH774" s="9">
        <f>IFERROR((I774-K774)*24*60,0)</f>
        <v>0</v>
      </c>
      <c r="AI774" s="9">
        <f t="shared" si="17"/>
        <v>0</v>
      </c>
      <c r="AJ774" s="9">
        <f>C774</f>
        <v>2390</v>
      </c>
      <c r="AK774" s="9">
        <f>IF(P774="completed",((V774-K774)*24*60),0)</f>
        <v>7.0000000018626451</v>
      </c>
      <c r="AL774" s="9">
        <f>IF(P774="completed",((U774-K774)*24*60),0)</f>
        <v>7.9999999946448952</v>
      </c>
      <c r="AM774" s="9" t="str">
        <f t="shared" si="18"/>
        <v>OTP Achieved</v>
      </c>
      <c r="AN774" s="9" t="str">
        <f t="shared" si="19"/>
        <v>OTP Achieved</v>
      </c>
    </row>
    <row r="775" spans="1:40" ht="15.75" customHeight="1">
      <c r="A775" s="9" t="s">
        <v>2318</v>
      </c>
      <c r="B775" s="25">
        <v>46313.423611111109</v>
      </c>
      <c r="C775" s="9">
        <v>2718</v>
      </c>
      <c r="D775" s="9" t="s">
        <v>41</v>
      </c>
      <c r="E775" s="9">
        <v>8</v>
      </c>
      <c r="F775" s="9" t="s">
        <v>41</v>
      </c>
      <c r="G775" s="9" t="s">
        <v>41</v>
      </c>
      <c r="H775" s="9" t="s">
        <v>2433</v>
      </c>
      <c r="I775" s="25">
        <v>46313.425000000003</v>
      </c>
      <c r="J775" s="9" t="s">
        <v>41</v>
      </c>
      <c r="K775" s="25">
        <v>46313.424305555556</v>
      </c>
      <c r="L775" s="9">
        <v>68</v>
      </c>
      <c r="O775" s="25">
        <v>46313.42291666667</v>
      </c>
      <c r="P775" s="9" t="s">
        <v>43</v>
      </c>
      <c r="Q775" s="9" t="s">
        <v>2320</v>
      </c>
      <c r="R775" s="9" t="s">
        <v>2434</v>
      </c>
      <c r="S775" s="9">
        <v>4247</v>
      </c>
      <c r="T775" s="9" t="s">
        <v>41</v>
      </c>
      <c r="U775" s="25">
        <v>46313.431944444441</v>
      </c>
      <c r="V775" s="25">
        <v>46313.429861111108</v>
      </c>
      <c r="W775" s="26" t="s">
        <v>2435</v>
      </c>
      <c r="X775" s="9">
        <v>22411</v>
      </c>
      <c r="Y775" s="25"/>
      <c r="Z775" s="9">
        <v>0</v>
      </c>
      <c r="AA775" s="27">
        <v>0.4236111111111111</v>
      </c>
      <c r="AB775" s="9">
        <v>7</v>
      </c>
      <c r="AC775" s="9" t="s">
        <v>41</v>
      </c>
      <c r="AD775" s="9" t="str">
        <f t="shared" si="15"/>
        <v>Actual</v>
      </c>
      <c r="AE775" s="9" t="str">
        <f t="shared" si="16"/>
        <v>TMK7</v>
      </c>
      <c r="AF775" s="9">
        <f>HOUR(O775)</f>
        <v>10</v>
      </c>
      <c r="AG775" s="9">
        <f>DAY(O775)</f>
        <v>18</v>
      </c>
      <c r="AH775" s="9">
        <f>IFERROR((I775-K775)*24*60,0)</f>
        <v>1.000000003259629</v>
      </c>
      <c r="AI775" s="9">
        <f t="shared" si="17"/>
        <v>1.000000003259629</v>
      </c>
      <c r="AJ775" s="9">
        <f>C775</f>
        <v>2718</v>
      </c>
      <c r="AK775" s="9">
        <f>IF(P775="completed",((V775-K775)*24*60),0)</f>
        <v>7.9999999946448952</v>
      </c>
      <c r="AL775" s="9">
        <f>IF(P775="completed",((U775-K775)*24*60),0)</f>
        <v>10.999999993946403</v>
      </c>
      <c r="AM775" s="9" t="str">
        <f t="shared" si="18"/>
        <v>OTP Achieved</v>
      </c>
      <c r="AN775" s="9" t="str">
        <f t="shared" si="19"/>
        <v>OTP Achieved</v>
      </c>
    </row>
    <row r="776" spans="1:40" ht="15.75" customHeight="1">
      <c r="A776" s="9" t="s">
        <v>1171</v>
      </c>
      <c r="B776" s="25">
        <v>46313.423611111109</v>
      </c>
      <c r="C776" s="9">
        <v>1315</v>
      </c>
      <c r="D776" s="9" t="s">
        <v>41</v>
      </c>
      <c r="E776" s="9">
        <v>3</v>
      </c>
      <c r="F776" s="9" t="s">
        <v>41</v>
      </c>
      <c r="G776" s="9" t="s">
        <v>41</v>
      </c>
      <c r="H776" s="9" t="s">
        <v>2436</v>
      </c>
      <c r="I776" s="25">
        <v>46313.424305555556</v>
      </c>
      <c r="J776" s="9" t="s">
        <v>41</v>
      </c>
      <c r="K776" s="25">
        <v>46313.423611111109</v>
      </c>
      <c r="L776" s="9">
        <v>15</v>
      </c>
      <c r="O776" s="25">
        <v>46313.422222222223</v>
      </c>
      <c r="P776" s="9" t="s">
        <v>43</v>
      </c>
      <c r="Q776" s="9" t="s">
        <v>1173</v>
      </c>
      <c r="R776" s="9" t="s">
        <v>2437</v>
      </c>
      <c r="S776" s="9">
        <v>4247</v>
      </c>
      <c r="T776" s="9" t="s">
        <v>41</v>
      </c>
      <c r="U776" s="25">
        <v>46313.427777777775</v>
      </c>
      <c r="V776" s="25">
        <v>46313.425694444442</v>
      </c>
      <c r="W776" s="26" t="s">
        <v>2438</v>
      </c>
      <c r="X776" s="9">
        <v>22411</v>
      </c>
      <c r="Y776" s="25"/>
      <c r="Z776" s="9">
        <v>0</v>
      </c>
      <c r="AA776" s="27">
        <v>0.4236111111111111</v>
      </c>
      <c r="AB776" s="9">
        <v>3</v>
      </c>
      <c r="AC776" s="9" t="s">
        <v>41</v>
      </c>
      <c r="AD776" s="9" t="str">
        <f t="shared" si="15"/>
        <v>Actual</v>
      </c>
      <c r="AE776" s="9" t="str">
        <f t="shared" si="16"/>
        <v>TMK7</v>
      </c>
      <c r="AF776" s="9">
        <f>HOUR(O776)</f>
        <v>10</v>
      </c>
      <c r="AG776" s="9">
        <f>DAY(O776)</f>
        <v>18</v>
      </c>
      <c r="AH776" s="9">
        <f>IFERROR((I776-K776)*24*60,0)</f>
        <v>1.000000003259629</v>
      </c>
      <c r="AI776" s="9">
        <f t="shared" si="17"/>
        <v>1.000000003259629</v>
      </c>
      <c r="AJ776" s="9">
        <f>C776</f>
        <v>1315</v>
      </c>
      <c r="AK776" s="9">
        <f>IF(P776="completed",((V776-K776)*24*60),0)</f>
        <v>2.9999999993015081</v>
      </c>
      <c r="AL776" s="9">
        <f>IF(P776="completed",((U776-K776)*24*60),0)</f>
        <v>5.9999999986030161</v>
      </c>
      <c r="AM776" s="9" t="str">
        <f t="shared" si="18"/>
        <v>OTP Achieved</v>
      </c>
      <c r="AN776" s="9" t="str">
        <f t="shared" si="19"/>
        <v>OTP Achieved</v>
      </c>
    </row>
    <row r="777" spans="1:40" ht="15.75" customHeight="1">
      <c r="A777" s="9" t="s">
        <v>1136</v>
      </c>
      <c r="B777" s="25">
        <v>46313.42291666667</v>
      </c>
      <c r="C777" s="9">
        <v>390</v>
      </c>
      <c r="D777" s="9" t="s">
        <v>41</v>
      </c>
      <c r="E777" s="9">
        <v>2</v>
      </c>
      <c r="F777" s="9" t="s">
        <v>41</v>
      </c>
      <c r="G777" s="9" t="s">
        <v>41</v>
      </c>
      <c r="H777" s="9" t="s">
        <v>2439</v>
      </c>
      <c r="I777" s="25">
        <v>46313.425000000003</v>
      </c>
      <c r="J777" s="9" t="s">
        <v>41</v>
      </c>
      <c r="K777" s="25">
        <v>46313.424305555556</v>
      </c>
      <c r="L777" s="9">
        <v>17</v>
      </c>
      <c r="O777" s="25">
        <v>46313.422222222223</v>
      </c>
      <c r="P777" s="9" t="s">
        <v>43</v>
      </c>
      <c r="Q777" s="9" t="s">
        <v>1138</v>
      </c>
      <c r="R777" s="9" t="s">
        <v>2440</v>
      </c>
      <c r="S777" s="9">
        <v>4247</v>
      </c>
      <c r="T777" s="9" t="s">
        <v>41</v>
      </c>
      <c r="U777" s="25">
        <v>46313.426388888889</v>
      </c>
      <c r="V777" s="25">
        <v>46313.425694444442</v>
      </c>
      <c r="W777" s="26" t="s">
        <v>2441</v>
      </c>
      <c r="X777" s="9">
        <v>22411</v>
      </c>
      <c r="Z777" s="9">
        <v>0</v>
      </c>
      <c r="AA777" s="27">
        <v>0.42291666666666666</v>
      </c>
      <c r="AB777" s="9">
        <v>2</v>
      </c>
      <c r="AC777" s="9" t="s">
        <v>41</v>
      </c>
      <c r="AD777" s="9" t="str">
        <f t="shared" si="15"/>
        <v>Actual</v>
      </c>
      <c r="AE777" s="9" t="str">
        <f t="shared" si="16"/>
        <v>TMK7</v>
      </c>
      <c r="AF777" s="9">
        <f>HOUR(O777)</f>
        <v>10</v>
      </c>
      <c r="AG777" s="9">
        <f>DAY(O777)</f>
        <v>18</v>
      </c>
      <c r="AH777" s="9">
        <f>IFERROR((I777-K777)*24*60,0)</f>
        <v>1.000000003259629</v>
      </c>
      <c r="AI777" s="9">
        <f t="shared" si="17"/>
        <v>1.000000003259629</v>
      </c>
      <c r="AJ777" s="9">
        <f>C777</f>
        <v>390</v>
      </c>
      <c r="AK777" s="9">
        <f>IF(P777="completed",((V777-K777)*24*60),0)</f>
        <v>1.9999999960418791</v>
      </c>
      <c r="AL777" s="9">
        <f>IF(P777="completed",((U777-K777)*24*60),0)</f>
        <v>2.9999999993015081</v>
      </c>
      <c r="AM777" s="9" t="str">
        <f t="shared" si="18"/>
        <v>OTP Achieved</v>
      </c>
      <c r="AN777" s="9" t="str">
        <f t="shared" si="19"/>
        <v>OTP Achieved</v>
      </c>
    </row>
    <row r="778" spans="1:40" ht="15.75" customHeight="1">
      <c r="A778" s="9" t="s">
        <v>2258</v>
      </c>
      <c r="B778" s="25">
        <v>46313.42291666667</v>
      </c>
      <c r="C778" s="9">
        <v>2055</v>
      </c>
      <c r="D778" s="9" t="s">
        <v>41</v>
      </c>
      <c r="E778" s="9">
        <v>6</v>
      </c>
      <c r="F778" s="9" t="s">
        <v>41</v>
      </c>
      <c r="G778" s="9" t="s">
        <v>41</v>
      </c>
      <c r="H778" s="9" t="s">
        <v>2442</v>
      </c>
      <c r="I778" s="25">
        <v>46313.425000000003</v>
      </c>
      <c r="J778" s="9" t="s">
        <v>41</v>
      </c>
      <c r="K778" s="25">
        <v>46313.424305555556</v>
      </c>
      <c r="L778" s="9">
        <v>14</v>
      </c>
      <c r="O778" s="25">
        <v>46313.422222222223</v>
      </c>
      <c r="P778" s="9" t="s">
        <v>43</v>
      </c>
      <c r="Q778" s="9" t="s">
        <v>2260</v>
      </c>
      <c r="R778" s="9" t="s">
        <v>2443</v>
      </c>
      <c r="S778" s="9">
        <v>4247</v>
      </c>
      <c r="T778" s="9" t="s">
        <v>41</v>
      </c>
      <c r="U778" s="25">
        <v>46313.429861111108</v>
      </c>
      <c r="V778" s="25">
        <v>46313.428472222222</v>
      </c>
      <c r="W778" s="26" t="s">
        <v>2444</v>
      </c>
      <c r="X778" s="9">
        <v>22411</v>
      </c>
      <c r="Y778" s="25"/>
      <c r="Z778" s="9">
        <v>0</v>
      </c>
      <c r="AA778" s="27">
        <v>0.42291666666666666</v>
      </c>
      <c r="AB778" s="9">
        <v>5</v>
      </c>
      <c r="AC778" s="9" t="s">
        <v>41</v>
      </c>
      <c r="AD778" s="9" t="str">
        <f t="shared" si="15"/>
        <v>Actual</v>
      </c>
      <c r="AE778" s="9" t="str">
        <f t="shared" si="16"/>
        <v>TMK7</v>
      </c>
      <c r="AF778" s="9">
        <f>HOUR(O778)</f>
        <v>10</v>
      </c>
      <c r="AG778" s="9">
        <f>DAY(O778)</f>
        <v>18</v>
      </c>
      <c r="AH778" s="9">
        <f>IFERROR((I778-K778)*24*60,0)</f>
        <v>1.000000003259629</v>
      </c>
      <c r="AI778" s="9">
        <f t="shared" si="17"/>
        <v>1.000000003259629</v>
      </c>
      <c r="AJ778" s="9">
        <f>C778</f>
        <v>2055</v>
      </c>
      <c r="AK778" s="9">
        <f>IF(P778="completed",((V778-K778)*24*60),0)</f>
        <v>5.9999999986030161</v>
      </c>
      <c r="AL778" s="9">
        <f>IF(P778="completed",((U778-K778)*24*60),0)</f>
        <v>7.9999999946448952</v>
      </c>
      <c r="AM778" s="9" t="str">
        <f t="shared" si="18"/>
        <v>OTP Achieved</v>
      </c>
      <c r="AN778" s="9" t="str">
        <f t="shared" si="19"/>
        <v>OTP Achieved</v>
      </c>
    </row>
    <row r="779" spans="1:40" ht="15.75" customHeight="1">
      <c r="A779" s="9" t="s">
        <v>98</v>
      </c>
      <c r="B779" s="25">
        <v>46313.422222222223</v>
      </c>
      <c r="C779" s="9">
        <v>117</v>
      </c>
      <c r="D779" s="9" t="s">
        <v>41</v>
      </c>
      <c r="E779" s="9">
        <v>1</v>
      </c>
      <c r="F779" s="9" t="s">
        <v>41</v>
      </c>
      <c r="G779" s="9" t="s">
        <v>41</v>
      </c>
      <c r="H779" s="9" t="s">
        <v>2445</v>
      </c>
      <c r="I779" s="25">
        <v>46313.424305555556</v>
      </c>
      <c r="J779" s="9" t="s">
        <v>41</v>
      </c>
      <c r="K779" s="25">
        <v>46313.423611111109</v>
      </c>
      <c r="L779" s="9">
        <v>41</v>
      </c>
      <c r="O779" s="25">
        <v>46313.421527777777</v>
      </c>
      <c r="P779" s="9" t="s">
        <v>43</v>
      </c>
      <c r="Q779" s="9" t="s">
        <v>100</v>
      </c>
      <c r="R779" s="9" t="s">
        <v>2446</v>
      </c>
      <c r="S779" s="9">
        <v>4247</v>
      </c>
      <c r="T779" s="9" t="s">
        <v>41</v>
      </c>
      <c r="U779" s="25">
        <v>46313.425000000003</v>
      </c>
      <c r="V779" s="25">
        <v>46313.424305555556</v>
      </c>
      <c r="W779" s="26" t="s">
        <v>2447</v>
      </c>
      <c r="X779" s="9">
        <v>22411</v>
      </c>
      <c r="Y779" s="25"/>
      <c r="Z779" s="9">
        <v>0</v>
      </c>
      <c r="AA779" s="27">
        <v>0.42222222222222222</v>
      </c>
      <c r="AB779" s="9">
        <v>0</v>
      </c>
      <c r="AC779" s="9" t="s">
        <v>41</v>
      </c>
      <c r="AD779" s="9" t="str">
        <f t="shared" si="15"/>
        <v>Actual</v>
      </c>
      <c r="AE779" s="9" t="str">
        <f t="shared" si="16"/>
        <v>TMK7</v>
      </c>
      <c r="AF779" s="9">
        <f>HOUR(O779)</f>
        <v>10</v>
      </c>
      <c r="AG779" s="9">
        <f>DAY(O779)</f>
        <v>18</v>
      </c>
      <c r="AH779" s="9">
        <f>IFERROR((I779-K779)*24*60,0)</f>
        <v>1.000000003259629</v>
      </c>
      <c r="AI779" s="9">
        <f t="shared" si="17"/>
        <v>1.000000003259629</v>
      </c>
      <c r="AJ779" s="9">
        <f>C779</f>
        <v>117</v>
      </c>
      <c r="AK779" s="9">
        <f>IF(P779="completed",((V779-K779)*24*60),0)</f>
        <v>1.000000003259629</v>
      </c>
      <c r="AL779" s="9">
        <f>IF(P779="completed",((U779-K779)*24*60),0)</f>
        <v>2.000000006519258</v>
      </c>
      <c r="AM779" s="9" t="str">
        <f t="shared" si="18"/>
        <v>OTP Achieved</v>
      </c>
      <c r="AN779" s="9" t="str">
        <f t="shared" si="19"/>
        <v>OTP Achieved</v>
      </c>
    </row>
    <row r="780" spans="1:40" ht="15.75" customHeight="1">
      <c r="A780" s="9" t="s">
        <v>52</v>
      </c>
      <c r="B780" s="25">
        <v>46313.421527777777</v>
      </c>
      <c r="C780" s="9">
        <v>2060</v>
      </c>
      <c r="D780" s="9" t="s">
        <v>41</v>
      </c>
      <c r="E780" s="9">
        <v>5</v>
      </c>
      <c r="F780" s="9" t="s">
        <v>41</v>
      </c>
      <c r="G780" s="9" t="s">
        <v>41</v>
      </c>
      <c r="H780" s="9" t="s">
        <v>2448</v>
      </c>
      <c r="I780" s="25">
        <v>46313.423611111109</v>
      </c>
      <c r="J780" s="9" t="s">
        <v>41</v>
      </c>
      <c r="K780" s="25">
        <v>46313.423611111109</v>
      </c>
      <c r="L780" s="9">
        <v>8</v>
      </c>
      <c r="O780" s="25">
        <v>46313.421527777777</v>
      </c>
      <c r="P780" s="9" t="s">
        <v>43</v>
      </c>
      <c r="Q780" s="9" t="s">
        <v>54</v>
      </c>
      <c r="R780" s="9" t="s">
        <v>2449</v>
      </c>
      <c r="S780" s="9">
        <v>4247</v>
      </c>
      <c r="T780" s="9" t="s">
        <v>41</v>
      </c>
      <c r="U780" s="25">
        <v>46313.429166666669</v>
      </c>
      <c r="V780" s="25">
        <v>46313.427083333336</v>
      </c>
      <c r="W780" s="26" t="s">
        <v>2450</v>
      </c>
      <c r="X780" s="9">
        <v>22411</v>
      </c>
      <c r="Y780" s="25"/>
      <c r="Z780" s="9">
        <v>0</v>
      </c>
      <c r="AA780" s="27">
        <v>0.42152777777777778</v>
      </c>
      <c r="AB780" s="9">
        <v>5</v>
      </c>
      <c r="AC780" s="9" t="s">
        <v>41</v>
      </c>
      <c r="AD780" s="9" t="str">
        <f t="shared" si="15"/>
        <v>Actual</v>
      </c>
      <c r="AE780" s="9" t="str">
        <f t="shared" si="16"/>
        <v>TMK7</v>
      </c>
      <c r="AF780" s="9">
        <f>HOUR(O780)</f>
        <v>10</v>
      </c>
      <c r="AG780" s="9">
        <f>DAY(O780)</f>
        <v>18</v>
      </c>
      <c r="AH780" s="9">
        <f>IFERROR((I780-K780)*24*60,0)</f>
        <v>0</v>
      </c>
      <c r="AI780" s="9">
        <f t="shared" si="17"/>
        <v>0</v>
      </c>
      <c r="AJ780" s="9">
        <f>C780</f>
        <v>2060</v>
      </c>
      <c r="AK780" s="9">
        <f>IF(P780="completed",((V780-K780)*24*60),0)</f>
        <v>5.0000000058207661</v>
      </c>
      <c r="AL780" s="9">
        <f>IF(P780="completed",((U780-K780)*24*60),0)</f>
        <v>8.0000000051222742</v>
      </c>
      <c r="AM780" s="9" t="str">
        <f t="shared" si="18"/>
        <v>OTP Achieved</v>
      </c>
      <c r="AN780" s="9" t="str">
        <f t="shared" si="19"/>
        <v>OTP Achieved</v>
      </c>
    </row>
    <row r="781" spans="1:40" ht="15.75" customHeight="1">
      <c r="A781" s="9" t="s">
        <v>106</v>
      </c>
      <c r="B781" s="25">
        <v>46313.421527777777</v>
      </c>
      <c r="C781" s="9">
        <v>1440</v>
      </c>
      <c r="D781" s="9" t="s">
        <v>41</v>
      </c>
      <c r="E781" s="9">
        <v>4</v>
      </c>
      <c r="F781" s="9" t="s">
        <v>41</v>
      </c>
      <c r="G781" s="9" t="s">
        <v>41</v>
      </c>
      <c r="H781" s="9" t="s">
        <v>2451</v>
      </c>
      <c r="I781" s="25">
        <v>46313.423611111109</v>
      </c>
      <c r="J781" s="9" t="s">
        <v>41</v>
      </c>
      <c r="K781" s="25">
        <v>46313.42291666667</v>
      </c>
      <c r="L781" s="9">
        <v>27</v>
      </c>
      <c r="O781" s="25">
        <v>46313.421527777777</v>
      </c>
      <c r="P781" s="9" t="s">
        <v>43</v>
      </c>
      <c r="Q781" s="9" t="s">
        <v>108</v>
      </c>
      <c r="R781" s="9" t="s">
        <v>2452</v>
      </c>
      <c r="S781" s="9">
        <v>4247</v>
      </c>
      <c r="T781" s="9" t="s">
        <v>41</v>
      </c>
      <c r="U781" s="25">
        <v>46313.427083333336</v>
      </c>
      <c r="V781" s="25">
        <v>46313.426388888889</v>
      </c>
      <c r="W781" s="26" t="s">
        <v>2453</v>
      </c>
      <c r="X781" s="9">
        <v>22411</v>
      </c>
      <c r="Z781" s="9">
        <v>0</v>
      </c>
      <c r="AA781" s="27">
        <v>0.42152777777777778</v>
      </c>
      <c r="AB781" s="9">
        <v>4</v>
      </c>
      <c r="AC781" s="9" t="s">
        <v>41</v>
      </c>
      <c r="AD781" s="9" t="str">
        <f t="shared" si="15"/>
        <v>Actual</v>
      </c>
      <c r="AE781" s="9" t="str">
        <f t="shared" si="16"/>
        <v>TMK7</v>
      </c>
      <c r="AF781" s="9">
        <f>HOUR(O781)</f>
        <v>10</v>
      </c>
      <c r="AG781" s="9">
        <f>DAY(O781)</f>
        <v>18</v>
      </c>
      <c r="AH781" s="9">
        <f>IFERROR((I781-K781)*24*60,0)</f>
        <v>0.99999999278225005</v>
      </c>
      <c r="AI781" s="9">
        <f t="shared" si="17"/>
        <v>0.99999999278225005</v>
      </c>
      <c r="AJ781" s="9">
        <f>C781</f>
        <v>1440</v>
      </c>
      <c r="AK781" s="9">
        <f>IF(P781="completed",((V781-K781)*24*60),0)</f>
        <v>4.9999999953433871</v>
      </c>
      <c r="AL781" s="9">
        <f>IF(P781="completed",((U781-K781)*24*60),0)</f>
        <v>5.9999999986030161</v>
      </c>
      <c r="AM781" s="9" t="str">
        <f t="shared" si="18"/>
        <v>OTP Achieved</v>
      </c>
      <c r="AN781" s="9" t="str">
        <f t="shared" si="19"/>
        <v>OTP Achieved</v>
      </c>
    </row>
    <row r="782" spans="1:40" ht="15.75" customHeight="1">
      <c r="A782" s="9" t="s">
        <v>190</v>
      </c>
      <c r="B782" s="25">
        <v>46313.42083333333</v>
      </c>
      <c r="C782" s="9">
        <v>117</v>
      </c>
      <c r="D782" s="9" t="s">
        <v>41</v>
      </c>
      <c r="E782" s="9">
        <v>4</v>
      </c>
      <c r="F782" s="9" t="s">
        <v>41</v>
      </c>
      <c r="G782" s="9" t="s">
        <v>41</v>
      </c>
      <c r="H782" s="9" t="s">
        <v>2454</v>
      </c>
      <c r="I782" s="25">
        <v>46313.423611111109</v>
      </c>
      <c r="J782" s="9" t="s">
        <v>41</v>
      </c>
      <c r="K782" s="25">
        <v>46313.42291666667</v>
      </c>
      <c r="L782" s="9">
        <v>21</v>
      </c>
      <c r="O782" s="25">
        <v>46313.42083333333</v>
      </c>
      <c r="P782" s="9" t="s">
        <v>43</v>
      </c>
      <c r="Q782" s="9" t="s">
        <v>192</v>
      </c>
      <c r="R782" s="9" t="s">
        <v>2455</v>
      </c>
      <c r="S782" s="9">
        <v>4247</v>
      </c>
      <c r="T782" s="9" t="s">
        <v>41</v>
      </c>
      <c r="U782" s="25">
        <v>46313.424305555556</v>
      </c>
      <c r="V782" s="25">
        <v>46313.425694444442</v>
      </c>
      <c r="W782" s="26" t="s">
        <v>2456</v>
      </c>
      <c r="X782" s="9">
        <v>22411</v>
      </c>
      <c r="Y782" s="25"/>
      <c r="Z782" s="9">
        <v>0</v>
      </c>
      <c r="AA782" s="27">
        <v>0.42083333333333334</v>
      </c>
      <c r="AB782" s="9">
        <v>4</v>
      </c>
      <c r="AC782" s="9" t="s">
        <v>41</v>
      </c>
      <c r="AD782" s="9" t="str">
        <f t="shared" si="15"/>
        <v>Actual</v>
      </c>
      <c r="AE782" s="9" t="str">
        <f t="shared" si="16"/>
        <v>TMK7</v>
      </c>
      <c r="AF782" s="9">
        <f>HOUR(O782)</f>
        <v>10</v>
      </c>
      <c r="AG782" s="9">
        <f>DAY(O782)</f>
        <v>18</v>
      </c>
      <c r="AH782" s="9">
        <f>IFERROR((I782-K782)*24*60,0)</f>
        <v>0.99999999278225005</v>
      </c>
      <c r="AI782" s="9">
        <f t="shared" si="17"/>
        <v>0.99999999278225005</v>
      </c>
      <c r="AJ782" s="9">
        <f>C782</f>
        <v>117</v>
      </c>
      <c r="AK782" s="9">
        <f>IF(P782="completed",((V782-K782)*24*60),0)</f>
        <v>3.9999999920837581</v>
      </c>
      <c r="AL782" s="9">
        <f>IF(P782="completed",((U782-K782)*24*60),0)</f>
        <v>1.9999999960418791</v>
      </c>
      <c r="AM782" s="9" t="str">
        <f t="shared" si="18"/>
        <v>OTP Breached</v>
      </c>
      <c r="AN782" s="9" t="str">
        <f t="shared" si="19"/>
        <v>OTP Achieved</v>
      </c>
    </row>
    <row r="783" spans="1:40" ht="15.75" customHeight="1">
      <c r="A783" s="9" t="s">
        <v>655</v>
      </c>
      <c r="B783" s="25">
        <v>46313.42083333333</v>
      </c>
      <c r="C783" s="9">
        <v>747</v>
      </c>
      <c r="D783" s="9" t="s">
        <v>41</v>
      </c>
      <c r="E783" s="9">
        <v>3</v>
      </c>
      <c r="F783" s="9" t="s">
        <v>41</v>
      </c>
      <c r="G783" s="9" t="s">
        <v>41</v>
      </c>
      <c r="H783" s="9" t="s">
        <v>2457</v>
      </c>
      <c r="I783" s="25">
        <v>46313.42291666667</v>
      </c>
      <c r="J783" s="9" t="s">
        <v>41</v>
      </c>
      <c r="K783" s="25">
        <v>46313.42291666667</v>
      </c>
      <c r="L783" s="9">
        <v>18</v>
      </c>
      <c r="O783" s="25">
        <v>46313.42083333333</v>
      </c>
      <c r="P783" s="9" t="s">
        <v>43</v>
      </c>
      <c r="Q783" s="9" t="s">
        <v>657</v>
      </c>
      <c r="R783" s="9" t="s">
        <v>2458</v>
      </c>
      <c r="S783" s="9">
        <v>4247</v>
      </c>
      <c r="T783" s="9" t="s">
        <v>41</v>
      </c>
      <c r="U783" s="25">
        <v>46313.425694444442</v>
      </c>
      <c r="V783" s="25">
        <v>46313.425000000003</v>
      </c>
      <c r="W783" s="26" t="s">
        <v>2459</v>
      </c>
      <c r="X783" s="9">
        <v>22411</v>
      </c>
      <c r="Y783" s="25"/>
      <c r="Z783" s="9">
        <v>0</v>
      </c>
      <c r="AA783" s="27">
        <v>0.42083333333333334</v>
      </c>
      <c r="AB783" s="9">
        <v>2</v>
      </c>
      <c r="AC783" s="9" t="s">
        <v>41</v>
      </c>
      <c r="AD783" s="9" t="str">
        <f t="shared" si="15"/>
        <v>Actual</v>
      </c>
      <c r="AE783" s="9" t="str">
        <f t="shared" si="16"/>
        <v>TMK7</v>
      </c>
      <c r="AF783" s="9">
        <f>HOUR(O783)</f>
        <v>10</v>
      </c>
      <c r="AG783" s="9">
        <f>DAY(O783)</f>
        <v>18</v>
      </c>
      <c r="AH783" s="9">
        <f>IFERROR((I783-K783)*24*60,0)</f>
        <v>0</v>
      </c>
      <c r="AI783" s="9">
        <f t="shared" si="17"/>
        <v>0</v>
      </c>
      <c r="AJ783" s="9">
        <f>C783</f>
        <v>747</v>
      </c>
      <c r="AK783" s="9">
        <f>IF(P783="completed",((V783-K783)*24*60),0)</f>
        <v>2.9999999993015081</v>
      </c>
      <c r="AL783" s="9">
        <f>IF(P783="completed",((U783-K783)*24*60),0)</f>
        <v>3.9999999920837581</v>
      </c>
      <c r="AM783" s="9" t="str">
        <f t="shared" si="18"/>
        <v>OTP Achieved</v>
      </c>
      <c r="AN783" s="9" t="str">
        <f t="shared" si="19"/>
        <v>OTP Achieved</v>
      </c>
    </row>
    <row r="784" spans="1:40" ht="15.75" customHeight="1">
      <c r="A784" s="9" t="s">
        <v>1624</v>
      </c>
      <c r="B784" s="25">
        <v>46313.42083333333</v>
      </c>
      <c r="C784" s="9">
        <v>2804</v>
      </c>
      <c r="D784" s="9" t="s">
        <v>41</v>
      </c>
      <c r="E784" s="9">
        <v>9</v>
      </c>
      <c r="F784" s="9" t="s">
        <v>41</v>
      </c>
      <c r="G784" s="9" t="s">
        <v>41</v>
      </c>
      <c r="H784" s="9" t="s">
        <v>2460</v>
      </c>
      <c r="I784" s="25">
        <v>46313.422222222223</v>
      </c>
      <c r="J784" s="9" t="s">
        <v>41</v>
      </c>
      <c r="K784" s="25">
        <v>46313.422222222223</v>
      </c>
      <c r="L784" s="9">
        <v>17</v>
      </c>
      <c r="O784" s="25">
        <v>46313.42083333333</v>
      </c>
      <c r="P784" s="9" t="s">
        <v>43</v>
      </c>
      <c r="Q784" s="9" t="s">
        <v>1626</v>
      </c>
      <c r="R784" s="9" t="s">
        <v>2461</v>
      </c>
      <c r="S784" s="9">
        <v>4247</v>
      </c>
      <c r="T784" s="9" t="s">
        <v>41</v>
      </c>
      <c r="U784" s="25">
        <v>46313.429861111108</v>
      </c>
      <c r="V784" s="25">
        <v>46313.428472222222</v>
      </c>
      <c r="W784" s="26" t="s">
        <v>2462</v>
      </c>
      <c r="X784" s="9">
        <v>22411</v>
      </c>
      <c r="Y784" s="25"/>
      <c r="Z784" s="9">
        <v>0</v>
      </c>
      <c r="AA784" s="27">
        <v>0.42083333333333334</v>
      </c>
      <c r="AB784" s="9">
        <v>8</v>
      </c>
      <c r="AC784" s="9" t="s">
        <v>41</v>
      </c>
      <c r="AD784" s="9" t="str">
        <f t="shared" si="15"/>
        <v>Actual</v>
      </c>
      <c r="AE784" s="9" t="str">
        <f t="shared" si="16"/>
        <v>TMK7</v>
      </c>
      <c r="AF784" s="9">
        <f>HOUR(O784)</f>
        <v>10</v>
      </c>
      <c r="AG784" s="9">
        <f>DAY(O784)</f>
        <v>18</v>
      </c>
      <c r="AH784" s="9">
        <f>IFERROR((I784-K784)*24*60,0)</f>
        <v>0</v>
      </c>
      <c r="AI784" s="9">
        <f t="shared" si="17"/>
        <v>0</v>
      </c>
      <c r="AJ784" s="9">
        <f>C784</f>
        <v>2804</v>
      </c>
      <c r="AK784" s="9">
        <f>IF(P784="completed",((V784-K784)*24*60),0)</f>
        <v>8.9999999979045242</v>
      </c>
      <c r="AL784" s="9">
        <f>IF(P784="completed",((U784-K784)*24*60),0)</f>
        <v>10.999999993946403</v>
      </c>
      <c r="AM784" s="9" t="str">
        <f t="shared" si="18"/>
        <v>OTP Achieved</v>
      </c>
      <c r="AN784" s="9" t="str">
        <f t="shared" si="19"/>
        <v>OTP Achieved</v>
      </c>
    </row>
    <row r="785" spans="1:40" ht="15.75" customHeight="1">
      <c r="A785" s="9" t="s">
        <v>1077</v>
      </c>
      <c r="B785" s="25">
        <v>46313.42083333333</v>
      </c>
      <c r="C785" s="9">
        <v>1292</v>
      </c>
      <c r="D785" s="9" t="s">
        <v>41</v>
      </c>
      <c r="E785" s="9">
        <v>3</v>
      </c>
      <c r="F785" s="9" t="s">
        <v>41</v>
      </c>
      <c r="G785" s="9" t="s">
        <v>41</v>
      </c>
      <c r="H785" s="9" t="s">
        <v>2463</v>
      </c>
      <c r="I785" s="25">
        <v>46313.42291666667</v>
      </c>
      <c r="J785" s="9" t="s">
        <v>41</v>
      </c>
      <c r="K785" s="25">
        <v>46313.422222222223</v>
      </c>
      <c r="L785" s="9">
        <v>11</v>
      </c>
      <c r="O785" s="25">
        <v>46313.42083333333</v>
      </c>
      <c r="P785" s="9" t="s">
        <v>43</v>
      </c>
      <c r="Q785" s="9" t="s">
        <v>1079</v>
      </c>
      <c r="R785" s="9" t="s">
        <v>2464</v>
      </c>
      <c r="S785" s="9">
        <v>4247</v>
      </c>
      <c r="T785" s="9" t="s">
        <v>41</v>
      </c>
      <c r="U785" s="25">
        <v>46313.426388888889</v>
      </c>
      <c r="V785" s="25">
        <v>46313.425000000003</v>
      </c>
      <c r="W785" s="26" t="s">
        <v>2465</v>
      </c>
      <c r="X785" s="9">
        <v>22411</v>
      </c>
      <c r="Y785" s="25"/>
      <c r="Z785" s="9">
        <v>0</v>
      </c>
      <c r="AA785" s="27">
        <v>0.42083333333333334</v>
      </c>
      <c r="AB785" s="9">
        <v>3</v>
      </c>
      <c r="AC785" s="9" t="s">
        <v>41</v>
      </c>
      <c r="AD785" s="9" t="str">
        <f t="shared" si="15"/>
        <v>Actual</v>
      </c>
      <c r="AE785" s="9" t="str">
        <f t="shared" si="16"/>
        <v>TMK7</v>
      </c>
      <c r="AF785" s="9">
        <f>HOUR(O785)</f>
        <v>10</v>
      </c>
      <c r="AG785" s="9">
        <f>DAY(O785)</f>
        <v>18</v>
      </c>
      <c r="AH785" s="9">
        <f>IFERROR((I785-K785)*24*60,0)</f>
        <v>1.000000003259629</v>
      </c>
      <c r="AI785" s="9">
        <f t="shared" si="17"/>
        <v>1.000000003259629</v>
      </c>
      <c r="AJ785" s="9">
        <f>C785</f>
        <v>1292</v>
      </c>
      <c r="AK785" s="9">
        <f>IF(P785="completed",((V785-K785)*24*60),0)</f>
        <v>4.0000000025611371</v>
      </c>
      <c r="AL785" s="9">
        <f>IF(P785="completed",((U785-K785)*24*60),0)</f>
        <v>5.9999999986030161</v>
      </c>
      <c r="AM785" s="9" t="str">
        <f t="shared" si="18"/>
        <v>OTP Achieved</v>
      </c>
      <c r="AN785" s="9" t="str">
        <f t="shared" si="19"/>
        <v>OTP Achieved</v>
      </c>
    </row>
    <row r="786" spans="1:40" ht="15.75" customHeight="1">
      <c r="A786" s="9" t="s">
        <v>734</v>
      </c>
      <c r="B786" s="25">
        <v>46313.42083333333</v>
      </c>
      <c r="C786" s="9">
        <v>235</v>
      </c>
      <c r="D786" s="9" t="s">
        <v>41</v>
      </c>
      <c r="E786" s="9">
        <v>4</v>
      </c>
      <c r="F786" s="9" t="s">
        <v>41</v>
      </c>
      <c r="G786" s="9" t="s">
        <v>41</v>
      </c>
      <c r="H786" s="9" t="s">
        <v>2466</v>
      </c>
      <c r="I786" s="25">
        <v>46313.425694444442</v>
      </c>
      <c r="J786" s="9" t="s">
        <v>41</v>
      </c>
      <c r="K786" s="25">
        <v>46313.425694444442</v>
      </c>
      <c r="L786" s="9">
        <v>7</v>
      </c>
      <c r="O786" s="25">
        <v>46313.420138888891</v>
      </c>
      <c r="P786" s="9" t="s">
        <v>43</v>
      </c>
      <c r="Q786" s="9" t="s">
        <v>736</v>
      </c>
      <c r="R786" s="9" t="s">
        <v>2467</v>
      </c>
      <c r="S786" s="9">
        <v>4247</v>
      </c>
      <c r="T786" s="9" t="s">
        <v>41</v>
      </c>
      <c r="U786" s="25">
        <v>46313.427083333336</v>
      </c>
      <c r="V786" s="25">
        <v>46313.428472222222</v>
      </c>
      <c r="W786" s="26" t="s">
        <v>2468</v>
      </c>
      <c r="X786" s="9">
        <v>22411</v>
      </c>
      <c r="Z786" s="9">
        <v>0</v>
      </c>
      <c r="AA786" s="27">
        <v>0.42083333333333334</v>
      </c>
      <c r="AB786" s="9">
        <v>4</v>
      </c>
      <c r="AC786" s="9" t="s">
        <v>41</v>
      </c>
      <c r="AD786" s="9" t="str">
        <f t="shared" si="15"/>
        <v>Actual</v>
      </c>
      <c r="AE786" s="9" t="str">
        <f t="shared" si="16"/>
        <v>TMK7</v>
      </c>
      <c r="AF786" s="9">
        <f>HOUR(O786)</f>
        <v>10</v>
      </c>
      <c r="AG786" s="9">
        <f>DAY(O786)</f>
        <v>18</v>
      </c>
      <c r="AH786" s="9">
        <f>IFERROR((I786-K786)*24*60,0)</f>
        <v>0</v>
      </c>
      <c r="AI786" s="9">
        <f t="shared" si="17"/>
        <v>0</v>
      </c>
      <c r="AJ786" s="9">
        <f>C786</f>
        <v>235</v>
      </c>
      <c r="AK786" s="9">
        <f>IF(P786="completed",((V786-K786)*24*60),0)</f>
        <v>4.0000000025611371</v>
      </c>
      <c r="AL786" s="9">
        <f>IF(P786="completed",((U786-K786)*24*60),0)</f>
        <v>2.000000006519258</v>
      </c>
      <c r="AM786" s="9" t="str">
        <f t="shared" si="18"/>
        <v>OTP Breached</v>
      </c>
      <c r="AN786" s="9" t="str">
        <f t="shared" si="19"/>
        <v>OTP Achieved</v>
      </c>
    </row>
    <row r="787" spans="1:40" ht="15.75" customHeight="1">
      <c r="A787" s="9" t="s">
        <v>711</v>
      </c>
      <c r="B787" s="25">
        <v>46313.420138888891</v>
      </c>
      <c r="C787" s="9">
        <v>1025</v>
      </c>
      <c r="D787" s="9" t="s">
        <v>41</v>
      </c>
      <c r="E787" s="9">
        <v>4</v>
      </c>
      <c r="F787" s="9" t="s">
        <v>41</v>
      </c>
      <c r="G787" s="9" t="s">
        <v>41</v>
      </c>
      <c r="H787" s="9" t="s">
        <v>2469</v>
      </c>
      <c r="I787" s="25">
        <v>46313.424305555556</v>
      </c>
      <c r="J787" s="9" t="s">
        <v>41</v>
      </c>
      <c r="K787" s="25">
        <v>46313.424305555556</v>
      </c>
      <c r="L787" s="9">
        <v>18</v>
      </c>
      <c r="O787" s="25">
        <v>46313.420138888891</v>
      </c>
      <c r="P787" s="9" t="s">
        <v>43</v>
      </c>
      <c r="Q787" s="9" t="s">
        <v>713</v>
      </c>
      <c r="R787" s="9" t="s">
        <v>2470</v>
      </c>
      <c r="S787" s="9">
        <v>4247</v>
      </c>
      <c r="T787" s="9" t="s">
        <v>41</v>
      </c>
      <c r="U787" s="25">
        <v>46313.428472222222</v>
      </c>
      <c r="V787" s="25">
        <v>46313.427083333336</v>
      </c>
      <c r="W787" s="26" t="s">
        <v>2471</v>
      </c>
      <c r="X787" s="9">
        <v>22411</v>
      </c>
      <c r="Y787" s="25"/>
      <c r="Z787" s="9">
        <v>0</v>
      </c>
      <c r="AA787" s="27">
        <v>0.4201388888888889</v>
      </c>
      <c r="AB787" s="9">
        <v>3</v>
      </c>
      <c r="AC787" s="9" t="s">
        <v>41</v>
      </c>
      <c r="AD787" s="9" t="str">
        <f t="shared" si="15"/>
        <v>Actual</v>
      </c>
      <c r="AE787" s="9" t="str">
        <f t="shared" si="16"/>
        <v>TMK7</v>
      </c>
      <c r="AF787" s="9">
        <f>HOUR(O787)</f>
        <v>10</v>
      </c>
      <c r="AG787" s="9">
        <f>DAY(O787)</f>
        <v>18</v>
      </c>
      <c r="AH787" s="9">
        <f>IFERROR((I787-K787)*24*60,0)</f>
        <v>0</v>
      </c>
      <c r="AI787" s="9">
        <f t="shared" si="17"/>
        <v>0</v>
      </c>
      <c r="AJ787" s="9">
        <f>C787</f>
        <v>1025</v>
      </c>
      <c r="AK787" s="9">
        <f>IF(P787="completed",((V787-K787)*24*60),0)</f>
        <v>4.0000000025611371</v>
      </c>
      <c r="AL787" s="9">
        <f>IF(P787="completed",((U787-K787)*24*60),0)</f>
        <v>5.9999999986030161</v>
      </c>
      <c r="AM787" s="9" t="str">
        <f t="shared" si="18"/>
        <v>OTP Achieved</v>
      </c>
      <c r="AN787" s="9" t="str">
        <f t="shared" si="19"/>
        <v>OTP Achieved</v>
      </c>
    </row>
    <row r="788" spans="1:40" ht="15.75" customHeight="1">
      <c r="A788" s="9" t="s">
        <v>1239</v>
      </c>
      <c r="B788" s="25">
        <v>46313.420138888891</v>
      </c>
      <c r="C788" s="9">
        <v>230</v>
      </c>
      <c r="D788" s="9" t="s">
        <v>41</v>
      </c>
      <c r="E788" s="9">
        <v>0</v>
      </c>
      <c r="F788" s="9" t="s">
        <v>41</v>
      </c>
      <c r="G788" s="9" t="s">
        <v>41</v>
      </c>
      <c r="H788" s="9" t="s">
        <v>2466</v>
      </c>
      <c r="I788" s="25">
        <v>46313.421527777777</v>
      </c>
      <c r="J788" s="9" t="s">
        <v>41</v>
      </c>
      <c r="K788" s="25">
        <v>46313.421527777777</v>
      </c>
      <c r="L788" s="9">
        <v>10</v>
      </c>
      <c r="O788" s="25">
        <v>46313.420138888891</v>
      </c>
      <c r="P788" s="9" t="s">
        <v>43</v>
      </c>
      <c r="Q788" s="9" t="s">
        <v>1241</v>
      </c>
      <c r="R788" s="9" t="s">
        <v>2472</v>
      </c>
      <c r="S788" s="9">
        <v>4247</v>
      </c>
      <c r="T788" s="9" t="s">
        <v>41</v>
      </c>
      <c r="U788" s="25">
        <v>46313.42291666667</v>
      </c>
      <c r="V788" s="25">
        <v>46313.422222222223</v>
      </c>
      <c r="W788" s="26" t="s">
        <v>2473</v>
      </c>
      <c r="X788" s="9">
        <v>22411</v>
      </c>
      <c r="Z788" s="9">
        <v>0</v>
      </c>
      <c r="AA788" s="27">
        <v>0.4201388888888889</v>
      </c>
      <c r="AB788" s="9">
        <v>0</v>
      </c>
      <c r="AC788" s="9" t="s">
        <v>41</v>
      </c>
      <c r="AD788" s="9" t="str">
        <f t="shared" si="15"/>
        <v>Actual</v>
      </c>
      <c r="AE788" s="9" t="str">
        <f t="shared" si="16"/>
        <v>TMK7</v>
      </c>
      <c r="AF788" s="9">
        <f>HOUR(O788)</f>
        <v>10</v>
      </c>
      <c r="AG788" s="9">
        <f>DAY(O788)</f>
        <v>18</v>
      </c>
      <c r="AH788" s="9">
        <f>IFERROR((I788-K788)*24*60,0)</f>
        <v>0</v>
      </c>
      <c r="AI788" s="9">
        <f t="shared" si="17"/>
        <v>0</v>
      </c>
      <c r="AJ788" s="9">
        <f>C788</f>
        <v>230</v>
      </c>
      <c r="AK788" s="9">
        <f>IF(P788="completed",((V788-K788)*24*60),0)</f>
        <v>1.000000003259629</v>
      </c>
      <c r="AL788" s="9">
        <f>IF(P788="completed",((U788-K788)*24*60),0)</f>
        <v>2.000000006519258</v>
      </c>
      <c r="AM788" s="9" t="str">
        <f t="shared" si="18"/>
        <v>OTP Achieved</v>
      </c>
      <c r="AN788" s="9" t="str">
        <f t="shared" si="19"/>
        <v>OTP Achieved</v>
      </c>
    </row>
    <row r="789" spans="1:40" ht="15.75" customHeight="1">
      <c r="A789" s="9" t="s">
        <v>185</v>
      </c>
      <c r="B789" s="25">
        <v>46313.418749999997</v>
      </c>
      <c r="C789" s="9">
        <v>2138</v>
      </c>
      <c r="D789" s="9" t="s">
        <v>41</v>
      </c>
      <c r="E789" s="9">
        <v>6</v>
      </c>
      <c r="F789" s="9" t="s">
        <v>41</v>
      </c>
      <c r="G789" s="9" t="s">
        <v>41</v>
      </c>
      <c r="H789" s="9" t="s">
        <v>2474</v>
      </c>
      <c r="I789" s="25">
        <v>46313.419444444444</v>
      </c>
      <c r="J789" s="9" t="s">
        <v>41</v>
      </c>
      <c r="K789" s="25">
        <v>46313.418749999997</v>
      </c>
      <c r="L789" s="9">
        <v>46</v>
      </c>
      <c r="O789" s="25">
        <v>46313.418055555558</v>
      </c>
      <c r="P789" s="9" t="s">
        <v>43</v>
      </c>
      <c r="Q789" s="9" t="s">
        <v>187</v>
      </c>
      <c r="R789" s="9" t="s">
        <v>2475</v>
      </c>
      <c r="S789" s="9">
        <v>4247</v>
      </c>
      <c r="T789" s="9" t="s">
        <v>41</v>
      </c>
      <c r="U789" s="25">
        <v>46313.425000000003</v>
      </c>
      <c r="V789" s="25">
        <v>46313.42291666667</v>
      </c>
      <c r="W789" s="26" t="s">
        <v>2476</v>
      </c>
      <c r="X789" s="9">
        <v>22411</v>
      </c>
      <c r="Z789" s="9">
        <v>0</v>
      </c>
      <c r="AA789" s="27">
        <v>0.41875000000000001</v>
      </c>
      <c r="AB789" s="9">
        <v>5</v>
      </c>
      <c r="AC789" s="9" t="s">
        <v>41</v>
      </c>
      <c r="AD789" s="9" t="str">
        <f t="shared" si="15"/>
        <v>Actual</v>
      </c>
      <c r="AE789" s="9" t="str">
        <f t="shared" si="16"/>
        <v>TMK7</v>
      </c>
      <c r="AF789" s="9">
        <f>HOUR(O789)</f>
        <v>10</v>
      </c>
      <c r="AG789" s="9">
        <f>DAY(O789)</f>
        <v>18</v>
      </c>
      <c r="AH789" s="9">
        <f>IFERROR((I789-K789)*24*60,0)</f>
        <v>1.000000003259629</v>
      </c>
      <c r="AI789" s="9">
        <f t="shared" si="17"/>
        <v>1.000000003259629</v>
      </c>
      <c r="AJ789" s="9">
        <f>C789</f>
        <v>2138</v>
      </c>
      <c r="AK789" s="9">
        <f>IF(P789="completed",((V789-K789)*24*60),0)</f>
        <v>6.0000000090803951</v>
      </c>
      <c r="AL789" s="9">
        <f>IF(P789="completed",((U789-K789)*24*60),0)</f>
        <v>9.0000000083819032</v>
      </c>
      <c r="AM789" s="9" t="str">
        <f t="shared" si="18"/>
        <v>OTP Achieved</v>
      </c>
      <c r="AN789" s="9" t="str">
        <f t="shared" si="19"/>
        <v>OTP Achieved</v>
      </c>
    </row>
    <row r="790" spans="1:40" ht="15.75" customHeight="1">
      <c r="A790" s="9" t="s">
        <v>2247</v>
      </c>
      <c r="B790" s="25">
        <v>46313.418055555558</v>
      </c>
      <c r="C790" s="9">
        <v>807</v>
      </c>
      <c r="D790" s="9" t="s">
        <v>41</v>
      </c>
      <c r="E790" s="9">
        <v>3</v>
      </c>
      <c r="F790" s="9" t="s">
        <v>41</v>
      </c>
      <c r="G790" s="9" t="s">
        <v>41</v>
      </c>
      <c r="H790" s="9" t="s">
        <v>2477</v>
      </c>
      <c r="I790" s="25">
        <v>46313.418749999997</v>
      </c>
      <c r="J790" s="9" t="s">
        <v>41</v>
      </c>
      <c r="K790" s="25">
        <v>46313.418055555558</v>
      </c>
      <c r="L790" s="9">
        <v>24</v>
      </c>
      <c r="O790" s="25">
        <v>46313.418055555558</v>
      </c>
      <c r="P790" s="9" t="s">
        <v>43</v>
      </c>
      <c r="Q790" s="9" t="s">
        <v>2249</v>
      </c>
      <c r="R790" s="9" t="s">
        <v>2478</v>
      </c>
      <c r="S790" s="9">
        <v>4247</v>
      </c>
      <c r="T790" s="9" t="s">
        <v>41</v>
      </c>
      <c r="U790" s="25">
        <v>46313.421527777777</v>
      </c>
      <c r="V790" s="25">
        <v>46313.42083333333</v>
      </c>
      <c r="W790" s="26" t="s">
        <v>2479</v>
      </c>
      <c r="X790" s="9">
        <v>22411</v>
      </c>
      <c r="Z790" s="9">
        <v>0</v>
      </c>
      <c r="AA790" s="27">
        <v>0.41805555555555557</v>
      </c>
      <c r="AB790" s="9">
        <v>3</v>
      </c>
      <c r="AC790" s="9" t="s">
        <v>41</v>
      </c>
      <c r="AD790" s="9" t="str">
        <f t="shared" si="15"/>
        <v>Actual</v>
      </c>
      <c r="AE790" s="9" t="str">
        <f t="shared" si="16"/>
        <v>TMK7</v>
      </c>
      <c r="AF790" s="9">
        <f>HOUR(O790)</f>
        <v>10</v>
      </c>
      <c r="AG790" s="9">
        <f>DAY(O790)</f>
        <v>18</v>
      </c>
      <c r="AH790" s="9">
        <f>IFERROR((I790-K790)*24*60,0)</f>
        <v>0.99999999278225005</v>
      </c>
      <c r="AI790" s="9">
        <f t="shared" si="17"/>
        <v>0.99999999278225005</v>
      </c>
      <c r="AJ790" s="9">
        <f>C790</f>
        <v>807</v>
      </c>
      <c r="AK790" s="9">
        <f>IF(P790="completed",((V790-K790)*24*60),0)</f>
        <v>3.9999999920837581</v>
      </c>
      <c r="AL790" s="9">
        <f>IF(P790="completed",((U790-K790)*24*60),0)</f>
        <v>4.9999999953433871</v>
      </c>
      <c r="AM790" s="9" t="str">
        <f t="shared" si="18"/>
        <v>OTP Achieved</v>
      </c>
      <c r="AN790" s="9" t="str">
        <f t="shared" si="19"/>
        <v>OTP Achieved</v>
      </c>
    </row>
    <row r="791" spans="1:40" ht="15.75" customHeight="1">
      <c r="A791" s="9" t="s">
        <v>347</v>
      </c>
      <c r="B791" s="25">
        <v>46313.417361111111</v>
      </c>
      <c r="C791" s="9">
        <v>2055</v>
      </c>
      <c r="D791" s="9" t="s">
        <v>41</v>
      </c>
      <c r="E791" s="9">
        <v>4</v>
      </c>
      <c r="F791" s="9" t="s">
        <v>41</v>
      </c>
      <c r="G791" s="9" t="s">
        <v>41</v>
      </c>
      <c r="H791" s="9" t="s">
        <v>2480</v>
      </c>
      <c r="I791" s="25">
        <v>46313.418749999997</v>
      </c>
      <c r="J791" s="9" t="s">
        <v>41</v>
      </c>
      <c r="K791" s="25">
        <v>46313.418749999997</v>
      </c>
      <c r="L791" s="9">
        <v>19</v>
      </c>
      <c r="O791" s="25">
        <v>46313.417361111111</v>
      </c>
      <c r="P791" s="9" t="s">
        <v>43</v>
      </c>
      <c r="Q791" s="9" t="s">
        <v>349</v>
      </c>
      <c r="R791" s="9" t="s">
        <v>2481</v>
      </c>
      <c r="S791" s="9">
        <v>4247</v>
      </c>
      <c r="T791" s="9" t="s">
        <v>41</v>
      </c>
      <c r="U791" s="25">
        <v>46313.424305555556</v>
      </c>
      <c r="V791" s="25">
        <v>46313.422222222223</v>
      </c>
      <c r="W791" s="26" t="s">
        <v>2482</v>
      </c>
      <c r="X791" s="9">
        <v>22411</v>
      </c>
      <c r="Z791" s="9">
        <v>0</v>
      </c>
      <c r="AA791" s="27">
        <v>0.41736111111111113</v>
      </c>
      <c r="AB791" s="9">
        <v>4</v>
      </c>
      <c r="AC791" s="9" t="s">
        <v>41</v>
      </c>
      <c r="AD791" s="9" t="str">
        <f t="shared" si="15"/>
        <v>Actual</v>
      </c>
      <c r="AE791" s="9" t="str">
        <f t="shared" si="16"/>
        <v>TMK7</v>
      </c>
      <c r="AF791" s="9">
        <f>HOUR(O791)</f>
        <v>10</v>
      </c>
      <c r="AG791" s="9">
        <f>DAY(O791)</f>
        <v>18</v>
      </c>
      <c r="AH791" s="9">
        <f>IFERROR((I791-K791)*24*60,0)</f>
        <v>0</v>
      </c>
      <c r="AI791" s="9">
        <f t="shared" si="17"/>
        <v>0</v>
      </c>
      <c r="AJ791" s="9">
        <f>C791</f>
        <v>2055</v>
      </c>
      <c r="AK791" s="9">
        <f>IF(P791="completed",((V791-K791)*24*60),0)</f>
        <v>5.0000000058207661</v>
      </c>
      <c r="AL791" s="9">
        <f>IF(P791="completed",((U791-K791)*24*60),0)</f>
        <v>8.0000000051222742</v>
      </c>
      <c r="AM791" s="9" t="str">
        <f t="shared" si="18"/>
        <v>OTP Achieved</v>
      </c>
      <c r="AN791" s="9" t="str">
        <f t="shared" si="19"/>
        <v>OTP Achieved</v>
      </c>
    </row>
    <row r="792" spans="1:40" ht="15.75" customHeight="1">
      <c r="A792" s="9" t="s">
        <v>93</v>
      </c>
      <c r="B792" s="25">
        <v>46313.417361111111</v>
      </c>
      <c r="C792" s="9">
        <v>749</v>
      </c>
      <c r="D792" s="9" t="s">
        <v>41</v>
      </c>
      <c r="E792" s="9">
        <v>3</v>
      </c>
      <c r="F792" s="9" t="s">
        <v>41</v>
      </c>
      <c r="G792" s="9" t="s">
        <v>41</v>
      </c>
      <c r="H792" s="9" t="s">
        <v>2483</v>
      </c>
      <c r="I792" s="25">
        <v>46313.418055555558</v>
      </c>
      <c r="J792" s="9" t="s">
        <v>41</v>
      </c>
      <c r="K792" s="25">
        <v>46313.418055555558</v>
      </c>
      <c r="L792" s="9">
        <v>21</v>
      </c>
      <c r="O792" s="25">
        <v>46313.417361111111</v>
      </c>
      <c r="P792" s="9" t="s">
        <v>43</v>
      </c>
      <c r="Q792" s="9" t="s">
        <v>95</v>
      </c>
      <c r="R792" s="9" t="s">
        <v>2484</v>
      </c>
      <c r="S792" s="9">
        <v>4247</v>
      </c>
      <c r="T792" s="9" t="s">
        <v>41</v>
      </c>
      <c r="U792" s="25">
        <v>46313.42083333333</v>
      </c>
      <c r="V792" s="25">
        <v>46313.420138888891</v>
      </c>
      <c r="W792" s="26" t="s">
        <v>2485</v>
      </c>
      <c r="X792" s="9">
        <v>22411</v>
      </c>
      <c r="Y792" s="25"/>
      <c r="Z792" s="9">
        <v>0</v>
      </c>
      <c r="AA792" s="27">
        <v>0.41736111111111113</v>
      </c>
      <c r="AB792" s="9">
        <v>2</v>
      </c>
      <c r="AC792" s="9" t="s">
        <v>41</v>
      </c>
      <c r="AD792" s="9" t="str">
        <f t="shared" si="15"/>
        <v>Actual</v>
      </c>
      <c r="AE792" s="9" t="str">
        <f t="shared" si="16"/>
        <v>TMK7</v>
      </c>
      <c r="AF792" s="9">
        <f>HOUR(O792)</f>
        <v>10</v>
      </c>
      <c r="AG792" s="9">
        <f>DAY(O792)</f>
        <v>18</v>
      </c>
      <c r="AH792" s="9">
        <f>IFERROR((I792-K792)*24*60,0)</f>
        <v>0</v>
      </c>
      <c r="AI792" s="9">
        <f t="shared" si="17"/>
        <v>0</v>
      </c>
      <c r="AJ792" s="9">
        <f>C792</f>
        <v>749</v>
      </c>
      <c r="AK792" s="9">
        <f>IF(P792="completed",((V792-K792)*24*60),0)</f>
        <v>2.9999999993015081</v>
      </c>
      <c r="AL792" s="9">
        <f>IF(P792="completed",((U792-K792)*24*60),0)</f>
        <v>3.9999999920837581</v>
      </c>
      <c r="AM792" s="9" t="str">
        <f t="shared" si="18"/>
        <v>OTP Achieved</v>
      </c>
      <c r="AN792" s="9" t="str">
        <f t="shared" si="19"/>
        <v>OTP Achieved</v>
      </c>
    </row>
    <row r="793" spans="1:40" ht="15.75" customHeight="1">
      <c r="A793" s="9" t="s">
        <v>379</v>
      </c>
      <c r="B793" s="25">
        <v>46313.416666666664</v>
      </c>
      <c r="C793" s="9">
        <v>2795</v>
      </c>
      <c r="D793" s="9" t="s">
        <v>41</v>
      </c>
      <c r="E793" s="9">
        <v>9</v>
      </c>
      <c r="F793" s="9" t="s">
        <v>41</v>
      </c>
      <c r="G793" s="9" t="s">
        <v>41</v>
      </c>
      <c r="H793" s="9" t="s">
        <v>2486</v>
      </c>
      <c r="I793" s="25">
        <v>46313.417361111111</v>
      </c>
      <c r="J793" s="9" t="s">
        <v>41</v>
      </c>
      <c r="K793" s="25">
        <v>46313.417361111111</v>
      </c>
      <c r="L793" s="9">
        <v>15</v>
      </c>
      <c r="O793" s="25">
        <v>46313.416666666664</v>
      </c>
      <c r="P793" s="9" t="s">
        <v>43</v>
      </c>
      <c r="Q793" s="9" t="s">
        <v>381</v>
      </c>
      <c r="R793" s="9" t="s">
        <v>2487</v>
      </c>
      <c r="S793" s="9">
        <v>4247</v>
      </c>
      <c r="T793" s="9" t="s">
        <v>41</v>
      </c>
      <c r="U793" s="25">
        <v>46313.425000000003</v>
      </c>
      <c r="V793" s="25">
        <v>46313.423611111109</v>
      </c>
      <c r="W793" s="26" t="s">
        <v>2488</v>
      </c>
      <c r="X793" s="9">
        <v>22411</v>
      </c>
      <c r="Y793" s="25"/>
      <c r="Z793" s="9">
        <v>0</v>
      </c>
      <c r="AA793" s="27">
        <v>0.41666666666666669</v>
      </c>
      <c r="AB793" s="9">
        <v>9</v>
      </c>
      <c r="AC793" s="9" t="s">
        <v>41</v>
      </c>
      <c r="AD793" s="9" t="str">
        <f t="shared" si="15"/>
        <v>Actual</v>
      </c>
      <c r="AE793" s="9" t="str">
        <f t="shared" si="16"/>
        <v>TMK7</v>
      </c>
      <c r="AF793" s="9">
        <f>HOUR(O793)</f>
        <v>10</v>
      </c>
      <c r="AG793" s="9">
        <f>DAY(O793)</f>
        <v>18</v>
      </c>
      <c r="AH793" s="9">
        <f>IFERROR((I793-K793)*24*60,0)</f>
        <v>0</v>
      </c>
      <c r="AI793" s="9">
        <f t="shared" si="17"/>
        <v>0</v>
      </c>
      <c r="AJ793" s="9">
        <f>C793</f>
        <v>2795</v>
      </c>
      <c r="AK793" s="9">
        <f>IF(P793="completed",((V793-K793)*24*60),0)</f>
        <v>8.9999999979045242</v>
      </c>
      <c r="AL793" s="9">
        <f>IF(P793="completed",((U793-K793)*24*60),0)</f>
        <v>11.000000004423782</v>
      </c>
      <c r="AM793" s="9" t="str">
        <f t="shared" si="18"/>
        <v>OTP Achieved</v>
      </c>
      <c r="AN793" s="9" t="str">
        <f t="shared" si="19"/>
        <v>OTP Achieved</v>
      </c>
    </row>
    <row r="794" spans="1:40" ht="15.75" customHeight="1">
      <c r="A794" s="9" t="s">
        <v>1365</v>
      </c>
      <c r="B794" s="25">
        <v>46313.416666666664</v>
      </c>
      <c r="C794" s="9">
        <v>2244</v>
      </c>
      <c r="D794" s="9" t="s">
        <v>41</v>
      </c>
      <c r="E794" s="9">
        <v>5</v>
      </c>
      <c r="F794" s="9" t="s">
        <v>41</v>
      </c>
      <c r="G794" s="9" t="s">
        <v>41</v>
      </c>
      <c r="H794" s="9" t="s">
        <v>2489</v>
      </c>
      <c r="I794" s="25">
        <v>46313.418055555558</v>
      </c>
      <c r="J794" s="9" t="s">
        <v>41</v>
      </c>
      <c r="K794" s="25">
        <v>46313.418055555558</v>
      </c>
      <c r="L794" s="9">
        <v>9</v>
      </c>
      <c r="O794" s="25">
        <v>46313.416666666664</v>
      </c>
      <c r="P794" s="9" t="s">
        <v>43</v>
      </c>
      <c r="Q794" s="9" t="s">
        <v>1367</v>
      </c>
      <c r="R794" s="9" t="s">
        <v>2490</v>
      </c>
      <c r="S794" s="9">
        <v>4247</v>
      </c>
      <c r="T794" s="9" t="s">
        <v>41</v>
      </c>
      <c r="U794" s="25">
        <v>46313.423611111109</v>
      </c>
      <c r="V794" s="25">
        <v>46313.421527777777</v>
      </c>
      <c r="W794" s="26" t="s">
        <v>2491</v>
      </c>
      <c r="X794" s="9">
        <v>22411</v>
      </c>
      <c r="Z794" s="9">
        <v>0</v>
      </c>
      <c r="AA794" s="27">
        <v>0.41666666666666669</v>
      </c>
      <c r="AB794" s="9">
        <v>5</v>
      </c>
      <c r="AC794" s="9" t="s">
        <v>41</v>
      </c>
      <c r="AD794" s="9" t="str">
        <f t="shared" si="15"/>
        <v>Actual</v>
      </c>
      <c r="AE794" s="9" t="str">
        <f t="shared" si="16"/>
        <v>TMK7</v>
      </c>
      <c r="AF794" s="9">
        <f>HOUR(O794)</f>
        <v>10</v>
      </c>
      <c r="AG794" s="9">
        <f>DAY(O794)</f>
        <v>18</v>
      </c>
      <c r="AH794" s="9">
        <f>IFERROR((I794-K794)*24*60,0)</f>
        <v>0</v>
      </c>
      <c r="AI794" s="9">
        <f t="shared" si="17"/>
        <v>0</v>
      </c>
      <c r="AJ794" s="9">
        <f>C794</f>
        <v>2244</v>
      </c>
      <c r="AK794" s="9">
        <f>IF(P794="completed",((V794-K794)*24*60),0)</f>
        <v>4.9999999953433871</v>
      </c>
      <c r="AL794" s="9">
        <f>IF(P794="completed",((U794-K794)*24*60),0)</f>
        <v>7.9999999946448952</v>
      </c>
      <c r="AM794" s="9" t="str">
        <f t="shared" si="18"/>
        <v>OTP Achieved</v>
      </c>
      <c r="AN794" s="9" t="str">
        <f t="shared" si="19"/>
        <v>OTP Achieved</v>
      </c>
    </row>
    <row r="795" spans="1:40" ht="15.75" customHeight="1">
      <c r="A795" s="9" t="s">
        <v>1965</v>
      </c>
      <c r="B795" s="25">
        <v>46313.414583333331</v>
      </c>
      <c r="C795" s="9">
        <v>1604</v>
      </c>
      <c r="D795" s="9" t="s">
        <v>41</v>
      </c>
      <c r="E795" s="9">
        <v>5</v>
      </c>
      <c r="F795" s="9" t="s">
        <v>41</v>
      </c>
      <c r="G795" s="9" t="s">
        <v>41</v>
      </c>
      <c r="H795" s="9" t="s">
        <v>2492</v>
      </c>
      <c r="I795" s="25">
        <v>46313.415277777778</v>
      </c>
      <c r="J795" s="9" t="s">
        <v>41</v>
      </c>
      <c r="K795" s="25">
        <v>46313.415277777778</v>
      </c>
      <c r="L795" s="9">
        <v>7</v>
      </c>
      <c r="O795" s="25">
        <v>46313.414583333331</v>
      </c>
      <c r="P795" s="9" t="s">
        <v>43</v>
      </c>
      <c r="Q795" s="9" t="s">
        <v>1967</v>
      </c>
      <c r="R795" s="9" t="s">
        <v>2493</v>
      </c>
      <c r="S795" s="9">
        <v>4247</v>
      </c>
      <c r="T795" s="9" t="s">
        <v>41</v>
      </c>
      <c r="U795" s="25">
        <v>46313.420138888891</v>
      </c>
      <c r="V795" s="25">
        <v>46313.418749999997</v>
      </c>
      <c r="W795" s="26" t="s">
        <v>2494</v>
      </c>
      <c r="X795" s="9">
        <v>22411</v>
      </c>
      <c r="Y795" s="25"/>
      <c r="Z795" s="9">
        <v>0</v>
      </c>
      <c r="AA795" s="27">
        <v>0.41458333333333336</v>
      </c>
      <c r="AB795" s="9">
        <v>5</v>
      </c>
      <c r="AC795" s="9" t="s">
        <v>41</v>
      </c>
      <c r="AD795" s="9" t="str">
        <f t="shared" si="15"/>
        <v>Actual</v>
      </c>
      <c r="AE795" s="9" t="str">
        <f t="shared" si="16"/>
        <v>TMK7</v>
      </c>
      <c r="AF795" s="9">
        <f>HOUR(O795)</f>
        <v>9</v>
      </c>
      <c r="AG795" s="9">
        <f>DAY(O795)</f>
        <v>18</v>
      </c>
      <c r="AH795" s="9">
        <f>IFERROR((I795-K795)*24*60,0)</f>
        <v>0</v>
      </c>
      <c r="AI795" s="9">
        <f t="shared" si="17"/>
        <v>0</v>
      </c>
      <c r="AJ795" s="9">
        <f>C795</f>
        <v>1604</v>
      </c>
      <c r="AK795" s="9">
        <f>IF(P795="completed",((V795-K795)*24*60),0)</f>
        <v>4.9999999953433871</v>
      </c>
      <c r="AL795" s="9">
        <f>IF(P795="completed",((U795-K795)*24*60),0)</f>
        <v>7.0000000018626451</v>
      </c>
      <c r="AM795" s="9" t="str">
        <f t="shared" si="18"/>
        <v>OTP Achieved</v>
      </c>
      <c r="AN795" s="9" t="str">
        <f t="shared" si="19"/>
        <v>OTP Achieved</v>
      </c>
    </row>
    <row r="796" spans="1:40" ht="15.75" customHeight="1">
      <c r="A796" s="9" t="s">
        <v>1461</v>
      </c>
      <c r="B796" s="25">
        <v>46313.413888888892</v>
      </c>
      <c r="C796" s="9">
        <v>1430</v>
      </c>
      <c r="D796" s="9" t="s">
        <v>41</v>
      </c>
      <c r="E796" s="9">
        <v>4</v>
      </c>
      <c r="F796" s="9" t="s">
        <v>41</v>
      </c>
      <c r="G796" s="9" t="s">
        <v>41</v>
      </c>
      <c r="H796" s="9" t="s">
        <v>2495</v>
      </c>
      <c r="I796" s="25">
        <v>46313.415972222225</v>
      </c>
      <c r="J796" s="9" t="s">
        <v>41</v>
      </c>
      <c r="K796" s="25">
        <v>46313.415277777778</v>
      </c>
      <c r="L796" s="9">
        <v>9</v>
      </c>
      <c r="O796" s="25">
        <v>46313.413888888892</v>
      </c>
      <c r="P796" s="9" t="s">
        <v>43</v>
      </c>
      <c r="Q796" s="9" t="s">
        <v>1463</v>
      </c>
      <c r="R796" s="9" t="s">
        <v>2496</v>
      </c>
      <c r="S796" s="9">
        <v>4247</v>
      </c>
      <c r="T796" s="9" t="s">
        <v>41</v>
      </c>
      <c r="U796" s="25">
        <v>46313.419444444444</v>
      </c>
      <c r="V796" s="25">
        <v>46313.418749999997</v>
      </c>
      <c r="W796" s="26" t="s">
        <v>2497</v>
      </c>
      <c r="X796" s="9">
        <v>22411</v>
      </c>
      <c r="Z796" s="9">
        <v>0</v>
      </c>
      <c r="AA796" s="27">
        <v>0.41388888888888886</v>
      </c>
      <c r="AB796" s="9">
        <v>4</v>
      </c>
      <c r="AC796" s="9" t="s">
        <v>41</v>
      </c>
      <c r="AD796" s="9" t="str">
        <f t="shared" si="15"/>
        <v>Actual</v>
      </c>
      <c r="AE796" s="9" t="str">
        <f t="shared" si="16"/>
        <v>TMK7</v>
      </c>
      <c r="AF796" s="9">
        <f>HOUR(O796)</f>
        <v>9</v>
      </c>
      <c r="AG796" s="9">
        <f>DAY(O796)</f>
        <v>18</v>
      </c>
      <c r="AH796" s="9">
        <f>IFERROR((I796-K796)*24*60,0)</f>
        <v>1.000000003259629</v>
      </c>
      <c r="AI796" s="9">
        <f t="shared" si="17"/>
        <v>1.000000003259629</v>
      </c>
      <c r="AJ796" s="9">
        <f>C796</f>
        <v>1430</v>
      </c>
      <c r="AK796" s="9">
        <f>IF(P796="completed",((V796-K796)*24*60),0)</f>
        <v>4.9999999953433871</v>
      </c>
      <c r="AL796" s="9">
        <f>IF(P796="completed",((U796-K796)*24*60),0)</f>
        <v>5.9999999986030161</v>
      </c>
      <c r="AM796" s="9" t="str">
        <f t="shared" si="18"/>
        <v>OTP Achieved</v>
      </c>
      <c r="AN796" s="9" t="str">
        <f t="shared" si="19"/>
        <v>OTP Achieved</v>
      </c>
    </row>
    <row r="797" spans="1:40" ht="15.75" customHeight="1">
      <c r="A797" s="9" t="s">
        <v>1310</v>
      </c>
      <c r="B797" s="25">
        <v>46313.413194444445</v>
      </c>
      <c r="C797" s="9">
        <v>2737</v>
      </c>
      <c r="D797" s="9" t="s">
        <v>41</v>
      </c>
      <c r="E797" s="9">
        <v>9</v>
      </c>
      <c r="F797" s="9" t="s">
        <v>41</v>
      </c>
      <c r="G797" s="9" t="s">
        <v>41</v>
      </c>
      <c r="H797" s="9" t="s">
        <v>2498</v>
      </c>
      <c r="I797" s="25">
        <v>46313.415277777778</v>
      </c>
      <c r="J797" s="9" t="s">
        <v>41</v>
      </c>
      <c r="K797" s="25">
        <v>46313.414583333331</v>
      </c>
      <c r="L797" s="9">
        <v>28</v>
      </c>
      <c r="O797" s="25">
        <v>46313.413194444445</v>
      </c>
      <c r="P797" s="9" t="s">
        <v>43</v>
      </c>
      <c r="Q797" s="9" t="s">
        <v>1312</v>
      </c>
      <c r="R797" s="9" t="s">
        <v>2499</v>
      </c>
      <c r="S797" s="9">
        <v>4247</v>
      </c>
      <c r="T797" s="9" t="s">
        <v>41</v>
      </c>
      <c r="U797" s="25">
        <v>46313.422222222223</v>
      </c>
      <c r="V797" s="25">
        <v>46313.42083333333</v>
      </c>
      <c r="W797" s="26" t="s">
        <v>2500</v>
      </c>
      <c r="X797" s="9">
        <v>22411</v>
      </c>
      <c r="Y797" s="25"/>
      <c r="Z797" s="9">
        <v>0</v>
      </c>
      <c r="AA797" s="27">
        <v>0.41319444444444442</v>
      </c>
      <c r="AB797" s="9">
        <v>9</v>
      </c>
      <c r="AC797" s="9" t="s">
        <v>41</v>
      </c>
      <c r="AD797" s="9" t="str">
        <f t="shared" si="15"/>
        <v>Actual</v>
      </c>
      <c r="AE797" s="9" t="str">
        <f t="shared" si="16"/>
        <v>TMK7</v>
      </c>
      <c r="AF797" s="9">
        <f>HOUR(O797)</f>
        <v>9</v>
      </c>
      <c r="AG797" s="9">
        <f>DAY(O797)</f>
        <v>18</v>
      </c>
      <c r="AH797" s="9">
        <f>IFERROR((I797-K797)*24*60,0)</f>
        <v>1.000000003259629</v>
      </c>
      <c r="AI797" s="9">
        <f t="shared" si="17"/>
        <v>1.000000003259629</v>
      </c>
      <c r="AJ797" s="9">
        <f>C797</f>
        <v>2737</v>
      </c>
      <c r="AK797" s="9">
        <f>IF(P797="completed",((V797-K797)*24*60),0)</f>
        <v>8.9999999979045242</v>
      </c>
      <c r="AL797" s="9">
        <f>IF(P797="completed",((U797-K797)*24*60),0)</f>
        <v>11.000000004423782</v>
      </c>
      <c r="AM797" s="9" t="str">
        <f t="shared" si="18"/>
        <v>OTP Achieved</v>
      </c>
      <c r="AN797" s="9" t="str">
        <f t="shared" si="19"/>
        <v>OTP Achieved</v>
      </c>
    </row>
    <row r="798" spans="1:40" ht="15.75" customHeight="1">
      <c r="A798" s="9" t="s">
        <v>177</v>
      </c>
      <c r="B798" s="25">
        <v>46313.413194444445</v>
      </c>
      <c r="C798" s="9">
        <v>1700</v>
      </c>
      <c r="D798" s="9" t="s">
        <v>41</v>
      </c>
      <c r="E798" s="9">
        <v>4</v>
      </c>
      <c r="F798" s="9" t="s">
        <v>41</v>
      </c>
      <c r="G798" s="9" t="s">
        <v>41</v>
      </c>
      <c r="H798" s="9" t="s">
        <v>2501</v>
      </c>
      <c r="I798" s="25">
        <v>46313.413888888892</v>
      </c>
      <c r="J798" s="9" t="s">
        <v>41</v>
      </c>
      <c r="K798" s="25">
        <v>46313.413194444445</v>
      </c>
      <c r="L798" s="9">
        <v>39</v>
      </c>
      <c r="O798" s="25">
        <v>46313.412499999999</v>
      </c>
      <c r="P798" s="9" t="s">
        <v>43</v>
      </c>
      <c r="Q798" s="9" t="s">
        <v>179</v>
      </c>
      <c r="R798" s="9" t="s">
        <v>2502</v>
      </c>
      <c r="S798" s="9">
        <v>4247</v>
      </c>
      <c r="T798" s="9" t="s">
        <v>41</v>
      </c>
      <c r="U798" s="25">
        <v>46313.420138888891</v>
      </c>
      <c r="V798" s="25">
        <v>46313.416666666664</v>
      </c>
      <c r="W798" s="26" t="s">
        <v>2503</v>
      </c>
      <c r="X798" s="9">
        <v>22411</v>
      </c>
      <c r="Y798" s="25"/>
      <c r="Z798" s="9">
        <v>0</v>
      </c>
      <c r="AA798" s="27">
        <v>0.41319444444444442</v>
      </c>
      <c r="AB798" s="9">
        <v>4</v>
      </c>
      <c r="AC798" s="9" t="s">
        <v>41</v>
      </c>
      <c r="AD798" s="9" t="str">
        <f t="shared" si="15"/>
        <v>Actual</v>
      </c>
      <c r="AE798" s="9" t="str">
        <f t="shared" si="16"/>
        <v>TMK7</v>
      </c>
      <c r="AF798" s="9">
        <f>HOUR(O798)</f>
        <v>9</v>
      </c>
      <c r="AG798" s="9">
        <f>DAY(O798)</f>
        <v>18</v>
      </c>
      <c r="AH798" s="9">
        <f>IFERROR((I798-K798)*24*60,0)</f>
        <v>1.000000003259629</v>
      </c>
      <c r="AI798" s="9">
        <f t="shared" si="17"/>
        <v>1.000000003259629</v>
      </c>
      <c r="AJ798" s="9">
        <f>C798</f>
        <v>1700</v>
      </c>
      <c r="AK798" s="9">
        <f>IF(P798="completed",((V798-K798)*24*60),0)</f>
        <v>4.9999999953433871</v>
      </c>
      <c r="AL798" s="9">
        <f>IF(P798="completed",((U798-K798)*24*60),0)</f>
        <v>10.000000001164153</v>
      </c>
      <c r="AM798" s="9" t="str">
        <f t="shared" si="18"/>
        <v>OTP Achieved</v>
      </c>
      <c r="AN798" s="9" t="str">
        <f t="shared" si="19"/>
        <v>OTP Achieved</v>
      </c>
    </row>
    <row r="799" spans="1:40" ht="15.75" customHeight="1">
      <c r="A799" s="9" t="s">
        <v>52</v>
      </c>
      <c r="B799" s="25">
        <v>46313.412499999999</v>
      </c>
      <c r="C799" s="9">
        <v>1262</v>
      </c>
      <c r="D799" s="9" t="s">
        <v>41</v>
      </c>
      <c r="E799" s="9">
        <v>4</v>
      </c>
      <c r="F799" s="9" t="s">
        <v>41</v>
      </c>
      <c r="G799" s="9" t="s">
        <v>41</v>
      </c>
      <c r="H799" s="9" t="s">
        <v>2504</v>
      </c>
      <c r="I799" s="25">
        <v>46313.413888888892</v>
      </c>
      <c r="J799" s="9" t="s">
        <v>41</v>
      </c>
      <c r="K799" s="25">
        <v>46313.413888888892</v>
      </c>
      <c r="L799" s="9">
        <v>29</v>
      </c>
      <c r="O799" s="25">
        <v>46313.412499999999</v>
      </c>
      <c r="P799" s="9" t="s">
        <v>43</v>
      </c>
      <c r="Q799" s="9" t="s">
        <v>54</v>
      </c>
      <c r="R799" s="9" t="s">
        <v>2505</v>
      </c>
      <c r="S799" s="9">
        <v>4247</v>
      </c>
      <c r="T799" s="9" t="s">
        <v>41</v>
      </c>
      <c r="U799" s="25">
        <v>46313.417361111111</v>
      </c>
      <c r="V799" s="25">
        <v>46313.416666666664</v>
      </c>
      <c r="W799" s="26" t="s">
        <v>2506</v>
      </c>
      <c r="X799" s="9">
        <v>22411</v>
      </c>
      <c r="Z799" s="9">
        <v>0</v>
      </c>
      <c r="AA799" s="27">
        <v>0.41249999999999998</v>
      </c>
      <c r="AB799" s="9">
        <v>3</v>
      </c>
      <c r="AC799" s="9" t="s">
        <v>41</v>
      </c>
      <c r="AD799" s="9" t="str">
        <f t="shared" si="15"/>
        <v>Actual</v>
      </c>
      <c r="AE799" s="9" t="str">
        <f t="shared" si="16"/>
        <v>TMK7</v>
      </c>
      <c r="AF799" s="9">
        <f>HOUR(O799)</f>
        <v>9</v>
      </c>
      <c r="AG799" s="9">
        <f>DAY(O799)</f>
        <v>18</v>
      </c>
      <c r="AH799" s="9">
        <f>IFERROR((I799-K799)*24*60,0)</f>
        <v>0</v>
      </c>
      <c r="AI799" s="9">
        <f t="shared" si="17"/>
        <v>0</v>
      </c>
      <c r="AJ799" s="9">
        <f>C799</f>
        <v>1262</v>
      </c>
      <c r="AK799" s="9">
        <f>IF(P799="completed",((V799-K799)*24*60),0)</f>
        <v>3.9999999920837581</v>
      </c>
      <c r="AL799" s="9">
        <f>IF(P799="completed",((U799-K799)*24*60),0)</f>
        <v>4.9999999953433871</v>
      </c>
      <c r="AM799" s="9" t="str">
        <f t="shared" si="18"/>
        <v>OTP Achieved</v>
      </c>
      <c r="AN799" s="9" t="str">
        <f t="shared" si="19"/>
        <v>OTP Achieved</v>
      </c>
    </row>
    <row r="800" spans="1:40" ht="15.75" customHeight="1">
      <c r="A800" s="9" t="s">
        <v>655</v>
      </c>
      <c r="B800" s="25">
        <v>46313.411805555559</v>
      </c>
      <c r="C800" s="9">
        <v>959</v>
      </c>
      <c r="D800" s="9" t="s">
        <v>41</v>
      </c>
      <c r="E800" s="9">
        <v>3</v>
      </c>
      <c r="F800" s="9" t="s">
        <v>41</v>
      </c>
      <c r="G800" s="9" t="s">
        <v>41</v>
      </c>
      <c r="H800" s="9" t="s">
        <v>2507</v>
      </c>
      <c r="I800" s="25">
        <v>46313.412499999999</v>
      </c>
      <c r="J800" s="9" t="s">
        <v>41</v>
      </c>
      <c r="K800" s="25">
        <v>46313.411805555559</v>
      </c>
      <c r="L800" s="9">
        <v>19</v>
      </c>
      <c r="O800" s="25">
        <v>46313.411111111112</v>
      </c>
      <c r="P800" s="9" t="s">
        <v>43</v>
      </c>
      <c r="Q800" s="9" t="s">
        <v>657</v>
      </c>
      <c r="R800" s="9" t="s">
        <v>2508</v>
      </c>
      <c r="S800" s="9">
        <v>4247</v>
      </c>
      <c r="T800" s="9" t="s">
        <v>41</v>
      </c>
      <c r="U800" s="25">
        <v>46313.415277777778</v>
      </c>
      <c r="V800" s="25">
        <v>46313.413888888892</v>
      </c>
      <c r="W800" s="26" t="s">
        <v>2509</v>
      </c>
      <c r="X800" s="9">
        <v>22411</v>
      </c>
      <c r="Z800" s="9">
        <v>0</v>
      </c>
      <c r="AA800" s="27">
        <v>0.41180555555555554</v>
      </c>
      <c r="AB800" s="9">
        <v>2</v>
      </c>
      <c r="AC800" s="9" t="s">
        <v>41</v>
      </c>
      <c r="AD800" s="9" t="str">
        <f t="shared" si="15"/>
        <v>Actual</v>
      </c>
      <c r="AE800" s="9" t="str">
        <f t="shared" si="16"/>
        <v>TMK7</v>
      </c>
      <c r="AF800" s="9">
        <f>HOUR(O800)</f>
        <v>9</v>
      </c>
      <c r="AG800" s="9">
        <f>DAY(O800)</f>
        <v>18</v>
      </c>
      <c r="AH800" s="9">
        <f>IFERROR((I800-K800)*24*60,0)</f>
        <v>0.99999999278225005</v>
      </c>
      <c r="AI800" s="9">
        <f t="shared" si="17"/>
        <v>0.99999999278225005</v>
      </c>
      <c r="AJ800" s="9">
        <f>C800</f>
        <v>959</v>
      </c>
      <c r="AK800" s="9">
        <f>IF(P800="completed",((V800-K800)*24*60),0)</f>
        <v>2.9999999993015081</v>
      </c>
      <c r="AL800" s="9">
        <f>IF(P800="completed",((U800-K800)*24*60),0)</f>
        <v>4.9999999953433871</v>
      </c>
      <c r="AM800" s="9" t="str">
        <f t="shared" si="18"/>
        <v>OTP Achieved</v>
      </c>
      <c r="AN800" s="9" t="str">
        <f t="shared" si="19"/>
        <v>OTP Achieved</v>
      </c>
    </row>
    <row r="801" spans="1:40" ht="15.75" customHeight="1">
      <c r="A801" s="9" t="s">
        <v>1391</v>
      </c>
      <c r="B801" s="25">
        <v>46313.411111111112</v>
      </c>
      <c r="C801" s="9">
        <v>1215</v>
      </c>
      <c r="D801" s="9" t="s">
        <v>41</v>
      </c>
      <c r="E801" s="9">
        <v>5</v>
      </c>
      <c r="F801" s="9" t="s">
        <v>41</v>
      </c>
      <c r="G801" s="9" t="s">
        <v>41</v>
      </c>
      <c r="H801" s="9" t="s">
        <v>2510</v>
      </c>
      <c r="I801" s="25">
        <v>46313.413194444445</v>
      </c>
      <c r="J801" s="9" t="s">
        <v>41</v>
      </c>
      <c r="K801" s="25">
        <v>46313.412499999999</v>
      </c>
      <c r="L801" s="9">
        <v>28</v>
      </c>
      <c r="O801" s="25">
        <v>46313.411111111112</v>
      </c>
      <c r="P801" s="9" t="s">
        <v>43</v>
      </c>
      <c r="Q801" s="9" t="s">
        <v>1393</v>
      </c>
      <c r="R801" s="9" t="s">
        <v>2511</v>
      </c>
      <c r="S801" s="9">
        <v>4247</v>
      </c>
      <c r="T801" s="9" t="s">
        <v>41</v>
      </c>
      <c r="U801" s="25">
        <v>46313.415972222225</v>
      </c>
      <c r="V801" s="25">
        <v>46313.416666666664</v>
      </c>
      <c r="W801" s="26" t="s">
        <v>2512</v>
      </c>
      <c r="X801" s="9">
        <v>22411</v>
      </c>
      <c r="Z801" s="9">
        <v>0</v>
      </c>
      <c r="AA801" s="27">
        <v>0.41111111111111109</v>
      </c>
      <c r="AB801" s="9">
        <v>5</v>
      </c>
      <c r="AC801" s="9" t="s">
        <v>41</v>
      </c>
      <c r="AD801" s="9" t="str">
        <f t="shared" si="15"/>
        <v>Actual</v>
      </c>
      <c r="AE801" s="9" t="str">
        <f t="shared" si="16"/>
        <v>TMK7</v>
      </c>
      <c r="AF801" s="9">
        <f>HOUR(O801)</f>
        <v>9</v>
      </c>
      <c r="AG801" s="9">
        <f>DAY(O801)</f>
        <v>18</v>
      </c>
      <c r="AH801" s="9">
        <f>IFERROR((I801-K801)*24*60,0)</f>
        <v>1.000000003259629</v>
      </c>
      <c r="AI801" s="9">
        <f t="shared" si="17"/>
        <v>1.000000003259629</v>
      </c>
      <c r="AJ801" s="9">
        <f>C801</f>
        <v>1215</v>
      </c>
      <c r="AK801" s="9">
        <f>IF(P801="completed",((V801-K801)*24*60),0)</f>
        <v>5.9999999986030161</v>
      </c>
      <c r="AL801" s="9">
        <f>IF(P801="completed",((U801-K801)*24*60),0)</f>
        <v>5.0000000058207661</v>
      </c>
      <c r="AM801" s="9" t="str">
        <f t="shared" si="18"/>
        <v>OTP Breached</v>
      </c>
      <c r="AN801" s="9" t="str">
        <f t="shared" si="19"/>
        <v>OTP Achieved</v>
      </c>
    </row>
    <row r="802" spans="1:40" ht="15.75" customHeight="1">
      <c r="A802" s="9" t="s">
        <v>106</v>
      </c>
      <c r="B802" s="25">
        <v>46313.411111111112</v>
      </c>
      <c r="C802" s="9">
        <v>1283</v>
      </c>
      <c r="D802" s="9" t="s">
        <v>41</v>
      </c>
      <c r="E802" s="9">
        <v>5</v>
      </c>
      <c r="F802" s="9" t="s">
        <v>41</v>
      </c>
      <c r="G802" s="9" t="s">
        <v>41</v>
      </c>
      <c r="H802" s="9" t="s">
        <v>2513</v>
      </c>
      <c r="I802" s="25">
        <v>46313.412499999999</v>
      </c>
      <c r="J802" s="9" t="s">
        <v>41</v>
      </c>
      <c r="K802" s="25">
        <v>46313.411805555559</v>
      </c>
      <c r="L802" s="9">
        <v>33</v>
      </c>
      <c r="O802" s="25">
        <v>46313.411111111112</v>
      </c>
      <c r="P802" s="9" t="s">
        <v>43</v>
      </c>
      <c r="Q802" s="9" t="s">
        <v>108</v>
      </c>
      <c r="R802" s="9" t="s">
        <v>2514</v>
      </c>
      <c r="S802" s="9">
        <v>4247</v>
      </c>
      <c r="T802" s="9" t="s">
        <v>41</v>
      </c>
      <c r="U802" s="25">
        <v>46313.416666666664</v>
      </c>
      <c r="V802" s="25">
        <v>46313.415277777778</v>
      </c>
      <c r="W802" s="26" t="s">
        <v>2515</v>
      </c>
      <c r="X802" s="9">
        <v>22411</v>
      </c>
      <c r="Y802" s="25"/>
      <c r="Z802" s="9">
        <v>0</v>
      </c>
      <c r="AA802" s="27">
        <v>0.41111111111111109</v>
      </c>
      <c r="AB802" s="9">
        <v>4</v>
      </c>
      <c r="AC802" s="9" t="s">
        <v>41</v>
      </c>
      <c r="AD802" s="9" t="str">
        <f t="shared" si="15"/>
        <v>Actual</v>
      </c>
      <c r="AE802" s="9" t="str">
        <f t="shared" si="16"/>
        <v>TMK7</v>
      </c>
      <c r="AF802" s="9">
        <f>HOUR(O802)</f>
        <v>9</v>
      </c>
      <c r="AG802" s="9">
        <f>DAY(O802)</f>
        <v>18</v>
      </c>
      <c r="AH802" s="9">
        <f>IFERROR((I802-K802)*24*60,0)</f>
        <v>0.99999999278225005</v>
      </c>
      <c r="AI802" s="9">
        <f t="shared" si="17"/>
        <v>0.99999999278225005</v>
      </c>
      <c r="AJ802" s="9">
        <f>C802</f>
        <v>1283</v>
      </c>
      <c r="AK802" s="9">
        <f>IF(P802="completed",((V802-K802)*24*60),0)</f>
        <v>4.9999999953433871</v>
      </c>
      <c r="AL802" s="9">
        <f>IF(P802="completed",((U802-K802)*24*60),0)</f>
        <v>6.9999999913852662</v>
      </c>
      <c r="AM802" s="9" t="str">
        <f t="shared" si="18"/>
        <v>OTP Achieved</v>
      </c>
      <c r="AN802" s="9" t="str">
        <f t="shared" si="19"/>
        <v>OTP Achieved</v>
      </c>
    </row>
    <row r="803" spans="1:40" ht="15.75" customHeight="1">
      <c r="A803" s="9" t="s">
        <v>1136</v>
      </c>
      <c r="B803" s="25">
        <v>46313.410416666666</v>
      </c>
      <c r="C803" s="9">
        <v>1912</v>
      </c>
      <c r="D803" s="9" t="s">
        <v>41</v>
      </c>
      <c r="E803" s="9">
        <v>6</v>
      </c>
      <c r="F803" s="9" t="s">
        <v>41</v>
      </c>
      <c r="G803" s="9" t="s">
        <v>41</v>
      </c>
      <c r="H803" s="9" t="s">
        <v>2516</v>
      </c>
      <c r="I803" s="25">
        <v>46313.411805555559</v>
      </c>
      <c r="J803" s="9" t="s">
        <v>41</v>
      </c>
      <c r="K803" s="25">
        <v>46313.411111111112</v>
      </c>
      <c r="L803" s="9">
        <v>42</v>
      </c>
      <c r="O803" s="25">
        <v>46313.410416666666</v>
      </c>
      <c r="P803" s="9" t="s">
        <v>43</v>
      </c>
      <c r="Q803" s="9" t="s">
        <v>1138</v>
      </c>
      <c r="R803" s="9" t="s">
        <v>2517</v>
      </c>
      <c r="S803" s="9">
        <v>4247</v>
      </c>
      <c r="T803" s="9" t="s">
        <v>41</v>
      </c>
      <c r="U803" s="25">
        <v>46313.416666666664</v>
      </c>
      <c r="V803" s="25">
        <v>46313.415277777778</v>
      </c>
      <c r="W803" s="26" t="s">
        <v>2518</v>
      </c>
      <c r="X803" s="9">
        <v>22411</v>
      </c>
      <c r="Y803" s="25"/>
      <c r="Z803" s="9">
        <v>0</v>
      </c>
      <c r="AA803" s="27">
        <v>0.41041666666666665</v>
      </c>
      <c r="AB803" s="9">
        <v>5</v>
      </c>
      <c r="AC803" s="9" t="s">
        <v>41</v>
      </c>
      <c r="AD803" s="9" t="str">
        <f t="shared" si="15"/>
        <v>Actual</v>
      </c>
      <c r="AE803" s="9" t="str">
        <f t="shared" si="16"/>
        <v>TMK7</v>
      </c>
      <c r="AF803" s="9">
        <f>HOUR(O803)</f>
        <v>9</v>
      </c>
      <c r="AG803" s="9">
        <f>DAY(O803)</f>
        <v>18</v>
      </c>
      <c r="AH803" s="9">
        <f>IFERROR((I803-K803)*24*60,0)</f>
        <v>1.000000003259629</v>
      </c>
      <c r="AI803" s="9">
        <f t="shared" si="17"/>
        <v>1.000000003259629</v>
      </c>
      <c r="AJ803" s="9">
        <f>C803</f>
        <v>1912</v>
      </c>
      <c r="AK803" s="9">
        <f>IF(P803="completed",((V803-K803)*24*60),0)</f>
        <v>5.9999999986030161</v>
      </c>
      <c r="AL803" s="9">
        <f>IF(P803="completed",((U803-K803)*24*60),0)</f>
        <v>7.9999999946448952</v>
      </c>
      <c r="AM803" s="9" t="str">
        <f t="shared" si="18"/>
        <v>OTP Achieved</v>
      </c>
      <c r="AN803" s="9" t="str">
        <f t="shared" si="19"/>
        <v>OTP Achieved</v>
      </c>
    </row>
    <row r="804" spans="1:40" ht="15.75" customHeight="1">
      <c r="A804" s="9" t="s">
        <v>98</v>
      </c>
      <c r="B804" s="25">
        <v>46313.410416666666</v>
      </c>
      <c r="C804" s="9">
        <v>1965</v>
      </c>
      <c r="D804" s="9" t="s">
        <v>41</v>
      </c>
      <c r="E804" s="9">
        <v>4</v>
      </c>
      <c r="F804" s="9" t="s">
        <v>41</v>
      </c>
      <c r="G804" s="9" t="s">
        <v>41</v>
      </c>
      <c r="H804" s="9" t="s">
        <v>2519</v>
      </c>
      <c r="I804" s="25">
        <v>46313.411805555559</v>
      </c>
      <c r="J804" s="9" t="s">
        <v>41</v>
      </c>
      <c r="K804" s="25">
        <v>46313.411111111112</v>
      </c>
      <c r="L804" s="9">
        <v>17</v>
      </c>
      <c r="O804" s="25">
        <v>46313.410416666666</v>
      </c>
      <c r="P804" s="9" t="s">
        <v>43</v>
      </c>
      <c r="Q804" s="9" t="s">
        <v>100</v>
      </c>
      <c r="R804" s="9" t="s">
        <v>2520</v>
      </c>
      <c r="S804" s="9">
        <v>4247</v>
      </c>
      <c r="T804" s="9" t="s">
        <v>41</v>
      </c>
      <c r="U804" s="25">
        <v>46313.418055555558</v>
      </c>
      <c r="V804" s="25">
        <v>46313.413888888892</v>
      </c>
      <c r="W804" s="26" t="s">
        <v>2521</v>
      </c>
      <c r="X804" s="9">
        <v>22411</v>
      </c>
      <c r="Z804" s="9">
        <v>0</v>
      </c>
      <c r="AA804" s="27">
        <v>0.41041666666666665</v>
      </c>
      <c r="AB804" s="9">
        <v>4</v>
      </c>
      <c r="AC804" s="9" t="s">
        <v>41</v>
      </c>
      <c r="AD804" s="9" t="str">
        <f t="shared" si="15"/>
        <v>Actual</v>
      </c>
      <c r="AE804" s="9" t="str">
        <f t="shared" si="16"/>
        <v>TMK7</v>
      </c>
      <c r="AF804" s="9">
        <f>HOUR(O804)</f>
        <v>9</v>
      </c>
      <c r="AG804" s="9">
        <f>DAY(O804)</f>
        <v>18</v>
      </c>
      <c r="AH804" s="9">
        <f>IFERROR((I804-K804)*24*60,0)</f>
        <v>1.000000003259629</v>
      </c>
      <c r="AI804" s="9">
        <f t="shared" si="17"/>
        <v>1.000000003259629</v>
      </c>
      <c r="AJ804" s="9">
        <f>C804</f>
        <v>1965</v>
      </c>
      <c r="AK804" s="9">
        <f>IF(P804="completed",((V804-K804)*24*60),0)</f>
        <v>4.0000000025611371</v>
      </c>
      <c r="AL804" s="9">
        <f>IF(P804="completed",((U804-K804)*24*60),0)</f>
        <v>10.000000001164153</v>
      </c>
      <c r="AM804" s="9" t="str">
        <f t="shared" si="18"/>
        <v>OTP Achieved</v>
      </c>
      <c r="AN804" s="9" t="str">
        <f t="shared" si="19"/>
        <v>OTP Achieved</v>
      </c>
    </row>
    <row r="805" spans="1:40" ht="15.75" customHeight="1">
      <c r="A805" s="9" t="s">
        <v>67</v>
      </c>
      <c r="B805" s="25">
        <v>46313.410416666666</v>
      </c>
      <c r="C805" s="9">
        <v>1656</v>
      </c>
      <c r="D805" s="9" t="s">
        <v>41</v>
      </c>
      <c r="E805" s="9">
        <v>6</v>
      </c>
      <c r="F805" s="9" t="s">
        <v>41</v>
      </c>
      <c r="G805" s="9" t="s">
        <v>41</v>
      </c>
      <c r="H805" s="9" t="s">
        <v>2522</v>
      </c>
      <c r="I805" s="25">
        <v>46313.411805555559</v>
      </c>
      <c r="J805" s="9" t="s">
        <v>41</v>
      </c>
      <c r="K805" s="25">
        <v>46313.411111111112</v>
      </c>
      <c r="L805" s="9">
        <v>26</v>
      </c>
      <c r="O805" s="25">
        <v>46313.410416666666</v>
      </c>
      <c r="P805" s="9" t="s">
        <v>43</v>
      </c>
      <c r="Q805" s="9" t="s">
        <v>69</v>
      </c>
      <c r="R805" s="9" t="s">
        <v>2523</v>
      </c>
      <c r="S805" s="9">
        <v>4247</v>
      </c>
      <c r="T805" s="9" t="s">
        <v>41</v>
      </c>
      <c r="U805" s="25">
        <v>46313.416666666664</v>
      </c>
      <c r="V805" s="25">
        <v>46313.415277777778</v>
      </c>
      <c r="W805" s="26" t="s">
        <v>2524</v>
      </c>
      <c r="X805" s="9">
        <v>22411</v>
      </c>
      <c r="Z805" s="9">
        <v>0</v>
      </c>
      <c r="AA805" s="27">
        <v>0.41041666666666665</v>
      </c>
      <c r="AB805" s="9">
        <v>5</v>
      </c>
      <c r="AC805" s="9" t="s">
        <v>41</v>
      </c>
      <c r="AD805" s="9" t="str">
        <f t="shared" si="15"/>
        <v>Actual</v>
      </c>
      <c r="AE805" s="9" t="str">
        <f t="shared" si="16"/>
        <v>TMK7</v>
      </c>
      <c r="AF805" s="9">
        <f>HOUR(O805)</f>
        <v>9</v>
      </c>
      <c r="AG805" s="9">
        <f>DAY(O805)</f>
        <v>18</v>
      </c>
      <c r="AH805" s="9">
        <f>IFERROR((I805-K805)*24*60,0)</f>
        <v>1.000000003259629</v>
      </c>
      <c r="AI805" s="9">
        <f t="shared" si="17"/>
        <v>1.000000003259629</v>
      </c>
      <c r="AJ805" s="9">
        <f>C805</f>
        <v>1656</v>
      </c>
      <c r="AK805" s="9">
        <f>IF(P805="completed",((V805-K805)*24*60),0)</f>
        <v>5.9999999986030161</v>
      </c>
      <c r="AL805" s="9">
        <f>IF(P805="completed",((U805-K805)*24*60),0)</f>
        <v>7.9999999946448952</v>
      </c>
      <c r="AM805" s="9" t="str">
        <f t="shared" si="18"/>
        <v>OTP Achieved</v>
      </c>
      <c r="AN805" s="9" t="str">
        <f t="shared" si="19"/>
        <v>OTP Achieved</v>
      </c>
    </row>
    <row r="806" spans="1:40" ht="15.75" customHeight="1">
      <c r="A806" s="9" t="s">
        <v>1077</v>
      </c>
      <c r="B806" s="25">
        <v>46313.410416666666</v>
      </c>
      <c r="C806" s="9">
        <v>1717</v>
      </c>
      <c r="D806" s="9" t="s">
        <v>41</v>
      </c>
      <c r="E806" s="9">
        <v>4</v>
      </c>
      <c r="F806" s="9" t="s">
        <v>41</v>
      </c>
      <c r="G806" s="9" t="s">
        <v>41</v>
      </c>
      <c r="H806" s="9" t="s">
        <v>2525</v>
      </c>
      <c r="I806" s="25">
        <v>46313.411111111112</v>
      </c>
      <c r="J806" s="9" t="s">
        <v>41</v>
      </c>
      <c r="K806" s="25">
        <v>46313.410416666666</v>
      </c>
      <c r="L806" s="9">
        <v>25</v>
      </c>
      <c r="O806" s="25">
        <v>46313.409722222219</v>
      </c>
      <c r="P806" s="9" t="s">
        <v>43</v>
      </c>
      <c r="Q806" s="9" t="s">
        <v>1079</v>
      </c>
      <c r="R806" s="9" t="s">
        <v>2526</v>
      </c>
      <c r="S806" s="9">
        <v>4247</v>
      </c>
      <c r="T806" s="9" t="s">
        <v>41</v>
      </c>
      <c r="U806" s="25">
        <v>46313.414583333331</v>
      </c>
      <c r="V806" s="25">
        <v>46313.413888888892</v>
      </c>
      <c r="W806" s="26" t="s">
        <v>2527</v>
      </c>
      <c r="X806" s="9">
        <v>22411</v>
      </c>
      <c r="Z806" s="9">
        <v>0</v>
      </c>
      <c r="AA806" s="27">
        <v>0.41041666666666665</v>
      </c>
      <c r="AB806" s="9">
        <v>4</v>
      </c>
      <c r="AC806" s="9" t="s">
        <v>41</v>
      </c>
      <c r="AD806" s="9" t="str">
        <f t="shared" si="15"/>
        <v>Actual</v>
      </c>
      <c r="AE806" s="9" t="str">
        <f t="shared" si="16"/>
        <v>TMK7</v>
      </c>
      <c r="AF806" s="9">
        <f>HOUR(O806)</f>
        <v>9</v>
      </c>
      <c r="AG806" s="9">
        <f>DAY(O806)</f>
        <v>18</v>
      </c>
      <c r="AH806" s="9">
        <f>IFERROR((I806-K806)*24*60,0)</f>
        <v>1.000000003259629</v>
      </c>
      <c r="AI806" s="9">
        <f t="shared" si="17"/>
        <v>1.000000003259629</v>
      </c>
      <c r="AJ806" s="9">
        <f>C806</f>
        <v>1717</v>
      </c>
      <c r="AK806" s="9">
        <f>IF(P806="completed",((V806-K806)*24*60),0)</f>
        <v>5.0000000058207661</v>
      </c>
      <c r="AL806" s="9">
        <f>IF(P806="completed",((U806-K806)*24*60),0)</f>
        <v>5.9999999986030161</v>
      </c>
      <c r="AM806" s="9" t="str">
        <f t="shared" si="18"/>
        <v>OTP Achieved</v>
      </c>
      <c r="AN806" s="9" t="str">
        <f t="shared" si="19"/>
        <v>OTP Achieved</v>
      </c>
    </row>
    <row r="807" spans="1:40" ht="15.75" customHeight="1">
      <c r="A807" s="9" t="s">
        <v>1171</v>
      </c>
      <c r="B807" s="25">
        <v>46313.409722222219</v>
      </c>
      <c r="C807" s="9">
        <v>2270</v>
      </c>
      <c r="D807" s="9" t="s">
        <v>41</v>
      </c>
      <c r="E807" s="9">
        <v>6</v>
      </c>
      <c r="F807" s="9" t="s">
        <v>41</v>
      </c>
      <c r="G807" s="9" t="s">
        <v>41</v>
      </c>
      <c r="H807" s="9" t="s">
        <v>2528</v>
      </c>
      <c r="I807" s="25">
        <v>46313.411111111112</v>
      </c>
      <c r="J807" s="9" t="s">
        <v>41</v>
      </c>
      <c r="K807" s="25">
        <v>46313.410416666666</v>
      </c>
      <c r="L807" s="9">
        <v>11</v>
      </c>
      <c r="O807" s="25">
        <v>46313.409722222219</v>
      </c>
      <c r="P807" s="9" t="s">
        <v>43</v>
      </c>
      <c r="Q807" s="9" t="s">
        <v>1173</v>
      </c>
      <c r="R807" s="9" t="s">
        <v>2529</v>
      </c>
      <c r="S807" s="9">
        <v>4247</v>
      </c>
      <c r="T807" s="9" t="s">
        <v>41</v>
      </c>
      <c r="U807" s="25">
        <v>46313.415972222225</v>
      </c>
      <c r="V807" s="25">
        <v>46313.414583333331</v>
      </c>
      <c r="W807" s="26" t="s">
        <v>2530</v>
      </c>
      <c r="X807" s="9">
        <v>22411</v>
      </c>
      <c r="Y807" s="25"/>
      <c r="Z807" s="9">
        <v>0</v>
      </c>
      <c r="AA807" s="27">
        <v>0.40972222222222221</v>
      </c>
      <c r="AB807" s="9">
        <v>6</v>
      </c>
      <c r="AC807" s="9" t="s">
        <v>41</v>
      </c>
      <c r="AD807" s="9" t="str">
        <f t="shared" si="15"/>
        <v>Actual</v>
      </c>
      <c r="AE807" s="9" t="str">
        <f t="shared" si="16"/>
        <v>TMK7</v>
      </c>
      <c r="AF807" s="9">
        <f>HOUR(O807)</f>
        <v>9</v>
      </c>
      <c r="AG807" s="9">
        <f>DAY(O807)</f>
        <v>18</v>
      </c>
      <c r="AH807" s="9">
        <f>IFERROR((I807-K807)*24*60,0)</f>
        <v>1.000000003259629</v>
      </c>
      <c r="AI807" s="9">
        <f t="shared" si="17"/>
        <v>1.000000003259629</v>
      </c>
      <c r="AJ807" s="9">
        <f>C807</f>
        <v>2270</v>
      </c>
      <c r="AK807" s="9">
        <f>IF(P807="completed",((V807-K807)*24*60),0)</f>
        <v>5.9999999986030161</v>
      </c>
      <c r="AL807" s="9">
        <f>IF(P807="completed",((U807-K807)*24*60),0)</f>
        <v>8.0000000051222742</v>
      </c>
      <c r="AM807" s="9" t="str">
        <f t="shared" si="18"/>
        <v>OTP Achieved</v>
      </c>
      <c r="AN807" s="9" t="str">
        <f t="shared" si="19"/>
        <v>OTP Achieved</v>
      </c>
    </row>
    <row r="808" spans="1:40" ht="15.75" customHeight="1">
      <c r="A808" s="9" t="s">
        <v>190</v>
      </c>
      <c r="B808" s="25">
        <v>46313.409722222219</v>
      </c>
      <c r="C808" s="9">
        <v>374</v>
      </c>
      <c r="D808" s="9" t="s">
        <v>41</v>
      </c>
      <c r="E808" s="9">
        <v>2</v>
      </c>
      <c r="F808" s="9" t="s">
        <v>41</v>
      </c>
      <c r="G808" s="9" t="s">
        <v>41</v>
      </c>
      <c r="H808" s="9" t="s">
        <v>2531</v>
      </c>
      <c r="I808" s="25">
        <v>46313.410416666666</v>
      </c>
      <c r="J808" s="9" t="s">
        <v>41</v>
      </c>
      <c r="K808" s="25">
        <v>46313.409722222219</v>
      </c>
      <c r="L808" s="9">
        <v>18</v>
      </c>
      <c r="O808" s="25">
        <v>46313.409722222219</v>
      </c>
      <c r="P808" s="9" t="s">
        <v>43</v>
      </c>
      <c r="Q808" s="9" t="s">
        <v>192</v>
      </c>
      <c r="R808" s="9" t="s">
        <v>2532</v>
      </c>
      <c r="S808" s="9">
        <v>4247</v>
      </c>
      <c r="T808" s="9" t="s">
        <v>41</v>
      </c>
      <c r="U808" s="25">
        <v>46313.411805555559</v>
      </c>
      <c r="V808" s="25">
        <v>46313.411111111112</v>
      </c>
      <c r="W808" s="26" t="s">
        <v>2533</v>
      </c>
      <c r="X808" s="9">
        <v>22411</v>
      </c>
      <c r="Z808" s="9">
        <v>0</v>
      </c>
      <c r="AA808" s="27">
        <v>0.40972222222222221</v>
      </c>
      <c r="AB808" s="9">
        <v>2</v>
      </c>
      <c r="AC808" s="9" t="s">
        <v>41</v>
      </c>
      <c r="AD808" s="9" t="str">
        <f t="shared" si="15"/>
        <v>Actual</v>
      </c>
      <c r="AE808" s="9" t="str">
        <f t="shared" si="16"/>
        <v>TMK7</v>
      </c>
      <c r="AF808" s="9">
        <f>HOUR(O808)</f>
        <v>9</v>
      </c>
      <c r="AG808" s="9">
        <f>DAY(O808)</f>
        <v>18</v>
      </c>
      <c r="AH808" s="9">
        <f>IFERROR((I808-K808)*24*60,0)</f>
        <v>1.000000003259629</v>
      </c>
      <c r="AI808" s="9">
        <f t="shared" si="17"/>
        <v>1.000000003259629</v>
      </c>
      <c r="AJ808" s="9">
        <f>C808</f>
        <v>374</v>
      </c>
      <c r="AK808" s="9">
        <f>IF(P808="completed",((V808-K808)*24*60),0)</f>
        <v>2.000000006519258</v>
      </c>
      <c r="AL808" s="9">
        <f>IF(P808="completed",((U808-K808)*24*60),0)</f>
        <v>3.000000009778887</v>
      </c>
      <c r="AM808" s="9" t="str">
        <f t="shared" si="18"/>
        <v>OTP Achieved</v>
      </c>
      <c r="AN808" s="9" t="str">
        <f t="shared" si="19"/>
        <v>OTP Achieved</v>
      </c>
    </row>
    <row r="809" spans="1:40" ht="15.75" customHeight="1">
      <c r="A809" s="9" t="s">
        <v>1336</v>
      </c>
      <c r="B809" s="25">
        <v>46313.40902777778</v>
      </c>
      <c r="C809" s="9">
        <v>2280</v>
      </c>
      <c r="D809" s="9" t="s">
        <v>41</v>
      </c>
      <c r="E809" s="9">
        <v>6</v>
      </c>
      <c r="F809" s="9" t="s">
        <v>41</v>
      </c>
      <c r="G809" s="9" t="s">
        <v>41</v>
      </c>
      <c r="H809" s="9" t="s">
        <v>2534</v>
      </c>
      <c r="I809" s="25">
        <v>46313.410416666666</v>
      </c>
      <c r="J809" s="9" t="s">
        <v>41</v>
      </c>
      <c r="K809" s="25">
        <v>46313.410416666666</v>
      </c>
      <c r="L809" s="9">
        <v>15</v>
      </c>
      <c r="O809" s="25">
        <v>46313.40902777778</v>
      </c>
      <c r="P809" s="9" t="s">
        <v>43</v>
      </c>
      <c r="Q809" s="9" t="s">
        <v>1338</v>
      </c>
      <c r="R809" s="9" t="s">
        <v>2535</v>
      </c>
      <c r="S809" s="9">
        <v>4247</v>
      </c>
      <c r="T809" s="9" t="s">
        <v>41</v>
      </c>
      <c r="U809" s="25">
        <v>46313.415277777778</v>
      </c>
      <c r="V809" s="25">
        <v>46313.413888888892</v>
      </c>
      <c r="W809" s="26" t="s">
        <v>2536</v>
      </c>
      <c r="X809" s="9">
        <v>22411</v>
      </c>
      <c r="Z809" s="9">
        <v>0</v>
      </c>
      <c r="AA809" s="27">
        <v>0.40902777777777777</v>
      </c>
      <c r="AB809" s="9">
        <v>6</v>
      </c>
      <c r="AC809" s="9" t="s">
        <v>41</v>
      </c>
      <c r="AD809" s="9" t="str">
        <f t="shared" si="15"/>
        <v>Actual</v>
      </c>
      <c r="AE809" s="9" t="str">
        <f t="shared" si="16"/>
        <v>TMK7</v>
      </c>
      <c r="AF809" s="9">
        <f>HOUR(O809)</f>
        <v>9</v>
      </c>
      <c r="AG809" s="9">
        <f>DAY(O809)</f>
        <v>18</v>
      </c>
      <c r="AH809" s="9">
        <f>IFERROR((I809-K809)*24*60,0)</f>
        <v>0</v>
      </c>
      <c r="AI809" s="9">
        <f t="shared" si="17"/>
        <v>0</v>
      </c>
      <c r="AJ809" s="9">
        <f>C809</f>
        <v>2280</v>
      </c>
      <c r="AK809" s="9">
        <f>IF(P809="completed",((V809-K809)*24*60),0)</f>
        <v>5.0000000058207661</v>
      </c>
      <c r="AL809" s="9">
        <f>IF(P809="completed",((U809-K809)*24*60),0)</f>
        <v>7.0000000018626451</v>
      </c>
      <c r="AM809" s="9" t="str">
        <f t="shared" si="18"/>
        <v>OTP Achieved</v>
      </c>
      <c r="AN809" s="9" t="str">
        <f t="shared" si="19"/>
        <v>OTP Achieved</v>
      </c>
    </row>
    <row r="810" spans="1:40" ht="15.75" customHeight="1">
      <c r="A810" s="9" t="s">
        <v>2318</v>
      </c>
      <c r="B810" s="25">
        <v>46313.40902777778</v>
      </c>
      <c r="C810" s="9">
        <v>2897</v>
      </c>
      <c r="D810" s="9" t="s">
        <v>41</v>
      </c>
      <c r="E810" s="9">
        <v>7</v>
      </c>
      <c r="F810" s="9" t="s">
        <v>41</v>
      </c>
      <c r="G810" s="9" t="s">
        <v>41</v>
      </c>
      <c r="H810" s="9" t="s">
        <v>2537</v>
      </c>
      <c r="I810" s="25">
        <v>46313.410416666666</v>
      </c>
      <c r="J810" s="9" t="s">
        <v>41</v>
      </c>
      <c r="K810" s="25">
        <v>46313.409722222219</v>
      </c>
      <c r="L810" s="9">
        <v>64</v>
      </c>
      <c r="O810" s="25">
        <v>46313.40902777778</v>
      </c>
      <c r="P810" s="9" t="s">
        <v>43</v>
      </c>
      <c r="Q810" s="9" t="s">
        <v>2320</v>
      </c>
      <c r="R810" s="9" t="s">
        <v>2538</v>
      </c>
      <c r="S810" s="9">
        <v>4247</v>
      </c>
      <c r="T810" s="9" t="s">
        <v>41</v>
      </c>
      <c r="U810" s="25">
        <v>46313.417361111111</v>
      </c>
      <c r="V810" s="25">
        <v>46313.414583333331</v>
      </c>
      <c r="W810" s="26" t="s">
        <v>2539</v>
      </c>
      <c r="X810" s="9">
        <v>22411</v>
      </c>
      <c r="Z810" s="9">
        <v>0</v>
      </c>
      <c r="AA810" s="27">
        <v>0.40902777777777777</v>
      </c>
      <c r="AB810" s="9">
        <v>6</v>
      </c>
      <c r="AC810" s="9" t="s">
        <v>41</v>
      </c>
      <c r="AD810" s="9" t="str">
        <f t="shared" si="15"/>
        <v>Actual</v>
      </c>
      <c r="AE810" s="9" t="str">
        <f t="shared" si="16"/>
        <v>TMK7</v>
      </c>
      <c r="AF810" s="9">
        <f>HOUR(O810)</f>
        <v>9</v>
      </c>
      <c r="AG810" s="9">
        <f>DAY(O810)</f>
        <v>18</v>
      </c>
      <c r="AH810" s="9">
        <f>IFERROR((I810-K810)*24*60,0)</f>
        <v>1.000000003259629</v>
      </c>
      <c r="AI810" s="9">
        <f t="shared" si="17"/>
        <v>1.000000003259629</v>
      </c>
      <c r="AJ810" s="9">
        <f>C810</f>
        <v>2897</v>
      </c>
      <c r="AK810" s="9">
        <f>IF(P810="completed",((V810-K810)*24*60),0)</f>
        <v>7.0000000018626451</v>
      </c>
      <c r="AL810" s="9">
        <f>IF(P810="completed",((U810-K810)*24*60),0)</f>
        <v>11.000000004423782</v>
      </c>
      <c r="AM810" s="9" t="str">
        <f t="shared" si="18"/>
        <v>OTP Achieved</v>
      </c>
      <c r="AN810" s="9" t="str">
        <f t="shared" si="19"/>
        <v>OTP Achieved</v>
      </c>
    </row>
    <row r="811" spans="1:40" ht="15.75" customHeight="1">
      <c r="A811" s="9" t="s">
        <v>2258</v>
      </c>
      <c r="B811" s="25">
        <v>46313.408333333333</v>
      </c>
      <c r="C811" s="9">
        <v>2241</v>
      </c>
      <c r="D811" s="9" t="s">
        <v>41</v>
      </c>
      <c r="E811" s="9">
        <v>5</v>
      </c>
      <c r="F811" s="9" t="s">
        <v>41</v>
      </c>
      <c r="G811" s="9" t="s">
        <v>41</v>
      </c>
      <c r="H811" s="9" t="s">
        <v>2540</v>
      </c>
      <c r="I811" s="25">
        <v>46313.410416666666</v>
      </c>
      <c r="J811" s="9" t="s">
        <v>41</v>
      </c>
      <c r="K811" s="25">
        <v>46313.410416666666</v>
      </c>
      <c r="L811" s="9">
        <v>20</v>
      </c>
      <c r="O811" s="25">
        <v>46313.408333333333</v>
      </c>
      <c r="P811" s="9" t="s">
        <v>43</v>
      </c>
      <c r="Q811" s="9" t="s">
        <v>2260</v>
      </c>
      <c r="R811" s="9" t="s">
        <v>2541</v>
      </c>
      <c r="S811" s="9">
        <v>4247</v>
      </c>
      <c r="T811" s="9" t="s">
        <v>41</v>
      </c>
      <c r="U811" s="25">
        <v>46313.416666666664</v>
      </c>
      <c r="V811" s="25">
        <v>46313.413888888892</v>
      </c>
      <c r="W811" s="26" t="s">
        <v>2542</v>
      </c>
      <c r="X811" s="9">
        <v>22411</v>
      </c>
      <c r="Z811" s="9">
        <v>0</v>
      </c>
      <c r="AA811" s="27">
        <v>0.40833333333333333</v>
      </c>
      <c r="AB811" s="9">
        <v>4</v>
      </c>
      <c r="AC811" s="9" t="s">
        <v>41</v>
      </c>
      <c r="AD811" s="9" t="str">
        <f t="shared" si="15"/>
        <v>Actual</v>
      </c>
      <c r="AE811" s="9" t="str">
        <f t="shared" si="16"/>
        <v>TMK7</v>
      </c>
      <c r="AF811" s="9">
        <f>HOUR(O811)</f>
        <v>9</v>
      </c>
      <c r="AG811" s="9">
        <f>DAY(O811)</f>
        <v>18</v>
      </c>
      <c r="AH811" s="9">
        <f>IFERROR((I811-K811)*24*60,0)</f>
        <v>0</v>
      </c>
      <c r="AI811" s="9">
        <f t="shared" si="17"/>
        <v>0</v>
      </c>
      <c r="AJ811" s="9">
        <f>C811</f>
        <v>2241</v>
      </c>
      <c r="AK811" s="9">
        <f>IF(P811="completed",((V811-K811)*24*60),0)</f>
        <v>5.0000000058207661</v>
      </c>
      <c r="AL811" s="9">
        <f>IF(P811="completed",((U811-K811)*24*60),0)</f>
        <v>8.9999999979045242</v>
      </c>
      <c r="AM811" s="9" t="str">
        <f t="shared" si="18"/>
        <v>OTP Achieved</v>
      </c>
      <c r="AN811" s="9" t="str">
        <f t="shared" si="19"/>
        <v>OTP Achieved</v>
      </c>
    </row>
    <row r="812" spans="1:40" ht="15.75" customHeight="1">
      <c r="A812" s="9" t="s">
        <v>734</v>
      </c>
      <c r="B812" s="25">
        <v>46313.407638888886</v>
      </c>
      <c r="C812" s="9">
        <v>2002</v>
      </c>
      <c r="D812" s="9" t="s">
        <v>41</v>
      </c>
      <c r="E812" s="9">
        <v>7</v>
      </c>
      <c r="F812" s="9" t="s">
        <v>41</v>
      </c>
      <c r="G812" s="9" t="s">
        <v>41</v>
      </c>
      <c r="H812" s="9" t="s">
        <v>2543</v>
      </c>
      <c r="I812" s="25">
        <v>46313.408333333333</v>
      </c>
      <c r="J812" s="9" t="s">
        <v>41</v>
      </c>
      <c r="K812" s="25">
        <v>46313.408333333333</v>
      </c>
      <c r="L812" s="9">
        <v>28</v>
      </c>
      <c r="O812" s="25">
        <v>46313.407638888886</v>
      </c>
      <c r="P812" s="9" t="s">
        <v>43</v>
      </c>
      <c r="Q812" s="9" t="s">
        <v>736</v>
      </c>
      <c r="R812" s="9" t="s">
        <v>2544</v>
      </c>
      <c r="S812" s="9">
        <v>4247</v>
      </c>
      <c r="T812" s="9" t="s">
        <v>41</v>
      </c>
      <c r="U812" s="25">
        <v>46313.414583333331</v>
      </c>
      <c r="V812" s="25">
        <v>46313.412499999999</v>
      </c>
      <c r="W812" s="26" t="s">
        <v>2545</v>
      </c>
      <c r="X812" s="9">
        <v>22411</v>
      </c>
      <c r="Z812" s="9">
        <v>0</v>
      </c>
      <c r="AA812" s="27">
        <v>0.40763888888888888</v>
      </c>
      <c r="AB812" s="9">
        <v>6</v>
      </c>
      <c r="AC812" s="9" t="s">
        <v>41</v>
      </c>
      <c r="AD812" s="9" t="str">
        <f t="shared" si="15"/>
        <v>Actual</v>
      </c>
      <c r="AE812" s="9" t="str">
        <f t="shared" si="16"/>
        <v>TMK7</v>
      </c>
      <c r="AF812" s="9">
        <f>HOUR(O812)</f>
        <v>9</v>
      </c>
      <c r="AG812" s="9">
        <f>DAY(O812)</f>
        <v>18</v>
      </c>
      <c r="AH812" s="9">
        <f>IFERROR((I812-K812)*24*60,0)</f>
        <v>0</v>
      </c>
      <c r="AI812" s="9">
        <f t="shared" si="17"/>
        <v>0</v>
      </c>
      <c r="AJ812" s="9">
        <f>C812</f>
        <v>2002</v>
      </c>
      <c r="AK812" s="9">
        <f>IF(P812="completed",((V812-K812)*24*60),0)</f>
        <v>5.9999999986030161</v>
      </c>
      <c r="AL812" s="9">
        <f>IF(P812="completed",((U812-K812)*24*60),0)</f>
        <v>8.9999999979045242</v>
      </c>
      <c r="AM812" s="9" t="str">
        <f t="shared" si="18"/>
        <v>OTP Achieved</v>
      </c>
      <c r="AN812" s="9" t="str">
        <f t="shared" si="19"/>
        <v>OTP Achieved</v>
      </c>
    </row>
    <row r="813" spans="1:40" ht="15.75" customHeight="1">
      <c r="A813" s="9" t="s">
        <v>62</v>
      </c>
      <c r="B813" s="25">
        <v>46313.406944444447</v>
      </c>
      <c r="C813" s="9">
        <v>2652</v>
      </c>
      <c r="D813" s="9" t="s">
        <v>41</v>
      </c>
      <c r="E813" s="9">
        <v>10</v>
      </c>
      <c r="F813" s="9" t="s">
        <v>41</v>
      </c>
      <c r="G813" s="9" t="s">
        <v>41</v>
      </c>
      <c r="H813" s="9" t="s">
        <v>2546</v>
      </c>
      <c r="I813" s="25">
        <v>46313.408333333333</v>
      </c>
      <c r="J813" s="9" t="s">
        <v>41</v>
      </c>
      <c r="K813" s="25">
        <v>46313.408333333333</v>
      </c>
      <c r="L813" s="9">
        <v>18</v>
      </c>
      <c r="O813" s="25">
        <v>46313.406944444447</v>
      </c>
      <c r="P813" s="9" t="s">
        <v>43</v>
      </c>
      <c r="Q813" s="9" t="s">
        <v>64</v>
      </c>
      <c r="R813" s="9" t="s">
        <v>2547</v>
      </c>
      <c r="S813" s="9">
        <v>4247</v>
      </c>
      <c r="T813" s="9" t="s">
        <v>41</v>
      </c>
      <c r="U813" s="25">
        <v>46313.415277777778</v>
      </c>
      <c r="V813" s="25">
        <v>46313.415277777778</v>
      </c>
      <c r="W813" s="26" t="s">
        <v>2548</v>
      </c>
      <c r="X813" s="9">
        <v>22411</v>
      </c>
      <c r="Y813" s="25"/>
      <c r="Z813" s="9">
        <v>0</v>
      </c>
      <c r="AA813" s="27">
        <v>0.40694444444444444</v>
      </c>
      <c r="AB813" s="9">
        <v>10</v>
      </c>
      <c r="AC813" s="9" t="s">
        <v>41</v>
      </c>
      <c r="AD813" s="9" t="str">
        <f t="shared" si="15"/>
        <v>Actual</v>
      </c>
      <c r="AE813" s="9" t="str">
        <f t="shared" si="16"/>
        <v>TMK7</v>
      </c>
      <c r="AF813" s="9">
        <f>HOUR(O813)</f>
        <v>9</v>
      </c>
      <c r="AG813" s="9">
        <f>DAY(O813)</f>
        <v>18</v>
      </c>
      <c r="AH813" s="9">
        <f>IFERROR((I813-K813)*24*60,0)</f>
        <v>0</v>
      </c>
      <c r="AI813" s="9">
        <f t="shared" si="17"/>
        <v>0</v>
      </c>
      <c r="AJ813" s="9">
        <f>C813</f>
        <v>2652</v>
      </c>
      <c r="AK813" s="9">
        <f>IF(P813="completed",((V813-K813)*24*60),0)</f>
        <v>10.000000001164153</v>
      </c>
      <c r="AL813" s="9">
        <f>IF(P813="completed",((U813-K813)*24*60),0)</f>
        <v>10.000000001164153</v>
      </c>
      <c r="AM813" s="9" t="str">
        <f t="shared" si="18"/>
        <v>OTP Breached</v>
      </c>
      <c r="AN813" s="9" t="str">
        <f t="shared" si="19"/>
        <v>OTP Achieved</v>
      </c>
    </row>
    <row r="814" spans="1:40" ht="15.75" customHeight="1">
      <c r="A814" s="9" t="s">
        <v>185</v>
      </c>
      <c r="B814" s="25">
        <v>46313.40625</v>
      </c>
      <c r="C814" s="9">
        <v>1240</v>
      </c>
      <c r="D814" s="9" t="s">
        <v>41</v>
      </c>
      <c r="E814" s="9">
        <v>5</v>
      </c>
      <c r="F814" s="9" t="s">
        <v>41</v>
      </c>
      <c r="G814" s="9" t="s">
        <v>41</v>
      </c>
      <c r="H814" s="9" t="s">
        <v>2549</v>
      </c>
      <c r="I814" s="25">
        <v>46313.406944444447</v>
      </c>
      <c r="J814" s="9" t="s">
        <v>41</v>
      </c>
      <c r="K814" s="25">
        <v>46313.40625</v>
      </c>
      <c r="L814" s="9">
        <v>22</v>
      </c>
      <c r="O814" s="25">
        <v>46313.405555555553</v>
      </c>
      <c r="P814" s="9" t="s">
        <v>43</v>
      </c>
      <c r="Q814" s="9" t="s">
        <v>187</v>
      </c>
      <c r="R814" s="9" t="s">
        <v>2550</v>
      </c>
      <c r="S814" s="9">
        <v>4247</v>
      </c>
      <c r="T814" s="9" t="s">
        <v>41</v>
      </c>
      <c r="U814" s="25">
        <v>46313.410416666666</v>
      </c>
      <c r="V814" s="25">
        <v>46313.409722222219</v>
      </c>
      <c r="W814" s="26" t="s">
        <v>2551</v>
      </c>
      <c r="X814" s="9">
        <v>22411</v>
      </c>
      <c r="Z814" s="9">
        <v>0</v>
      </c>
      <c r="AA814" s="27">
        <v>0.40625</v>
      </c>
      <c r="AB814" s="9">
        <v>4</v>
      </c>
      <c r="AC814" s="9" t="s">
        <v>41</v>
      </c>
      <c r="AD814" s="9" t="str">
        <f t="shared" si="15"/>
        <v>Actual</v>
      </c>
      <c r="AE814" s="9" t="str">
        <f t="shared" si="16"/>
        <v>TMK7</v>
      </c>
      <c r="AF814" s="9">
        <f>HOUR(O814)</f>
        <v>9</v>
      </c>
      <c r="AG814" s="9">
        <f>DAY(O814)</f>
        <v>18</v>
      </c>
      <c r="AH814" s="9">
        <f>IFERROR((I814-K814)*24*60,0)</f>
        <v>1.000000003259629</v>
      </c>
      <c r="AI814" s="9">
        <f t="shared" si="17"/>
        <v>1.000000003259629</v>
      </c>
      <c r="AJ814" s="9">
        <f>C814</f>
        <v>1240</v>
      </c>
      <c r="AK814" s="9">
        <f>IF(P814="completed",((V814-K814)*24*60),0)</f>
        <v>4.9999999953433871</v>
      </c>
      <c r="AL814" s="9">
        <f>IF(P814="completed",((U814-K814)*24*60),0)</f>
        <v>5.9999999986030161</v>
      </c>
      <c r="AM814" s="9" t="str">
        <f t="shared" si="18"/>
        <v>OTP Achieved</v>
      </c>
      <c r="AN814" s="9" t="str">
        <f t="shared" si="19"/>
        <v>OTP Achieved</v>
      </c>
    </row>
    <row r="815" spans="1:40" ht="15.75" customHeight="1">
      <c r="A815" s="9" t="s">
        <v>1461</v>
      </c>
      <c r="B815" s="25">
        <v>46313.404861111114</v>
      </c>
      <c r="C815" s="9">
        <v>755</v>
      </c>
      <c r="D815" s="9" t="s">
        <v>41</v>
      </c>
      <c r="E815" s="9">
        <v>3</v>
      </c>
      <c r="F815" s="9" t="s">
        <v>41</v>
      </c>
      <c r="G815" s="9" t="s">
        <v>41</v>
      </c>
      <c r="H815" s="9" t="s">
        <v>2552</v>
      </c>
      <c r="I815" s="25">
        <v>46313.405555555553</v>
      </c>
      <c r="J815" s="9" t="s">
        <v>41</v>
      </c>
      <c r="K815" s="25">
        <v>46313.404861111114</v>
      </c>
      <c r="L815" s="9">
        <v>11</v>
      </c>
      <c r="O815" s="25">
        <v>46313.404861111114</v>
      </c>
      <c r="P815" s="9" t="s">
        <v>43</v>
      </c>
      <c r="Q815" s="9" t="s">
        <v>1463</v>
      </c>
      <c r="R815" s="9" t="s">
        <v>2553</v>
      </c>
      <c r="S815" s="9">
        <v>4247</v>
      </c>
      <c r="T815" s="9" t="s">
        <v>41</v>
      </c>
      <c r="U815" s="25">
        <v>46313.408333333333</v>
      </c>
      <c r="V815" s="25">
        <v>46313.406944444447</v>
      </c>
      <c r="W815" s="26" t="s">
        <v>2554</v>
      </c>
      <c r="X815" s="9">
        <v>22411</v>
      </c>
      <c r="Z815" s="9">
        <v>0</v>
      </c>
      <c r="AA815" s="27">
        <v>0.40486111111111112</v>
      </c>
      <c r="AB815" s="9">
        <v>2</v>
      </c>
      <c r="AC815" s="9" t="s">
        <v>41</v>
      </c>
      <c r="AD815" s="9" t="str">
        <f t="shared" si="15"/>
        <v>Actual</v>
      </c>
      <c r="AE815" s="9" t="str">
        <f t="shared" si="16"/>
        <v>TMK7</v>
      </c>
      <c r="AF815" s="9">
        <f>HOUR(O815)</f>
        <v>9</v>
      </c>
      <c r="AG815" s="9">
        <f>DAY(O815)</f>
        <v>18</v>
      </c>
      <c r="AH815" s="9">
        <f>IFERROR((I815-K815)*24*60,0)</f>
        <v>0.99999999278225005</v>
      </c>
      <c r="AI815" s="9">
        <f t="shared" si="17"/>
        <v>0.99999999278225005</v>
      </c>
      <c r="AJ815" s="9">
        <f>C815</f>
        <v>755</v>
      </c>
      <c r="AK815" s="9">
        <f>IF(P815="completed",((V815-K815)*24*60),0)</f>
        <v>2.9999999993015081</v>
      </c>
      <c r="AL815" s="9">
        <f>IF(P815="completed",((U815-K815)*24*60),0)</f>
        <v>4.9999999953433871</v>
      </c>
      <c r="AM815" s="9" t="str">
        <f t="shared" si="18"/>
        <v>OTP Achieved</v>
      </c>
      <c r="AN815" s="9" t="str">
        <f t="shared" si="19"/>
        <v>OTP Achieved</v>
      </c>
    </row>
    <row r="816" spans="1:40" ht="15.75" customHeight="1">
      <c r="A816" s="9" t="s">
        <v>655</v>
      </c>
      <c r="B816" s="25">
        <v>46313.404166666667</v>
      </c>
      <c r="C816" s="9">
        <v>703</v>
      </c>
      <c r="D816" s="9" t="s">
        <v>41</v>
      </c>
      <c r="E816" s="9">
        <v>1</v>
      </c>
      <c r="F816" s="9" t="s">
        <v>41</v>
      </c>
      <c r="G816" s="9" t="s">
        <v>41</v>
      </c>
      <c r="H816" s="9" t="s">
        <v>2555</v>
      </c>
      <c r="I816" s="25">
        <v>46313.404861111114</v>
      </c>
      <c r="J816" s="9" t="s">
        <v>41</v>
      </c>
      <c r="K816" s="25">
        <v>46313.404861111114</v>
      </c>
      <c r="L816" s="9">
        <v>12</v>
      </c>
      <c r="O816" s="25">
        <v>46313.404166666667</v>
      </c>
      <c r="P816" s="9" t="s">
        <v>43</v>
      </c>
      <c r="Q816" s="9" t="s">
        <v>657</v>
      </c>
      <c r="R816" s="9" t="s">
        <v>2556</v>
      </c>
      <c r="S816" s="9">
        <v>4247</v>
      </c>
      <c r="T816" s="9" t="s">
        <v>41</v>
      </c>
      <c r="U816" s="25">
        <v>46313.407638888886</v>
      </c>
      <c r="V816" s="25">
        <v>46313.405555555553</v>
      </c>
      <c r="W816" s="26" t="s">
        <v>2557</v>
      </c>
      <c r="X816" s="9">
        <v>22411</v>
      </c>
      <c r="Y816" s="25"/>
      <c r="Z816" s="9">
        <v>0</v>
      </c>
      <c r="AA816" s="27">
        <v>0.40416666666666667</v>
      </c>
      <c r="AB816" s="9">
        <v>1</v>
      </c>
      <c r="AC816" s="9" t="s">
        <v>41</v>
      </c>
      <c r="AD816" s="9" t="str">
        <f t="shared" si="15"/>
        <v>Actual</v>
      </c>
      <c r="AE816" s="9" t="str">
        <f t="shared" si="16"/>
        <v>TMK7</v>
      </c>
      <c r="AF816" s="9">
        <f>HOUR(O816)</f>
        <v>9</v>
      </c>
      <c r="AG816" s="9">
        <f>DAY(O816)</f>
        <v>18</v>
      </c>
      <c r="AH816" s="9">
        <f>IFERROR((I816-K816)*24*60,0)</f>
        <v>0</v>
      </c>
      <c r="AI816" s="9">
        <f t="shared" si="17"/>
        <v>0</v>
      </c>
      <c r="AJ816" s="9">
        <f>C816</f>
        <v>703</v>
      </c>
      <c r="AK816" s="9">
        <f>IF(P816="completed",((V816-K816)*24*60),0)</f>
        <v>0.99999999278225005</v>
      </c>
      <c r="AL816" s="9">
        <f>IF(P816="completed",((U816-K816)*24*60),0)</f>
        <v>3.9999999920837581</v>
      </c>
      <c r="AM816" s="9" t="str">
        <f t="shared" si="18"/>
        <v>OTP Achieved</v>
      </c>
      <c r="AN816" s="9" t="str">
        <f t="shared" si="19"/>
        <v>OTP Achieved</v>
      </c>
    </row>
    <row r="817" spans="1:40" ht="15.75" customHeight="1">
      <c r="A817" s="9" t="s">
        <v>1391</v>
      </c>
      <c r="B817" s="25">
        <v>46313.404166666667</v>
      </c>
      <c r="C817" s="9">
        <v>67</v>
      </c>
      <c r="D817" s="9" t="s">
        <v>41</v>
      </c>
      <c r="E817" s="9">
        <v>0</v>
      </c>
      <c r="F817" s="9" t="s">
        <v>41</v>
      </c>
      <c r="G817" s="9" t="s">
        <v>41</v>
      </c>
      <c r="H817" s="9" t="s">
        <v>2558</v>
      </c>
      <c r="I817" s="25">
        <v>46313.40625</v>
      </c>
      <c r="J817" s="9" t="s">
        <v>41</v>
      </c>
      <c r="K817" s="25">
        <v>46313.40625</v>
      </c>
      <c r="L817" s="9">
        <v>15</v>
      </c>
      <c r="O817" s="25">
        <v>46313.404166666667</v>
      </c>
      <c r="P817" s="9" t="s">
        <v>43</v>
      </c>
      <c r="Q817" s="9" t="s">
        <v>1393</v>
      </c>
      <c r="R817" s="9" t="s">
        <v>2559</v>
      </c>
      <c r="S817" s="9">
        <v>4247</v>
      </c>
      <c r="T817" s="9" t="s">
        <v>41</v>
      </c>
      <c r="U817" s="25">
        <v>46313.40625</v>
      </c>
      <c r="V817" s="25">
        <v>46313.40625</v>
      </c>
      <c r="W817" s="26" t="s">
        <v>2560</v>
      </c>
      <c r="X817" s="9">
        <v>22411</v>
      </c>
      <c r="Z817" s="9">
        <v>0</v>
      </c>
      <c r="AA817" s="27">
        <v>0.40416666666666667</v>
      </c>
      <c r="AB817" s="9">
        <v>0</v>
      </c>
      <c r="AC817" s="9" t="s">
        <v>41</v>
      </c>
      <c r="AD817" s="9" t="str">
        <f t="shared" si="15"/>
        <v>Actual</v>
      </c>
      <c r="AE817" s="9" t="str">
        <f t="shared" si="16"/>
        <v>TMK7</v>
      </c>
      <c r="AF817" s="9">
        <f>HOUR(O817)</f>
        <v>9</v>
      </c>
      <c r="AG817" s="9">
        <f>DAY(O817)</f>
        <v>18</v>
      </c>
      <c r="AH817" s="9">
        <f>IFERROR((I817-K817)*24*60,0)</f>
        <v>0</v>
      </c>
      <c r="AI817" s="9">
        <f t="shared" si="17"/>
        <v>0</v>
      </c>
      <c r="AJ817" s="9">
        <f>C817</f>
        <v>67</v>
      </c>
      <c r="AK817" s="9">
        <f>IF(P817="completed",((V817-K817)*24*60),0)</f>
        <v>0</v>
      </c>
      <c r="AL817" s="9">
        <f>IF(P817="completed",((U817-K817)*24*60),0)</f>
        <v>0</v>
      </c>
      <c r="AM817" s="9" t="str">
        <f t="shared" si="18"/>
        <v>OTP Breached</v>
      </c>
      <c r="AN817" s="9" t="str">
        <f t="shared" si="19"/>
        <v>OTP Achieved</v>
      </c>
    </row>
    <row r="818" spans="1:40" ht="15.75" customHeight="1">
      <c r="A818" s="9" t="s">
        <v>52</v>
      </c>
      <c r="B818" s="25">
        <v>46313.40347222222</v>
      </c>
      <c r="C818" s="9">
        <v>779</v>
      </c>
      <c r="D818" s="9" t="s">
        <v>41</v>
      </c>
      <c r="E818" s="9">
        <v>3</v>
      </c>
      <c r="F818" s="9" t="s">
        <v>41</v>
      </c>
      <c r="G818" s="9" t="s">
        <v>41</v>
      </c>
      <c r="H818" s="9" t="s">
        <v>2561</v>
      </c>
      <c r="I818" s="25">
        <v>46313.404166666667</v>
      </c>
      <c r="J818" s="9" t="s">
        <v>41</v>
      </c>
      <c r="K818" s="25">
        <v>46313.404166666667</v>
      </c>
      <c r="L818" s="9">
        <v>8</v>
      </c>
      <c r="O818" s="25">
        <v>46313.40347222222</v>
      </c>
      <c r="P818" s="9" t="s">
        <v>43</v>
      </c>
      <c r="Q818" s="9" t="s">
        <v>54</v>
      </c>
      <c r="R818" s="9" t="s">
        <v>2562</v>
      </c>
      <c r="S818" s="9">
        <v>4247</v>
      </c>
      <c r="T818" s="9" t="s">
        <v>41</v>
      </c>
      <c r="U818" s="25">
        <v>46313.406944444447</v>
      </c>
      <c r="V818" s="25">
        <v>46313.40625</v>
      </c>
      <c r="W818" s="26" t="s">
        <v>2563</v>
      </c>
      <c r="X818" s="9">
        <v>22411</v>
      </c>
      <c r="Z818" s="9">
        <v>0</v>
      </c>
      <c r="AA818" s="27">
        <v>0.40347222222222223</v>
      </c>
      <c r="AB818" s="9">
        <v>3</v>
      </c>
      <c r="AC818" s="9" t="s">
        <v>41</v>
      </c>
      <c r="AD818" s="9" t="str">
        <f t="shared" si="15"/>
        <v>Actual</v>
      </c>
      <c r="AE818" s="9" t="str">
        <f t="shared" si="16"/>
        <v>TMK7</v>
      </c>
      <c r="AF818" s="9">
        <f>HOUR(O818)</f>
        <v>9</v>
      </c>
      <c r="AG818" s="9">
        <f>DAY(O818)</f>
        <v>18</v>
      </c>
      <c r="AH818" s="9">
        <f>IFERROR((I818-K818)*24*60,0)</f>
        <v>0</v>
      </c>
      <c r="AI818" s="9">
        <f t="shared" si="17"/>
        <v>0</v>
      </c>
      <c r="AJ818" s="9">
        <f>C818</f>
        <v>779</v>
      </c>
      <c r="AK818" s="9">
        <f>IF(P818="completed",((V818-K818)*24*60),0)</f>
        <v>2.9999999993015081</v>
      </c>
      <c r="AL818" s="9">
        <f>IF(P818="completed",((U818-K818)*24*60),0)</f>
        <v>4.0000000025611371</v>
      </c>
      <c r="AM818" s="9" t="str">
        <f t="shared" si="18"/>
        <v>OTP Achieved</v>
      </c>
      <c r="AN818" s="9" t="str">
        <f t="shared" si="19"/>
        <v>OTP Achieved</v>
      </c>
    </row>
    <row r="819" spans="1:40" ht="15.75" customHeight="1">
      <c r="A819" s="9" t="s">
        <v>347</v>
      </c>
      <c r="B819" s="25">
        <v>46313.40347222222</v>
      </c>
      <c r="C819" s="9">
        <v>2036</v>
      </c>
      <c r="D819" s="9" t="s">
        <v>41</v>
      </c>
      <c r="E819" s="9">
        <v>6</v>
      </c>
      <c r="F819" s="9" t="s">
        <v>41</v>
      </c>
      <c r="G819" s="9" t="s">
        <v>41</v>
      </c>
      <c r="H819" s="9" t="s">
        <v>2564</v>
      </c>
      <c r="I819" s="25">
        <v>46313.40347222222</v>
      </c>
      <c r="J819" s="9" t="s">
        <v>41</v>
      </c>
      <c r="K819" s="25">
        <v>46313.40347222222</v>
      </c>
      <c r="L819" s="9">
        <v>13</v>
      </c>
      <c r="O819" s="25">
        <v>46313.402777777781</v>
      </c>
      <c r="P819" s="9" t="s">
        <v>43</v>
      </c>
      <c r="Q819" s="9" t="s">
        <v>349</v>
      </c>
      <c r="R819" s="9" t="s">
        <v>2565</v>
      </c>
      <c r="S819" s="9">
        <v>4247</v>
      </c>
      <c r="T819" s="9" t="s">
        <v>41</v>
      </c>
      <c r="U819" s="25">
        <v>46313.40902777778</v>
      </c>
      <c r="V819" s="25">
        <v>46313.407638888886</v>
      </c>
      <c r="W819" s="26" t="s">
        <v>2566</v>
      </c>
      <c r="X819" s="9">
        <v>22411</v>
      </c>
      <c r="Z819" s="9">
        <v>0</v>
      </c>
      <c r="AA819" s="27">
        <v>0.40347222222222223</v>
      </c>
      <c r="AB819" s="9">
        <v>6</v>
      </c>
      <c r="AC819" s="9" t="s">
        <v>41</v>
      </c>
      <c r="AD819" s="9" t="str">
        <f t="shared" si="15"/>
        <v>Actual</v>
      </c>
      <c r="AE819" s="9" t="str">
        <f t="shared" si="16"/>
        <v>TMK7</v>
      </c>
      <c r="AF819" s="9">
        <f>HOUR(O819)</f>
        <v>9</v>
      </c>
      <c r="AG819" s="9">
        <f>DAY(O819)</f>
        <v>18</v>
      </c>
      <c r="AH819" s="9">
        <f>IFERROR((I819-K819)*24*60,0)</f>
        <v>0</v>
      </c>
      <c r="AI819" s="9">
        <f t="shared" si="17"/>
        <v>0</v>
      </c>
      <c r="AJ819" s="9">
        <f>C819</f>
        <v>2036</v>
      </c>
      <c r="AK819" s="9">
        <f>IF(P819="completed",((V819-K819)*24*60),0)</f>
        <v>5.9999999986030161</v>
      </c>
      <c r="AL819" s="9">
        <f>IF(P819="completed",((U819-K819)*24*60),0)</f>
        <v>8.0000000051222742</v>
      </c>
      <c r="AM819" s="9" t="str">
        <f t="shared" si="18"/>
        <v>OTP Achieved</v>
      </c>
      <c r="AN819" s="9" t="str">
        <f t="shared" si="19"/>
        <v>OTP Achieved</v>
      </c>
    </row>
    <row r="820" spans="1:40" ht="15.75" customHeight="1">
      <c r="A820" s="9" t="s">
        <v>2247</v>
      </c>
      <c r="B820" s="25">
        <v>46313.40347222222</v>
      </c>
      <c r="C820" s="9">
        <v>1658</v>
      </c>
      <c r="D820" s="9" t="s">
        <v>41</v>
      </c>
      <c r="E820" s="9">
        <v>7</v>
      </c>
      <c r="F820" s="9" t="s">
        <v>41</v>
      </c>
      <c r="G820" s="9" t="s">
        <v>41</v>
      </c>
      <c r="H820" s="9" t="s">
        <v>2567</v>
      </c>
      <c r="I820" s="25">
        <v>46313.404166666667</v>
      </c>
      <c r="J820" s="9" t="s">
        <v>41</v>
      </c>
      <c r="K820" s="25">
        <v>46313.404166666667</v>
      </c>
      <c r="L820" s="9">
        <v>34</v>
      </c>
      <c r="O820" s="25">
        <v>46313.402777777781</v>
      </c>
      <c r="P820" s="9" t="s">
        <v>43</v>
      </c>
      <c r="Q820" s="9" t="s">
        <v>2249</v>
      </c>
      <c r="R820" s="9" t="s">
        <v>2568</v>
      </c>
      <c r="S820" s="9">
        <v>4247</v>
      </c>
      <c r="T820" s="9" t="s">
        <v>41</v>
      </c>
      <c r="U820" s="25">
        <v>46313.408333333333</v>
      </c>
      <c r="V820" s="25">
        <v>46313.408333333333</v>
      </c>
      <c r="W820" s="26" t="s">
        <v>2569</v>
      </c>
      <c r="X820" s="9">
        <v>22411</v>
      </c>
      <c r="Y820" s="25"/>
      <c r="Z820" s="9">
        <v>0</v>
      </c>
      <c r="AA820" s="27">
        <v>0.40277777777777779</v>
      </c>
      <c r="AB820" s="9">
        <v>6</v>
      </c>
      <c r="AC820" s="9" t="s">
        <v>41</v>
      </c>
      <c r="AD820" s="9" t="str">
        <f t="shared" si="15"/>
        <v>Actual</v>
      </c>
      <c r="AE820" s="9" t="str">
        <f t="shared" si="16"/>
        <v>TMK7</v>
      </c>
      <c r="AF820" s="9">
        <f>HOUR(O820)</f>
        <v>9</v>
      </c>
      <c r="AG820" s="9">
        <f>DAY(O820)</f>
        <v>18</v>
      </c>
      <c r="AH820" s="9">
        <f>IFERROR((I820-K820)*24*60,0)</f>
        <v>0</v>
      </c>
      <c r="AI820" s="9">
        <f t="shared" si="17"/>
        <v>0</v>
      </c>
      <c r="AJ820" s="9">
        <f>C820</f>
        <v>1658</v>
      </c>
      <c r="AK820" s="9">
        <f>IF(P820="completed",((V820-K820)*24*60),0)</f>
        <v>5.9999999986030161</v>
      </c>
      <c r="AL820" s="9">
        <f>IF(P820="completed",((U820-K820)*24*60),0)</f>
        <v>5.9999999986030161</v>
      </c>
      <c r="AM820" s="9" t="str">
        <f t="shared" si="18"/>
        <v>OTP Breached</v>
      </c>
      <c r="AN820" s="9" t="str">
        <f t="shared" si="19"/>
        <v>OTP Achieved</v>
      </c>
    </row>
    <row r="821" spans="1:40" ht="15.75" customHeight="1">
      <c r="A821" s="9" t="s">
        <v>1624</v>
      </c>
      <c r="B821" s="25">
        <v>46313.402777777781</v>
      </c>
      <c r="C821" s="9">
        <v>2382</v>
      </c>
      <c r="D821" s="9" t="s">
        <v>41</v>
      </c>
      <c r="E821" s="9">
        <v>8</v>
      </c>
      <c r="F821" s="9" t="s">
        <v>41</v>
      </c>
      <c r="G821" s="9" t="s">
        <v>41</v>
      </c>
      <c r="H821" s="9" t="s">
        <v>2570</v>
      </c>
      <c r="I821" s="25">
        <v>46313.404861111114</v>
      </c>
      <c r="J821" s="9" t="s">
        <v>41</v>
      </c>
      <c r="K821" s="25">
        <v>46313.404861111114</v>
      </c>
      <c r="L821" s="9">
        <v>37</v>
      </c>
      <c r="O821" s="25">
        <v>46313.402777777781</v>
      </c>
      <c r="P821" s="9" t="s">
        <v>43</v>
      </c>
      <c r="Q821" s="9" t="s">
        <v>1626</v>
      </c>
      <c r="R821" s="9" t="s">
        <v>2571</v>
      </c>
      <c r="S821" s="9">
        <v>4247</v>
      </c>
      <c r="T821" s="9" t="s">
        <v>41</v>
      </c>
      <c r="U821" s="25">
        <v>46313.410416666666</v>
      </c>
      <c r="V821" s="25">
        <v>46313.409722222219</v>
      </c>
      <c r="W821" s="26" t="s">
        <v>2572</v>
      </c>
      <c r="X821" s="9">
        <v>22411</v>
      </c>
      <c r="Y821" s="25"/>
      <c r="Z821" s="9">
        <v>0</v>
      </c>
      <c r="AA821" s="27">
        <v>0.40277777777777779</v>
      </c>
      <c r="AB821" s="9">
        <v>7</v>
      </c>
      <c r="AC821" s="9" t="s">
        <v>41</v>
      </c>
      <c r="AD821" s="9" t="str">
        <f t="shared" si="15"/>
        <v>Actual</v>
      </c>
      <c r="AE821" s="9" t="str">
        <f t="shared" si="16"/>
        <v>TMK7</v>
      </c>
      <c r="AF821" s="9">
        <f>HOUR(O821)</f>
        <v>9</v>
      </c>
      <c r="AG821" s="9">
        <f>DAY(O821)</f>
        <v>18</v>
      </c>
      <c r="AH821" s="9">
        <f>IFERROR((I821-K821)*24*60,0)</f>
        <v>0</v>
      </c>
      <c r="AI821" s="9">
        <f t="shared" si="17"/>
        <v>0</v>
      </c>
      <c r="AJ821" s="9">
        <f>C821</f>
        <v>2382</v>
      </c>
      <c r="AK821" s="9">
        <f>IF(P821="completed",((V821-K821)*24*60),0)</f>
        <v>6.9999999913852662</v>
      </c>
      <c r="AL821" s="9">
        <f>IF(P821="completed",((U821-K821)*24*60),0)</f>
        <v>7.9999999946448952</v>
      </c>
      <c r="AM821" s="9" t="str">
        <f t="shared" si="18"/>
        <v>OTP Achieved</v>
      </c>
      <c r="AN821" s="9" t="str">
        <f t="shared" si="19"/>
        <v>OTP Achieved</v>
      </c>
    </row>
    <row r="822" spans="1:40" ht="15.75" customHeight="1">
      <c r="A822" s="9" t="s">
        <v>1310</v>
      </c>
      <c r="B822" s="25">
        <v>46313.401388888888</v>
      </c>
      <c r="C822" s="9">
        <v>1496</v>
      </c>
      <c r="D822" s="9" t="s">
        <v>41</v>
      </c>
      <c r="E822" s="9">
        <v>5</v>
      </c>
      <c r="F822" s="9" t="s">
        <v>41</v>
      </c>
      <c r="G822" s="9" t="s">
        <v>41</v>
      </c>
      <c r="H822" s="9" t="s">
        <v>2573</v>
      </c>
      <c r="I822" s="25">
        <v>46313.402777777781</v>
      </c>
      <c r="J822" s="9" t="s">
        <v>41</v>
      </c>
      <c r="K822" s="25">
        <v>46313.402083333334</v>
      </c>
      <c r="L822" s="9">
        <v>21</v>
      </c>
      <c r="O822" s="25">
        <v>46313.401388888888</v>
      </c>
      <c r="P822" s="9" t="s">
        <v>43</v>
      </c>
      <c r="Q822" s="9" t="s">
        <v>1312</v>
      </c>
      <c r="R822" s="9" t="s">
        <v>2574</v>
      </c>
      <c r="S822" s="9">
        <v>4247</v>
      </c>
      <c r="T822" s="9" t="s">
        <v>41</v>
      </c>
      <c r="U822" s="25">
        <v>46313.406944444447</v>
      </c>
      <c r="V822" s="25">
        <v>46313.405555555553</v>
      </c>
      <c r="W822" s="26" t="s">
        <v>2575</v>
      </c>
      <c r="X822" s="9">
        <v>22411</v>
      </c>
      <c r="Z822" s="9">
        <v>0</v>
      </c>
      <c r="AA822" s="27">
        <v>0.40138888888888891</v>
      </c>
      <c r="AB822" s="9">
        <v>5</v>
      </c>
      <c r="AC822" s="9" t="s">
        <v>41</v>
      </c>
      <c r="AD822" s="9" t="str">
        <f t="shared" si="15"/>
        <v>Actual</v>
      </c>
      <c r="AE822" s="9" t="str">
        <f t="shared" si="16"/>
        <v>TMK7</v>
      </c>
      <c r="AF822" s="9">
        <f>HOUR(O822)</f>
        <v>9</v>
      </c>
      <c r="AG822" s="9">
        <f>DAY(O822)</f>
        <v>18</v>
      </c>
      <c r="AH822" s="9">
        <f>IFERROR((I822-K822)*24*60,0)</f>
        <v>1.000000003259629</v>
      </c>
      <c r="AI822" s="9">
        <f t="shared" si="17"/>
        <v>1.000000003259629</v>
      </c>
      <c r="AJ822" s="9">
        <f>C822</f>
        <v>1496</v>
      </c>
      <c r="AK822" s="9">
        <f>IF(P822="completed",((V822-K822)*24*60),0)</f>
        <v>4.9999999953433871</v>
      </c>
      <c r="AL822" s="9">
        <f>IF(P822="completed",((U822-K822)*24*60),0)</f>
        <v>7.0000000018626451</v>
      </c>
      <c r="AM822" s="9" t="str">
        <f t="shared" si="18"/>
        <v>OTP Achieved</v>
      </c>
      <c r="AN822" s="9" t="str">
        <f t="shared" si="19"/>
        <v>OTP Achieved</v>
      </c>
    </row>
    <row r="823" spans="1:40" ht="15.75" customHeight="1">
      <c r="A823" s="9" t="s">
        <v>177</v>
      </c>
      <c r="B823" s="25">
        <v>46313.400694444441</v>
      </c>
      <c r="C823" s="9">
        <v>1756</v>
      </c>
      <c r="D823" s="9" t="s">
        <v>41</v>
      </c>
      <c r="E823" s="9">
        <v>5</v>
      </c>
      <c r="F823" s="9" t="s">
        <v>41</v>
      </c>
      <c r="G823" s="9" t="s">
        <v>41</v>
      </c>
      <c r="H823" s="9" t="s">
        <v>2576</v>
      </c>
      <c r="I823" s="25">
        <v>46313.402083333334</v>
      </c>
      <c r="J823" s="9" t="s">
        <v>41</v>
      </c>
      <c r="K823" s="25">
        <v>46313.401388888888</v>
      </c>
      <c r="L823" s="9">
        <v>17</v>
      </c>
      <c r="O823" s="25">
        <v>46313.400694444441</v>
      </c>
      <c r="P823" s="9" t="s">
        <v>43</v>
      </c>
      <c r="Q823" s="9" t="s">
        <v>179</v>
      </c>
      <c r="R823" s="9" t="s">
        <v>2577</v>
      </c>
      <c r="S823" s="9">
        <v>4247</v>
      </c>
      <c r="T823" s="9" t="s">
        <v>41</v>
      </c>
      <c r="U823" s="25">
        <v>46313.405555555553</v>
      </c>
      <c r="V823" s="25">
        <v>46313.404861111114</v>
      </c>
      <c r="W823" s="26" t="s">
        <v>2578</v>
      </c>
      <c r="X823" s="9">
        <v>22411</v>
      </c>
      <c r="Z823" s="9">
        <v>0</v>
      </c>
      <c r="AA823" s="27">
        <v>0.40069444444444446</v>
      </c>
      <c r="AB823" s="9">
        <v>5</v>
      </c>
      <c r="AC823" s="9" t="s">
        <v>41</v>
      </c>
      <c r="AD823" s="9" t="str">
        <f t="shared" si="15"/>
        <v>Actual</v>
      </c>
      <c r="AE823" s="9" t="str">
        <f t="shared" si="16"/>
        <v>TMK7</v>
      </c>
      <c r="AF823" s="9">
        <f>HOUR(O823)</f>
        <v>9</v>
      </c>
      <c r="AG823" s="9">
        <f>DAY(O823)</f>
        <v>18</v>
      </c>
      <c r="AH823" s="9">
        <f>IFERROR((I823-K823)*24*60,0)</f>
        <v>1.000000003259629</v>
      </c>
      <c r="AI823" s="9">
        <f t="shared" si="17"/>
        <v>1.000000003259629</v>
      </c>
      <c r="AJ823" s="9">
        <f>C823</f>
        <v>1756</v>
      </c>
      <c r="AK823" s="9">
        <f>IF(P823="completed",((V823-K823)*24*60),0)</f>
        <v>5.0000000058207661</v>
      </c>
      <c r="AL823" s="9">
        <f>IF(P823="completed",((U823-K823)*24*60),0)</f>
        <v>5.9999999986030161</v>
      </c>
      <c r="AM823" s="9" t="str">
        <f t="shared" si="18"/>
        <v>OTP Achieved</v>
      </c>
      <c r="AN823" s="9" t="str">
        <f t="shared" si="19"/>
        <v>OTP Achieved</v>
      </c>
    </row>
    <row r="824" spans="1:40" ht="15.75" customHeight="1">
      <c r="A824" s="9" t="s">
        <v>1239</v>
      </c>
      <c r="B824" s="25">
        <v>46313.4</v>
      </c>
      <c r="C824" s="9">
        <v>2817</v>
      </c>
      <c r="D824" s="9" t="s">
        <v>41</v>
      </c>
      <c r="E824" s="9">
        <v>8</v>
      </c>
      <c r="F824" s="9" t="s">
        <v>41</v>
      </c>
      <c r="G824" s="9" t="s">
        <v>41</v>
      </c>
      <c r="H824" s="9" t="s">
        <v>2579</v>
      </c>
      <c r="I824" s="25">
        <v>46313.400694444441</v>
      </c>
      <c r="J824" s="9" t="s">
        <v>41</v>
      </c>
      <c r="K824" s="25">
        <v>46313.400694444441</v>
      </c>
      <c r="L824" s="9">
        <v>19</v>
      </c>
      <c r="O824" s="25">
        <v>46313.4</v>
      </c>
      <c r="P824" s="9" t="s">
        <v>43</v>
      </c>
      <c r="Q824" s="9" t="s">
        <v>1241</v>
      </c>
      <c r="R824" s="9" t="s">
        <v>2580</v>
      </c>
      <c r="S824" s="9">
        <v>4247</v>
      </c>
      <c r="T824" s="9" t="s">
        <v>41</v>
      </c>
      <c r="U824" s="25">
        <v>46313.408333333333</v>
      </c>
      <c r="V824" s="25">
        <v>46313.40625</v>
      </c>
      <c r="W824" s="26" t="s">
        <v>2581</v>
      </c>
      <c r="X824" s="9">
        <v>22411</v>
      </c>
      <c r="Y824" s="25"/>
      <c r="Z824" s="9">
        <v>0</v>
      </c>
      <c r="AA824" s="27">
        <v>0.4</v>
      </c>
      <c r="AB824" s="9">
        <v>8</v>
      </c>
      <c r="AC824" s="9" t="s">
        <v>41</v>
      </c>
      <c r="AD824" s="9" t="str">
        <f t="shared" si="15"/>
        <v>Actual</v>
      </c>
      <c r="AE824" s="9" t="str">
        <f t="shared" si="16"/>
        <v>TMK7</v>
      </c>
      <c r="AF824" s="9">
        <f>HOUR(O824)</f>
        <v>9</v>
      </c>
      <c r="AG824" s="9">
        <f>DAY(O824)</f>
        <v>18</v>
      </c>
      <c r="AH824" s="9">
        <f>IFERROR((I824-K824)*24*60,0)</f>
        <v>0</v>
      </c>
      <c r="AI824" s="9">
        <f t="shared" si="17"/>
        <v>0</v>
      </c>
      <c r="AJ824" s="9">
        <f>C824</f>
        <v>2817</v>
      </c>
      <c r="AK824" s="9">
        <f>IF(P824="completed",((V824-K824)*24*60),0)</f>
        <v>8.0000000051222742</v>
      </c>
      <c r="AL824" s="9">
        <f>IF(P824="completed",((U824-K824)*24*60),0)</f>
        <v>11.000000004423782</v>
      </c>
      <c r="AM824" s="9" t="str">
        <f t="shared" si="18"/>
        <v>OTP Achieved</v>
      </c>
      <c r="AN824" s="9" t="str">
        <f t="shared" si="19"/>
        <v>OTP Achieved</v>
      </c>
    </row>
    <row r="825" spans="1:40" ht="15.75" customHeight="1">
      <c r="A825" s="9" t="s">
        <v>379</v>
      </c>
      <c r="B825" s="25">
        <v>46313.398611111108</v>
      </c>
      <c r="C825" s="9">
        <v>2317</v>
      </c>
      <c r="D825" s="9" t="s">
        <v>41</v>
      </c>
      <c r="E825" s="9">
        <v>7</v>
      </c>
      <c r="F825" s="9" t="s">
        <v>41</v>
      </c>
      <c r="G825" s="9" t="s">
        <v>41</v>
      </c>
      <c r="H825" s="9" t="s">
        <v>2582</v>
      </c>
      <c r="I825" s="25">
        <v>46313.399305555555</v>
      </c>
      <c r="J825" s="9" t="s">
        <v>41</v>
      </c>
      <c r="K825" s="25">
        <v>46313.399305555555</v>
      </c>
      <c r="L825" s="9">
        <v>19</v>
      </c>
      <c r="O825" s="25">
        <v>46313.398611111108</v>
      </c>
      <c r="P825" s="9" t="s">
        <v>43</v>
      </c>
      <c r="Q825" s="9" t="s">
        <v>381</v>
      </c>
      <c r="R825" s="9" t="s">
        <v>2583</v>
      </c>
      <c r="S825" s="9">
        <v>4247</v>
      </c>
      <c r="T825" s="9" t="s">
        <v>41</v>
      </c>
      <c r="U825" s="25">
        <v>46313.404861111114</v>
      </c>
      <c r="V825" s="25">
        <v>46313.40347222222</v>
      </c>
      <c r="W825" s="26" t="s">
        <v>2584</v>
      </c>
      <c r="X825" s="9">
        <v>22411</v>
      </c>
      <c r="Z825" s="9">
        <v>0</v>
      </c>
      <c r="AA825" s="27">
        <v>0.39861111111111114</v>
      </c>
      <c r="AB825" s="9">
        <v>7</v>
      </c>
      <c r="AC825" s="9" t="s">
        <v>41</v>
      </c>
      <c r="AD825" s="9" t="str">
        <f t="shared" si="15"/>
        <v>Actual</v>
      </c>
      <c r="AE825" s="9" t="str">
        <f t="shared" si="16"/>
        <v>TMK7</v>
      </c>
      <c r="AF825" s="9">
        <f>HOUR(O825)</f>
        <v>9</v>
      </c>
      <c r="AG825" s="9">
        <f>DAY(O825)</f>
        <v>18</v>
      </c>
      <c r="AH825" s="9">
        <f>IFERROR((I825-K825)*24*60,0)</f>
        <v>0</v>
      </c>
      <c r="AI825" s="9">
        <f t="shared" si="17"/>
        <v>0</v>
      </c>
      <c r="AJ825" s="9">
        <f>C825</f>
        <v>2317</v>
      </c>
      <c r="AK825" s="9">
        <f>IF(P825="completed",((V825-K825)*24*60),0)</f>
        <v>5.9999999986030161</v>
      </c>
      <c r="AL825" s="9">
        <f>IF(P825="completed",((U825-K825)*24*60),0)</f>
        <v>8.0000000051222742</v>
      </c>
      <c r="AM825" s="9" t="str">
        <f t="shared" si="18"/>
        <v>OTP Achieved</v>
      </c>
      <c r="AN825" s="9" t="str">
        <f t="shared" si="19"/>
        <v>OTP Achieved</v>
      </c>
    </row>
    <row r="826" spans="1:40" ht="15.75" customHeight="1">
      <c r="A826" s="9" t="s">
        <v>190</v>
      </c>
      <c r="B826" s="25">
        <v>46313.398611111108</v>
      </c>
      <c r="C826" s="9">
        <v>1435</v>
      </c>
      <c r="D826" s="9" t="s">
        <v>41</v>
      </c>
      <c r="E826" s="9">
        <v>5</v>
      </c>
      <c r="F826" s="9" t="s">
        <v>41</v>
      </c>
      <c r="G826" s="9" t="s">
        <v>41</v>
      </c>
      <c r="H826" s="9" t="s">
        <v>2585</v>
      </c>
      <c r="I826" s="25">
        <v>46313.399305555555</v>
      </c>
      <c r="J826" s="9" t="s">
        <v>41</v>
      </c>
      <c r="K826" s="25">
        <v>46313.398611111108</v>
      </c>
      <c r="L826" s="9">
        <v>21</v>
      </c>
      <c r="O826" s="25">
        <v>46313.398611111108</v>
      </c>
      <c r="P826" s="9" t="s">
        <v>43</v>
      </c>
      <c r="Q826" s="9" t="s">
        <v>192</v>
      </c>
      <c r="R826" s="9" t="s">
        <v>2586</v>
      </c>
      <c r="S826" s="9">
        <v>4247</v>
      </c>
      <c r="T826" s="9" t="s">
        <v>41</v>
      </c>
      <c r="U826" s="25">
        <v>46313.404166666667</v>
      </c>
      <c r="V826" s="25">
        <v>46313.402083333334</v>
      </c>
      <c r="W826" s="26" t="s">
        <v>2587</v>
      </c>
      <c r="X826" s="9">
        <v>22411</v>
      </c>
      <c r="Y826" s="25"/>
      <c r="Z826" s="9">
        <v>0</v>
      </c>
      <c r="AA826" s="27">
        <v>0.39861111111111114</v>
      </c>
      <c r="AB826" s="9">
        <v>4</v>
      </c>
      <c r="AC826" s="9" t="s">
        <v>41</v>
      </c>
      <c r="AD826" s="9" t="str">
        <f t="shared" si="15"/>
        <v>Actual</v>
      </c>
      <c r="AE826" s="9" t="str">
        <f t="shared" si="16"/>
        <v>TMK7</v>
      </c>
      <c r="AF826" s="9">
        <f>HOUR(O826)</f>
        <v>9</v>
      </c>
      <c r="AG826" s="9">
        <f>DAY(O826)</f>
        <v>18</v>
      </c>
      <c r="AH826" s="9">
        <f>IFERROR((I826-K826)*24*60,0)</f>
        <v>1.000000003259629</v>
      </c>
      <c r="AI826" s="9">
        <f t="shared" si="17"/>
        <v>1.000000003259629</v>
      </c>
      <c r="AJ826" s="9">
        <f>C826</f>
        <v>1435</v>
      </c>
      <c r="AK826" s="9">
        <f>IF(P826="completed",((V826-K826)*24*60),0)</f>
        <v>5.0000000058207661</v>
      </c>
      <c r="AL826" s="9">
        <f>IF(P826="completed",((U826-K826)*24*60),0)</f>
        <v>8.0000000051222742</v>
      </c>
      <c r="AM826" s="9" t="str">
        <f t="shared" si="18"/>
        <v>OTP Achieved</v>
      </c>
      <c r="AN826" s="9" t="str">
        <f t="shared" si="19"/>
        <v>OTP Achieved</v>
      </c>
    </row>
    <row r="827" spans="1:40" ht="15.75" customHeight="1">
      <c r="A827" s="9" t="s">
        <v>52</v>
      </c>
      <c r="B827" s="25">
        <v>46313.398611111108</v>
      </c>
      <c r="C827" s="9">
        <v>395</v>
      </c>
      <c r="D827" s="9" t="s">
        <v>41</v>
      </c>
      <c r="E827" s="9">
        <v>1</v>
      </c>
      <c r="F827" s="9" t="s">
        <v>41</v>
      </c>
      <c r="G827" s="9" t="s">
        <v>41</v>
      </c>
      <c r="H827" s="9" t="s">
        <v>2588</v>
      </c>
      <c r="I827" s="25">
        <v>46313.399305555555</v>
      </c>
      <c r="J827" s="9" t="s">
        <v>41</v>
      </c>
      <c r="K827" s="25">
        <v>46313.399305555555</v>
      </c>
      <c r="L827" s="9">
        <v>29</v>
      </c>
      <c r="O827" s="25">
        <v>46313.398611111108</v>
      </c>
      <c r="P827" s="9" t="s">
        <v>43</v>
      </c>
      <c r="Q827" s="9" t="s">
        <v>54</v>
      </c>
      <c r="R827" s="9" t="s">
        <v>2589</v>
      </c>
      <c r="S827" s="9">
        <v>4247</v>
      </c>
      <c r="T827" s="9" t="s">
        <v>41</v>
      </c>
      <c r="U827" s="25">
        <v>46313.401388888888</v>
      </c>
      <c r="V827" s="25">
        <v>46313.4</v>
      </c>
      <c r="W827" s="26" t="s">
        <v>2590</v>
      </c>
      <c r="X827" s="9">
        <v>22411</v>
      </c>
      <c r="Z827" s="9">
        <v>0</v>
      </c>
      <c r="AA827" s="27">
        <v>0.39861111111111114</v>
      </c>
      <c r="AB827" s="9">
        <v>1</v>
      </c>
      <c r="AC827" s="9" t="s">
        <v>41</v>
      </c>
      <c r="AD827" s="9" t="str">
        <f t="shared" si="15"/>
        <v>Actual</v>
      </c>
      <c r="AE827" s="9" t="str">
        <f t="shared" si="16"/>
        <v>TMK7</v>
      </c>
      <c r="AF827" s="9">
        <f>HOUR(O827)</f>
        <v>9</v>
      </c>
      <c r="AG827" s="9">
        <f>DAY(O827)</f>
        <v>18</v>
      </c>
      <c r="AH827" s="9">
        <f>IFERROR((I827-K827)*24*60,0)</f>
        <v>0</v>
      </c>
      <c r="AI827" s="9">
        <f t="shared" si="17"/>
        <v>0</v>
      </c>
      <c r="AJ827" s="9">
        <f>C827</f>
        <v>395</v>
      </c>
      <c r="AK827" s="9">
        <f>IF(P827="completed",((V827-K827)*24*60),0)</f>
        <v>1.000000003259629</v>
      </c>
      <c r="AL827" s="9">
        <f>IF(P827="completed",((U827-K827)*24*60),0)</f>
        <v>2.9999999993015081</v>
      </c>
      <c r="AM827" s="9" t="str">
        <f t="shared" si="18"/>
        <v>OTP Achieved</v>
      </c>
      <c r="AN827" s="9" t="str">
        <f t="shared" si="19"/>
        <v>OTP Achieved</v>
      </c>
    </row>
    <row r="828" spans="1:40" ht="15.75" customHeight="1">
      <c r="A828" s="9" t="s">
        <v>98</v>
      </c>
      <c r="B828" s="25">
        <v>46313.397916666669</v>
      </c>
      <c r="C828" s="9">
        <v>2667</v>
      </c>
      <c r="D828" s="9" t="s">
        <v>41</v>
      </c>
      <c r="E828" s="9">
        <v>6</v>
      </c>
      <c r="F828" s="9" t="s">
        <v>41</v>
      </c>
      <c r="G828" s="9" t="s">
        <v>41</v>
      </c>
      <c r="H828" s="9" t="s">
        <v>2591</v>
      </c>
      <c r="I828" s="25">
        <v>46313.398611111108</v>
      </c>
      <c r="J828" s="9" t="s">
        <v>41</v>
      </c>
      <c r="K828" s="25">
        <v>46313.398611111108</v>
      </c>
      <c r="L828" s="9">
        <v>14</v>
      </c>
      <c r="O828" s="25">
        <v>46313.397916666669</v>
      </c>
      <c r="P828" s="9" t="s">
        <v>43</v>
      </c>
      <c r="Q828" s="9" t="s">
        <v>100</v>
      </c>
      <c r="R828" s="9" t="s">
        <v>2592</v>
      </c>
      <c r="S828" s="9">
        <v>4247</v>
      </c>
      <c r="T828" s="9" t="s">
        <v>41</v>
      </c>
      <c r="U828" s="25">
        <v>46313.405555555553</v>
      </c>
      <c r="V828" s="25">
        <v>46313.402777777781</v>
      </c>
      <c r="W828" s="26" t="s">
        <v>2593</v>
      </c>
      <c r="X828" s="9">
        <v>22411</v>
      </c>
      <c r="Z828" s="9">
        <v>0</v>
      </c>
      <c r="AA828" s="27">
        <v>0.39791666666666664</v>
      </c>
      <c r="AB828" s="9">
        <v>6</v>
      </c>
      <c r="AC828" s="9" t="s">
        <v>41</v>
      </c>
      <c r="AD828" s="9" t="str">
        <f t="shared" si="15"/>
        <v>Actual</v>
      </c>
      <c r="AE828" s="9" t="str">
        <f t="shared" si="16"/>
        <v>TMK7</v>
      </c>
      <c r="AF828" s="9">
        <f>HOUR(O828)</f>
        <v>9</v>
      </c>
      <c r="AG828" s="9">
        <f>DAY(O828)</f>
        <v>18</v>
      </c>
      <c r="AH828" s="9">
        <f>IFERROR((I828-K828)*24*60,0)</f>
        <v>0</v>
      </c>
      <c r="AI828" s="9">
        <f t="shared" si="17"/>
        <v>0</v>
      </c>
      <c r="AJ828" s="9">
        <f>C828</f>
        <v>2667</v>
      </c>
      <c r="AK828" s="9">
        <f>IF(P828="completed",((V828-K828)*24*60),0)</f>
        <v>6.0000000090803951</v>
      </c>
      <c r="AL828" s="9">
        <f>IF(P828="completed",((U828-K828)*24*60),0)</f>
        <v>10.000000001164153</v>
      </c>
      <c r="AM828" s="9" t="str">
        <f t="shared" si="18"/>
        <v>OTP Achieved</v>
      </c>
      <c r="AN828" s="9" t="str">
        <f t="shared" si="19"/>
        <v>OTP Achieved</v>
      </c>
    </row>
    <row r="829" spans="1:40" ht="15.75" customHeight="1">
      <c r="A829" s="9" t="s">
        <v>2318</v>
      </c>
      <c r="B829" s="25">
        <v>46313.397222222222</v>
      </c>
      <c r="C829" s="9">
        <v>363</v>
      </c>
      <c r="D829" s="9" t="s">
        <v>41</v>
      </c>
      <c r="E829" s="9">
        <v>3</v>
      </c>
      <c r="F829" s="9" t="s">
        <v>41</v>
      </c>
      <c r="G829" s="9" t="s">
        <v>41</v>
      </c>
      <c r="H829" s="9" t="s">
        <v>2594</v>
      </c>
      <c r="I829" s="25">
        <v>46313.399305555555</v>
      </c>
      <c r="J829" s="9" t="s">
        <v>41</v>
      </c>
      <c r="K829" s="25">
        <v>46313.399305555555</v>
      </c>
      <c r="L829" s="9">
        <v>24</v>
      </c>
      <c r="O829" s="25">
        <v>46313.397222222222</v>
      </c>
      <c r="P829" s="9" t="s">
        <v>43</v>
      </c>
      <c r="Q829" s="9" t="s">
        <v>2320</v>
      </c>
      <c r="R829" s="9" t="s">
        <v>2595</v>
      </c>
      <c r="S829" s="9">
        <v>4247</v>
      </c>
      <c r="T829" s="9" t="s">
        <v>41</v>
      </c>
      <c r="U829" s="25">
        <v>46313.401388888888</v>
      </c>
      <c r="V829" s="25">
        <v>46313.400694444441</v>
      </c>
      <c r="W829" s="26" t="s">
        <v>2596</v>
      </c>
      <c r="X829" s="9">
        <v>22411</v>
      </c>
      <c r="Y829" s="25"/>
      <c r="Z829" s="9">
        <v>0</v>
      </c>
      <c r="AA829" s="27">
        <v>0.3972222222222222</v>
      </c>
      <c r="AB829" s="9">
        <v>2</v>
      </c>
      <c r="AC829" s="9" t="s">
        <v>41</v>
      </c>
      <c r="AD829" s="9" t="str">
        <f t="shared" si="15"/>
        <v>Actual</v>
      </c>
      <c r="AE829" s="9" t="str">
        <f t="shared" si="16"/>
        <v>TMK7</v>
      </c>
      <c r="AF829" s="9">
        <f>HOUR(O829)</f>
        <v>9</v>
      </c>
      <c r="AG829" s="9">
        <f>DAY(O829)</f>
        <v>18</v>
      </c>
      <c r="AH829" s="9">
        <f>IFERROR((I829-K829)*24*60,0)</f>
        <v>0</v>
      </c>
      <c r="AI829" s="9">
        <f t="shared" si="17"/>
        <v>0</v>
      </c>
      <c r="AJ829" s="9">
        <f>C829</f>
        <v>363</v>
      </c>
      <c r="AK829" s="9">
        <f>IF(P829="completed",((V829-K829)*24*60),0)</f>
        <v>1.9999999960418791</v>
      </c>
      <c r="AL829" s="9">
        <f>IF(P829="completed",((U829-K829)*24*60),0)</f>
        <v>2.9999999993015081</v>
      </c>
      <c r="AM829" s="9" t="str">
        <f t="shared" si="18"/>
        <v>OTP Achieved</v>
      </c>
      <c r="AN829" s="9" t="str">
        <f t="shared" si="19"/>
        <v>OTP Achieved</v>
      </c>
    </row>
    <row r="830" spans="1:40" ht="15.75" customHeight="1">
      <c r="A830" s="9" t="s">
        <v>1965</v>
      </c>
      <c r="B830" s="25">
        <v>46313.397222222222</v>
      </c>
      <c r="C830" s="9">
        <v>2034</v>
      </c>
      <c r="D830" s="9" t="s">
        <v>41</v>
      </c>
      <c r="E830" s="9">
        <v>7</v>
      </c>
      <c r="F830" s="9" t="s">
        <v>41</v>
      </c>
      <c r="G830" s="9" t="s">
        <v>41</v>
      </c>
      <c r="H830" s="9" t="s">
        <v>2597</v>
      </c>
      <c r="I830" s="25">
        <v>46313.397916666669</v>
      </c>
      <c r="J830" s="9" t="s">
        <v>41</v>
      </c>
      <c r="K830" s="25">
        <v>46313.397916666669</v>
      </c>
      <c r="L830" s="9">
        <v>13</v>
      </c>
      <c r="O830" s="25">
        <v>46313.397222222222</v>
      </c>
      <c r="P830" s="9" t="s">
        <v>43</v>
      </c>
      <c r="Q830" s="9" t="s">
        <v>1967</v>
      </c>
      <c r="R830" s="9" t="s">
        <v>2598</v>
      </c>
      <c r="S830" s="9">
        <v>4247</v>
      </c>
      <c r="T830" s="9" t="s">
        <v>41</v>
      </c>
      <c r="U830" s="25">
        <v>46313.404166666667</v>
      </c>
      <c r="V830" s="25">
        <v>46313.402777777781</v>
      </c>
      <c r="W830" s="26" t="s">
        <v>2599</v>
      </c>
      <c r="X830" s="9">
        <v>22411</v>
      </c>
      <c r="Z830" s="9">
        <v>0</v>
      </c>
      <c r="AA830" s="27">
        <v>0.3972222222222222</v>
      </c>
      <c r="AB830" s="9">
        <v>7</v>
      </c>
      <c r="AC830" s="9" t="s">
        <v>41</v>
      </c>
      <c r="AD830" s="9" t="str">
        <f t="shared" si="15"/>
        <v>Actual</v>
      </c>
      <c r="AE830" s="9" t="str">
        <f t="shared" si="16"/>
        <v>TMK7</v>
      </c>
      <c r="AF830" s="9">
        <f>HOUR(O830)</f>
        <v>9</v>
      </c>
      <c r="AG830" s="9">
        <f>DAY(O830)</f>
        <v>18</v>
      </c>
      <c r="AH830" s="9">
        <f>IFERROR((I830-K830)*24*60,0)</f>
        <v>0</v>
      </c>
      <c r="AI830" s="9">
        <f t="shared" si="17"/>
        <v>0</v>
      </c>
      <c r="AJ830" s="9">
        <f>C830</f>
        <v>2034</v>
      </c>
      <c r="AK830" s="9">
        <f>IF(P830="completed",((V830-K830)*24*60),0)</f>
        <v>7.0000000018626451</v>
      </c>
      <c r="AL830" s="9">
        <f>IF(P830="completed",((U830-K830)*24*60),0)</f>
        <v>8.9999999979045242</v>
      </c>
      <c r="AM830" s="9" t="str">
        <f t="shared" si="18"/>
        <v>OTP Achieved</v>
      </c>
      <c r="AN830" s="9" t="str">
        <f t="shared" si="19"/>
        <v>OTP Achieved</v>
      </c>
    </row>
    <row r="831" spans="1:40" ht="15.75" customHeight="1">
      <c r="A831" s="9" t="s">
        <v>106</v>
      </c>
      <c r="B831" s="25">
        <v>46313.396527777775</v>
      </c>
      <c r="C831" s="9">
        <v>1918</v>
      </c>
      <c r="D831" s="9" t="s">
        <v>41</v>
      </c>
      <c r="E831" s="9">
        <v>6</v>
      </c>
      <c r="F831" s="9" t="s">
        <v>41</v>
      </c>
      <c r="G831" s="9" t="s">
        <v>41</v>
      </c>
      <c r="H831" s="9" t="s">
        <v>2600</v>
      </c>
      <c r="I831" s="25">
        <v>46313.397916666669</v>
      </c>
      <c r="J831" s="9" t="s">
        <v>41</v>
      </c>
      <c r="K831" s="25">
        <v>46313.397222222222</v>
      </c>
      <c r="L831" s="9">
        <v>22</v>
      </c>
      <c r="O831" s="25">
        <v>46313.396527777775</v>
      </c>
      <c r="P831" s="9" t="s">
        <v>43</v>
      </c>
      <c r="Q831" s="9" t="s">
        <v>108</v>
      </c>
      <c r="R831" s="9" t="s">
        <v>2601</v>
      </c>
      <c r="S831" s="9">
        <v>4247</v>
      </c>
      <c r="T831" s="9" t="s">
        <v>41</v>
      </c>
      <c r="U831" s="25">
        <v>46313.402083333334</v>
      </c>
      <c r="V831" s="25">
        <v>46313.401388888888</v>
      </c>
      <c r="W831" s="26" t="s">
        <v>2602</v>
      </c>
      <c r="X831" s="9">
        <v>22411</v>
      </c>
      <c r="Z831" s="9">
        <v>0</v>
      </c>
      <c r="AA831" s="27">
        <v>0.39652777777777776</v>
      </c>
      <c r="AB831" s="9">
        <v>6</v>
      </c>
      <c r="AC831" s="9" t="s">
        <v>41</v>
      </c>
      <c r="AD831" s="9" t="str">
        <f t="shared" si="15"/>
        <v>Actual</v>
      </c>
      <c r="AE831" s="9" t="str">
        <f t="shared" si="16"/>
        <v>TMK7</v>
      </c>
      <c r="AF831" s="9">
        <f>HOUR(O831)</f>
        <v>9</v>
      </c>
      <c r="AG831" s="9">
        <f>DAY(O831)</f>
        <v>18</v>
      </c>
      <c r="AH831" s="9">
        <f>IFERROR((I831-K831)*24*60,0)</f>
        <v>1.000000003259629</v>
      </c>
      <c r="AI831" s="9">
        <f t="shared" si="17"/>
        <v>1.000000003259629</v>
      </c>
      <c r="AJ831" s="9">
        <f>C831</f>
        <v>1918</v>
      </c>
      <c r="AK831" s="9">
        <f>IF(P831="completed",((V831-K831)*24*60),0)</f>
        <v>5.9999999986030161</v>
      </c>
      <c r="AL831" s="9">
        <f>IF(P831="completed",((U831-K831)*24*60),0)</f>
        <v>7.0000000018626451</v>
      </c>
      <c r="AM831" s="9" t="str">
        <f t="shared" si="18"/>
        <v>OTP Achieved</v>
      </c>
      <c r="AN831" s="9" t="str">
        <f t="shared" si="19"/>
        <v>OTP Achieved</v>
      </c>
    </row>
    <row r="832" spans="1:40" ht="15.75" customHeight="1">
      <c r="A832" s="9" t="s">
        <v>2258</v>
      </c>
      <c r="B832" s="25">
        <v>46313.396527777775</v>
      </c>
      <c r="C832" s="9">
        <v>1044</v>
      </c>
      <c r="D832" s="9" t="s">
        <v>41</v>
      </c>
      <c r="E832" s="9">
        <v>4</v>
      </c>
      <c r="F832" s="9" t="s">
        <v>41</v>
      </c>
      <c r="G832" s="9" t="s">
        <v>41</v>
      </c>
      <c r="H832" s="9" t="s">
        <v>2603</v>
      </c>
      <c r="I832" s="25">
        <v>46313.397222222222</v>
      </c>
      <c r="J832" s="9" t="s">
        <v>41</v>
      </c>
      <c r="K832" s="25">
        <v>46313.397222222222</v>
      </c>
      <c r="L832" s="9">
        <v>19</v>
      </c>
      <c r="O832" s="25">
        <v>46313.396527777775</v>
      </c>
      <c r="P832" s="9" t="s">
        <v>43</v>
      </c>
      <c r="Q832" s="9" t="s">
        <v>2260</v>
      </c>
      <c r="R832" s="9" t="s">
        <v>2604</v>
      </c>
      <c r="S832" s="9">
        <v>4247</v>
      </c>
      <c r="T832" s="9" t="s">
        <v>41</v>
      </c>
      <c r="U832" s="25">
        <v>46313.400694444441</v>
      </c>
      <c r="V832" s="25">
        <v>46313.4</v>
      </c>
      <c r="W832" s="26" t="s">
        <v>2605</v>
      </c>
      <c r="X832" s="9">
        <v>22411</v>
      </c>
      <c r="Z832" s="9">
        <v>0</v>
      </c>
      <c r="AA832" s="27">
        <v>0.39652777777777776</v>
      </c>
      <c r="AB832" s="9">
        <v>3</v>
      </c>
      <c r="AC832" s="9" t="s">
        <v>41</v>
      </c>
      <c r="AD832" s="9" t="str">
        <f t="shared" si="15"/>
        <v>Actual</v>
      </c>
      <c r="AE832" s="9" t="str">
        <f t="shared" si="16"/>
        <v>TMK7</v>
      </c>
      <c r="AF832" s="9">
        <f>HOUR(O832)</f>
        <v>9</v>
      </c>
      <c r="AG832" s="9">
        <f>DAY(O832)</f>
        <v>18</v>
      </c>
      <c r="AH832" s="9">
        <f>IFERROR((I832-K832)*24*60,0)</f>
        <v>0</v>
      </c>
      <c r="AI832" s="9">
        <f t="shared" si="17"/>
        <v>0</v>
      </c>
      <c r="AJ832" s="9">
        <f>C832</f>
        <v>1044</v>
      </c>
      <c r="AK832" s="9">
        <f>IF(P832="completed",((V832-K832)*24*60),0)</f>
        <v>4.0000000025611371</v>
      </c>
      <c r="AL832" s="9">
        <f>IF(P832="completed",((U832-K832)*24*60),0)</f>
        <v>4.9999999953433871</v>
      </c>
      <c r="AM832" s="9" t="str">
        <f t="shared" si="18"/>
        <v>OTP Achieved</v>
      </c>
      <c r="AN832" s="9" t="str">
        <f t="shared" si="19"/>
        <v>OTP Achieved</v>
      </c>
    </row>
    <row r="833" spans="1:40" ht="15.75" customHeight="1">
      <c r="A833" s="9" t="s">
        <v>734</v>
      </c>
      <c r="B833" s="25">
        <v>46313.395833333336</v>
      </c>
      <c r="C833" s="9">
        <v>1450</v>
      </c>
      <c r="D833" s="9" t="s">
        <v>41</v>
      </c>
      <c r="E833" s="9">
        <v>5</v>
      </c>
      <c r="F833" s="9" t="s">
        <v>41</v>
      </c>
      <c r="G833" s="9" t="s">
        <v>41</v>
      </c>
      <c r="H833" s="9" t="s">
        <v>2606</v>
      </c>
      <c r="I833" s="25">
        <v>46313.396527777775</v>
      </c>
      <c r="J833" s="9" t="s">
        <v>41</v>
      </c>
      <c r="K833" s="25">
        <v>46313.396527777775</v>
      </c>
      <c r="L833" s="9">
        <v>27</v>
      </c>
      <c r="O833" s="25">
        <v>46313.395833333336</v>
      </c>
      <c r="P833" s="9" t="s">
        <v>43</v>
      </c>
      <c r="Q833" s="9" t="s">
        <v>736</v>
      </c>
      <c r="R833" s="9" t="s">
        <v>2607</v>
      </c>
      <c r="S833" s="9">
        <v>4247</v>
      </c>
      <c r="T833" s="9" t="s">
        <v>41</v>
      </c>
      <c r="U833" s="25">
        <v>46313.400694444441</v>
      </c>
      <c r="V833" s="25">
        <v>46313.4</v>
      </c>
      <c r="W833" s="26" t="s">
        <v>2608</v>
      </c>
      <c r="X833" s="9">
        <v>22411</v>
      </c>
      <c r="Y833" s="25"/>
      <c r="Z833" s="9">
        <v>0</v>
      </c>
      <c r="AA833" s="27">
        <v>0.39583333333333331</v>
      </c>
      <c r="AB833" s="9">
        <v>5</v>
      </c>
      <c r="AC833" s="9" t="s">
        <v>41</v>
      </c>
      <c r="AD833" s="9" t="str">
        <f t="shared" si="15"/>
        <v>Actual</v>
      </c>
      <c r="AE833" s="9" t="str">
        <f t="shared" si="16"/>
        <v>TMK7</v>
      </c>
      <c r="AF833" s="9">
        <f>HOUR(O833)</f>
        <v>9</v>
      </c>
      <c r="AG833" s="9">
        <f>DAY(O833)</f>
        <v>18</v>
      </c>
      <c r="AH833" s="9">
        <f>IFERROR((I833-K833)*24*60,0)</f>
        <v>0</v>
      </c>
      <c r="AI833" s="9">
        <f t="shared" si="17"/>
        <v>0</v>
      </c>
      <c r="AJ833" s="9">
        <f>C833</f>
        <v>1450</v>
      </c>
      <c r="AK833" s="9">
        <f>IF(P833="completed",((V833-K833)*24*60),0)</f>
        <v>5.0000000058207661</v>
      </c>
      <c r="AL833" s="9">
        <f>IF(P833="completed",((U833-K833)*24*60),0)</f>
        <v>5.9999999986030161</v>
      </c>
      <c r="AM833" s="9" t="str">
        <f t="shared" si="18"/>
        <v>OTP Achieved</v>
      </c>
      <c r="AN833" s="9" t="str">
        <f t="shared" si="19"/>
        <v>OTP Achieved</v>
      </c>
    </row>
    <row r="834" spans="1:40" ht="15.75" customHeight="1">
      <c r="A834" s="9" t="s">
        <v>93</v>
      </c>
      <c r="B834" s="25">
        <v>46313.395833333336</v>
      </c>
      <c r="C834" s="9">
        <v>3275</v>
      </c>
      <c r="D834" s="9" t="s">
        <v>41</v>
      </c>
      <c r="E834" s="9">
        <v>8</v>
      </c>
      <c r="F834" s="9" t="s">
        <v>41</v>
      </c>
      <c r="G834" s="9" t="s">
        <v>41</v>
      </c>
      <c r="H834" s="9" t="s">
        <v>2609</v>
      </c>
      <c r="I834" s="25">
        <v>46313.397222222222</v>
      </c>
      <c r="J834" s="9" t="s">
        <v>41</v>
      </c>
      <c r="K834" s="25">
        <v>46313.397222222222</v>
      </c>
      <c r="L834" s="9">
        <v>18</v>
      </c>
      <c r="O834" s="25">
        <v>46313.395833333336</v>
      </c>
      <c r="P834" s="9" t="s">
        <v>43</v>
      </c>
      <c r="Q834" s="9" t="s">
        <v>95</v>
      </c>
      <c r="R834" s="9" t="s">
        <v>2610</v>
      </c>
      <c r="S834" s="9">
        <v>4247</v>
      </c>
      <c r="T834" s="9" t="s">
        <v>41</v>
      </c>
      <c r="U834" s="25">
        <v>46313.404166666667</v>
      </c>
      <c r="V834" s="25">
        <v>46313.402777777781</v>
      </c>
      <c r="W834" s="26" t="s">
        <v>2611</v>
      </c>
      <c r="X834" s="9">
        <v>22411</v>
      </c>
      <c r="Y834" s="25"/>
      <c r="Z834" s="9">
        <v>0</v>
      </c>
      <c r="AA834" s="27">
        <v>0.39583333333333331</v>
      </c>
      <c r="AB834" s="9">
        <v>8</v>
      </c>
      <c r="AC834" s="9" t="s">
        <v>41</v>
      </c>
      <c r="AD834" s="9" t="str">
        <f t="shared" si="15"/>
        <v>Actual</v>
      </c>
      <c r="AE834" s="9" t="str">
        <f t="shared" si="16"/>
        <v>TMK7</v>
      </c>
      <c r="AF834" s="9">
        <f>HOUR(O834)</f>
        <v>9</v>
      </c>
      <c r="AG834" s="9">
        <f>DAY(O834)</f>
        <v>18</v>
      </c>
      <c r="AH834" s="9">
        <f>IFERROR((I834-K834)*24*60,0)</f>
        <v>0</v>
      </c>
      <c r="AI834" s="9">
        <f t="shared" si="17"/>
        <v>0</v>
      </c>
      <c r="AJ834" s="9">
        <f>C834</f>
        <v>3275</v>
      </c>
      <c r="AK834" s="9">
        <f>IF(P834="completed",((V834-K834)*24*60),0)</f>
        <v>8.0000000051222742</v>
      </c>
      <c r="AL834" s="9">
        <f>IF(P834="completed",((U834-K834)*24*60),0)</f>
        <v>10.000000001164153</v>
      </c>
      <c r="AM834" s="9" t="str">
        <f t="shared" si="18"/>
        <v>OTP Achieved</v>
      </c>
      <c r="AN834" s="9" t="str">
        <f t="shared" si="19"/>
        <v>OTP Achieved</v>
      </c>
    </row>
    <row r="835" spans="1:40" ht="15.75" customHeight="1">
      <c r="A835" s="9" t="s">
        <v>67</v>
      </c>
      <c r="B835" s="25">
        <v>46313.395138888889</v>
      </c>
      <c r="C835" s="9">
        <v>2753</v>
      </c>
      <c r="D835" s="9" t="s">
        <v>41</v>
      </c>
      <c r="E835" s="9">
        <v>8</v>
      </c>
      <c r="F835" s="9" t="s">
        <v>41</v>
      </c>
      <c r="G835" s="9" t="s">
        <v>41</v>
      </c>
      <c r="H835" s="9" t="s">
        <v>2612</v>
      </c>
      <c r="I835" s="25">
        <v>46313.395138888889</v>
      </c>
      <c r="J835" s="9" t="s">
        <v>41</v>
      </c>
      <c r="K835" s="25">
        <v>46313.395138888889</v>
      </c>
      <c r="L835" s="9">
        <v>31</v>
      </c>
      <c r="O835" s="25">
        <v>46313.394444444442</v>
      </c>
      <c r="P835" s="9" t="s">
        <v>43</v>
      </c>
      <c r="Q835" s="9" t="s">
        <v>69</v>
      </c>
      <c r="R835" s="9" t="s">
        <v>2613</v>
      </c>
      <c r="S835" s="9">
        <v>4247</v>
      </c>
      <c r="T835" s="9" t="s">
        <v>41</v>
      </c>
      <c r="U835" s="25">
        <v>46313.402777777781</v>
      </c>
      <c r="V835" s="25">
        <v>46313.400694444441</v>
      </c>
      <c r="W835" s="26" t="s">
        <v>2614</v>
      </c>
      <c r="X835" s="9">
        <v>22411</v>
      </c>
      <c r="Y835" s="25"/>
      <c r="Z835" s="9">
        <v>0</v>
      </c>
      <c r="AA835" s="27">
        <v>0.39513888888888887</v>
      </c>
      <c r="AB835" s="9">
        <v>7</v>
      </c>
      <c r="AC835" s="9" t="s">
        <v>41</v>
      </c>
      <c r="AD835" s="9" t="str">
        <f t="shared" si="15"/>
        <v>Actual</v>
      </c>
      <c r="AE835" s="9" t="str">
        <f t="shared" si="16"/>
        <v>TMK7</v>
      </c>
      <c r="AF835" s="9">
        <f>HOUR(O835)</f>
        <v>9</v>
      </c>
      <c r="AG835" s="9">
        <f>DAY(O835)</f>
        <v>18</v>
      </c>
      <c r="AH835" s="9">
        <f>IFERROR((I835-K835)*24*60,0)</f>
        <v>0</v>
      </c>
      <c r="AI835" s="9">
        <f t="shared" si="17"/>
        <v>0</v>
      </c>
      <c r="AJ835" s="9">
        <f>C835</f>
        <v>2753</v>
      </c>
      <c r="AK835" s="9">
        <f>IF(P835="completed",((V835-K835)*24*60),0)</f>
        <v>7.9999999946448952</v>
      </c>
      <c r="AL835" s="9">
        <f>IF(P835="completed",((U835-K835)*24*60),0)</f>
        <v>11.000000004423782</v>
      </c>
      <c r="AM835" s="9" t="str">
        <f t="shared" si="18"/>
        <v>OTP Achieved</v>
      </c>
      <c r="AN835" s="9" t="str">
        <f t="shared" si="19"/>
        <v>OTP Achieved</v>
      </c>
    </row>
    <row r="836" spans="1:40" ht="15.75" customHeight="1">
      <c r="A836" s="9" t="s">
        <v>1136</v>
      </c>
      <c r="B836" s="25">
        <v>46313.393750000003</v>
      </c>
      <c r="C836" s="9">
        <v>2142</v>
      </c>
      <c r="D836" s="9" t="s">
        <v>41</v>
      </c>
      <c r="E836" s="9">
        <v>5</v>
      </c>
      <c r="F836" s="9" t="s">
        <v>41</v>
      </c>
      <c r="G836" s="9" t="s">
        <v>41</v>
      </c>
      <c r="H836" s="9" t="s">
        <v>2615</v>
      </c>
      <c r="I836" s="25">
        <v>46313.395833333336</v>
      </c>
      <c r="J836" s="9" t="s">
        <v>41</v>
      </c>
      <c r="K836" s="25">
        <v>46313.395138888889</v>
      </c>
      <c r="L836" s="9">
        <v>31</v>
      </c>
      <c r="O836" s="25">
        <v>46313.393750000003</v>
      </c>
      <c r="P836" s="9" t="s">
        <v>43</v>
      </c>
      <c r="Q836" s="9" t="s">
        <v>1138</v>
      </c>
      <c r="R836" s="9" t="s">
        <v>2616</v>
      </c>
      <c r="S836" s="9">
        <v>4247</v>
      </c>
      <c r="T836" s="9" t="s">
        <v>41</v>
      </c>
      <c r="U836" s="25">
        <v>46313.402083333334</v>
      </c>
      <c r="V836" s="25">
        <v>46313.398611111108</v>
      </c>
      <c r="W836" s="26" t="s">
        <v>2617</v>
      </c>
      <c r="X836" s="9">
        <v>22411</v>
      </c>
      <c r="Z836" s="9">
        <v>0</v>
      </c>
      <c r="AA836" s="27">
        <v>0.39374999999999999</v>
      </c>
      <c r="AB836" s="9">
        <v>4</v>
      </c>
      <c r="AC836" s="9" t="s">
        <v>41</v>
      </c>
      <c r="AD836" s="9" t="str">
        <f t="shared" si="15"/>
        <v>Actual</v>
      </c>
      <c r="AE836" s="9" t="str">
        <f t="shared" si="16"/>
        <v>TMK7</v>
      </c>
      <c r="AF836" s="9">
        <f>HOUR(O836)</f>
        <v>9</v>
      </c>
      <c r="AG836" s="9">
        <f>DAY(O836)</f>
        <v>18</v>
      </c>
      <c r="AH836" s="9">
        <f>IFERROR((I836-K836)*24*60,0)</f>
        <v>1.000000003259629</v>
      </c>
      <c r="AI836" s="9">
        <f t="shared" si="17"/>
        <v>1.000000003259629</v>
      </c>
      <c r="AJ836" s="9">
        <f>C836</f>
        <v>2142</v>
      </c>
      <c r="AK836" s="9">
        <f>IF(P836="completed",((V836-K836)*24*60),0)</f>
        <v>4.9999999953433871</v>
      </c>
      <c r="AL836" s="9">
        <f>IF(P836="completed",((U836-K836)*24*60),0)</f>
        <v>10.000000001164153</v>
      </c>
      <c r="AM836" s="9" t="str">
        <f t="shared" si="18"/>
        <v>OTP Achieved</v>
      </c>
      <c r="AN836" s="9" t="str">
        <f t="shared" si="19"/>
        <v>OTP Achieved</v>
      </c>
    </row>
    <row r="837" spans="1:40" ht="15.75" customHeight="1">
      <c r="A837" s="9" t="s">
        <v>1336</v>
      </c>
      <c r="B837" s="25">
        <v>46313.393750000003</v>
      </c>
      <c r="C837" s="9">
        <v>1802</v>
      </c>
      <c r="D837" s="9" t="s">
        <v>41</v>
      </c>
      <c r="E837" s="9">
        <v>7</v>
      </c>
      <c r="F837" s="9" t="s">
        <v>41</v>
      </c>
      <c r="G837" s="9" t="s">
        <v>41</v>
      </c>
      <c r="H837" s="9" t="s">
        <v>2618</v>
      </c>
      <c r="I837" s="25">
        <v>46313.396527777775</v>
      </c>
      <c r="J837" s="9" t="s">
        <v>41</v>
      </c>
      <c r="K837" s="25">
        <v>46313.396527777775</v>
      </c>
      <c r="L837" s="9">
        <v>33</v>
      </c>
      <c r="O837" s="25">
        <v>46313.393750000003</v>
      </c>
      <c r="P837" s="9" t="s">
        <v>43</v>
      </c>
      <c r="Q837" s="9" t="s">
        <v>1338</v>
      </c>
      <c r="R837" s="9" t="s">
        <v>2619</v>
      </c>
      <c r="S837" s="9">
        <v>4247</v>
      </c>
      <c r="T837" s="9" t="s">
        <v>41</v>
      </c>
      <c r="U837" s="25">
        <v>46313.402083333334</v>
      </c>
      <c r="V837" s="25">
        <v>46313.400694444441</v>
      </c>
      <c r="W837" s="26" t="s">
        <v>2620</v>
      </c>
      <c r="X837" s="9">
        <v>22411</v>
      </c>
      <c r="Y837" s="25"/>
      <c r="Z837" s="9">
        <v>0</v>
      </c>
      <c r="AA837" s="27">
        <v>0.39374999999999999</v>
      </c>
      <c r="AB837" s="9">
        <v>6</v>
      </c>
      <c r="AC837" s="9" t="s">
        <v>41</v>
      </c>
      <c r="AD837" s="9" t="str">
        <f t="shared" si="15"/>
        <v>Actual</v>
      </c>
      <c r="AE837" s="9" t="str">
        <f t="shared" si="16"/>
        <v>TMK7</v>
      </c>
      <c r="AF837" s="9">
        <f>HOUR(O837)</f>
        <v>9</v>
      </c>
      <c r="AG837" s="9">
        <f>DAY(O837)</f>
        <v>18</v>
      </c>
      <c r="AH837" s="9">
        <f>IFERROR((I837-K837)*24*60,0)</f>
        <v>0</v>
      </c>
      <c r="AI837" s="9">
        <f t="shared" si="17"/>
        <v>0</v>
      </c>
      <c r="AJ837" s="9">
        <f>C837</f>
        <v>1802</v>
      </c>
      <c r="AK837" s="9">
        <f>IF(P837="completed",((V837-K837)*24*60),0)</f>
        <v>5.9999999986030161</v>
      </c>
      <c r="AL837" s="9">
        <f>IF(P837="completed",((U837-K837)*24*60),0)</f>
        <v>8.0000000051222742</v>
      </c>
      <c r="AM837" s="9" t="str">
        <f t="shared" si="18"/>
        <v>OTP Achieved</v>
      </c>
      <c r="AN837" s="9" t="str">
        <f t="shared" si="19"/>
        <v>OTP Achieved</v>
      </c>
    </row>
    <row r="838" spans="1:40" ht="15.75" customHeight="1">
      <c r="A838" s="9" t="s">
        <v>62</v>
      </c>
      <c r="B838" s="25">
        <v>46313.393055555556</v>
      </c>
      <c r="C838" s="9">
        <v>1043</v>
      </c>
      <c r="D838" s="9" t="s">
        <v>41</v>
      </c>
      <c r="E838" s="9">
        <v>5</v>
      </c>
      <c r="F838" s="9" t="s">
        <v>41</v>
      </c>
      <c r="G838" s="9" t="s">
        <v>41</v>
      </c>
      <c r="H838" s="9" t="s">
        <v>2621</v>
      </c>
      <c r="I838" s="25">
        <v>46313.394444444442</v>
      </c>
      <c r="J838" s="9" t="s">
        <v>41</v>
      </c>
      <c r="K838" s="25">
        <v>46313.393750000003</v>
      </c>
      <c r="L838" s="9">
        <v>37</v>
      </c>
      <c r="O838" s="25">
        <v>46313.393055555556</v>
      </c>
      <c r="P838" s="9" t="s">
        <v>43</v>
      </c>
      <c r="Q838" s="9" t="s">
        <v>64</v>
      </c>
      <c r="R838" s="9" t="s">
        <v>2622</v>
      </c>
      <c r="S838" s="9">
        <v>4247</v>
      </c>
      <c r="T838" s="9" t="s">
        <v>41</v>
      </c>
      <c r="U838" s="25">
        <v>46313.397916666669</v>
      </c>
      <c r="V838" s="25">
        <v>46313.397222222222</v>
      </c>
      <c r="W838" s="26" t="s">
        <v>2623</v>
      </c>
      <c r="X838" s="9">
        <v>22411</v>
      </c>
      <c r="Z838" s="9">
        <v>0</v>
      </c>
      <c r="AA838" s="27">
        <v>0.39305555555555555</v>
      </c>
      <c r="AB838" s="9">
        <v>4</v>
      </c>
      <c r="AC838" s="9" t="s">
        <v>41</v>
      </c>
      <c r="AD838" s="9" t="str">
        <f t="shared" si="15"/>
        <v>Actual</v>
      </c>
      <c r="AE838" s="9" t="str">
        <f t="shared" si="16"/>
        <v>TMK7</v>
      </c>
      <c r="AF838" s="9">
        <f>HOUR(O838)</f>
        <v>9</v>
      </c>
      <c r="AG838" s="9">
        <f>DAY(O838)</f>
        <v>18</v>
      </c>
      <c r="AH838" s="9">
        <f>IFERROR((I838-K838)*24*60,0)</f>
        <v>0.99999999278225005</v>
      </c>
      <c r="AI838" s="9">
        <f t="shared" si="17"/>
        <v>0.99999999278225005</v>
      </c>
      <c r="AJ838" s="9">
        <f>C838</f>
        <v>1043</v>
      </c>
      <c r="AK838" s="9">
        <f>IF(P838="completed",((V838-K838)*24*60),0)</f>
        <v>4.9999999953433871</v>
      </c>
      <c r="AL838" s="9">
        <f>IF(P838="completed",((U838-K838)*24*60),0)</f>
        <v>5.9999999986030161</v>
      </c>
      <c r="AM838" s="9" t="str">
        <f t="shared" si="18"/>
        <v>OTP Achieved</v>
      </c>
      <c r="AN838" s="9" t="str">
        <f t="shared" si="19"/>
        <v>OTP Achieved</v>
      </c>
    </row>
    <row r="839" spans="1:40" ht="15.75" customHeight="1">
      <c r="A839" s="9" t="s">
        <v>1171</v>
      </c>
      <c r="B839" s="25">
        <v>46313.393055555556</v>
      </c>
      <c r="C839" s="9">
        <v>2430</v>
      </c>
      <c r="D839" s="9" t="s">
        <v>41</v>
      </c>
      <c r="E839" s="9">
        <v>6</v>
      </c>
      <c r="F839" s="9" t="s">
        <v>41</v>
      </c>
      <c r="G839" s="9" t="s">
        <v>41</v>
      </c>
      <c r="H839" s="9" t="s">
        <v>2624</v>
      </c>
      <c r="I839" s="25">
        <v>46313.394444444442</v>
      </c>
      <c r="J839" s="9" t="s">
        <v>41</v>
      </c>
      <c r="K839" s="25">
        <v>46313.393750000003</v>
      </c>
      <c r="L839" s="9">
        <v>47</v>
      </c>
      <c r="O839" s="25">
        <v>46313.392361111109</v>
      </c>
      <c r="P839" s="9" t="s">
        <v>43</v>
      </c>
      <c r="Q839" s="9" t="s">
        <v>1173</v>
      </c>
      <c r="R839" s="9" t="s">
        <v>2625</v>
      </c>
      <c r="S839" s="9">
        <v>4247</v>
      </c>
      <c r="T839" s="9" t="s">
        <v>41</v>
      </c>
      <c r="U839" s="25">
        <v>46313.399305555555</v>
      </c>
      <c r="V839" s="25">
        <v>46313.397916666669</v>
      </c>
      <c r="W839" s="26" t="s">
        <v>2626</v>
      </c>
      <c r="X839" s="9">
        <v>22411</v>
      </c>
      <c r="Y839" s="25"/>
      <c r="Z839" s="9">
        <v>0</v>
      </c>
      <c r="AA839" s="27">
        <v>0.39305555555555555</v>
      </c>
      <c r="AB839" s="9">
        <v>6</v>
      </c>
      <c r="AC839" s="9" t="s">
        <v>41</v>
      </c>
      <c r="AD839" s="9" t="str">
        <f t="shared" si="15"/>
        <v>Actual</v>
      </c>
      <c r="AE839" s="9" t="str">
        <f t="shared" si="16"/>
        <v>TMK7</v>
      </c>
      <c r="AF839" s="9">
        <f>HOUR(O839)</f>
        <v>9</v>
      </c>
      <c r="AG839" s="9">
        <f>DAY(O839)</f>
        <v>18</v>
      </c>
      <c r="AH839" s="9">
        <f>IFERROR((I839-K839)*24*60,0)</f>
        <v>0.99999999278225005</v>
      </c>
      <c r="AI839" s="9">
        <f t="shared" si="17"/>
        <v>0.99999999278225005</v>
      </c>
      <c r="AJ839" s="9">
        <f>C839</f>
        <v>2430</v>
      </c>
      <c r="AK839" s="9">
        <f>IF(P839="completed",((V839-K839)*24*60),0)</f>
        <v>5.9999999986030161</v>
      </c>
      <c r="AL839" s="9">
        <f>IF(P839="completed",((U839-K839)*24*60),0)</f>
        <v>7.9999999946448952</v>
      </c>
      <c r="AM839" s="9" t="str">
        <f t="shared" si="18"/>
        <v>OTP Achieved</v>
      </c>
      <c r="AN839" s="9" t="str">
        <f t="shared" si="19"/>
        <v>OTP Achieved</v>
      </c>
    </row>
    <row r="840" spans="1:40" ht="15.75" customHeight="1">
      <c r="A840" s="9" t="s">
        <v>1461</v>
      </c>
      <c r="B840" s="25">
        <v>46313.393055555556</v>
      </c>
      <c r="C840" s="9">
        <v>1347</v>
      </c>
      <c r="D840" s="9" t="s">
        <v>41</v>
      </c>
      <c r="E840" s="9">
        <v>4</v>
      </c>
      <c r="F840" s="9" t="s">
        <v>41</v>
      </c>
      <c r="G840" s="9" t="s">
        <v>41</v>
      </c>
      <c r="H840" s="9" t="s">
        <v>2627</v>
      </c>
      <c r="I840" s="25">
        <v>46313.395833333336</v>
      </c>
      <c r="J840" s="9" t="s">
        <v>41</v>
      </c>
      <c r="K840" s="25">
        <v>46313.395138888889</v>
      </c>
      <c r="L840" s="9">
        <v>39</v>
      </c>
      <c r="O840" s="25">
        <v>46313.392361111109</v>
      </c>
      <c r="P840" s="9" t="s">
        <v>43</v>
      </c>
      <c r="Q840" s="9" t="s">
        <v>1463</v>
      </c>
      <c r="R840" s="9" t="s">
        <v>2628</v>
      </c>
      <c r="S840" s="9">
        <v>4247</v>
      </c>
      <c r="T840" s="9" t="s">
        <v>41</v>
      </c>
      <c r="U840" s="25">
        <v>46313.398611111108</v>
      </c>
      <c r="V840" s="25">
        <v>46313.398611111108</v>
      </c>
      <c r="W840" s="26" t="s">
        <v>2629</v>
      </c>
      <c r="X840" s="9">
        <v>22411</v>
      </c>
      <c r="Y840" s="25"/>
      <c r="Z840" s="9">
        <v>0</v>
      </c>
      <c r="AA840" s="27">
        <v>0.39305555555555555</v>
      </c>
      <c r="AB840" s="9">
        <v>4</v>
      </c>
      <c r="AC840" s="9" t="s">
        <v>41</v>
      </c>
      <c r="AD840" s="9" t="str">
        <f t="shared" si="15"/>
        <v>Actual</v>
      </c>
      <c r="AE840" s="9" t="str">
        <f t="shared" si="16"/>
        <v>TMK7</v>
      </c>
      <c r="AF840" s="9">
        <f>HOUR(O840)</f>
        <v>9</v>
      </c>
      <c r="AG840" s="9">
        <f>DAY(O840)</f>
        <v>18</v>
      </c>
      <c r="AH840" s="9">
        <f>IFERROR((I840-K840)*24*60,0)</f>
        <v>1.000000003259629</v>
      </c>
      <c r="AI840" s="9">
        <f t="shared" si="17"/>
        <v>1.000000003259629</v>
      </c>
      <c r="AJ840" s="9">
        <f>C840</f>
        <v>1347</v>
      </c>
      <c r="AK840" s="9">
        <f>IF(P840="completed",((V840-K840)*24*60),0)</f>
        <v>4.9999999953433871</v>
      </c>
      <c r="AL840" s="9">
        <f>IF(P840="completed",((U840-K840)*24*60),0)</f>
        <v>4.9999999953433871</v>
      </c>
      <c r="AM840" s="9" t="str">
        <f t="shared" si="18"/>
        <v>OTP Breached</v>
      </c>
      <c r="AN840" s="9" t="str">
        <f t="shared" si="19"/>
        <v>OTP Achieved</v>
      </c>
    </row>
    <row r="841" spans="1:40" ht="15.75" customHeight="1">
      <c r="A841" s="9" t="s">
        <v>655</v>
      </c>
      <c r="B841" s="25">
        <v>46313.392361111109</v>
      </c>
      <c r="C841" s="9">
        <v>1619</v>
      </c>
      <c r="D841" s="9" t="s">
        <v>41</v>
      </c>
      <c r="E841" s="9">
        <v>5</v>
      </c>
      <c r="F841" s="9" t="s">
        <v>41</v>
      </c>
      <c r="G841" s="9" t="s">
        <v>41</v>
      </c>
      <c r="H841" s="9" t="s">
        <v>2630</v>
      </c>
      <c r="I841" s="25">
        <v>46313.393750000003</v>
      </c>
      <c r="J841" s="9" t="s">
        <v>41</v>
      </c>
      <c r="K841" s="25">
        <v>46313.393055555556</v>
      </c>
      <c r="L841" s="9">
        <v>22</v>
      </c>
      <c r="O841" s="25">
        <v>46313.392361111109</v>
      </c>
      <c r="P841" s="9" t="s">
        <v>43</v>
      </c>
      <c r="Q841" s="9" t="s">
        <v>657</v>
      </c>
      <c r="R841" s="9" t="s">
        <v>2631</v>
      </c>
      <c r="S841" s="9">
        <v>4247</v>
      </c>
      <c r="T841" s="9" t="s">
        <v>41</v>
      </c>
      <c r="U841" s="25">
        <v>46313.397916666669</v>
      </c>
      <c r="V841" s="25">
        <v>46313.396527777775</v>
      </c>
      <c r="W841" s="26" t="s">
        <v>2632</v>
      </c>
      <c r="X841" s="9">
        <v>22411</v>
      </c>
      <c r="Y841" s="25"/>
      <c r="Z841" s="9">
        <v>0</v>
      </c>
      <c r="AA841" s="27">
        <v>0.3923611111111111</v>
      </c>
      <c r="AB841" s="9">
        <v>4</v>
      </c>
      <c r="AC841" s="9" t="s">
        <v>41</v>
      </c>
      <c r="AD841" s="9" t="str">
        <f t="shared" si="15"/>
        <v>Actual</v>
      </c>
      <c r="AE841" s="9" t="str">
        <f t="shared" si="16"/>
        <v>TMK7</v>
      </c>
      <c r="AF841" s="9">
        <f>HOUR(O841)</f>
        <v>9</v>
      </c>
      <c r="AG841" s="9">
        <f>DAY(O841)</f>
        <v>18</v>
      </c>
      <c r="AH841" s="9">
        <f>IFERROR((I841-K841)*24*60,0)</f>
        <v>1.000000003259629</v>
      </c>
      <c r="AI841" s="9">
        <f t="shared" si="17"/>
        <v>1.000000003259629</v>
      </c>
      <c r="AJ841" s="9">
        <f>C841</f>
        <v>1619</v>
      </c>
      <c r="AK841" s="9">
        <f>IF(P841="completed",((V841-K841)*24*60),0)</f>
        <v>4.9999999953433871</v>
      </c>
      <c r="AL841" s="9">
        <f>IF(P841="completed",((U841-K841)*24*60),0)</f>
        <v>7.0000000018626451</v>
      </c>
      <c r="AM841" s="9" t="str">
        <f t="shared" si="18"/>
        <v>OTP Achieved</v>
      </c>
      <c r="AN841" s="9" t="str">
        <f t="shared" si="19"/>
        <v>OTP Achieved</v>
      </c>
    </row>
    <row r="842" spans="1:40" ht="15.75" customHeight="1">
      <c r="A842" s="9" t="s">
        <v>1391</v>
      </c>
      <c r="B842" s="25">
        <v>46313.392361111109</v>
      </c>
      <c r="C842" s="9">
        <v>1960</v>
      </c>
      <c r="D842" s="9" t="s">
        <v>41</v>
      </c>
      <c r="E842" s="9">
        <v>5</v>
      </c>
      <c r="F842" s="9" t="s">
        <v>41</v>
      </c>
      <c r="G842" s="9" t="s">
        <v>41</v>
      </c>
      <c r="H842" s="9" t="s">
        <v>2633</v>
      </c>
      <c r="I842" s="25">
        <v>46313.393055555556</v>
      </c>
      <c r="J842" s="9" t="s">
        <v>41</v>
      </c>
      <c r="K842" s="25">
        <v>46313.393055555556</v>
      </c>
      <c r="L842" s="9">
        <v>20</v>
      </c>
      <c r="O842" s="25">
        <v>46313.39166666667</v>
      </c>
      <c r="P842" s="9" t="s">
        <v>43</v>
      </c>
      <c r="Q842" s="9" t="s">
        <v>1393</v>
      </c>
      <c r="R842" s="9" t="s">
        <v>2634</v>
      </c>
      <c r="S842" s="9">
        <v>4247</v>
      </c>
      <c r="T842" s="9" t="s">
        <v>41</v>
      </c>
      <c r="U842" s="25">
        <v>46313.397916666669</v>
      </c>
      <c r="V842" s="25">
        <v>46313.396527777775</v>
      </c>
      <c r="W842" s="26" t="s">
        <v>2635</v>
      </c>
      <c r="X842" s="9">
        <v>22411</v>
      </c>
      <c r="Y842" s="25"/>
      <c r="Z842" s="9">
        <v>0</v>
      </c>
      <c r="AA842" s="27">
        <v>0.3923611111111111</v>
      </c>
      <c r="AB842" s="9">
        <v>5</v>
      </c>
      <c r="AC842" s="9" t="s">
        <v>41</v>
      </c>
      <c r="AD842" s="9" t="str">
        <f t="shared" si="15"/>
        <v>Actual</v>
      </c>
      <c r="AE842" s="9" t="str">
        <f t="shared" si="16"/>
        <v>TMK7</v>
      </c>
      <c r="AF842" s="9">
        <f>HOUR(O842)</f>
        <v>9</v>
      </c>
      <c r="AG842" s="9">
        <f>DAY(O842)</f>
        <v>18</v>
      </c>
      <c r="AH842" s="9">
        <f>IFERROR((I842-K842)*24*60,0)</f>
        <v>0</v>
      </c>
      <c r="AI842" s="9">
        <f t="shared" si="17"/>
        <v>0</v>
      </c>
      <c r="AJ842" s="9">
        <f>C842</f>
        <v>1960</v>
      </c>
      <c r="AK842" s="9">
        <f>IF(P842="completed",((V842-K842)*24*60),0)</f>
        <v>4.9999999953433871</v>
      </c>
      <c r="AL842" s="9">
        <f>IF(P842="completed",((U842-K842)*24*60),0)</f>
        <v>7.0000000018626451</v>
      </c>
      <c r="AM842" s="9" t="str">
        <f t="shared" si="18"/>
        <v>OTP Achieved</v>
      </c>
      <c r="AN842" s="9" t="str">
        <f t="shared" si="19"/>
        <v>OTP Achieved</v>
      </c>
    </row>
    <row r="843" spans="1:40" ht="15.75" customHeight="1">
      <c r="A843" s="9" t="s">
        <v>1365</v>
      </c>
      <c r="B843" s="25">
        <v>46313.390972222223</v>
      </c>
      <c r="C843" s="9">
        <v>2771</v>
      </c>
      <c r="D843" s="9" t="s">
        <v>41</v>
      </c>
      <c r="E843" s="9">
        <v>7</v>
      </c>
      <c r="F843" s="9" t="s">
        <v>41</v>
      </c>
      <c r="G843" s="9" t="s">
        <v>41</v>
      </c>
      <c r="H843" s="9" t="s">
        <v>2636</v>
      </c>
      <c r="I843" s="25">
        <v>46313.39166666667</v>
      </c>
      <c r="J843" s="9" t="s">
        <v>41</v>
      </c>
      <c r="K843" s="25">
        <v>46313.39166666667</v>
      </c>
      <c r="L843" s="9">
        <v>18</v>
      </c>
      <c r="O843" s="25">
        <v>46313.390972222223</v>
      </c>
      <c r="P843" s="9" t="s">
        <v>43</v>
      </c>
      <c r="Q843" s="9" t="s">
        <v>1367</v>
      </c>
      <c r="R843" s="9" t="s">
        <v>2637</v>
      </c>
      <c r="S843" s="9">
        <v>4247</v>
      </c>
      <c r="T843" s="9" t="s">
        <v>41</v>
      </c>
      <c r="U843" s="25">
        <v>46313.399305555555</v>
      </c>
      <c r="V843" s="25">
        <v>46313.396527777775</v>
      </c>
      <c r="W843" s="26" t="s">
        <v>2638</v>
      </c>
      <c r="X843" s="9">
        <v>22411</v>
      </c>
      <c r="Y843" s="25"/>
      <c r="Z843" s="9">
        <v>0</v>
      </c>
      <c r="AA843" s="27">
        <v>0.39097222222222222</v>
      </c>
      <c r="AB843" s="9">
        <v>7</v>
      </c>
      <c r="AC843" s="9" t="s">
        <v>41</v>
      </c>
      <c r="AD843" s="9" t="str">
        <f t="shared" si="15"/>
        <v>Actual</v>
      </c>
      <c r="AE843" s="9" t="str">
        <f t="shared" si="16"/>
        <v>TMK7</v>
      </c>
      <c r="AF843" s="9">
        <f>HOUR(O843)</f>
        <v>9</v>
      </c>
      <c r="AG843" s="9">
        <f>DAY(O843)</f>
        <v>18</v>
      </c>
      <c r="AH843" s="9">
        <f>IFERROR((I843-K843)*24*60,0)</f>
        <v>0</v>
      </c>
      <c r="AI843" s="9">
        <f t="shared" si="17"/>
        <v>0</v>
      </c>
      <c r="AJ843" s="9">
        <f>C843</f>
        <v>2771</v>
      </c>
      <c r="AK843" s="9">
        <f>IF(P843="completed",((V843-K843)*24*60),0)</f>
        <v>6.9999999913852662</v>
      </c>
      <c r="AL843" s="9">
        <f>IF(P843="completed",((U843-K843)*24*60),0)</f>
        <v>10.999999993946403</v>
      </c>
      <c r="AM843" s="9" t="str">
        <f t="shared" si="18"/>
        <v>OTP Achieved</v>
      </c>
      <c r="AN843" s="9" t="str">
        <f t="shared" si="19"/>
        <v>OTP Achieved</v>
      </c>
    </row>
    <row r="844" spans="1:40" ht="15.75" customHeight="1">
      <c r="A844" s="9" t="s">
        <v>1077</v>
      </c>
      <c r="B844" s="25">
        <v>46313.390972222223</v>
      </c>
      <c r="C844" s="9">
        <v>2598</v>
      </c>
      <c r="D844" s="9" t="s">
        <v>41</v>
      </c>
      <c r="E844" s="9">
        <v>8</v>
      </c>
      <c r="F844" s="9" t="s">
        <v>41</v>
      </c>
      <c r="G844" s="9" t="s">
        <v>41</v>
      </c>
      <c r="H844" s="9" t="s">
        <v>2639</v>
      </c>
      <c r="I844" s="25">
        <v>46313.392361111109</v>
      </c>
      <c r="J844" s="9" t="s">
        <v>41</v>
      </c>
      <c r="K844" s="25">
        <v>46313.392361111109</v>
      </c>
      <c r="L844" s="9">
        <v>11</v>
      </c>
      <c r="O844" s="25">
        <v>46313.390972222223</v>
      </c>
      <c r="P844" s="9" t="s">
        <v>43</v>
      </c>
      <c r="Q844" s="9" t="s">
        <v>1079</v>
      </c>
      <c r="R844" s="9" t="s">
        <v>2640</v>
      </c>
      <c r="S844" s="9">
        <v>4247</v>
      </c>
      <c r="T844" s="9" t="s">
        <v>41</v>
      </c>
      <c r="U844" s="25">
        <v>46313.397916666669</v>
      </c>
      <c r="V844" s="25">
        <v>46313.397916666669</v>
      </c>
      <c r="W844" s="26" t="s">
        <v>2641</v>
      </c>
      <c r="X844" s="9">
        <v>22411</v>
      </c>
      <c r="Y844" s="25"/>
      <c r="Z844" s="9">
        <v>0</v>
      </c>
      <c r="AA844" s="27">
        <v>0.39097222222222222</v>
      </c>
      <c r="AB844" s="9">
        <v>8</v>
      </c>
      <c r="AC844" s="9" t="s">
        <v>41</v>
      </c>
      <c r="AD844" s="9" t="str">
        <f t="shared" si="15"/>
        <v>Actual</v>
      </c>
      <c r="AE844" s="9" t="str">
        <f t="shared" si="16"/>
        <v>TMK7</v>
      </c>
      <c r="AF844" s="9">
        <f>HOUR(O844)</f>
        <v>9</v>
      </c>
      <c r="AG844" s="9">
        <f>DAY(O844)</f>
        <v>18</v>
      </c>
      <c r="AH844" s="9">
        <f>IFERROR((I844-K844)*24*60,0)</f>
        <v>0</v>
      </c>
      <c r="AI844" s="9">
        <f t="shared" si="17"/>
        <v>0</v>
      </c>
      <c r="AJ844" s="9">
        <f>C844</f>
        <v>2598</v>
      </c>
      <c r="AK844" s="9">
        <f>IF(P844="completed",((V844-K844)*24*60),0)</f>
        <v>8.0000000051222742</v>
      </c>
      <c r="AL844" s="9">
        <f>IF(P844="completed",((U844-K844)*24*60),0)</f>
        <v>8.0000000051222742</v>
      </c>
      <c r="AM844" s="9" t="str">
        <f t="shared" si="18"/>
        <v>OTP Breached</v>
      </c>
      <c r="AN844" s="9" t="str">
        <f t="shared" si="19"/>
        <v>OTP Achieved</v>
      </c>
    </row>
    <row r="845" spans="1:40" ht="15.75" customHeight="1">
      <c r="A845" s="9" t="s">
        <v>177</v>
      </c>
      <c r="B845" s="25">
        <v>46313.38958333333</v>
      </c>
      <c r="C845" s="9">
        <v>1281</v>
      </c>
      <c r="D845" s="9" t="s">
        <v>41</v>
      </c>
      <c r="E845" s="9">
        <v>6</v>
      </c>
      <c r="F845" s="9" t="s">
        <v>41</v>
      </c>
      <c r="G845" s="9" t="s">
        <v>41</v>
      </c>
      <c r="H845" s="9" t="s">
        <v>2642</v>
      </c>
      <c r="I845" s="25">
        <v>46313.390972222223</v>
      </c>
      <c r="J845" s="9" t="s">
        <v>41</v>
      </c>
      <c r="K845" s="25">
        <v>46313.390277777777</v>
      </c>
      <c r="L845" s="9">
        <v>35</v>
      </c>
      <c r="O845" s="25">
        <v>46313.38958333333</v>
      </c>
      <c r="P845" s="9" t="s">
        <v>43</v>
      </c>
      <c r="Q845" s="9" t="s">
        <v>179</v>
      </c>
      <c r="R845" s="9" t="s">
        <v>2643</v>
      </c>
      <c r="S845" s="9">
        <v>4247</v>
      </c>
      <c r="T845" s="9" t="s">
        <v>41</v>
      </c>
      <c r="U845" s="25">
        <v>46313.395138888889</v>
      </c>
      <c r="V845" s="25">
        <v>46313.393750000003</v>
      </c>
      <c r="W845" s="26" t="s">
        <v>2644</v>
      </c>
      <c r="X845" s="9">
        <v>22411</v>
      </c>
      <c r="Z845" s="9">
        <v>0</v>
      </c>
      <c r="AA845" s="27">
        <v>0.38958333333333334</v>
      </c>
      <c r="AB845" s="9">
        <v>5</v>
      </c>
      <c r="AC845" s="9" t="s">
        <v>41</v>
      </c>
      <c r="AD845" s="9" t="str">
        <f t="shared" si="15"/>
        <v>Actual</v>
      </c>
      <c r="AE845" s="9" t="str">
        <f t="shared" si="16"/>
        <v>TMK7</v>
      </c>
      <c r="AF845" s="9">
        <f>HOUR(O845)</f>
        <v>9</v>
      </c>
      <c r="AG845" s="9">
        <f>DAY(O845)</f>
        <v>18</v>
      </c>
      <c r="AH845" s="9">
        <f>IFERROR((I845-K845)*24*60,0)</f>
        <v>1.000000003259629</v>
      </c>
      <c r="AI845" s="9">
        <f t="shared" si="17"/>
        <v>1.000000003259629</v>
      </c>
      <c r="AJ845" s="9">
        <f>C845</f>
        <v>1281</v>
      </c>
      <c r="AK845" s="9">
        <f>IF(P845="completed",((V845-K845)*24*60),0)</f>
        <v>5.0000000058207661</v>
      </c>
      <c r="AL845" s="9">
        <f>IF(P845="completed",((U845-K845)*24*60),0)</f>
        <v>7.0000000018626451</v>
      </c>
      <c r="AM845" s="9" t="str">
        <f t="shared" si="18"/>
        <v>OTP Achieved</v>
      </c>
      <c r="AN845" s="9" t="str">
        <f t="shared" si="19"/>
        <v>OTP Achieved</v>
      </c>
    </row>
    <row r="846" spans="1:40" ht="15.75" customHeight="1">
      <c r="A846" s="9" t="s">
        <v>347</v>
      </c>
      <c r="B846" s="25">
        <v>46313.38958333333</v>
      </c>
      <c r="C846" s="9">
        <v>1179</v>
      </c>
      <c r="D846" s="9" t="s">
        <v>41</v>
      </c>
      <c r="E846" s="9">
        <v>4</v>
      </c>
      <c r="F846" s="9" t="s">
        <v>41</v>
      </c>
      <c r="G846" s="9" t="s">
        <v>41</v>
      </c>
      <c r="H846" s="9" t="s">
        <v>2645</v>
      </c>
      <c r="I846" s="25">
        <v>46313.393055555556</v>
      </c>
      <c r="J846" s="9" t="s">
        <v>41</v>
      </c>
      <c r="K846" s="25">
        <v>46313.393055555556</v>
      </c>
      <c r="L846" s="9">
        <v>29</v>
      </c>
      <c r="O846" s="25">
        <v>46313.38958333333</v>
      </c>
      <c r="P846" s="9" t="s">
        <v>43</v>
      </c>
      <c r="Q846" s="9" t="s">
        <v>349</v>
      </c>
      <c r="R846" s="9" t="s">
        <v>2646</v>
      </c>
      <c r="S846" s="9">
        <v>4247</v>
      </c>
      <c r="T846" s="9" t="s">
        <v>41</v>
      </c>
      <c r="U846" s="25">
        <v>46313.396527777775</v>
      </c>
      <c r="V846" s="25">
        <v>46313.395833333336</v>
      </c>
      <c r="W846" s="26" t="s">
        <v>2647</v>
      </c>
      <c r="X846" s="9">
        <v>22411</v>
      </c>
      <c r="Y846" s="25"/>
      <c r="Z846" s="9">
        <v>0</v>
      </c>
      <c r="AA846" s="27">
        <v>0.38958333333333334</v>
      </c>
      <c r="AB846" s="9">
        <v>4</v>
      </c>
      <c r="AC846" s="9" t="s">
        <v>41</v>
      </c>
      <c r="AD846" s="9" t="str">
        <f t="shared" si="15"/>
        <v>Actual</v>
      </c>
      <c r="AE846" s="9" t="str">
        <f t="shared" si="16"/>
        <v>TMK7</v>
      </c>
      <c r="AF846" s="9">
        <f>HOUR(O846)</f>
        <v>9</v>
      </c>
      <c r="AG846" s="9">
        <f>DAY(O846)</f>
        <v>18</v>
      </c>
      <c r="AH846" s="9">
        <f>IFERROR((I846-K846)*24*60,0)</f>
        <v>0</v>
      </c>
      <c r="AI846" s="9">
        <f t="shared" si="17"/>
        <v>0</v>
      </c>
      <c r="AJ846" s="9">
        <f>C846</f>
        <v>1179</v>
      </c>
      <c r="AK846" s="9">
        <f>IF(P846="completed",((V846-K846)*24*60),0)</f>
        <v>4.0000000025611371</v>
      </c>
      <c r="AL846" s="9">
        <f>IF(P846="completed",((U846-K846)*24*60),0)</f>
        <v>4.9999999953433871</v>
      </c>
      <c r="AM846" s="9" t="str">
        <f t="shared" si="18"/>
        <v>OTP Achieved</v>
      </c>
      <c r="AN846" s="9" t="str">
        <f t="shared" si="19"/>
        <v>OTP Achieved</v>
      </c>
    </row>
    <row r="847" spans="1:40" ht="15.75" customHeight="1">
      <c r="A847" s="9" t="s">
        <v>185</v>
      </c>
      <c r="B847" s="25">
        <v>46313.388194444444</v>
      </c>
      <c r="C847" s="9">
        <v>1775</v>
      </c>
      <c r="D847" s="9" t="s">
        <v>41</v>
      </c>
      <c r="E847" s="9">
        <v>7</v>
      </c>
      <c r="F847" s="9" t="s">
        <v>41</v>
      </c>
      <c r="G847" s="9" t="s">
        <v>41</v>
      </c>
      <c r="H847" s="9" t="s">
        <v>2648</v>
      </c>
      <c r="I847" s="25">
        <v>46313.39166666667</v>
      </c>
      <c r="J847" s="9" t="s">
        <v>41</v>
      </c>
      <c r="K847" s="25">
        <v>46313.39166666667</v>
      </c>
      <c r="L847" s="9">
        <v>29</v>
      </c>
      <c r="O847" s="25">
        <v>46313.388194444444</v>
      </c>
      <c r="P847" s="9" t="s">
        <v>43</v>
      </c>
      <c r="Q847" s="9" t="s">
        <v>187</v>
      </c>
      <c r="R847" s="9" t="s">
        <v>2649</v>
      </c>
      <c r="S847" s="9">
        <v>4247</v>
      </c>
      <c r="T847" s="9" t="s">
        <v>41</v>
      </c>
      <c r="U847" s="25">
        <v>46313.397222222222</v>
      </c>
      <c r="V847" s="25">
        <v>46313.395833333336</v>
      </c>
      <c r="W847" s="26" t="s">
        <v>2650</v>
      </c>
      <c r="X847" s="9">
        <v>22411</v>
      </c>
      <c r="Y847" s="25"/>
      <c r="Z847" s="9">
        <v>0</v>
      </c>
      <c r="AA847" s="27">
        <v>0.38819444444444445</v>
      </c>
      <c r="AB847" s="9">
        <v>6</v>
      </c>
      <c r="AC847" s="9" t="s">
        <v>41</v>
      </c>
      <c r="AD847" s="9" t="str">
        <f t="shared" si="15"/>
        <v>Actual</v>
      </c>
      <c r="AE847" s="9" t="str">
        <f t="shared" si="16"/>
        <v>TMK7</v>
      </c>
      <c r="AF847" s="9">
        <f>HOUR(O847)</f>
        <v>9</v>
      </c>
      <c r="AG847" s="9">
        <f>DAY(O847)</f>
        <v>18</v>
      </c>
      <c r="AH847" s="9">
        <f>IFERROR((I847-K847)*24*60,0)</f>
        <v>0</v>
      </c>
      <c r="AI847" s="9">
        <f t="shared" si="17"/>
        <v>0</v>
      </c>
      <c r="AJ847" s="9">
        <f>C847</f>
        <v>1775</v>
      </c>
      <c r="AK847" s="9">
        <f>IF(P847="completed",((V847-K847)*24*60),0)</f>
        <v>5.9999999986030161</v>
      </c>
      <c r="AL847" s="9">
        <f>IF(P847="completed",((U847-K847)*24*60),0)</f>
        <v>7.9999999946448952</v>
      </c>
      <c r="AM847" s="9" t="str">
        <f t="shared" si="18"/>
        <v>OTP Achieved</v>
      </c>
      <c r="AN847" s="9" t="str">
        <f t="shared" si="19"/>
        <v>OTP Achieved</v>
      </c>
    </row>
    <row r="848" spans="1:40" ht="15.75" customHeight="1">
      <c r="A848" s="9" t="s">
        <v>2258</v>
      </c>
      <c r="B848" s="25">
        <v>46313.386805555558</v>
      </c>
      <c r="C848" s="9">
        <v>1268</v>
      </c>
      <c r="D848" s="9" t="s">
        <v>41</v>
      </c>
      <c r="E848" s="9">
        <v>4</v>
      </c>
      <c r="F848" s="9" t="s">
        <v>41</v>
      </c>
      <c r="G848" s="9" t="s">
        <v>41</v>
      </c>
      <c r="H848" s="9" t="s">
        <v>2651</v>
      </c>
      <c r="I848" s="25">
        <v>46313.387499999997</v>
      </c>
      <c r="J848" s="9" t="s">
        <v>41</v>
      </c>
      <c r="K848" s="25">
        <v>46313.387499999997</v>
      </c>
      <c r="L848" s="9">
        <v>16</v>
      </c>
      <c r="O848" s="25">
        <v>46313.386111111111</v>
      </c>
      <c r="P848" s="9" t="s">
        <v>43</v>
      </c>
      <c r="Q848" s="9" t="s">
        <v>2260</v>
      </c>
      <c r="R848" s="9" t="s">
        <v>2652</v>
      </c>
      <c r="S848" s="9">
        <v>4247</v>
      </c>
      <c r="T848" s="9" t="s">
        <v>41</v>
      </c>
      <c r="U848" s="25">
        <v>46313.390277777777</v>
      </c>
      <c r="V848" s="25">
        <v>46313.38958333333</v>
      </c>
      <c r="W848" s="26" t="s">
        <v>2653</v>
      </c>
      <c r="X848" s="9">
        <v>22411</v>
      </c>
      <c r="Z848" s="9">
        <v>0</v>
      </c>
      <c r="AA848" s="27">
        <v>0.38680555555555557</v>
      </c>
      <c r="AB848" s="9">
        <v>3</v>
      </c>
      <c r="AC848" s="9" t="s">
        <v>41</v>
      </c>
      <c r="AD848" s="9" t="str">
        <f t="shared" si="15"/>
        <v>Actual</v>
      </c>
      <c r="AE848" s="9" t="str">
        <f t="shared" si="16"/>
        <v>TMK7</v>
      </c>
      <c r="AF848" s="9">
        <f>HOUR(O848)</f>
        <v>9</v>
      </c>
      <c r="AG848" s="9">
        <f>DAY(O848)</f>
        <v>18</v>
      </c>
      <c r="AH848" s="9">
        <f>IFERROR((I848-K848)*24*60,0)</f>
        <v>0</v>
      </c>
      <c r="AI848" s="9">
        <f t="shared" si="17"/>
        <v>0</v>
      </c>
      <c r="AJ848" s="9">
        <f>C848</f>
        <v>1268</v>
      </c>
      <c r="AK848" s="9">
        <f>IF(P848="completed",((V848-K848)*24*60),0)</f>
        <v>2.9999999993015081</v>
      </c>
      <c r="AL848" s="9">
        <f>IF(P848="completed",((U848-K848)*24*60),0)</f>
        <v>4.0000000025611371</v>
      </c>
      <c r="AM848" s="9" t="str">
        <f t="shared" si="18"/>
        <v>OTP Achieved</v>
      </c>
      <c r="AN848" s="9" t="str">
        <f t="shared" si="19"/>
        <v>OTP Achieved</v>
      </c>
    </row>
    <row r="849" spans="1:40" ht="15.75" customHeight="1">
      <c r="A849" s="9" t="s">
        <v>379</v>
      </c>
      <c r="B849" s="25">
        <v>46313.386111111111</v>
      </c>
      <c r="C849" s="9">
        <v>1237</v>
      </c>
      <c r="D849" s="9" t="s">
        <v>41</v>
      </c>
      <c r="E849" s="9">
        <v>4</v>
      </c>
      <c r="F849" s="9" t="s">
        <v>41</v>
      </c>
      <c r="G849" s="9" t="s">
        <v>41</v>
      </c>
      <c r="H849" s="9" t="s">
        <v>2654</v>
      </c>
      <c r="I849" s="25">
        <v>46313.386805555558</v>
      </c>
      <c r="J849" s="9" t="s">
        <v>41</v>
      </c>
      <c r="K849" s="25">
        <v>46313.386805555558</v>
      </c>
      <c r="L849" s="9">
        <v>17</v>
      </c>
      <c r="O849" s="25">
        <v>46313.386111111111</v>
      </c>
      <c r="P849" s="9" t="s">
        <v>43</v>
      </c>
      <c r="Q849" s="9" t="s">
        <v>381</v>
      </c>
      <c r="R849" s="9" t="s">
        <v>2655</v>
      </c>
      <c r="S849" s="9">
        <v>4247</v>
      </c>
      <c r="T849" s="9" t="s">
        <v>41</v>
      </c>
      <c r="U849" s="25">
        <v>46313.390972222223</v>
      </c>
      <c r="V849" s="25">
        <v>46313.38958333333</v>
      </c>
      <c r="W849" s="26" t="s">
        <v>2656</v>
      </c>
      <c r="X849" s="9">
        <v>22411</v>
      </c>
      <c r="Z849" s="9">
        <v>0</v>
      </c>
      <c r="AA849" s="27">
        <v>0.38611111111111113</v>
      </c>
      <c r="AB849" s="9">
        <v>4</v>
      </c>
      <c r="AC849" s="9" t="s">
        <v>41</v>
      </c>
      <c r="AD849" s="9" t="str">
        <f t="shared" si="15"/>
        <v>Actual</v>
      </c>
      <c r="AE849" s="9" t="str">
        <f t="shared" si="16"/>
        <v>TMK7</v>
      </c>
      <c r="AF849" s="9">
        <f>HOUR(O849)</f>
        <v>9</v>
      </c>
      <c r="AG849" s="9">
        <f>DAY(O849)</f>
        <v>18</v>
      </c>
      <c r="AH849" s="9">
        <f>IFERROR((I849-K849)*24*60,0)</f>
        <v>0</v>
      </c>
      <c r="AI849" s="9">
        <f t="shared" si="17"/>
        <v>0</v>
      </c>
      <c r="AJ849" s="9">
        <f>C849</f>
        <v>1237</v>
      </c>
      <c r="AK849" s="9">
        <f>IF(P849="completed",((V849-K849)*24*60),0)</f>
        <v>3.9999999920837581</v>
      </c>
      <c r="AL849" s="9">
        <f>IF(P849="completed",((U849-K849)*24*60),0)</f>
        <v>5.9999999986030161</v>
      </c>
      <c r="AM849" s="9" t="str">
        <f t="shared" si="18"/>
        <v>OTP Achieved</v>
      </c>
      <c r="AN849" s="9" t="str">
        <f t="shared" si="19"/>
        <v>OTP Achieved</v>
      </c>
    </row>
    <row r="850" spans="1:40" ht="15.75" customHeight="1">
      <c r="A850" s="9" t="s">
        <v>1239</v>
      </c>
      <c r="B850" s="25">
        <v>46313.385416666664</v>
      </c>
      <c r="C850" s="9">
        <v>2199</v>
      </c>
      <c r="D850" s="9" t="s">
        <v>41</v>
      </c>
      <c r="E850" s="9">
        <v>7</v>
      </c>
      <c r="F850" s="9" t="s">
        <v>41</v>
      </c>
      <c r="G850" s="9" t="s">
        <v>41</v>
      </c>
      <c r="H850" s="9" t="s">
        <v>2657</v>
      </c>
      <c r="I850" s="25">
        <v>46313.386111111111</v>
      </c>
      <c r="J850" s="9" t="s">
        <v>41</v>
      </c>
      <c r="K850" s="25">
        <v>46313.386111111111</v>
      </c>
      <c r="L850" s="9">
        <v>26</v>
      </c>
      <c r="O850" s="25">
        <v>46313.385416666664</v>
      </c>
      <c r="P850" s="9" t="s">
        <v>43</v>
      </c>
      <c r="Q850" s="9" t="s">
        <v>1241</v>
      </c>
      <c r="R850" s="9" t="s">
        <v>2658</v>
      </c>
      <c r="S850" s="9">
        <v>4247</v>
      </c>
      <c r="T850" s="9" t="s">
        <v>41</v>
      </c>
      <c r="U850" s="25">
        <v>46313.390972222223</v>
      </c>
      <c r="V850" s="25">
        <v>46313.390277777777</v>
      </c>
      <c r="W850" s="26" t="s">
        <v>2659</v>
      </c>
      <c r="X850" s="9">
        <v>22411</v>
      </c>
      <c r="Z850" s="9">
        <v>0</v>
      </c>
      <c r="AA850" s="27">
        <v>0.38541666666666669</v>
      </c>
      <c r="AB850" s="9">
        <v>6</v>
      </c>
      <c r="AC850" s="9" t="s">
        <v>41</v>
      </c>
      <c r="AD850" s="9" t="str">
        <f t="shared" si="15"/>
        <v>Actual</v>
      </c>
      <c r="AE850" s="9" t="str">
        <f t="shared" si="16"/>
        <v>TMK7</v>
      </c>
      <c r="AF850" s="9">
        <f>HOUR(O850)</f>
        <v>9</v>
      </c>
      <c r="AG850" s="9">
        <f>DAY(O850)</f>
        <v>18</v>
      </c>
      <c r="AH850" s="9">
        <f>IFERROR((I850-K850)*24*60,0)</f>
        <v>0</v>
      </c>
      <c r="AI850" s="9">
        <f t="shared" si="17"/>
        <v>0</v>
      </c>
      <c r="AJ850" s="9">
        <f>C850</f>
        <v>2199</v>
      </c>
      <c r="AK850" s="9">
        <f>IF(P850="completed",((V850-K850)*24*60),0)</f>
        <v>5.9999999986030161</v>
      </c>
      <c r="AL850" s="9">
        <f>IF(P850="completed",((U850-K850)*24*60),0)</f>
        <v>7.0000000018626451</v>
      </c>
      <c r="AM850" s="9" t="str">
        <f t="shared" si="18"/>
        <v>OTP Achieved</v>
      </c>
      <c r="AN850" s="9" t="str">
        <f t="shared" si="19"/>
        <v>OTP Achieved</v>
      </c>
    </row>
    <row r="851" spans="1:40" ht="15.75" customHeight="1">
      <c r="A851" s="9" t="s">
        <v>106</v>
      </c>
      <c r="B851" s="25">
        <v>46313.384027777778</v>
      </c>
      <c r="C851" s="9">
        <v>1541</v>
      </c>
      <c r="D851" s="9" t="s">
        <v>41</v>
      </c>
      <c r="E851" s="9">
        <v>5</v>
      </c>
      <c r="F851" s="9" t="s">
        <v>41</v>
      </c>
      <c r="G851" s="9" t="s">
        <v>41</v>
      </c>
      <c r="H851" s="9" t="s">
        <v>2660</v>
      </c>
      <c r="I851" s="25">
        <v>46313.385416666664</v>
      </c>
      <c r="J851" s="9" t="s">
        <v>41</v>
      </c>
      <c r="K851" s="25">
        <v>46313.384722222225</v>
      </c>
      <c r="L851" s="9">
        <v>28</v>
      </c>
      <c r="O851" s="25">
        <v>46313.383333333331</v>
      </c>
      <c r="P851" s="9" t="s">
        <v>43</v>
      </c>
      <c r="Q851" s="9" t="s">
        <v>108</v>
      </c>
      <c r="R851" s="9" t="s">
        <v>2661</v>
      </c>
      <c r="S851" s="9">
        <v>4247</v>
      </c>
      <c r="T851" s="9" t="s">
        <v>41</v>
      </c>
      <c r="U851" s="25">
        <v>46313.388888888891</v>
      </c>
      <c r="V851" s="25">
        <v>46313.388194444444</v>
      </c>
      <c r="W851" s="26" t="s">
        <v>2662</v>
      </c>
      <c r="X851" s="9">
        <v>22411</v>
      </c>
      <c r="Y851" s="25"/>
      <c r="Z851" s="9">
        <v>0</v>
      </c>
      <c r="AA851" s="27">
        <v>0.3840277777777778</v>
      </c>
      <c r="AB851" s="9">
        <v>4</v>
      </c>
      <c r="AC851" s="9" t="s">
        <v>41</v>
      </c>
      <c r="AD851" s="9" t="str">
        <f t="shared" si="15"/>
        <v>Actual</v>
      </c>
      <c r="AE851" s="9" t="str">
        <f t="shared" si="16"/>
        <v>TMK7</v>
      </c>
      <c r="AF851" s="9">
        <f>HOUR(O851)</f>
        <v>9</v>
      </c>
      <c r="AG851" s="9">
        <f>DAY(O851)</f>
        <v>18</v>
      </c>
      <c r="AH851" s="9">
        <f>IFERROR((I851-K851)*24*60,0)</f>
        <v>0.99999999278225005</v>
      </c>
      <c r="AI851" s="9">
        <f t="shared" si="17"/>
        <v>0.99999999278225005</v>
      </c>
      <c r="AJ851" s="9">
        <f>C851</f>
        <v>1541</v>
      </c>
      <c r="AK851" s="9">
        <f>IF(P851="completed",((V851-K851)*24*60),0)</f>
        <v>4.9999999953433871</v>
      </c>
      <c r="AL851" s="9">
        <f>IF(P851="completed",((U851-K851)*24*60),0)</f>
        <v>5.9999999986030161</v>
      </c>
      <c r="AM851" s="9" t="str">
        <f t="shared" si="18"/>
        <v>OTP Achieved</v>
      </c>
      <c r="AN851" s="9" t="str">
        <f t="shared" si="19"/>
        <v>OTP Achieved</v>
      </c>
    </row>
    <row r="852" spans="1:40" ht="15.75" customHeight="1">
      <c r="A852" s="9" t="s">
        <v>52</v>
      </c>
      <c r="B852" s="25">
        <v>46313.383333333331</v>
      </c>
      <c r="C852" s="9">
        <v>591</v>
      </c>
      <c r="D852" s="9" t="s">
        <v>41</v>
      </c>
      <c r="E852" s="9">
        <v>2</v>
      </c>
      <c r="F852" s="9" t="s">
        <v>41</v>
      </c>
      <c r="G852" s="9" t="s">
        <v>41</v>
      </c>
      <c r="H852" s="9" t="s">
        <v>2663</v>
      </c>
      <c r="I852" s="25">
        <v>46313.38958333333</v>
      </c>
      <c r="J852" s="9" t="s">
        <v>41</v>
      </c>
      <c r="K852" s="25">
        <v>46313.388888888891</v>
      </c>
      <c r="L852" s="9">
        <v>20</v>
      </c>
      <c r="O852" s="25">
        <v>46313.383333333331</v>
      </c>
      <c r="P852" s="9" t="s">
        <v>43</v>
      </c>
      <c r="Q852" s="9" t="s">
        <v>54</v>
      </c>
      <c r="R852" s="9" t="s">
        <v>2664</v>
      </c>
      <c r="S852" s="9">
        <v>4247</v>
      </c>
      <c r="T852" s="9" t="s">
        <v>41</v>
      </c>
      <c r="U852" s="25">
        <v>46313.390972222223</v>
      </c>
      <c r="V852" s="25">
        <v>46313.390277777777</v>
      </c>
      <c r="W852" s="26" t="s">
        <v>2665</v>
      </c>
      <c r="X852" s="9">
        <v>22411</v>
      </c>
      <c r="Y852" s="25"/>
      <c r="Z852" s="9">
        <v>0</v>
      </c>
      <c r="AA852" s="27">
        <v>0.38333333333333336</v>
      </c>
      <c r="AB852" s="9">
        <v>2</v>
      </c>
      <c r="AC852" s="9" t="s">
        <v>41</v>
      </c>
      <c r="AD852" s="9" t="str">
        <f t="shared" si="15"/>
        <v>Actual</v>
      </c>
      <c r="AE852" s="9" t="str">
        <f t="shared" si="16"/>
        <v>TMK7</v>
      </c>
      <c r="AF852" s="9">
        <f>HOUR(O852)</f>
        <v>9</v>
      </c>
      <c r="AG852" s="9">
        <f>DAY(O852)</f>
        <v>18</v>
      </c>
      <c r="AH852" s="9">
        <f>IFERROR((I852-K852)*24*60,0)</f>
        <v>0.99999999278225005</v>
      </c>
      <c r="AI852" s="9">
        <f t="shared" si="17"/>
        <v>0.99999999278225005</v>
      </c>
      <c r="AJ852" s="9">
        <f>C852</f>
        <v>591</v>
      </c>
      <c r="AK852" s="9">
        <f>IF(P852="completed",((V852-K852)*24*60),0)</f>
        <v>1.9999999960418791</v>
      </c>
      <c r="AL852" s="9">
        <f>IF(P852="completed",((U852-K852)*24*60),0)</f>
        <v>2.9999999993015081</v>
      </c>
      <c r="AM852" s="9" t="str">
        <f t="shared" si="18"/>
        <v>OTP Achieved</v>
      </c>
      <c r="AN852" s="9" t="str">
        <f t="shared" si="19"/>
        <v>OTP Achieved</v>
      </c>
    </row>
    <row r="853" spans="1:40" ht="15.75" customHeight="1">
      <c r="A853" s="9" t="s">
        <v>190</v>
      </c>
      <c r="B853" s="25">
        <v>46313.383333333331</v>
      </c>
      <c r="C853" s="9">
        <v>2336</v>
      </c>
      <c r="D853" s="9" t="s">
        <v>41</v>
      </c>
      <c r="E853" s="9">
        <v>7</v>
      </c>
      <c r="F853" s="9" t="s">
        <v>41</v>
      </c>
      <c r="G853" s="9" t="s">
        <v>41</v>
      </c>
      <c r="H853" s="9" t="s">
        <v>2666</v>
      </c>
      <c r="I853" s="25">
        <v>46313.384722222225</v>
      </c>
      <c r="J853" s="9" t="s">
        <v>41</v>
      </c>
      <c r="K853" s="25">
        <v>46313.384722222225</v>
      </c>
      <c r="L853" s="9">
        <v>22</v>
      </c>
      <c r="O853" s="25">
        <v>46313.383333333331</v>
      </c>
      <c r="P853" s="9" t="s">
        <v>43</v>
      </c>
      <c r="Q853" s="9" t="s">
        <v>192</v>
      </c>
      <c r="R853" s="9" t="s">
        <v>2667</v>
      </c>
      <c r="S853" s="9">
        <v>4247</v>
      </c>
      <c r="T853" s="9" t="s">
        <v>41</v>
      </c>
      <c r="U853" s="25">
        <v>46313.390277777777</v>
      </c>
      <c r="V853" s="25">
        <v>46313.38958333333</v>
      </c>
      <c r="W853" s="26" t="s">
        <v>2668</v>
      </c>
      <c r="X853" s="9">
        <v>22411</v>
      </c>
      <c r="Z853" s="9">
        <v>0</v>
      </c>
      <c r="AA853" s="27">
        <v>0.38333333333333336</v>
      </c>
      <c r="AB853" s="9">
        <v>7</v>
      </c>
      <c r="AC853" s="9" t="s">
        <v>41</v>
      </c>
      <c r="AD853" s="9" t="str">
        <f t="shared" si="15"/>
        <v>Actual</v>
      </c>
      <c r="AE853" s="9" t="str">
        <f t="shared" si="16"/>
        <v>TMK7</v>
      </c>
      <c r="AF853" s="9">
        <f>HOUR(O853)</f>
        <v>9</v>
      </c>
      <c r="AG853" s="9">
        <f>DAY(O853)</f>
        <v>18</v>
      </c>
      <c r="AH853" s="9">
        <f>IFERROR((I853-K853)*24*60,0)</f>
        <v>0</v>
      </c>
      <c r="AI853" s="9">
        <f t="shared" si="17"/>
        <v>0</v>
      </c>
      <c r="AJ853" s="9">
        <f>C853</f>
        <v>2336</v>
      </c>
      <c r="AK853" s="9">
        <f>IF(P853="completed",((V853-K853)*24*60),0)</f>
        <v>6.9999999913852662</v>
      </c>
      <c r="AL853" s="9">
        <f>IF(P853="completed",((U853-K853)*24*60),0)</f>
        <v>7.9999999946448952</v>
      </c>
      <c r="AM853" s="9" t="str">
        <f t="shared" si="18"/>
        <v>OTP Achieved</v>
      </c>
      <c r="AN853" s="9" t="str">
        <f t="shared" si="19"/>
        <v>OTP Achieved</v>
      </c>
    </row>
    <row r="854" spans="1:40" ht="15.75" customHeight="1">
      <c r="A854" s="9" t="s">
        <v>57</v>
      </c>
      <c r="B854" s="25">
        <v>46313.383333333331</v>
      </c>
      <c r="C854" s="9">
        <v>4018</v>
      </c>
      <c r="D854" s="9" t="s">
        <v>41</v>
      </c>
      <c r="E854" s="9">
        <v>12</v>
      </c>
      <c r="F854" s="9" t="s">
        <v>41</v>
      </c>
      <c r="G854" s="9" t="s">
        <v>41</v>
      </c>
      <c r="H854" s="9" t="s">
        <v>2669</v>
      </c>
      <c r="I854" s="25">
        <v>46313.386111111111</v>
      </c>
      <c r="J854" s="9" t="s">
        <v>41</v>
      </c>
      <c r="K854" s="25">
        <v>46313.386111111111</v>
      </c>
      <c r="L854" s="9">
        <v>23</v>
      </c>
      <c r="O854" s="25">
        <v>46313.383333333331</v>
      </c>
      <c r="P854" s="9" t="s">
        <v>43</v>
      </c>
      <c r="Q854" s="9" t="s">
        <v>59</v>
      </c>
      <c r="R854" s="9" t="s">
        <v>2670</v>
      </c>
      <c r="S854" s="9">
        <v>4247</v>
      </c>
      <c r="T854" s="9" t="s">
        <v>41</v>
      </c>
      <c r="U854" s="25">
        <v>46313.396527777775</v>
      </c>
      <c r="V854" s="25">
        <v>46313.394444444442</v>
      </c>
      <c r="W854" s="26" t="s">
        <v>2671</v>
      </c>
      <c r="X854" s="9">
        <v>22411</v>
      </c>
      <c r="Y854" s="25"/>
      <c r="Z854" s="9">
        <v>0</v>
      </c>
      <c r="AA854" s="27">
        <v>0.38333333333333336</v>
      </c>
      <c r="AB854" s="9">
        <v>12</v>
      </c>
      <c r="AC854" s="9" t="s">
        <v>41</v>
      </c>
      <c r="AD854" s="9" t="str">
        <f t="shared" si="15"/>
        <v>Actual</v>
      </c>
      <c r="AE854" s="9" t="str">
        <f t="shared" si="16"/>
        <v>TMK7</v>
      </c>
      <c r="AF854" s="9">
        <f>HOUR(O854)</f>
        <v>9</v>
      </c>
      <c r="AG854" s="9">
        <f>DAY(O854)</f>
        <v>18</v>
      </c>
      <c r="AH854" s="9">
        <f>IFERROR((I854-K854)*24*60,0)</f>
        <v>0</v>
      </c>
      <c r="AI854" s="9">
        <f t="shared" si="17"/>
        <v>0</v>
      </c>
      <c r="AJ854" s="9">
        <f>C854</f>
        <v>4018</v>
      </c>
      <c r="AK854" s="9">
        <f>IF(P854="completed",((V854-K854)*24*60),0)</f>
        <v>11.999999997206032</v>
      </c>
      <c r="AL854" s="9">
        <f>IF(P854="completed",((U854-K854)*24*60),0)</f>
        <v>14.99999999650754</v>
      </c>
      <c r="AM854" s="9" t="str">
        <f t="shared" si="18"/>
        <v>OTP Achieved</v>
      </c>
      <c r="AN854" s="9" t="str">
        <f t="shared" si="19"/>
        <v>OTP Achieved</v>
      </c>
    </row>
    <row r="855" spans="1:40" ht="15.75" customHeight="1">
      <c r="A855" s="9" t="s">
        <v>1310</v>
      </c>
      <c r="B855" s="25">
        <v>46313.383333333331</v>
      </c>
      <c r="C855" s="9">
        <v>2038</v>
      </c>
      <c r="D855" s="9" t="s">
        <v>41</v>
      </c>
      <c r="E855" s="9">
        <v>8</v>
      </c>
      <c r="F855" s="9" t="s">
        <v>41</v>
      </c>
      <c r="G855" s="9" t="s">
        <v>41</v>
      </c>
      <c r="H855" s="9" t="s">
        <v>2672</v>
      </c>
      <c r="I855" s="25">
        <v>46313.386111111111</v>
      </c>
      <c r="J855" s="9" t="s">
        <v>41</v>
      </c>
      <c r="K855" s="25">
        <v>46313.386111111111</v>
      </c>
      <c r="L855" s="9">
        <v>39</v>
      </c>
      <c r="O855" s="25">
        <v>46313.383333333331</v>
      </c>
      <c r="P855" s="9" t="s">
        <v>43</v>
      </c>
      <c r="Q855" s="9" t="s">
        <v>1312</v>
      </c>
      <c r="R855" s="9" t="s">
        <v>2673</v>
      </c>
      <c r="S855" s="9">
        <v>4247</v>
      </c>
      <c r="T855" s="9" t="s">
        <v>41</v>
      </c>
      <c r="U855" s="25">
        <v>46313.392361111109</v>
      </c>
      <c r="V855" s="25">
        <v>46313.390972222223</v>
      </c>
      <c r="W855" s="26" t="s">
        <v>2674</v>
      </c>
      <c r="X855" s="9">
        <v>22411</v>
      </c>
      <c r="Z855" s="9">
        <v>0</v>
      </c>
      <c r="AA855" s="27">
        <v>0.38333333333333336</v>
      </c>
      <c r="AB855" s="9">
        <v>7</v>
      </c>
      <c r="AC855" s="9" t="s">
        <v>41</v>
      </c>
      <c r="AD855" s="9" t="str">
        <f t="shared" si="15"/>
        <v>Actual</v>
      </c>
      <c r="AE855" s="9" t="str">
        <f t="shared" si="16"/>
        <v>TMK7</v>
      </c>
      <c r="AF855" s="9">
        <f>HOUR(O855)</f>
        <v>9</v>
      </c>
      <c r="AG855" s="9">
        <f>DAY(O855)</f>
        <v>18</v>
      </c>
      <c r="AH855" s="9">
        <f>IFERROR((I855-K855)*24*60,0)</f>
        <v>0</v>
      </c>
      <c r="AI855" s="9">
        <f t="shared" si="17"/>
        <v>0</v>
      </c>
      <c r="AJ855" s="9">
        <f>C855</f>
        <v>2038</v>
      </c>
      <c r="AK855" s="9">
        <f>IF(P855="completed",((V855-K855)*24*60),0)</f>
        <v>7.0000000018626451</v>
      </c>
      <c r="AL855" s="9">
        <f>IF(P855="completed",((U855-K855)*24*60),0)</f>
        <v>8.9999999979045242</v>
      </c>
      <c r="AM855" s="9" t="str">
        <f t="shared" si="18"/>
        <v>OTP Achieved</v>
      </c>
      <c r="AN855" s="9" t="str">
        <f t="shared" si="19"/>
        <v>OTP Achieved</v>
      </c>
    </row>
    <row r="856" spans="1:40" ht="15.75" customHeight="1">
      <c r="A856" s="9" t="s">
        <v>1624</v>
      </c>
      <c r="B856" s="25">
        <v>46313.381944444445</v>
      </c>
      <c r="C856" s="9">
        <v>2097</v>
      </c>
      <c r="D856" s="9" t="s">
        <v>41</v>
      </c>
      <c r="E856" s="9">
        <v>7</v>
      </c>
      <c r="F856" s="9" t="s">
        <v>41</v>
      </c>
      <c r="G856" s="9" t="s">
        <v>41</v>
      </c>
      <c r="H856" s="9" t="s">
        <v>2675</v>
      </c>
      <c r="I856" s="25">
        <v>46313.385416666664</v>
      </c>
      <c r="J856" s="9" t="s">
        <v>41</v>
      </c>
      <c r="K856" s="25">
        <v>46313.385416666664</v>
      </c>
      <c r="L856" s="9">
        <v>23</v>
      </c>
      <c r="O856" s="25">
        <v>46313.381944444445</v>
      </c>
      <c r="P856" s="9" t="s">
        <v>43</v>
      </c>
      <c r="Q856" s="9" t="s">
        <v>1626</v>
      </c>
      <c r="R856" s="9" t="s">
        <v>2676</v>
      </c>
      <c r="S856" s="9">
        <v>4247</v>
      </c>
      <c r="T856" s="9" t="s">
        <v>41</v>
      </c>
      <c r="U856" s="25">
        <v>46313.38958333333</v>
      </c>
      <c r="V856" s="25">
        <v>46313.38958333333</v>
      </c>
      <c r="W856" s="26" t="s">
        <v>2677</v>
      </c>
      <c r="X856" s="9">
        <v>22411</v>
      </c>
      <c r="Z856" s="9">
        <v>0</v>
      </c>
      <c r="AA856" s="27">
        <v>0.38194444444444442</v>
      </c>
      <c r="AB856" s="9">
        <v>6</v>
      </c>
      <c r="AC856" s="9" t="s">
        <v>41</v>
      </c>
      <c r="AD856" s="9" t="str">
        <f t="shared" si="15"/>
        <v>Actual</v>
      </c>
      <c r="AE856" s="9" t="str">
        <f t="shared" si="16"/>
        <v>TMK7</v>
      </c>
      <c r="AF856" s="9">
        <f>HOUR(O856)</f>
        <v>9</v>
      </c>
      <c r="AG856" s="9">
        <f>DAY(O856)</f>
        <v>18</v>
      </c>
      <c r="AH856" s="9">
        <f>IFERROR((I856-K856)*24*60,0)</f>
        <v>0</v>
      </c>
      <c r="AI856" s="9">
        <f t="shared" si="17"/>
        <v>0</v>
      </c>
      <c r="AJ856" s="9">
        <f>C856</f>
        <v>2097</v>
      </c>
      <c r="AK856" s="9">
        <f>IF(P856="completed",((V856-K856)*24*60),0)</f>
        <v>5.9999999986030161</v>
      </c>
      <c r="AL856" s="9">
        <f>IF(P856="completed",((U856-K856)*24*60),0)</f>
        <v>5.9999999986030161</v>
      </c>
      <c r="AM856" s="9" t="str">
        <f t="shared" si="18"/>
        <v>OTP Breached</v>
      </c>
      <c r="AN856" s="9" t="str">
        <f t="shared" si="19"/>
        <v>OTP Achieved</v>
      </c>
    </row>
    <row r="857" spans="1:40" ht="15.75" customHeight="1">
      <c r="A857" s="9" t="s">
        <v>734</v>
      </c>
      <c r="B857" s="25">
        <v>46313.380555555559</v>
      </c>
      <c r="C857" s="9">
        <v>2082</v>
      </c>
      <c r="D857" s="9" t="s">
        <v>41</v>
      </c>
      <c r="E857" s="9">
        <v>9</v>
      </c>
      <c r="F857" s="9" t="s">
        <v>41</v>
      </c>
      <c r="G857" s="9" t="s">
        <v>41</v>
      </c>
      <c r="H857" s="9" t="s">
        <v>2678</v>
      </c>
      <c r="I857" s="25">
        <v>46313.381249999999</v>
      </c>
      <c r="J857" s="9" t="s">
        <v>41</v>
      </c>
      <c r="K857" s="25">
        <v>46313.380555555559</v>
      </c>
      <c r="L857" s="9">
        <v>20</v>
      </c>
      <c r="O857" s="25">
        <v>46313.379861111112</v>
      </c>
      <c r="P857" s="9" t="s">
        <v>43</v>
      </c>
      <c r="Q857" s="9" t="s">
        <v>736</v>
      </c>
      <c r="R857" s="9" t="s">
        <v>2679</v>
      </c>
      <c r="S857" s="9">
        <v>4247</v>
      </c>
      <c r="T857" s="9" t="s">
        <v>41</v>
      </c>
      <c r="U857" s="25">
        <v>46313.385416666664</v>
      </c>
      <c r="V857" s="25">
        <v>46313.386805555558</v>
      </c>
      <c r="W857" s="26" t="s">
        <v>2680</v>
      </c>
      <c r="X857" s="9">
        <v>22411</v>
      </c>
      <c r="Z857" s="9">
        <v>0</v>
      </c>
      <c r="AA857" s="27">
        <v>0.38055555555555554</v>
      </c>
      <c r="AB857" s="9">
        <v>8</v>
      </c>
      <c r="AC857" s="9" t="s">
        <v>41</v>
      </c>
      <c r="AD857" s="9" t="str">
        <f t="shared" si="15"/>
        <v>Actual</v>
      </c>
      <c r="AE857" s="9" t="str">
        <f t="shared" si="16"/>
        <v>TMK7</v>
      </c>
      <c r="AF857" s="9">
        <f>HOUR(O857)</f>
        <v>9</v>
      </c>
      <c r="AG857" s="9">
        <f>DAY(O857)</f>
        <v>18</v>
      </c>
      <c r="AH857" s="9">
        <f>IFERROR((I857-K857)*24*60,0)</f>
        <v>0.99999999278225005</v>
      </c>
      <c r="AI857" s="9">
        <f t="shared" si="17"/>
        <v>0.99999999278225005</v>
      </c>
      <c r="AJ857" s="9">
        <f>C857</f>
        <v>2082</v>
      </c>
      <c r="AK857" s="9">
        <f>IF(P857="completed",((V857-K857)*24*60),0)</f>
        <v>8.9999999979045242</v>
      </c>
      <c r="AL857" s="9">
        <f>IF(P857="completed",((U857-K857)*24*60),0)</f>
        <v>6.9999999913852662</v>
      </c>
      <c r="AM857" s="9" t="str">
        <f t="shared" si="18"/>
        <v>OTP Breached</v>
      </c>
      <c r="AN857" s="9" t="str">
        <f t="shared" si="19"/>
        <v>OTP Achieved</v>
      </c>
    </row>
    <row r="858" spans="1:40" ht="15.75" customHeight="1">
      <c r="A858" s="9" t="s">
        <v>1965</v>
      </c>
      <c r="B858" s="25">
        <v>46313.379861111112</v>
      </c>
      <c r="C858" s="9">
        <v>2845</v>
      </c>
      <c r="D858" s="9" t="s">
        <v>41</v>
      </c>
      <c r="E858" s="9">
        <v>6</v>
      </c>
      <c r="F858" s="9" t="s">
        <v>41</v>
      </c>
      <c r="G858" s="9" t="s">
        <v>41</v>
      </c>
      <c r="H858" s="9" t="s">
        <v>2681</v>
      </c>
      <c r="I858" s="25">
        <v>46313.380555555559</v>
      </c>
      <c r="J858" s="9" t="s">
        <v>41</v>
      </c>
      <c r="K858" s="25">
        <v>46313.380555555559</v>
      </c>
      <c r="L858" s="9">
        <v>17</v>
      </c>
      <c r="O858" s="25">
        <v>46313.379861111112</v>
      </c>
      <c r="P858" s="9" t="s">
        <v>43</v>
      </c>
      <c r="Q858" s="9" t="s">
        <v>1967</v>
      </c>
      <c r="R858" s="9" t="s">
        <v>2682</v>
      </c>
      <c r="S858" s="9">
        <v>4247</v>
      </c>
      <c r="T858" s="9" t="s">
        <v>41</v>
      </c>
      <c r="U858" s="25">
        <v>46313.387499999997</v>
      </c>
      <c r="V858" s="25">
        <v>46313.384722222225</v>
      </c>
      <c r="W858" s="26" t="s">
        <v>2683</v>
      </c>
      <c r="X858" s="9">
        <v>22411</v>
      </c>
      <c r="Y858" s="25"/>
      <c r="Z858" s="9">
        <v>0</v>
      </c>
      <c r="AA858" s="27">
        <v>0.37986111111111109</v>
      </c>
      <c r="AB858" s="9">
        <v>6</v>
      </c>
      <c r="AC858" s="9" t="s">
        <v>41</v>
      </c>
      <c r="AD858" s="9" t="str">
        <f t="shared" si="15"/>
        <v>Actual</v>
      </c>
      <c r="AE858" s="9" t="str">
        <f t="shared" si="16"/>
        <v>TMK7</v>
      </c>
      <c r="AF858" s="9">
        <f>HOUR(O858)</f>
        <v>9</v>
      </c>
      <c r="AG858" s="9">
        <f>DAY(O858)</f>
        <v>18</v>
      </c>
      <c r="AH858" s="9">
        <f>IFERROR((I858-K858)*24*60,0)</f>
        <v>0</v>
      </c>
      <c r="AI858" s="9">
        <f t="shared" si="17"/>
        <v>0</v>
      </c>
      <c r="AJ858" s="9">
        <f>C858</f>
        <v>2845</v>
      </c>
      <c r="AK858" s="9">
        <f>IF(P858="completed",((V858-K858)*24*60),0)</f>
        <v>5.9999999986030161</v>
      </c>
      <c r="AL858" s="9">
        <f>IF(P858="completed",((U858-K858)*24*60),0)</f>
        <v>9.9999999906867743</v>
      </c>
      <c r="AM858" s="9" t="str">
        <f t="shared" si="18"/>
        <v>OTP Achieved</v>
      </c>
      <c r="AN858" s="9" t="str">
        <f t="shared" si="19"/>
        <v>OTP Achieved</v>
      </c>
    </row>
    <row r="859" spans="1:40" ht="15.75" customHeight="1">
      <c r="A859" s="9" t="s">
        <v>2318</v>
      </c>
      <c r="B859" s="25">
        <v>46313.379861111112</v>
      </c>
      <c r="C859" s="9">
        <v>3623</v>
      </c>
      <c r="D859" s="9" t="s">
        <v>41</v>
      </c>
      <c r="E859" s="9">
        <v>8</v>
      </c>
      <c r="F859" s="9" t="s">
        <v>41</v>
      </c>
      <c r="G859" s="9" t="s">
        <v>41</v>
      </c>
      <c r="H859" s="9" t="s">
        <v>2684</v>
      </c>
      <c r="I859" s="25">
        <v>46313.379861111112</v>
      </c>
      <c r="J859" s="9" t="s">
        <v>41</v>
      </c>
      <c r="K859" s="25">
        <v>46313.379166666666</v>
      </c>
      <c r="L859" s="9">
        <v>7</v>
      </c>
      <c r="O859" s="25">
        <v>46313.378472222219</v>
      </c>
      <c r="P859" s="9" t="s">
        <v>43</v>
      </c>
      <c r="Q859" s="9" t="s">
        <v>2320</v>
      </c>
      <c r="R859" s="9" t="s">
        <v>2685</v>
      </c>
      <c r="S859" s="9">
        <v>4247</v>
      </c>
      <c r="T859" s="9" t="s">
        <v>41</v>
      </c>
      <c r="U859" s="25">
        <v>46313.388194444444</v>
      </c>
      <c r="V859" s="25">
        <v>46313.385416666664</v>
      </c>
      <c r="W859" s="26" t="s">
        <v>2686</v>
      </c>
      <c r="X859" s="9">
        <v>22411</v>
      </c>
      <c r="Z859" s="9">
        <v>0</v>
      </c>
      <c r="AA859" s="27">
        <v>0.37986111111111109</v>
      </c>
      <c r="AB859" s="9">
        <v>8</v>
      </c>
      <c r="AC859" s="9" t="s">
        <v>41</v>
      </c>
      <c r="AD859" s="9" t="str">
        <f t="shared" si="15"/>
        <v>Actual</v>
      </c>
      <c r="AE859" s="9" t="str">
        <f t="shared" si="16"/>
        <v>TMK7</v>
      </c>
      <c r="AF859" s="9">
        <f>HOUR(O859)</f>
        <v>9</v>
      </c>
      <c r="AG859" s="9">
        <f>DAY(O859)</f>
        <v>18</v>
      </c>
      <c r="AH859" s="9">
        <f>IFERROR((I859-K859)*24*60,0)</f>
        <v>1.000000003259629</v>
      </c>
      <c r="AI859" s="9">
        <f t="shared" si="17"/>
        <v>1.000000003259629</v>
      </c>
      <c r="AJ859" s="9">
        <f>C859</f>
        <v>3623</v>
      </c>
      <c r="AK859" s="9">
        <f>IF(P859="completed",((V859-K859)*24*60),0)</f>
        <v>8.9999999979045242</v>
      </c>
      <c r="AL859" s="9">
        <f>IF(P859="completed",((U859-K859)*24*60),0)</f>
        <v>13.000000000465661</v>
      </c>
      <c r="AM859" s="9" t="str">
        <f t="shared" si="18"/>
        <v>OTP Achieved</v>
      </c>
      <c r="AN859" s="9" t="str">
        <f t="shared" si="19"/>
        <v>OTP Achieved</v>
      </c>
    </row>
    <row r="860" spans="1:40" ht="15.75" customHeight="1">
      <c r="A860" s="9" t="s">
        <v>1171</v>
      </c>
      <c r="B860" s="25">
        <v>46313.378472222219</v>
      </c>
      <c r="C860" s="9">
        <v>581</v>
      </c>
      <c r="D860" s="9" t="s">
        <v>41</v>
      </c>
      <c r="E860" s="9">
        <v>3</v>
      </c>
      <c r="F860" s="9" t="s">
        <v>41</v>
      </c>
      <c r="G860" s="9" t="s">
        <v>41</v>
      </c>
      <c r="H860" s="9" t="s">
        <v>2687</v>
      </c>
      <c r="I860" s="25">
        <v>46313.379166666666</v>
      </c>
      <c r="J860" s="9" t="s">
        <v>41</v>
      </c>
      <c r="K860" s="25">
        <v>46313.379166666666</v>
      </c>
      <c r="L860" s="9">
        <v>9</v>
      </c>
      <c r="O860" s="25">
        <v>46313.37777777778</v>
      </c>
      <c r="P860" s="9" t="s">
        <v>43</v>
      </c>
      <c r="Q860" s="9" t="s">
        <v>1173</v>
      </c>
      <c r="R860" s="9" t="s">
        <v>2688</v>
      </c>
      <c r="S860" s="9">
        <v>4247</v>
      </c>
      <c r="T860" s="9" t="s">
        <v>41</v>
      </c>
      <c r="U860" s="25">
        <v>46313.381944444445</v>
      </c>
      <c r="V860" s="25">
        <v>46313.380555555559</v>
      </c>
      <c r="W860" s="26" t="s">
        <v>2689</v>
      </c>
      <c r="X860" s="9">
        <v>22411</v>
      </c>
      <c r="Z860" s="9">
        <v>0</v>
      </c>
      <c r="AA860" s="27">
        <v>0.37847222222222221</v>
      </c>
      <c r="AB860" s="9">
        <v>2</v>
      </c>
      <c r="AC860" s="9" t="s">
        <v>41</v>
      </c>
      <c r="AD860" s="9" t="str">
        <f t="shared" si="15"/>
        <v>Actual</v>
      </c>
      <c r="AE860" s="9" t="str">
        <f t="shared" si="16"/>
        <v>TMK7</v>
      </c>
      <c r="AF860" s="9">
        <f>HOUR(O860)</f>
        <v>9</v>
      </c>
      <c r="AG860" s="9">
        <f>DAY(O860)</f>
        <v>18</v>
      </c>
      <c r="AH860" s="9">
        <f>IFERROR((I860-K860)*24*60,0)</f>
        <v>0</v>
      </c>
      <c r="AI860" s="9">
        <f t="shared" si="17"/>
        <v>0</v>
      </c>
      <c r="AJ860" s="9">
        <f>C860</f>
        <v>581</v>
      </c>
      <c r="AK860" s="9">
        <f>IF(P860="completed",((V860-K860)*24*60),0)</f>
        <v>2.000000006519258</v>
      </c>
      <c r="AL860" s="9">
        <f>IF(P860="completed",((U860-K860)*24*60),0)</f>
        <v>4.0000000025611371</v>
      </c>
      <c r="AM860" s="9" t="str">
        <f t="shared" si="18"/>
        <v>OTP Achieved</v>
      </c>
      <c r="AN860" s="9" t="str">
        <f t="shared" si="19"/>
        <v>OTP Achieved</v>
      </c>
    </row>
    <row r="861" spans="1:40" ht="15.75" customHeight="1">
      <c r="A861" s="9" t="s">
        <v>1136</v>
      </c>
      <c r="B861" s="25">
        <v>46313.37777777778</v>
      </c>
      <c r="C861" s="9">
        <v>1958</v>
      </c>
      <c r="D861" s="9" t="s">
        <v>41</v>
      </c>
      <c r="E861" s="9">
        <v>7</v>
      </c>
      <c r="F861" s="9" t="s">
        <v>41</v>
      </c>
      <c r="G861" s="9" t="s">
        <v>41</v>
      </c>
      <c r="H861" s="9" t="s">
        <v>2690</v>
      </c>
      <c r="I861" s="25">
        <v>46313.378472222219</v>
      </c>
      <c r="J861" s="9" t="s">
        <v>41</v>
      </c>
      <c r="K861" s="25">
        <v>46313.378472222219</v>
      </c>
      <c r="L861" s="9">
        <v>11</v>
      </c>
      <c r="O861" s="25">
        <v>46313.37777777778</v>
      </c>
      <c r="P861" s="9" t="s">
        <v>43</v>
      </c>
      <c r="Q861" s="9" t="s">
        <v>1138</v>
      </c>
      <c r="R861" s="9" t="s">
        <v>2691</v>
      </c>
      <c r="S861" s="9">
        <v>4247</v>
      </c>
      <c r="T861" s="9" t="s">
        <v>41</v>
      </c>
      <c r="U861" s="25">
        <v>46313.384722222225</v>
      </c>
      <c r="V861" s="25">
        <v>46313.383333333331</v>
      </c>
      <c r="W861" s="26" t="s">
        <v>2692</v>
      </c>
      <c r="X861" s="9">
        <v>22411</v>
      </c>
      <c r="Z861" s="9">
        <v>0</v>
      </c>
      <c r="AA861" s="27">
        <v>0.37777777777777777</v>
      </c>
      <c r="AB861" s="9">
        <v>7</v>
      </c>
      <c r="AC861" s="9" t="s">
        <v>41</v>
      </c>
      <c r="AD861" s="9" t="str">
        <f t="shared" si="15"/>
        <v>Actual</v>
      </c>
      <c r="AE861" s="9" t="str">
        <f t="shared" si="16"/>
        <v>TMK7</v>
      </c>
      <c r="AF861" s="9">
        <f>HOUR(O861)</f>
        <v>9</v>
      </c>
      <c r="AG861" s="9">
        <f>DAY(O861)</f>
        <v>18</v>
      </c>
      <c r="AH861" s="9">
        <f>IFERROR((I861-K861)*24*60,0)</f>
        <v>0</v>
      </c>
      <c r="AI861" s="9">
        <f t="shared" si="17"/>
        <v>0</v>
      </c>
      <c r="AJ861" s="9">
        <f>C861</f>
        <v>1958</v>
      </c>
      <c r="AK861" s="9">
        <f>IF(P861="completed",((V861-K861)*24*60),0)</f>
        <v>7.0000000018626451</v>
      </c>
      <c r="AL861" s="9">
        <f>IF(P861="completed",((U861-K861)*24*60),0)</f>
        <v>9.0000000083819032</v>
      </c>
      <c r="AM861" s="9" t="str">
        <f t="shared" si="18"/>
        <v>OTP Achieved</v>
      </c>
      <c r="AN861" s="9" t="str">
        <f t="shared" si="19"/>
        <v>OTP Achieved</v>
      </c>
    </row>
    <row r="862" spans="1:40" ht="15.75" customHeight="1">
      <c r="A862" s="9" t="s">
        <v>2258</v>
      </c>
      <c r="B862" s="25">
        <v>46313.37777777778</v>
      </c>
      <c r="C862" s="9">
        <v>589</v>
      </c>
      <c r="D862" s="9" t="s">
        <v>41</v>
      </c>
      <c r="E862" s="9">
        <v>2</v>
      </c>
      <c r="F862" s="9" t="s">
        <v>41</v>
      </c>
      <c r="G862" s="9" t="s">
        <v>41</v>
      </c>
      <c r="H862" s="9" t="s">
        <v>2687</v>
      </c>
      <c r="I862" s="25">
        <v>46313.378472222219</v>
      </c>
      <c r="J862" s="9" t="s">
        <v>41</v>
      </c>
      <c r="K862" s="25">
        <v>46313.37777777778</v>
      </c>
      <c r="L862" s="9">
        <v>19</v>
      </c>
      <c r="O862" s="25">
        <v>46313.37777777778</v>
      </c>
      <c r="P862" s="9" t="s">
        <v>43</v>
      </c>
      <c r="Q862" s="9" t="s">
        <v>2260</v>
      </c>
      <c r="R862" s="9" t="s">
        <v>2693</v>
      </c>
      <c r="S862" s="9">
        <v>4247</v>
      </c>
      <c r="T862" s="9" t="s">
        <v>41</v>
      </c>
      <c r="U862" s="25">
        <v>46313.379861111112</v>
      </c>
      <c r="V862" s="25">
        <v>46313.379166666666</v>
      </c>
      <c r="W862" s="26" t="s">
        <v>2694</v>
      </c>
      <c r="X862" s="9">
        <v>22411</v>
      </c>
      <c r="Z862" s="9">
        <v>0</v>
      </c>
      <c r="AA862" s="27">
        <v>0.37777777777777777</v>
      </c>
      <c r="AB862" s="9">
        <v>2</v>
      </c>
      <c r="AC862" s="9" t="s">
        <v>41</v>
      </c>
      <c r="AD862" s="9" t="str">
        <f t="shared" si="15"/>
        <v>Actual</v>
      </c>
      <c r="AE862" s="9" t="str">
        <f t="shared" si="16"/>
        <v>TMK7</v>
      </c>
      <c r="AF862" s="9">
        <f>HOUR(O862)</f>
        <v>9</v>
      </c>
      <c r="AG862" s="9">
        <f>DAY(O862)</f>
        <v>18</v>
      </c>
      <c r="AH862" s="9">
        <f>IFERROR((I862-K862)*24*60,0)</f>
        <v>0.99999999278225005</v>
      </c>
      <c r="AI862" s="9">
        <f t="shared" si="17"/>
        <v>0.99999999278225005</v>
      </c>
      <c r="AJ862" s="9">
        <f>C862</f>
        <v>589</v>
      </c>
      <c r="AK862" s="9">
        <f>IF(P862="completed",((V862-K862)*24*60),0)</f>
        <v>1.9999999960418791</v>
      </c>
      <c r="AL862" s="9">
        <f>IF(P862="completed",((U862-K862)*24*60),0)</f>
        <v>2.9999999993015081</v>
      </c>
      <c r="AM862" s="9" t="str">
        <f t="shared" si="18"/>
        <v>OTP Achieved</v>
      </c>
      <c r="AN862" s="9" t="str">
        <f t="shared" si="19"/>
        <v>OTP Achieved</v>
      </c>
    </row>
    <row r="863" spans="1:40" ht="15.75" customHeight="1">
      <c r="A863" s="9" t="s">
        <v>347</v>
      </c>
      <c r="B863" s="25">
        <v>46313.377083333333</v>
      </c>
      <c r="C863" s="9">
        <v>1201</v>
      </c>
      <c r="D863" s="9" t="s">
        <v>41</v>
      </c>
      <c r="E863" s="9">
        <v>3</v>
      </c>
      <c r="F863" s="9" t="s">
        <v>41</v>
      </c>
      <c r="G863" s="9" t="s">
        <v>41</v>
      </c>
      <c r="H863" s="9" t="s">
        <v>2695</v>
      </c>
      <c r="I863" s="25">
        <v>46313.37777777778</v>
      </c>
      <c r="J863" s="9" t="s">
        <v>41</v>
      </c>
      <c r="K863" s="25">
        <v>46313.37777777778</v>
      </c>
      <c r="L863" s="9">
        <v>18</v>
      </c>
      <c r="O863" s="25">
        <v>46313.377083333333</v>
      </c>
      <c r="P863" s="9" t="s">
        <v>43</v>
      </c>
      <c r="Q863" s="9" t="s">
        <v>349</v>
      </c>
      <c r="R863" s="9" t="s">
        <v>2696</v>
      </c>
      <c r="S863" s="9">
        <v>4247</v>
      </c>
      <c r="T863" s="9" t="s">
        <v>41</v>
      </c>
      <c r="U863" s="25">
        <v>46313.380555555559</v>
      </c>
      <c r="V863" s="25">
        <v>46313.379861111112</v>
      </c>
      <c r="W863" s="26" t="s">
        <v>2697</v>
      </c>
      <c r="X863" s="9">
        <v>22411</v>
      </c>
      <c r="Y863" s="25"/>
      <c r="Z863" s="9">
        <v>0</v>
      </c>
      <c r="AA863" s="27">
        <v>0.37708333333333333</v>
      </c>
      <c r="AB863" s="9">
        <v>3</v>
      </c>
      <c r="AC863" s="9" t="s">
        <v>41</v>
      </c>
      <c r="AD863" s="9" t="str">
        <f t="shared" si="15"/>
        <v>Actual</v>
      </c>
      <c r="AE863" s="9" t="str">
        <f t="shared" si="16"/>
        <v>TMK7</v>
      </c>
      <c r="AF863" s="9">
        <f>HOUR(O863)</f>
        <v>9</v>
      </c>
      <c r="AG863" s="9">
        <f>DAY(O863)</f>
        <v>18</v>
      </c>
      <c r="AH863" s="9">
        <f>IFERROR((I863-K863)*24*60,0)</f>
        <v>0</v>
      </c>
      <c r="AI863" s="9">
        <f t="shared" si="17"/>
        <v>0</v>
      </c>
      <c r="AJ863" s="9">
        <f>C863</f>
        <v>1201</v>
      </c>
      <c r="AK863" s="9">
        <f>IF(P863="completed",((V863-K863)*24*60),0)</f>
        <v>2.9999999993015081</v>
      </c>
      <c r="AL863" s="9">
        <f>IF(P863="completed",((U863-K863)*24*60),0)</f>
        <v>4.0000000025611371</v>
      </c>
      <c r="AM863" s="9" t="str">
        <f t="shared" si="18"/>
        <v>OTP Achieved</v>
      </c>
      <c r="AN863" s="9" t="str">
        <f t="shared" si="19"/>
        <v>OTP Achieved</v>
      </c>
    </row>
    <row r="864" spans="1:40" ht="15.75" customHeight="1">
      <c r="A864" s="9" t="s">
        <v>2247</v>
      </c>
      <c r="B864" s="25">
        <v>46313.376388888886</v>
      </c>
      <c r="C864" s="9">
        <v>2151</v>
      </c>
      <c r="D864" s="9" t="s">
        <v>41</v>
      </c>
      <c r="E864" s="9">
        <v>8</v>
      </c>
      <c r="F864" s="9" t="s">
        <v>41</v>
      </c>
      <c r="G864" s="9" t="s">
        <v>41</v>
      </c>
      <c r="H864" s="9" t="s">
        <v>2698</v>
      </c>
      <c r="I864" s="25">
        <v>46313.377083333333</v>
      </c>
      <c r="J864" s="9" t="s">
        <v>41</v>
      </c>
      <c r="K864" s="25">
        <v>46313.377083333333</v>
      </c>
      <c r="L864" s="9">
        <v>26</v>
      </c>
      <c r="O864" s="25">
        <v>46313.376388888886</v>
      </c>
      <c r="P864" s="9" t="s">
        <v>43</v>
      </c>
      <c r="Q864" s="9" t="s">
        <v>2249</v>
      </c>
      <c r="R864" s="9" t="s">
        <v>2699</v>
      </c>
      <c r="S864" s="9">
        <v>4247</v>
      </c>
      <c r="T864" s="9" t="s">
        <v>41</v>
      </c>
      <c r="U864" s="25">
        <v>46313.383333333331</v>
      </c>
      <c r="V864" s="25">
        <v>46313.382638888892</v>
      </c>
      <c r="W864" s="26" t="s">
        <v>2700</v>
      </c>
      <c r="X864" s="9">
        <v>22411</v>
      </c>
      <c r="Y864" s="25"/>
      <c r="Z864" s="9">
        <v>0</v>
      </c>
      <c r="AA864" s="27">
        <v>0.37638888888888888</v>
      </c>
      <c r="AB864" s="9">
        <v>8</v>
      </c>
      <c r="AC864" s="9" t="s">
        <v>41</v>
      </c>
      <c r="AD864" s="9" t="str">
        <f t="shared" si="15"/>
        <v>Actual</v>
      </c>
      <c r="AE864" s="9" t="str">
        <f t="shared" si="16"/>
        <v>TMK7</v>
      </c>
      <c r="AF864" s="9">
        <f>HOUR(O864)</f>
        <v>9</v>
      </c>
      <c r="AG864" s="9">
        <f>DAY(O864)</f>
        <v>18</v>
      </c>
      <c r="AH864" s="9">
        <f>IFERROR((I864-K864)*24*60,0)</f>
        <v>0</v>
      </c>
      <c r="AI864" s="9">
        <f t="shared" si="17"/>
        <v>0</v>
      </c>
      <c r="AJ864" s="9">
        <f>C864</f>
        <v>2151</v>
      </c>
      <c r="AK864" s="9">
        <f>IF(P864="completed",((V864-K864)*24*60),0)</f>
        <v>8.0000000051222742</v>
      </c>
      <c r="AL864" s="9">
        <f>IF(P864="completed",((U864-K864)*24*60),0)</f>
        <v>8.9999999979045242</v>
      </c>
      <c r="AM864" s="9" t="str">
        <f t="shared" si="18"/>
        <v>OTP Achieved</v>
      </c>
      <c r="AN864" s="9" t="str">
        <f t="shared" si="19"/>
        <v>OTP Achieved</v>
      </c>
    </row>
    <row r="865" spans="1:40" ht="15.75" customHeight="1">
      <c r="A865" s="9" t="s">
        <v>98</v>
      </c>
      <c r="B865" s="25">
        <v>46313.375694444447</v>
      </c>
      <c r="C865" s="9">
        <v>1322</v>
      </c>
      <c r="D865" s="9" t="s">
        <v>41</v>
      </c>
      <c r="E865" s="9">
        <v>4</v>
      </c>
      <c r="F865" s="9" t="s">
        <v>41</v>
      </c>
      <c r="G865" s="9" t="s">
        <v>41</v>
      </c>
      <c r="H865" s="9" t="s">
        <v>2701</v>
      </c>
      <c r="I865" s="25">
        <v>46313.376388888886</v>
      </c>
      <c r="J865" s="9" t="s">
        <v>41</v>
      </c>
      <c r="K865" s="25">
        <v>46313.376388888886</v>
      </c>
      <c r="L865" s="9">
        <v>16</v>
      </c>
      <c r="O865" s="25">
        <v>46313.375694444447</v>
      </c>
      <c r="P865" s="9" t="s">
        <v>43</v>
      </c>
      <c r="Q865" s="9" t="s">
        <v>100</v>
      </c>
      <c r="R865" s="9" t="s">
        <v>2702</v>
      </c>
      <c r="S865" s="9">
        <v>4247</v>
      </c>
      <c r="T865" s="9" t="s">
        <v>41</v>
      </c>
      <c r="U865" s="25">
        <v>46313.379861111112</v>
      </c>
      <c r="V865" s="25">
        <v>46313.379166666666</v>
      </c>
      <c r="W865" s="26" t="s">
        <v>2703</v>
      </c>
      <c r="X865" s="9">
        <v>22411</v>
      </c>
      <c r="Y865" s="25"/>
      <c r="Z865" s="9">
        <v>0</v>
      </c>
      <c r="AA865" s="27">
        <v>0.37569444444444444</v>
      </c>
      <c r="AB865" s="9">
        <v>3</v>
      </c>
      <c r="AC865" s="9" t="s">
        <v>41</v>
      </c>
      <c r="AD865" s="9" t="str">
        <f t="shared" si="15"/>
        <v>Actual</v>
      </c>
      <c r="AE865" s="9" t="str">
        <f t="shared" si="16"/>
        <v>TMK7</v>
      </c>
      <c r="AF865" s="9">
        <f>HOUR(O865)</f>
        <v>9</v>
      </c>
      <c r="AG865" s="9">
        <f>DAY(O865)</f>
        <v>18</v>
      </c>
      <c r="AH865" s="9">
        <f>IFERROR((I865-K865)*24*60,0)</f>
        <v>0</v>
      </c>
      <c r="AI865" s="9">
        <f t="shared" si="17"/>
        <v>0</v>
      </c>
      <c r="AJ865" s="9">
        <f>C865</f>
        <v>1322</v>
      </c>
      <c r="AK865" s="9">
        <f>IF(P865="completed",((V865-K865)*24*60),0)</f>
        <v>4.0000000025611371</v>
      </c>
      <c r="AL865" s="9">
        <f>IF(P865="completed",((U865-K865)*24*60),0)</f>
        <v>5.0000000058207661</v>
      </c>
      <c r="AM865" s="9" t="str">
        <f t="shared" si="18"/>
        <v>OTP Achieved</v>
      </c>
      <c r="AN865" s="9" t="str">
        <f t="shared" si="19"/>
        <v>OTP Achieved</v>
      </c>
    </row>
    <row r="866" spans="1:40" ht="15.75" customHeight="1">
      <c r="A866" s="9" t="s">
        <v>655</v>
      </c>
      <c r="B866" s="25">
        <v>46313.375694444447</v>
      </c>
      <c r="C866" s="9">
        <v>2660</v>
      </c>
      <c r="D866" s="9" t="s">
        <v>41</v>
      </c>
      <c r="E866" s="9">
        <v>6</v>
      </c>
      <c r="F866" s="9" t="s">
        <v>41</v>
      </c>
      <c r="G866" s="9" t="s">
        <v>41</v>
      </c>
      <c r="H866" s="9" t="s">
        <v>2704</v>
      </c>
      <c r="I866" s="25">
        <v>46313.375694444447</v>
      </c>
      <c r="J866" s="9" t="s">
        <v>41</v>
      </c>
      <c r="K866" s="25">
        <v>46313.375694444447</v>
      </c>
      <c r="L866" s="9">
        <v>24</v>
      </c>
      <c r="O866" s="25">
        <v>46313.375</v>
      </c>
      <c r="P866" s="9" t="s">
        <v>43</v>
      </c>
      <c r="Q866" s="9" t="s">
        <v>657</v>
      </c>
      <c r="R866" s="9" t="s">
        <v>2705</v>
      </c>
      <c r="S866" s="9">
        <v>4247</v>
      </c>
      <c r="T866" s="9" t="s">
        <v>41</v>
      </c>
      <c r="U866" s="25">
        <v>46313.381944444445</v>
      </c>
      <c r="V866" s="25">
        <v>46313.379861111112</v>
      </c>
      <c r="W866" s="26" t="s">
        <v>2706</v>
      </c>
      <c r="X866" s="9">
        <v>22411</v>
      </c>
      <c r="Z866" s="9">
        <v>0</v>
      </c>
      <c r="AA866" s="27">
        <v>0.37569444444444444</v>
      </c>
      <c r="AB866" s="9">
        <v>6</v>
      </c>
      <c r="AC866" s="9" t="s">
        <v>41</v>
      </c>
      <c r="AD866" s="9" t="str">
        <f t="shared" si="15"/>
        <v>Actual</v>
      </c>
      <c r="AE866" s="9" t="str">
        <f t="shared" si="16"/>
        <v>TMK7</v>
      </c>
      <c r="AF866" s="9">
        <f>HOUR(O866)</f>
        <v>9</v>
      </c>
      <c r="AG866" s="9">
        <f>DAY(O866)</f>
        <v>18</v>
      </c>
      <c r="AH866" s="9">
        <f>IFERROR((I866-K866)*24*60,0)</f>
        <v>0</v>
      </c>
      <c r="AI866" s="9">
        <f t="shared" si="17"/>
        <v>0</v>
      </c>
      <c r="AJ866" s="9">
        <f>C866</f>
        <v>2660</v>
      </c>
      <c r="AK866" s="9">
        <f>IF(P866="completed",((V866-K866)*24*60),0)</f>
        <v>5.9999999986030161</v>
      </c>
      <c r="AL866" s="9">
        <f>IF(P866="completed",((U866-K866)*24*60),0)</f>
        <v>8.9999999979045242</v>
      </c>
      <c r="AM866" s="9" t="str">
        <f t="shared" si="18"/>
        <v>OTP Achieved</v>
      </c>
      <c r="AN866" s="9" t="str">
        <f t="shared" si="19"/>
        <v>OTP Achieved</v>
      </c>
    </row>
    <row r="867" spans="1:40" ht="15.75" customHeight="1">
      <c r="A867" s="9" t="s">
        <v>1336</v>
      </c>
      <c r="B867" s="25">
        <v>46313.375694444447</v>
      </c>
      <c r="C867" s="9">
        <v>2390</v>
      </c>
      <c r="D867" s="9" t="s">
        <v>41</v>
      </c>
      <c r="E867" s="9">
        <v>6</v>
      </c>
      <c r="F867" s="9" t="s">
        <v>41</v>
      </c>
      <c r="G867" s="9" t="s">
        <v>41</v>
      </c>
      <c r="H867" s="9" t="s">
        <v>2707</v>
      </c>
      <c r="I867" s="25">
        <v>46313.376388888886</v>
      </c>
      <c r="J867" s="9" t="s">
        <v>41</v>
      </c>
      <c r="K867" s="25">
        <v>46313.376388888886</v>
      </c>
      <c r="L867" s="9">
        <v>9</v>
      </c>
      <c r="O867" s="25">
        <v>46313.375</v>
      </c>
      <c r="P867" s="9" t="s">
        <v>43</v>
      </c>
      <c r="Q867" s="9" t="s">
        <v>1338</v>
      </c>
      <c r="R867" s="9" t="s">
        <v>2708</v>
      </c>
      <c r="S867" s="9">
        <v>4247</v>
      </c>
      <c r="T867" s="9" t="s">
        <v>41</v>
      </c>
      <c r="U867" s="25">
        <v>46313.381249999999</v>
      </c>
      <c r="V867" s="25">
        <v>46313.380555555559</v>
      </c>
      <c r="W867" s="26" t="s">
        <v>2709</v>
      </c>
      <c r="X867" s="9">
        <v>22411</v>
      </c>
      <c r="Y867" s="25"/>
      <c r="Z867" s="9">
        <v>0</v>
      </c>
      <c r="AA867" s="27">
        <v>0.37569444444444444</v>
      </c>
      <c r="AB867" s="9">
        <v>6</v>
      </c>
      <c r="AC867" s="9" t="s">
        <v>41</v>
      </c>
      <c r="AD867" s="9" t="str">
        <f t="shared" si="15"/>
        <v>Actual</v>
      </c>
      <c r="AE867" s="9" t="str">
        <f t="shared" si="16"/>
        <v>TMK7</v>
      </c>
      <c r="AF867" s="9">
        <f>HOUR(O867)</f>
        <v>9</v>
      </c>
      <c r="AG867" s="9">
        <f>DAY(O867)</f>
        <v>18</v>
      </c>
      <c r="AH867" s="9">
        <f>IFERROR((I867-K867)*24*60,0)</f>
        <v>0</v>
      </c>
      <c r="AI867" s="9">
        <f t="shared" si="17"/>
        <v>0</v>
      </c>
      <c r="AJ867" s="9">
        <f>C867</f>
        <v>2390</v>
      </c>
      <c r="AK867" s="9">
        <f>IF(P867="completed",((V867-K867)*24*60),0)</f>
        <v>6.0000000090803951</v>
      </c>
      <c r="AL867" s="9">
        <f>IF(P867="completed",((U867-K867)*24*60),0)</f>
        <v>7.0000000018626451</v>
      </c>
      <c r="AM867" s="9" t="str">
        <f t="shared" si="18"/>
        <v>OTP Achieved</v>
      </c>
      <c r="AN867" s="9" t="str">
        <f t="shared" si="19"/>
        <v>OTP Achieved</v>
      </c>
    </row>
    <row r="868" spans="1:40" ht="15.75" customHeight="1">
      <c r="A868" s="9" t="s">
        <v>185</v>
      </c>
      <c r="B868" s="25">
        <v>46313.375</v>
      </c>
      <c r="C868" s="9">
        <v>1482</v>
      </c>
      <c r="D868" s="9" t="s">
        <v>41</v>
      </c>
      <c r="E868" s="9">
        <v>5</v>
      </c>
      <c r="F868" s="9" t="s">
        <v>41</v>
      </c>
      <c r="G868" s="9" t="s">
        <v>41</v>
      </c>
      <c r="H868" s="9" t="s">
        <v>2710</v>
      </c>
      <c r="I868" s="25">
        <v>46313.376388888886</v>
      </c>
      <c r="J868" s="9" t="s">
        <v>41</v>
      </c>
      <c r="K868" s="25">
        <v>46313.375694444447</v>
      </c>
      <c r="L868" s="9">
        <v>42</v>
      </c>
      <c r="O868" s="25">
        <v>46313.375</v>
      </c>
      <c r="P868" s="9" t="s">
        <v>43</v>
      </c>
      <c r="Q868" s="9" t="s">
        <v>187</v>
      </c>
      <c r="R868" s="9" t="s">
        <v>2711</v>
      </c>
      <c r="S868" s="9">
        <v>4247</v>
      </c>
      <c r="T868" s="9" t="s">
        <v>41</v>
      </c>
      <c r="U868" s="25">
        <v>46313.379861111112</v>
      </c>
      <c r="V868" s="25">
        <v>46313.379166666666</v>
      </c>
      <c r="W868" s="26" t="s">
        <v>2712</v>
      </c>
      <c r="X868" s="9">
        <v>22411</v>
      </c>
      <c r="Y868" s="25"/>
      <c r="Z868" s="9">
        <v>0</v>
      </c>
      <c r="AA868" s="27">
        <v>0.375</v>
      </c>
      <c r="AB868" s="9">
        <v>5</v>
      </c>
      <c r="AC868" s="9" t="s">
        <v>41</v>
      </c>
      <c r="AD868" s="9" t="str">
        <f t="shared" si="15"/>
        <v>Actual</v>
      </c>
      <c r="AE868" s="9" t="str">
        <f t="shared" si="16"/>
        <v>TMK7</v>
      </c>
      <c r="AF868" s="9">
        <f>HOUR(O868)</f>
        <v>9</v>
      </c>
      <c r="AG868" s="9">
        <f>DAY(O868)</f>
        <v>18</v>
      </c>
      <c r="AH868" s="9">
        <f>IFERROR((I868-K868)*24*60,0)</f>
        <v>0.99999999278225005</v>
      </c>
      <c r="AI868" s="9">
        <f t="shared" si="17"/>
        <v>0.99999999278225005</v>
      </c>
      <c r="AJ868" s="9">
        <f>C868</f>
        <v>1482</v>
      </c>
      <c r="AK868" s="9">
        <f>IF(P868="completed",((V868-K868)*24*60),0)</f>
        <v>4.9999999953433871</v>
      </c>
      <c r="AL868" s="9">
        <f>IF(P868="completed",((U868-K868)*24*60),0)</f>
        <v>5.9999999986030161</v>
      </c>
      <c r="AM868" s="9" t="str">
        <f t="shared" si="18"/>
        <v>OTP Achieved</v>
      </c>
      <c r="AN868" s="9" t="str">
        <f t="shared" si="19"/>
        <v>OTP Achieved</v>
      </c>
    </row>
    <row r="869" spans="1:40" ht="15.75" customHeight="1">
      <c r="A869" s="9" t="s">
        <v>1461</v>
      </c>
      <c r="B869" s="25">
        <v>46313.374305555553</v>
      </c>
      <c r="C869" s="9">
        <v>2423</v>
      </c>
      <c r="D869" s="9" t="s">
        <v>41</v>
      </c>
      <c r="E869" s="9">
        <v>6</v>
      </c>
      <c r="F869" s="9" t="s">
        <v>41</v>
      </c>
      <c r="G869" s="9" t="s">
        <v>41</v>
      </c>
      <c r="H869" s="9" t="s">
        <v>2713</v>
      </c>
      <c r="I869" s="25">
        <v>46313.375</v>
      </c>
      <c r="J869" s="9" t="s">
        <v>41</v>
      </c>
      <c r="K869" s="25">
        <v>46313.375</v>
      </c>
      <c r="L869" s="9">
        <v>22</v>
      </c>
      <c r="O869" s="25">
        <v>46313.374305555553</v>
      </c>
      <c r="P869" s="9" t="s">
        <v>43</v>
      </c>
      <c r="Q869" s="9" t="s">
        <v>1463</v>
      </c>
      <c r="R869" s="9" t="s">
        <v>2714</v>
      </c>
      <c r="S869" s="9">
        <v>4247</v>
      </c>
      <c r="T869" s="9" t="s">
        <v>41</v>
      </c>
      <c r="U869" s="25">
        <v>46313.381249999999</v>
      </c>
      <c r="V869" s="25">
        <v>46313.379861111112</v>
      </c>
      <c r="W869" s="26" t="s">
        <v>2715</v>
      </c>
      <c r="X869" s="9">
        <v>22411</v>
      </c>
      <c r="Z869" s="9">
        <v>0</v>
      </c>
      <c r="AA869" s="27">
        <v>0.37430555555555556</v>
      </c>
      <c r="AB869" s="9">
        <v>6</v>
      </c>
      <c r="AC869" s="9" t="s">
        <v>41</v>
      </c>
      <c r="AD869" s="9" t="str">
        <f t="shared" si="15"/>
        <v>Actual</v>
      </c>
      <c r="AE869" s="9" t="str">
        <f t="shared" si="16"/>
        <v>TMK7</v>
      </c>
      <c r="AF869" s="9">
        <f>HOUR(O869)</f>
        <v>8</v>
      </c>
      <c r="AG869" s="9">
        <f>DAY(O869)</f>
        <v>18</v>
      </c>
      <c r="AH869" s="9">
        <f>IFERROR((I869-K869)*24*60,0)</f>
        <v>0</v>
      </c>
      <c r="AI869" s="9">
        <f t="shared" si="17"/>
        <v>0</v>
      </c>
      <c r="AJ869" s="9">
        <f>C869</f>
        <v>2423</v>
      </c>
      <c r="AK869" s="9">
        <f>IF(P869="completed",((V869-K869)*24*60),0)</f>
        <v>7.0000000018626451</v>
      </c>
      <c r="AL869" s="9">
        <f>IF(P869="completed",((U869-K869)*24*60),0)</f>
        <v>8.9999999979045242</v>
      </c>
      <c r="AM869" s="9" t="str">
        <f t="shared" si="18"/>
        <v>OTP Achieved</v>
      </c>
      <c r="AN869" s="9" t="str">
        <f t="shared" si="19"/>
        <v>OTP Achieved</v>
      </c>
    </row>
    <row r="870" spans="1:40" ht="15.75" customHeight="1">
      <c r="A870" s="9" t="s">
        <v>1391</v>
      </c>
      <c r="B870" s="25">
        <v>46313.375</v>
      </c>
      <c r="C870" s="9">
        <v>1945</v>
      </c>
      <c r="D870" s="9" t="s">
        <v>41</v>
      </c>
      <c r="E870" s="9">
        <v>4</v>
      </c>
      <c r="F870" s="9" t="s">
        <v>41</v>
      </c>
      <c r="G870" s="9" t="s">
        <v>41</v>
      </c>
      <c r="H870" s="9" t="s">
        <v>2716</v>
      </c>
      <c r="I870" s="25">
        <v>46313.375694444447</v>
      </c>
      <c r="J870" s="9" t="s">
        <v>41</v>
      </c>
      <c r="K870" s="25">
        <v>46313.375</v>
      </c>
      <c r="L870" s="9">
        <v>20</v>
      </c>
      <c r="O870" s="25">
        <v>46313.374305555553</v>
      </c>
      <c r="P870" s="9" t="s">
        <v>43</v>
      </c>
      <c r="Q870" s="9" t="s">
        <v>1393</v>
      </c>
      <c r="R870" s="9" t="s">
        <v>2717</v>
      </c>
      <c r="S870" s="9">
        <v>4247</v>
      </c>
      <c r="T870" s="9" t="s">
        <v>41</v>
      </c>
      <c r="U870" s="25">
        <v>46313.379861111112</v>
      </c>
      <c r="V870" s="25">
        <v>46313.378472222219</v>
      </c>
      <c r="W870" s="26" t="s">
        <v>2718</v>
      </c>
      <c r="X870" s="9">
        <v>22411</v>
      </c>
      <c r="Y870" s="25"/>
      <c r="Z870" s="9">
        <v>0</v>
      </c>
      <c r="AA870" s="27">
        <v>0.375</v>
      </c>
      <c r="AB870" s="9">
        <v>4</v>
      </c>
      <c r="AC870" s="9" t="s">
        <v>41</v>
      </c>
      <c r="AD870" s="9" t="str">
        <f t="shared" si="15"/>
        <v>Actual</v>
      </c>
      <c r="AE870" s="9" t="str">
        <f t="shared" si="16"/>
        <v>TMK7</v>
      </c>
      <c r="AF870" s="9">
        <f>HOUR(O870)</f>
        <v>8</v>
      </c>
      <c r="AG870" s="9">
        <f>DAY(O870)</f>
        <v>18</v>
      </c>
      <c r="AH870" s="9">
        <f>IFERROR((I870-K870)*24*60,0)</f>
        <v>1.000000003259629</v>
      </c>
      <c r="AI870" s="9">
        <f t="shared" si="17"/>
        <v>1.000000003259629</v>
      </c>
      <c r="AJ870" s="9">
        <f>C870</f>
        <v>1945</v>
      </c>
      <c r="AK870" s="9">
        <f>IF(P870="completed",((V870-K870)*24*60),0)</f>
        <v>4.9999999953433871</v>
      </c>
      <c r="AL870" s="9">
        <f>IF(P870="completed",((U870-K870)*24*60),0)</f>
        <v>7.0000000018626451</v>
      </c>
      <c r="AM870" s="9" t="str">
        <f t="shared" si="18"/>
        <v>OTP Achieved</v>
      </c>
      <c r="AN870" s="9" t="str">
        <f t="shared" si="19"/>
        <v>OTP Achieved</v>
      </c>
    </row>
    <row r="871" spans="1:40" ht="15.75" customHeight="1">
      <c r="A871" s="9" t="s">
        <v>177</v>
      </c>
      <c r="B871" s="25">
        <v>46313.374305555553</v>
      </c>
      <c r="C871" s="9">
        <v>2245</v>
      </c>
      <c r="D871" s="9" t="s">
        <v>41</v>
      </c>
      <c r="E871" s="9">
        <v>6</v>
      </c>
      <c r="F871" s="9" t="s">
        <v>41</v>
      </c>
      <c r="G871" s="9" t="s">
        <v>41</v>
      </c>
      <c r="H871" s="9" t="s">
        <v>2719</v>
      </c>
      <c r="I871" s="25">
        <v>46313.375</v>
      </c>
      <c r="J871" s="9" t="s">
        <v>41</v>
      </c>
      <c r="K871" s="25">
        <v>46313.374305555553</v>
      </c>
      <c r="L871" s="9">
        <v>15</v>
      </c>
      <c r="O871" s="25">
        <v>46313.374305555553</v>
      </c>
      <c r="P871" s="9" t="s">
        <v>43</v>
      </c>
      <c r="Q871" s="9" t="s">
        <v>179</v>
      </c>
      <c r="R871" s="9" t="s">
        <v>2720</v>
      </c>
      <c r="S871" s="9">
        <v>4247</v>
      </c>
      <c r="T871" s="9" t="s">
        <v>41</v>
      </c>
      <c r="U871" s="25">
        <v>46313.379861111112</v>
      </c>
      <c r="V871" s="25">
        <v>46313.378472222219</v>
      </c>
      <c r="W871" s="26" t="s">
        <v>2721</v>
      </c>
      <c r="X871" s="9">
        <v>22411</v>
      </c>
      <c r="Z871" s="9">
        <v>0</v>
      </c>
      <c r="AA871" s="27">
        <v>0.37430555555555556</v>
      </c>
      <c r="AB871" s="9">
        <v>5</v>
      </c>
      <c r="AC871" s="9" t="s">
        <v>41</v>
      </c>
      <c r="AD871" s="9" t="str">
        <f t="shared" si="15"/>
        <v>Actual</v>
      </c>
      <c r="AE871" s="9" t="str">
        <f t="shared" si="16"/>
        <v>TMK7</v>
      </c>
      <c r="AF871" s="9">
        <f>HOUR(O871)</f>
        <v>8</v>
      </c>
      <c r="AG871" s="9">
        <f>DAY(O871)</f>
        <v>18</v>
      </c>
      <c r="AH871" s="9">
        <f>IFERROR((I871-K871)*24*60,0)</f>
        <v>1.000000003259629</v>
      </c>
      <c r="AI871" s="9">
        <f t="shared" si="17"/>
        <v>1.000000003259629</v>
      </c>
      <c r="AJ871" s="9">
        <f>C871</f>
        <v>2245</v>
      </c>
      <c r="AK871" s="9">
        <f>IF(P871="completed",((V871-K871)*24*60),0)</f>
        <v>5.9999999986030161</v>
      </c>
      <c r="AL871" s="9">
        <f>IF(P871="completed",((U871-K871)*24*60),0)</f>
        <v>8.0000000051222742</v>
      </c>
      <c r="AM871" s="9" t="str">
        <f t="shared" si="18"/>
        <v>OTP Achieved</v>
      </c>
      <c r="AN871" s="9" t="str">
        <f t="shared" si="19"/>
        <v>OTP Achieved</v>
      </c>
    </row>
    <row r="872" spans="1:40" ht="15.75" customHeight="1">
      <c r="A872" s="9" t="s">
        <v>1624</v>
      </c>
      <c r="B872" s="25">
        <v>46313.372916666667</v>
      </c>
      <c r="C872" s="9">
        <v>1293</v>
      </c>
      <c r="D872" s="9" t="s">
        <v>41</v>
      </c>
      <c r="E872" s="9">
        <v>4</v>
      </c>
      <c r="F872" s="9" t="s">
        <v>41</v>
      </c>
      <c r="G872" s="9" t="s">
        <v>41</v>
      </c>
      <c r="H872" s="9" t="s">
        <v>2722</v>
      </c>
      <c r="I872" s="25">
        <v>46313.373611111114</v>
      </c>
      <c r="J872" s="9" t="s">
        <v>41</v>
      </c>
      <c r="K872" s="25">
        <v>46313.373611111114</v>
      </c>
      <c r="L872" s="9">
        <v>37</v>
      </c>
      <c r="O872" s="25">
        <v>46313.372916666667</v>
      </c>
      <c r="P872" s="9" t="s">
        <v>43</v>
      </c>
      <c r="Q872" s="9" t="s">
        <v>1626</v>
      </c>
      <c r="R872" s="9" t="s">
        <v>2723</v>
      </c>
      <c r="S872" s="9">
        <v>4247</v>
      </c>
      <c r="T872" s="9" t="s">
        <v>41</v>
      </c>
      <c r="U872" s="25">
        <v>46313.37777777778</v>
      </c>
      <c r="V872" s="25">
        <v>46313.376388888886</v>
      </c>
      <c r="W872" s="26" t="s">
        <v>2724</v>
      </c>
      <c r="X872" s="9">
        <v>22411</v>
      </c>
      <c r="Z872" s="9">
        <v>0</v>
      </c>
      <c r="AA872" s="27">
        <v>0.37291666666666667</v>
      </c>
      <c r="AB872" s="9">
        <v>3</v>
      </c>
      <c r="AC872" s="9" t="s">
        <v>41</v>
      </c>
      <c r="AD872" s="9" t="str">
        <f t="shared" si="15"/>
        <v>Actual</v>
      </c>
      <c r="AE872" s="9" t="str">
        <f t="shared" si="16"/>
        <v>TMK7</v>
      </c>
      <c r="AF872" s="9">
        <f>HOUR(O872)</f>
        <v>8</v>
      </c>
      <c r="AG872" s="9">
        <f>DAY(O872)</f>
        <v>18</v>
      </c>
      <c r="AH872" s="9">
        <f>IFERROR((I872-K872)*24*60,0)</f>
        <v>0</v>
      </c>
      <c r="AI872" s="9">
        <f t="shared" si="17"/>
        <v>0</v>
      </c>
      <c r="AJ872" s="9">
        <f>C872</f>
        <v>1293</v>
      </c>
      <c r="AK872" s="9">
        <f>IF(P872="completed",((V872-K872)*24*60),0)</f>
        <v>3.9999999920837581</v>
      </c>
      <c r="AL872" s="9">
        <f>IF(P872="completed",((U872-K872)*24*60),0)</f>
        <v>5.9999999986030161</v>
      </c>
      <c r="AM872" s="9" t="str">
        <f t="shared" si="18"/>
        <v>OTP Achieved</v>
      </c>
      <c r="AN872" s="9" t="str">
        <f t="shared" si="19"/>
        <v>OTP Achieved</v>
      </c>
    </row>
    <row r="873" spans="1:40" ht="15.75" customHeight="1">
      <c r="A873" s="9" t="s">
        <v>1365</v>
      </c>
      <c r="B873" s="25">
        <v>46313.37222222222</v>
      </c>
      <c r="C873" s="9">
        <v>2101</v>
      </c>
      <c r="D873" s="9" t="s">
        <v>41</v>
      </c>
      <c r="E873" s="9">
        <v>6</v>
      </c>
      <c r="F873" s="9" t="s">
        <v>41</v>
      </c>
      <c r="G873" s="9" t="s">
        <v>41</v>
      </c>
      <c r="H873" s="9" t="s">
        <v>2725</v>
      </c>
      <c r="I873" s="25">
        <v>46313.373611111114</v>
      </c>
      <c r="J873" s="9" t="s">
        <v>41</v>
      </c>
      <c r="K873" s="25">
        <v>46313.372916666667</v>
      </c>
      <c r="L873" s="9">
        <v>56</v>
      </c>
      <c r="O873" s="25">
        <v>46313.37222222222</v>
      </c>
      <c r="P873" s="9" t="s">
        <v>43</v>
      </c>
      <c r="Q873" s="9" t="s">
        <v>1367</v>
      </c>
      <c r="R873" s="9" t="s">
        <v>2726</v>
      </c>
      <c r="S873" s="9">
        <v>4247</v>
      </c>
      <c r="T873" s="9" t="s">
        <v>41</v>
      </c>
      <c r="U873" s="25">
        <v>46313.378472222219</v>
      </c>
      <c r="V873" s="25">
        <v>46313.37777777778</v>
      </c>
      <c r="W873" s="26" t="s">
        <v>2727</v>
      </c>
      <c r="X873" s="9">
        <v>22411</v>
      </c>
      <c r="Z873" s="9">
        <v>0</v>
      </c>
      <c r="AA873" s="27">
        <v>0.37222222222222223</v>
      </c>
      <c r="AB873" s="9">
        <v>5</v>
      </c>
      <c r="AC873" s="9" t="s">
        <v>41</v>
      </c>
      <c r="AD873" s="9" t="str">
        <f t="shared" si="15"/>
        <v>Actual</v>
      </c>
      <c r="AE873" s="9" t="str">
        <f t="shared" si="16"/>
        <v>TMK7</v>
      </c>
      <c r="AF873" s="9">
        <f>HOUR(O873)</f>
        <v>8</v>
      </c>
      <c r="AG873" s="9">
        <f>DAY(O873)</f>
        <v>18</v>
      </c>
      <c r="AH873" s="9">
        <f>IFERROR((I873-K873)*24*60,0)</f>
        <v>1.000000003259629</v>
      </c>
      <c r="AI873" s="9">
        <f t="shared" si="17"/>
        <v>1.000000003259629</v>
      </c>
      <c r="AJ873" s="9">
        <f>C873</f>
        <v>2101</v>
      </c>
      <c r="AK873" s="9">
        <f>IF(P873="completed",((V873-K873)*24*60),0)</f>
        <v>7.0000000018626451</v>
      </c>
      <c r="AL873" s="9">
        <f>IF(P873="completed",((U873-K873)*24*60),0)</f>
        <v>7.9999999946448952</v>
      </c>
      <c r="AM873" s="9" t="str">
        <f t="shared" si="18"/>
        <v>OTP Achieved</v>
      </c>
      <c r="AN873" s="9" t="str">
        <f t="shared" si="19"/>
        <v>OTP Achieved</v>
      </c>
    </row>
    <row r="874" spans="1:40" ht="15.75" customHeight="1">
      <c r="A874" s="9" t="s">
        <v>379</v>
      </c>
      <c r="B874" s="25">
        <v>46313.371527777781</v>
      </c>
      <c r="C874" s="9">
        <v>1354</v>
      </c>
      <c r="D874" s="9" t="s">
        <v>41</v>
      </c>
      <c r="E874" s="9">
        <v>4</v>
      </c>
      <c r="F874" s="9" t="s">
        <v>41</v>
      </c>
      <c r="G874" s="9" t="s">
        <v>41</v>
      </c>
      <c r="H874" s="9" t="s">
        <v>2728</v>
      </c>
      <c r="I874" s="25">
        <v>46313.37222222222</v>
      </c>
      <c r="J874" s="9" t="s">
        <v>41</v>
      </c>
      <c r="K874" s="25">
        <v>46313.37222222222</v>
      </c>
      <c r="L874" s="9">
        <v>25</v>
      </c>
      <c r="O874" s="25">
        <v>46313.371527777781</v>
      </c>
      <c r="P874" s="9" t="s">
        <v>43</v>
      </c>
      <c r="Q874" s="9" t="s">
        <v>381</v>
      </c>
      <c r="R874" s="9" t="s">
        <v>2729</v>
      </c>
      <c r="S874" s="9">
        <v>4247</v>
      </c>
      <c r="T874" s="9" t="s">
        <v>41</v>
      </c>
      <c r="U874" s="25">
        <v>46313.375694444447</v>
      </c>
      <c r="V874" s="25">
        <v>46313.375</v>
      </c>
      <c r="W874" s="26" t="s">
        <v>2730</v>
      </c>
      <c r="X874" s="9">
        <v>22411</v>
      </c>
      <c r="Z874" s="9">
        <v>0</v>
      </c>
      <c r="AA874" s="27">
        <v>0.37152777777777779</v>
      </c>
      <c r="AB874" s="9">
        <v>4</v>
      </c>
      <c r="AC874" s="9" t="s">
        <v>41</v>
      </c>
      <c r="AD874" s="9" t="str">
        <f t="shared" si="15"/>
        <v>Actual</v>
      </c>
      <c r="AE874" s="9" t="str">
        <f t="shared" si="16"/>
        <v>TMK7</v>
      </c>
      <c r="AF874" s="9">
        <f>HOUR(O874)</f>
        <v>8</v>
      </c>
      <c r="AG874" s="9">
        <f>DAY(O874)</f>
        <v>18</v>
      </c>
      <c r="AH874" s="9">
        <f>IFERROR((I874-K874)*24*60,0)</f>
        <v>0</v>
      </c>
      <c r="AI874" s="9">
        <f t="shared" si="17"/>
        <v>0</v>
      </c>
      <c r="AJ874" s="9">
        <f>C874</f>
        <v>1354</v>
      </c>
      <c r="AK874" s="9">
        <f>IF(P874="completed",((V874-K874)*24*60),0)</f>
        <v>4.0000000025611371</v>
      </c>
      <c r="AL874" s="9">
        <f>IF(P874="completed",((U874-K874)*24*60),0)</f>
        <v>5.0000000058207661</v>
      </c>
      <c r="AM874" s="9" t="str">
        <f t="shared" si="18"/>
        <v>OTP Achieved</v>
      </c>
      <c r="AN874" s="9" t="str">
        <f t="shared" si="19"/>
        <v>OTP Achieved</v>
      </c>
    </row>
    <row r="875" spans="1:40" ht="15.75" customHeight="1">
      <c r="A875" s="9" t="s">
        <v>1965</v>
      </c>
      <c r="B875" s="25">
        <v>46313.371527777781</v>
      </c>
      <c r="C875" s="9">
        <v>1218</v>
      </c>
      <c r="D875" s="9" t="s">
        <v>41</v>
      </c>
      <c r="E875" s="9">
        <v>4</v>
      </c>
      <c r="F875" s="9" t="s">
        <v>41</v>
      </c>
      <c r="G875" s="9" t="s">
        <v>41</v>
      </c>
      <c r="H875" s="9" t="s">
        <v>2731</v>
      </c>
      <c r="I875" s="25">
        <v>46313.37222222222</v>
      </c>
      <c r="J875" s="9" t="s">
        <v>41</v>
      </c>
      <c r="K875" s="25">
        <v>46313.37222222222</v>
      </c>
      <c r="L875" s="9">
        <v>21</v>
      </c>
      <c r="O875" s="25">
        <v>46313.370833333334</v>
      </c>
      <c r="P875" s="9" t="s">
        <v>43</v>
      </c>
      <c r="Q875" s="9" t="s">
        <v>1967</v>
      </c>
      <c r="R875" s="9" t="s">
        <v>2732</v>
      </c>
      <c r="S875" s="9">
        <v>4247</v>
      </c>
      <c r="T875" s="9" t="s">
        <v>41</v>
      </c>
      <c r="U875" s="25">
        <v>46313.377083333333</v>
      </c>
      <c r="V875" s="25">
        <v>46313.375</v>
      </c>
      <c r="W875" s="26" t="s">
        <v>2733</v>
      </c>
      <c r="X875" s="9">
        <v>22411</v>
      </c>
      <c r="Z875" s="9">
        <v>0</v>
      </c>
      <c r="AA875" s="27">
        <v>0.37152777777777779</v>
      </c>
      <c r="AB875" s="9">
        <v>4</v>
      </c>
      <c r="AC875" s="9" t="s">
        <v>41</v>
      </c>
      <c r="AD875" s="9" t="str">
        <f t="shared" si="15"/>
        <v>Actual</v>
      </c>
      <c r="AE875" s="9" t="str">
        <f t="shared" si="16"/>
        <v>TMK7</v>
      </c>
      <c r="AF875" s="9">
        <f>HOUR(O875)</f>
        <v>8</v>
      </c>
      <c r="AG875" s="9">
        <f>DAY(O875)</f>
        <v>18</v>
      </c>
      <c r="AH875" s="9">
        <f>IFERROR((I875-K875)*24*60,0)</f>
        <v>0</v>
      </c>
      <c r="AI875" s="9">
        <f t="shared" si="17"/>
        <v>0</v>
      </c>
      <c r="AJ875" s="9">
        <f>C875</f>
        <v>1218</v>
      </c>
      <c r="AK875" s="9">
        <f>IF(P875="completed",((V875-K875)*24*60),0)</f>
        <v>4.0000000025611371</v>
      </c>
      <c r="AL875" s="9">
        <f>IF(P875="completed",((U875-K875)*24*60),0)</f>
        <v>7.0000000018626451</v>
      </c>
      <c r="AM875" s="9" t="str">
        <f t="shared" si="18"/>
        <v>OTP Achieved</v>
      </c>
      <c r="AN875" s="9" t="str">
        <f t="shared" si="19"/>
        <v>OTP Achieved</v>
      </c>
    </row>
    <row r="876" spans="1:40" ht="15.75" customHeight="1">
      <c r="A876" s="9" t="s">
        <v>1171</v>
      </c>
      <c r="B876" s="25">
        <v>46313.370833333334</v>
      </c>
      <c r="C876" s="9">
        <v>195</v>
      </c>
      <c r="D876" s="9" t="s">
        <v>41</v>
      </c>
      <c r="E876" s="9">
        <v>1</v>
      </c>
      <c r="F876" s="9" t="s">
        <v>41</v>
      </c>
      <c r="G876" s="9" t="s">
        <v>41</v>
      </c>
      <c r="H876" s="9" t="s">
        <v>2734</v>
      </c>
      <c r="I876" s="25">
        <v>46313.37222222222</v>
      </c>
      <c r="J876" s="9" t="s">
        <v>41</v>
      </c>
      <c r="K876" s="25">
        <v>46313.371527777781</v>
      </c>
      <c r="L876" s="9">
        <v>34</v>
      </c>
      <c r="O876" s="25">
        <v>46313.370138888888</v>
      </c>
      <c r="P876" s="9" t="s">
        <v>43</v>
      </c>
      <c r="Q876" s="9" t="s">
        <v>1173</v>
      </c>
      <c r="R876" s="9" t="s">
        <v>2735</v>
      </c>
      <c r="S876" s="9">
        <v>4247</v>
      </c>
      <c r="T876" s="9" t="s">
        <v>41</v>
      </c>
      <c r="U876" s="25">
        <v>46313.373611111114</v>
      </c>
      <c r="V876" s="25">
        <v>46313.37222222222</v>
      </c>
      <c r="W876" s="26" t="s">
        <v>2736</v>
      </c>
      <c r="X876" s="9">
        <v>22411</v>
      </c>
      <c r="Y876" s="25"/>
      <c r="Z876" s="9">
        <v>0</v>
      </c>
      <c r="AA876" s="27">
        <v>0.37083333333333335</v>
      </c>
      <c r="AB876" s="9">
        <v>0</v>
      </c>
      <c r="AC876" s="9" t="s">
        <v>41</v>
      </c>
      <c r="AD876" s="9" t="str">
        <f t="shared" si="15"/>
        <v>Actual</v>
      </c>
      <c r="AE876" s="9" t="str">
        <f t="shared" si="16"/>
        <v>TMK7</v>
      </c>
      <c r="AF876" s="9">
        <f>HOUR(O876)</f>
        <v>8</v>
      </c>
      <c r="AG876" s="9">
        <f>DAY(O876)</f>
        <v>18</v>
      </c>
      <c r="AH876" s="9">
        <f>IFERROR((I876-K876)*24*60,0)</f>
        <v>0.99999999278225005</v>
      </c>
      <c r="AI876" s="9">
        <f t="shared" si="17"/>
        <v>0.99999999278225005</v>
      </c>
      <c r="AJ876" s="9">
        <f>C876</f>
        <v>195</v>
      </c>
      <c r="AK876" s="9">
        <f>IF(P876="completed",((V876-K876)*24*60),0)</f>
        <v>0.99999999278225005</v>
      </c>
      <c r="AL876" s="9">
        <f>IF(P876="completed",((U876-K876)*24*60),0)</f>
        <v>2.9999999993015081</v>
      </c>
      <c r="AM876" s="9" t="str">
        <f t="shared" si="18"/>
        <v>OTP Achieved</v>
      </c>
      <c r="AN876" s="9" t="str">
        <f t="shared" si="19"/>
        <v>OTP Achieved</v>
      </c>
    </row>
    <row r="877" spans="1:40" ht="15.75" customHeight="1">
      <c r="A877" s="9" t="s">
        <v>57</v>
      </c>
      <c r="B877" s="25">
        <v>46313.370138888888</v>
      </c>
      <c r="C877" s="9">
        <v>1433</v>
      </c>
      <c r="D877" s="9" t="s">
        <v>41</v>
      </c>
      <c r="E877" s="9">
        <v>5</v>
      </c>
      <c r="F877" s="9" t="s">
        <v>41</v>
      </c>
      <c r="G877" s="9" t="s">
        <v>41</v>
      </c>
      <c r="H877" s="9" t="s">
        <v>2737</v>
      </c>
      <c r="I877" s="25">
        <v>46313.37222222222</v>
      </c>
      <c r="J877" s="9" t="s">
        <v>41</v>
      </c>
      <c r="K877" s="25">
        <v>46313.371527777781</v>
      </c>
      <c r="L877" s="9">
        <v>32</v>
      </c>
      <c r="O877" s="25">
        <v>46313.370138888888</v>
      </c>
      <c r="P877" s="9" t="s">
        <v>43</v>
      </c>
      <c r="Q877" s="9" t="s">
        <v>59</v>
      </c>
      <c r="R877" s="9" t="s">
        <v>2738</v>
      </c>
      <c r="S877" s="9">
        <v>4247</v>
      </c>
      <c r="T877" s="9" t="s">
        <v>41</v>
      </c>
      <c r="U877" s="25">
        <v>46313.376388888886</v>
      </c>
      <c r="V877" s="25">
        <v>46313.375</v>
      </c>
      <c r="W877" s="26" t="s">
        <v>2739</v>
      </c>
      <c r="X877" s="9">
        <v>22411</v>
      </c>
      <c r="Z877" s="9">
        <v>0</v>
      </c>
      <c r="AA877" s="27">
        <v>0.37013888888888891</v>
      </c>
      <c r="AB877" s="9">
        <v>4</v>
      </c>
      <c r="AC877" s="9" t="s">
        <v>41</v>
      </c>
      <c r="AD877" s="9" t="str">
        <f t="shared" si="15"/>
        <v>Actual</v>
      </c>
      <c r="AE877" s="9" t="str">
        <f t="shared" si="16"/>
        <v>TMK7</v>
      </c>
      <c r="AF877" s="9">
        <f>HOUR(O877)</f>
        <v>8</v>
      </c>
      <c r="AG877" s="9">
        <f>DAY(O877)</f>
        <v>18</v>
      </c>
      <c r="AH877" s="9">
        <f>IFERROR((I877-K877)*24*60,0)</f>
        <v>0.99999999278225005</v>
      </c>
      <c r="AI877" s="9">
        <f t="shared" si="17"/>
        <v>0.99999999278225005</v>
      </c>
      <c r="AJ877" s="9">
        <f>C877</f>
        <v>1433</v>
      </c>
      <c r="AK877" s="9">
        <f>IF(P877="completed",((V877-K877)*24*60),0)</f>
        <v>4.9999999953433871</v>
      </c>
      <c r="AL877" s="9">
        <f>IF(P877="completed",((U877-K877)*24*60),0)</f>
        <v>6.9999999913852662</v>
      </c>
      <c r="AM877" s="9" t="str">
        <f t="shared" si="18"/>
        <v>OTP Achieved</v>
      </c>
      <c r="AN877" s="9" t="str">
        <f t="shared" si="19"/>
        <v>OTP Achieved</v>
      </c>
    </row>
    <row r="878" spans="1:40" ht="15.75" customHeight="1">
      <c r="A878" s="9" t="s">
        <v>98</v>
      </c>
      <c r="B878" s="25">
        <v>46313.370138888888</v>
      </c>
      <c r="C878" s="9">
        <v>532</v>
      </c>
      <c r="D878" s="9" t="s">
        <v>41</v>
      </c>
      <c r="E878" s="9">
        <v>3</v>
      </c>
      <c r="F878" s="9" t="s">
        <v>41</v>
      </c>
      <c r="G878" s="9" t="s">
        <v>41</v>
      </c>
      <c r="H878" s="9" t="s">
        <v>2740</v>
      </c>
      <c r="I878" s="25">
        <v>46313.371527777781</v>
      </c>
      <c r="J878" s="9" t="s">
        <v>41</v>
      </c>
      <c r="K878" s="25">
        <v>46313.370833333334</v>
      </c>
      <c r="L878" s="9">
        <v>39</v>
      </c>
      <c r="O878" s="25">
        <v>46313.370138888888</v>
      </c>
      <c r="P878" s="9" t="s">
        <v>43</v>
      </c>
      <c r="Q878" s="9" t="s">
        <v>100</v>
      </c>
      <c r="R878" s="9" t="s">
        <v>2741</v>
      </c>
      <c r="S878" s="9">
        <v>4247</v>
      </c>
      <c r="T878" s="9" t="s">
        <v>41</v>
      </c>
      <c r="U878" s="25">
        <v>46313.373611111114</v>
      </c>
      <c r="V878" s="25">
        <v>46313.372916666667</v>
      </c>
      <c r="W878" s="26" t="s">
        <v>2742</v>
      </c>
      <c r="X878" s="9">
        <v>22411</v>
      </c>
      <c r="Z878" s="9">
        <v>0</v>
      </c>
      <c r="AA878" s="27">
        <v>0.37013888888888891</v>
      </c>
      <c r="AB878" s="9">
        <v>2</v>
      </c>
      <c r="AC878" s="9" t="s">
        <v>41</v>
      </c>
      <c r="AD878" s="9" t="str">
        <f t="shared" si="15"/>
        <v>Actual</v>
      </c>
      <c r="AE878" s="9" t="str">
        <f t="shared" si="16"/>
        <v>TMK7</v>
      </c>
      <c r="AF878" s="9">
        <f>HOUR(O878)</f>
        <v>8</v>
      </c>
      <c r="AG878" s="9">
        <f>DAY(O878)</f>
        <v>18</v>
      </c>
      <c r="AH878" s="9">
        <f>IFERROR((I878-K878)*24*60,0)</f>
        <v>1.000000003259629</v>
      </c>
      <c r="AI878" s="9">
        <f t="shared" si="17"/>
        <v>1.000000003259629</v>
      </c>
      <c r="AJ878" s="9">
        <f>C878</f>
        <v>532</v>
      </c>
      <c r="AK878" s="9">
        <f>IF(P878="completed",((V878-K878)*24*60),0)</f>
        <v>2.9999999993015081</v>
      </c>
      <c r="AL878" s="9">
        <f>IF(P878="completed",((U878-K878)*24*60),0)</f>
        <v>4.0000000025611371</v>
      </c>
      <c r="AM878" s="9" t="str">
        <f t="shared" si="18"/>
        <v>OTP Achieved</v>
      </c>
      <c r="AN878" s="9" t="str">
        <f t="shared" si="19"/>
        <v>OTP Achieved</v>
      </c>
    </row>
    <row r="879" spans="1:40" ht="15.75" customHeight="1">
      <c r="A879" s="9" t="s">
        <v>1239</v>
      </c>
      <c r="B879" s="25">
        <v>46313.370138888888</v>
      </c>
      <c r="C879" s="9">
        <v>1921</v>
      </c>
      <c r="D879" s="9" t="s">
        <v>41</v>
      </c>
      <c r="E879" s="9">
        <v>5</v>
      </c>
      <c r="F879" s="9" t="s">
        <v>41</v>
      </c>
      <c r="G879" s="9" t="s">
        <v>41</v>
      </c>
      <c r="H879" s="9" t="s">
        <v>2743</v>
      </c>
      <c r="I879" s="25">
        <v>46313.370138888888</v>
      </c>
      <c r="J879" s="9" t="s">
        <v>41</v>
      </c>
      <c r="K879" s="25">
        <v>46313.370138888888</v>
      </c>
      <c r="L879" s="9">
        <v>10</v>
      </c>
      <c r="O879" s="25">
        <v>46313.370138888888</v>
      </c>
      <c r="P879" s="9" t="s">
        <v>43</v>
      </c>
      <c r="Q879" s="9" t="s">
        <v>1241</v>
      </c>
      <c r="R879" s="9" t="s">
        <v>2744</v>
      </c>
      <c r="S879" s="9">
        <v>4247</v>
      </c>
      <c r="T879" s="9" t="s">
        <v>41</v>
      </c>
      <c r="U879" s="25">
        <v>46313.375</v>
      </c>
      <c r="V879" s="25">
        <v>46313.373611111114</v>
      </c>
      <c r="W879" s="26" t="s">
        <v>2745</v>
      </c>
      <c r="X879" s="9">
        <v>22411</v>
      </c>
      <c r="Z879" s="9">
        <v>0</v>
      </c>
      <c r="AA879" s="27">
        <v>0.37013888888888891</v>
      </c>
      <c r="AB879" s="9">
        <v>5</v>
      </c>
      <c r="AC879" s="9" t="s">
        <v>41</v>
      </c>
      <c r="AD879" s="9" t="str">
        <f t="shared" si="15"/>
        <v>Actual</v>
      </c>
      <c r="AE879" s="9" t="str">
        <f t="shared" si="16"/>
        <v>TMK7</v>
      </c>
      <c r="AF879" s="9">
        <f>HOUR(O879)</f>
        <v>8</v>
      </c>
      <c r="AG879" s="9">
        <f>DAY(O879)</f>
        <v>18</v>
      </c>
      <c r="AH879" s="9">
        <f>IFERROR((I879-K879)*24*60,0)</f>
        <v>0</v>
      </c>
      <c r="AI879" s="9">
        <f t="shared" si="17"/>
        <v>0</v>
      </c>
      <c r="AJ879" s="9">
        <f>C879</f>
        <v>1921</v>
      </c>
      <c r="AK879" s="9">
        <f>IF(P879="completed",((V879-K879)*24*60),0)</f>
        <v>5.0000000058207661</v>
      </c>
      <c r="AL879" s="9">
        <f>IF(P879="completed",((U879-K879)*24*60),0)</f>
        <v>7.0000000018626451</v>
      </c>
      <c r="AM879" s="9" t="str">
        <f t="shared" si="18"/>
        <v>OTP Achieved</v>
      </c>
      <c r="AN879" s="9" t="str">
        <f t="shared" si="19"/>
        <v>OTP Achieved</v>
      </c>
    </row>
    <row r="880" spans="1:40" ht="15.75" customHeight="1">
      <c r="A880" s="9" t="s">
        <v>93</v>
      </c>
      <c r="B880" s="25">
        <v>46313.370138888888</v>
      </c>
      <c r="C880" s="9">
        <v>1998</v>
      </c>
      <c r="D880" s="9" t="s">
        <v>41</v>
      </c>
      <c r="E880" s="9">
        <v>8</v>
      </c>
      <c r="F880" s="9" t="s">
        <v>41</v>
      </c>
      <c r="G880" s="9" t="s">
        <v>41</v>
      </c>
      <c r="H880" s="9" t="s">
        <v>2746</v>
      </c>
      <c r="I880" s="25">
        <v>46313.370833333334</v>
      </c>
      <c r="J880" s="9" t="s">
        <v>41</v>
      </c>
      <c r="K880" s="25">
        <v>46313.370833333334</v>
      </c>
      <c r="L880" s="9">
        <v>34</v>
      </c>
      <c r="O880" s="25">
        <v>46313.370138888888</v>
      </c>
      <c r="P880" s="9" t="s">
        <v>43</v>
      </c>
      <c r="Q880" s="9" t="s">
        <v>95</v>
      </c>
      <c r="R880" s="9" t="s">
        <v>2747</v>
      </c>
      <c r="S880" s="9">
        <v>4247</v>
      </c>
      <c r="T880" s="9" t="s">
        <v>41</v>
      </c>
      <c r="U880" s="25">
        <v>46313.375694444447</v>
      </c>
      <c r="V880" s="25">
        <v>46313.375694444447</v>
      </c>
      <c r="W880" s="26" t="s">
        <v>2748</v>
      </c>
      <c r="X880" s="9">
        <v>22411</v>
      </c>
      <c r="Y880" s="25"/>
      <c r="Z880" s="9">
        <v>0</v>
      </c>
      <c r="AA880" s="27">
        <v>0.37013888888888891</v>
      </c>
      <c r="AB880" s="9">
        <v>7</v>
      </c>
      <c r="AC880" s="9" t="s">
        <v>41</v>
      </c>
      <c r="AD880" s="9" t="str">
        <f t="shared" si="15"/>
        <v>Actual</v>
      </c>
      <c r="AE880" s="9" t="str">
        <f t="shared" si="16"/>
        <v>TMK7</v>
      </c>
      <c r="AF880" s="9">
        <f>HOUR(O880)</f>
        <v>8</v>
      </c>
      <c r="AG880" s="9">
        <f>DAY(O880)</f>
        <v>18</v>
      </c>
      <c r="AH880" s="9">
        <f>IFERROR((I880-K880)*24*60,0)</f>
        <v>0</v>
      </c>
      <c r="AI880" s="9">
        <f t="shared" si="17"/>
        <v>0</v>
      </c>
      <c r="AJ880" s="9">
        <f>C880</f>
        <v>1998</v>
      </c>
      <c r="AK880" s="9">
        <f>IF(P880="completed",((V880-K880)*24*60),0)</f>
        <v>7.0000000018626451</v>
      </c>
      <c r="AL880" s="9">
        <f>IF(P880="completed",((U880-K880)*24*60),0)</f>
        <v>7.0000000018626451</v>
      </c>
      <c r="AM880" s="9" t="str">
        <f t="shared" si="18"/>
        <v>OTP Breached</v>
      </c>
      <c r="AN880" s="9" t="str">
        <f t="shared" si="19"/>
        <v>OTP Achieved</v>
      </c>
    </row>
    <row r="881" spans="1:40" ht="15.75" customHeight="1">
      <c r="A881" s="9" t="s">
        <v>1391</v>
      </c>
      <c r="B881" s="25">
        <v>46313.369444444441</v>
      </c>
      <c r="C881" s="9">
        <v>296</v>
      </c>
      <c r="D881" s="9" t="s">
        <v>41</v>
      </c>
      <c r="E881" s="9">
        <v>2</v>
      </c>
      <c r="F881" s="9" t="s">
        <v>41</v>
      </c>
      <c r="G881" s="9" t="s">
        <v>41</v>
      </c>
      <c r="H881" s="9" t="s">
        <v>2749</v>
      </c>
      <c r="I881" s="25">
        <v>46313.370138888888</v>
      </c>
      <c r="J881" s="9" t="s">
        <v>41</v>
      </c>
      <c r="K881" s="25">
        <v>46313.370138888888</v>
      </c>
      <c r="L881" s="9">
        <v>17</v>
      </c>
      <c r="O881" s="25">
        <v>46313.369444444441</v>
      </c>
      <c r="P881" s="9" t="s">
        <v>43</v>
      </c>
      <c r="Q881" s="9" t="s">
        <v>1393</v>
      </c>
      <c r="R881" s="9" t="s">
        <v>2750</v>
      </c>
      <c r="S881" s="9">
        <v>4247</v>
      </c>
      <c r="T881" s="9" t="s">
        <v>41</v>
      </c>
      <c r="U881" s="25">
        <v>46313.371527777781</v>
      </c>
      <c r="V881" s="25">
        <v>46313.371527777781</v>
      </c>
      <c r="W881" s="26" t="s">
        <v>2751</v>
      </c>
      <c r="X881" s="9">
        <v>22411</v>
      </c>
      <c r="Z881" s="9">
        <v>0</v>
      </c>
      <c r="AA881" s="27">
        <v>0.36944444444444446</v>
      </c>
      <c r="AB881" s="9">
        <v>2</v>
      </c>
      <c r="AC881" s="9" t="s">
        <v>41</v>
      </c>
      <c r="AD881" s="9" t="str">
        <f t="shared" si="15"/>
        <v>Actual</v>
      </c>
      <c r="AE881" s="9" t="str">
        <f t="shared" si="16"/>
        <v>TMK7</v>
      </c>
      <c r="AF881" s="9">
        <f>HOUR(O881)</f>
        <v>8</v>
      </c>
      <c r="AG881" s="9">
        <f>DAY(O881)</f>
        <v>18</v>
      </c>
      <c r="AH881" s="9">
        <f>IFERROR((I881-K881)*24*60,0)</f>
        <v>0</v>
      </c>
      <c r="AI881" s="9">
        <f t="shared" si="17"/>
        <v>0</v>
      </c>
      <c r="AJ881" s="9">
        <f>C881</f>
        <v>296</v>
      </c>
      <c r="AK881" s="9">
        <f>IF(P881="completed",((V881-K881)*24*60),0)</f>
        <v>2.000000006519258</v>
      </c>
      <c r="AL881" s="9">
        <f>IF(P881="completed",((U881-K881)*24*60),0)</f>
        <v>2.000000006519258</v>
      </c>
      <c r="AM881" s="9" t="str">
        <f t="shared" si="18"/>
        <v>OTP Breached</v>
      </c>
      <c r="AN881" s="9" t="str">
        <f t="shared" si="19"/>
        <v>OTP Achieved</v>
      </c>
    </row>
    <row r="882" spans="1:40" ht="15.75" customHeight="1">
      <c r="A882" s="9" t="s">
        <v>347</v>
      </c>
      <c r="B882" s="25">
        <v>46313.368750000001</v>
      </c>
      <c r="C882" s="9">
        <v>1415</v>
      </c>
      <c r="D882" s="9" t="s">
        <v>41</v>
      </c>
      <c r="E882" s="9">
        <v>4</v>
      </c>
      <c r="F882" s="9" t="s">
        <v>41</v>
      </c>
      <c r="G882" s="9" t="s">
        <v>41</v>
      </c>
      <c r="H882" s="9" t="s">
        <v>2752</v>
      </c>
      <c r="I882" s="25">
        <v>46313.370138888888</v>
      </c>
      <c r="J882" s="9" t="s">
        <v>41</v>
      </c>
      <c r="K882" s="25">
        <v>46313.370138888888</v>
      </c>
      <c r="L882" s="9">
        <v>19</v>
      </c>
      <c r="O882" s="25">
        <v>46313.368750000001</v>
      </c>
      <c r="P882" s="9" t="s">
        <v>43</v>
      </c>
      <c r="Q882" s="9" t="s">
        <v>349</v>
      </c>
      <c r="R882" s="9" t="s">
        <v>2753</v>
      </c>
      <c r="S882" s="9">
        <v>4247</v>
      </c>
      <c r="T882" s="9" t="s">
        <v>41</v>
      </c>
      <c r="U882" s="25">
        <v>46313.375</v>
      </c>
      <c r="V882" s="25">
        <v>46313.372916666667</v>
      </c>
      <c r="W882" s="26" t="s">
        <v>2754</v>
      </c>
      <c r="X882" s="9">
        <v>22411</v>
      </c>
      <c r="Z882" s="9">
        <v>0</v>
      </c>
      <c r="AA882" s="27">
        <v>0.36875000000000002</v>
      </c>
      <c r="AB882" s="9">
        <v>4</v>
      </c>
      <c r="AC882" s="9" t="s">
        <v>41</v>
      </c>
      <c r="AD882" s="9" t="str">
        <f t="shared" si="15"/>
        <v>Actual</v>
      </c>
      <c r="AE882" s="9" t="str">
        <f t="shared" si="16"/>
        <v>TMK7</v>
      </c>
      <c r="AF882" s="9">
        <f>HOUR(O882)</f>
        <v>8</v>
      </c>
      <c r="AG882" s="9">
        <f>DAY(O882)</f>
        <v>18</v>
      </c>
      <c r="AH882" s="9">
        <f>IFERROR((I882-K882)*24*60,0)</f>
        <v>0</v>
      </c>
      <c r="AI882" s="9">
        <f t="shared" si="17"/>
        <v>0</v>
      </c>
      <c r="AJ882" s="9">
        <f>C882</f>
        <v>1415</v>
      </c>
      <c r="AK882" s="9">
        <f>IF(P882="completed",((V882-K882)*24*60),0)</f>
        <v>4.0000000025611371</v>
      </c>
      <c r="AL882" s="9">
        <f>IF(P882="completed",((U882-K882)*24*60),0)</f>
        <v>7.0000000018626451</v>
      </c>
      <c r="AM882" s="9" t="str">
        <f t="shared" si="18"/>
        <v>OTP Achieved</v>
      </c>
      <c r="AN882" s="9" t="str">
        <f t="shared" si="19"/>
        <v>OTP Achieved</v>
      </c>
    </row>
    <row r="883" spans="1:40" ht="15.75" customHeight="1">
      <c r="A883" s="9" t="s">
        <v>67</v>
      </c>
      <c r="B883" s="25">
        <v>46313.368055555555</v>
      </c>
      <c r="C883" s="9">
        <v>2390</v>
      </c>
      <c r="D883" s="9" t="s">
        <v>41</v>
      </c>
      <c r="E883" s="9">
        <v>11</v>
      </c>
      <c r="F883" s="9" t="s">
        <v>41</v>
      </c>
      <c r="G883" s="9" t="s">
        <v>41</v>
      </c>
      <c r="H883" s="9" t="s">
        <v>2755</v>
      </c>
      <c r="I883" s="25">
        <v>46313.370138888888</v>
      </c>
      <c r="J883" s="9" t="s">
        <v>41</v>
      </c>
      <c r="K883" s="25">
        <v>46313.369444444441</v>
      </c>
      <c r="L883" s="9">
        <v>21</v>
      </c>
      <c r="O883" s="25">
        <v>46313.368055555555</v>
      </c>
      <c r="P883" s="9" t="s">
        <v>43</v>
      </c>
      <c r="Q883" s="9" t="s">
        <v>69</v>
      </c>
      <c r="R883" s="9" t="s">
        <v>2756</v>
      </c>
      <c r="S883" s="9">
        <v>4247</v>
      </c>
      <c r="T883" s="9" t="s">
        <v>41</v>
      </c>
      <c r="U883" s="25">
        <v>46313.375</v>
      </c>
      <c r="V883" s="25">
        <v>46313.377083333333</v>
      </c>
      <c r="W883" s="26" t="s">
        <v>2757</v>
      </c>
      <c r="X883" s="9">
        <v>22411</v>
      </c>
      <c r="Y883" s="25"/>
      <c r="Z883" s="9">
        <v>0</v>
      </c>
      <c r="AA883" s="27">
        <v>0.36805555555555558</v>
      </c>
      <c r="AB883" s="9">
        <v>10</v>
      </c>
      <c r="AC883" s="9" t="s">
        <v>41</v>
      </c>
      <c r="AD883" s="9" t="str">
        <f t="shared" si="15"/>
        <v>Actual</v>
      </c>
      <c r="AE883" s="9" t="str">
        <f t="shared" si="16"/>
        <v>TMK7</v>
      </c>
      <c r="AF883" s="9">
        <f>HOUR(O883)</f>
        <v>8</v>
      </c>
      <c r="AG883" s="9">
        <f>DAY(O883)</f>
        <v>18</v>
      </c>
      <c r="AH883" s="9">
        <f>IFERROR((I883-K883)*24*60,0)</f>
        <v>1.000000003259629</v>
      </c>
      <c r="AI883" s="9">
        <f t="shared" si="17"/>
        <v>1.000000003259629</v>
      </c>
      <c r="AJ883" s="9">
        <f>C883</f>
        <v>2390</v>
      </c>
      <c r="AK883" s="9">
        <f>IF(P883="completed",((V883-K883)*24*60),0)</f>
        <v>11.000000004423782</v>
      </c>
      <c r="AL883" s="9">
        <f>IF(P883="completed",((U883-K883)*24*60),0)</f>
        <v>8.0000000051222742</v>
      </c>
      <c r="AM883" s="9" t="str">
        <f t="shared" si="18"/>
        <v>OTP Breached</v>
      </c>
      <c r="AN883" s="9" t="str">
        <f t="shared" si="19"/>
        <v>OTP Achieved</v>
      </c>
    </row>
    <row r="884" spans="1:40" ht="15.75" customHeight="1">
      <c r="A884" s="9" t="s">
        <v>734</v>
      </c>
      <c r="B884" s="25">
        <v>46313.368055555555</v>
      </c>
      <c r="C884" s="9">
        <v>2209</v>
      </c>
      <c r="D884" s="9" t="s">
        <v>41</v>
      </c>
      <c r="E884" s="9">
        <v>7</v>
      </c>
      <c r="F884" s="9" t="s">
        <v>41</v>
      </c>
      <c r="G884" s="9" t="s">
        <v>41</v>
      </c>
      <c r="H884" s="9" t="s">
        <v>2758</v>
      </c>
      <c r="I884" s="25">
        <v>46313.370138888888</v>
      </c>
      <c r="J884" s="9" t="s">
        <v>41</v>
      </c>
      <c r="K884" s="25">
        <v>46313.369444444441</v>
      </c>
      <c r="L884" s="9">
        <v>33</v>
      </c>
      <c r="O884" s="25">
        <v>46313.368055555555</v>
      </c>
      <c r="P884" s="9" t="s">
        <v>43</v>
      </c>
      <c r="Q884" s="9" t="s">
        <v>736</v>
      </c>
      <c r="R884" s="9" t="s">
        <v>2759</v>
      </c>
      <c r="S884" s="9">
        <v>4247</v>
      </c>
      <c r="T884" s="9" t="s">
        <v>41</v>
      </c>
      <c r="U884" s="25">
        <v>46313.374305555553</v>
      </c>
      <c r="V884" s="25">
        <v>46313.374305555553</v>
      </c>
      <c r="W884" s="26" t="s">
        <v>2760</v>
      </c>
      <c r="X884" s="9">
        <v>22411</v>
      </c>
      <c r="Y884" s="25"/>
      <c r="Z884" s="9">
        <v>0</v>
      </c>
      <c r="AA884" s="27">
        <v>0.36805555555555558</v>
      </c>
      <c r="AB884" s="9">
        <v>6</v>
      </c>
      <c r="AC884" s="9" t="s">
        <v>41</v>
      </c>
      <c r="AD884" s="9" t="str">
        <f t="shared" si="15"/>
        <v>Actual</v>
      </c>
      <c r="AE884" s="9" t="str">
        <f t="shared" si="16"/>
        <v>TMK7</v>
      </c>
      <c r="AF884" s="9">
        <f>HOUR(O884)</f>
        <v>8</v>
      </c>
      <c r="AG884" s="9">
        <f>DAY(O884)</f>
        <v>18</v>
      </c>
      <c r="AH884" s="9">
        <f>IFERROR((I884-K884)*24*60,0)</f>
        <v>1.000000003259629</v>
      </c>
      <c r="AI884" s="9">
        <f t="shared" si="17"/>
        <v>1.000000003259629</v>
      </c>
      <c r="AJ884" s="9">
        <f>C884</f>
        <v>2209</v>
      </c>
      <c r="AK884" s="9">
        <f>IF(P884="completed",((V884-K884)*24*60),0)</f>
        <v>7.0000000018626451</v>
      </c>
      <c r="AL884" s="9">
        <f>IF(P884="completed",((U884-K884)*24*60),0)</f>
        <v>7.0000000018626451</v>
      </c>
      <c r="AM884" s="9" t="str">
        <f t="shared" si="18"/>
        <v>OTP Breached</v>
      </c>
      <c r="AN884" s="9" t="str">
        <f t="shared" si="19"/>
        <v>OTP Achieved</v>
      </c>
    </row>
    <row r="885" spans="1:40" ht="15.75" customHeight="1">
      <c r="A885" s="9" t="s">
        <v>2247</v>
      </c>
      <c r="B885" s="25">
        <v>46313.367361111108</v>
      </c>
      <c r="C885" s="9">
        <v>1322</v>
      </c>
      <c r="D885" s="9" t="s">
        <v>41</v>
      </c>
      <c r="E885" s="9">
        <v>4</v>
      </c>
      <c r="F885" s="9" t="s">
        <v>41</v>
      </c>
      <c r="G885" s="9" t="s">
        <v>41</v>
      </c>
      <c r="H885" s="9" t="s">
        <v>2761</v>
      </c>
      <c r="I885" s="25">
        <v>46313.368055555555</v>
      </c>
      <c r="J885" s="9" t="s">
        <v>41</v>
      </c>
      <c r="K885" s="25">
        <v>46313.368055555555</v>
      </c>
      <c r="L885" s="9">
        <v>18</v>
      </c>
      <c r="O885" s="25">
        <v>46313.367361111108</v>
      </c>
      <c r="P885" s="9" t="s">
        <v>43</v>
      </c>
      <c r="Q885" s="9" t="s">
        <v>2249</v>
      </c>
      <c r="R885" s="9" t="s">
        <v>2762</v>
      </c>
      <c r="S885" s="9">
        <v>4247</v>
      </c>
      <c r="T885" s="9" t="s">
        <v>41</v>
      </c>
      <c r="U885" s="25">
        <v>46313.370833333334</v>
      </c>
      <c r="V885" s="25">
        <v>46313.370833333334</v>
      </c>
      <c r="W885" s="26" t="s">
        <v>2763</v>
      </c>
      <c r="X885" s="9">
        <v>22411</v>
      </c>
      <c r="Z885" s="9">
        <v>0</v>
      </c>
      <c r="AA885" s="27">
        <v>0.36736111111111114</v>
      </c>
      <c r="AB885" s="9">
        <v>4</v>
      </c>
      <c r="AC885" s="9" t="s">
        <v>41</v>
      </c>
      <c r="AD885" s="9" t="str">
        <f t="shared" si="15"/>
        <v>Actual</v>
      </c>
      <c r="AE885" s="9" t="str">
        <f t="shared" si="16"/>
        <v>TMK7</v>
      </c>
      <c r="AF885" s="9">
        <f>HOUR(O885)</f>
        <v>8</v>
      </c>
      <c r="AG885" s="9">
        <f>DAY(O885)</f>
        <v>18</v>
      </c>
      <c r="AH885" s="9">
        <f>IFERROR((I885-K885)*24*60,0)</f>
        <v>0</v>
      </c>
      <c r="AI885" s="9">
        <f t="shared" si="17"/>
        <v>0</v>
      </c>
      <c r="AJ885" s="9">
        <f>C885</f>
        <v>1322</v>
      </c>
      <c r="AK885" s="9">
        <f>IF(P885="completed",((V885-K885)*24*60),0)</f>
        <v>4.0000000025611371</v>
      </c>
      <c r="AL885" s="9">
        <f>IF(P885="completed",((U885-K885)*24*60),0)</f>
        <v>4.0000000025611371</v>
      </c>
      <c r="AM885" s="9" t="str">
        <f t="shared" si="18"/>
        <v>OTP Breached</v>
      </c>
      <c r="AN885" s="9" t="str">
        <f t="shared" si="19"/>
        <v>OTP Achieved</v>
      </c>
    </row>
    <row r="886" spans="1:40" ht="15.75" customHeight="1">
      <c r="A886" s="9" t="s">
        <v>52</v>
      </c>
      <c r="B886" s="25">
        <v>46313.367361111108</v>
      </c>
      <c r="C886" s="9">
        <v>1077</v>
      </c>
      <c r="D886" s="9" t="s">
        <v>41</v>
      </c>
      <c r="E886" s="9">
        <v>3</v>
      </c>
      <c r="F886" s="9" t="s">
        <v>41</v>
      </c>
      <c r="G886" s="9" t="s">
        <v>41</v>
      </c>
      <c r="H886" s="9" t="s">
        <v>2764</v>
      </c>
      <c r="I886" s="25">
        <v>46313.368055555555</v>
      </c>
      <c r="J886" s="9" t="s">
        <v>41</v>
      </c>
      <c r="K886" s="25">
        <v>46313.367361111108</v>
      </c>
      <c r="L886" s="9">
        <v>40</v>
      </c>
      <c r="O886" s="25">
        <v>46313.366666666669</v>
      </c>
      <c r="P886" s="9" t="s">
        <v>43</v>
      </c>
      <c r="Q886" s="9" t="s">
        <v>54</v>
      </c>
      <c r="R886" s="9" t="s">
        <v>2765</v>
      </c>
      <c r="S886" s="9">
        <v>4247</v>
      </c>
      <c r="T886" s="9" t="s">
        <v>41</v>
      </c>
      <c r="U886" s="25">
        <v>46313.370833333334</v>
      </c>
      <c r="V886" s="25">
        <v>46313.370138888888</v>
      </c>
      <c r="W886" s="26" t="s">
        <v>2766</v>
      </c>
      <c r="X886" s="9">
        <v>22411</v>
      </c>
      <c r="Z886" s="9">
        <v>0</v>
      </c>
      <c r="AA886" s="27">
        <v>0.36736111111111114</v>
      </c>
      <c r="AB886" s="9">
        <v>3</v>
      </c>
      <c r="AC886" s="9" t="s">
        <v>41</v>
      </c>
      <c r="AD886" s="9" t="str">
        <f t="shared" si="15"/>
        <v>Actual</v>
      </c>
      <c r="AE886" s="9" t="str">
        <f t="shared" si="16"/>
        <v>TMK7</v>
      </c>
      <c r="AF886" s="9">
        <f>HOUR(O886)</f>
        <v>8</v>
      </c>
      <c r="AG886" s="9">
        <f>DAY(O886)</f>
        <v>18</v>
      </c>
      <c r="AH886" s="9">
        <f>IFERROR((I886-K886)*24*60,0)</f>
        <v>1.000000003259629</v>
      </c>
      <c r="AI886" s="9">
        <f t="shared" si="17"/>
        <v>1.000000003259629</v>
      </c>
      <c r="AJ886" s="9">
        <f>C886</f>
        <v>1077</v>
      </c>
      <c r="AK886" s="9">
        <f>IF(P886="completed",((V886-K886)*24*60),0)</f>
        <v>4.0000000025611371</v>
      </c>
      <c r="AL886" s="9">
        <f>IF(P886="completed",((U886-K886)*24*60),0)</f>
        <v>5.0000000058207661</v>
      </c>
      <c r="AM886" s="9" t="str">
        <f t="shared" si="18"/>
        <v>OTP Achieved</v>
      </c>
      <c r="AN886" s="9" t="str">
        <f t="shared" si="19"/>
        <v>OTP Achieved</v>
      </c>
    </row>
    <row r="887" spans="1:40" ht="15.75" customHeight="1">
      <c r="A887" s="9" t="s">
        <v>1136</v>
      </c>
      <c r="B887" s="25">
        <v>46313.366666666669</v>
      </c>
      <c r="C887" s="9">
        <v>957</v>
      </c>
      <c r="D887" s="9" t="s">
        <v>41</v>
      </c>
      <c r="E887" s="9">
        <v>4</v>
      </c>
      <c r="F887" s="9" t="s">
        <v>41</v>
      </c>
      <c r="G887" s="9" t="s">
        <v>41</v>
      </c>
      <c r="H887" s="9" t="s">
        <v>2767</v>
      </c>
      <c r="I887" s="25">
        <v>46313.369444444441</v>
      </c>
      <c r="J887" s="9" t="s">
        <v>41</v>
      </c>
      <c r="K887" s="25">
        <v>46313.368750000001</v>
      </c>
      <c r="L887" s="9">
        <v>46</v>
      </c>
      <c r="O887" s="25">
        <v>46313.366666666669</v>
      </c>
      <c r="P887" s="9" t="s">
        <v>43</v>
      </c>
      <c r="Q887" s="9" t="s">
        <v>1138</v>
      </c>
      <c r="R887" s="9" t="s">
        <v>2768</v>
      </c>
      <c r="S887" s="9">
        <v>4247</v>
      </c>
      <c r="T887" s="9" t="s">
        <v>41</v>
      </c>
      <c r="U887" s="25">
        <v>46313.37222222222</v>
      </c>
      <c r="V887" s="25">
        <v>46313.371527777781</v>
      </c>
      <c r="W887" s="26" t="s">
        <v>2769</v>
      </c>
      <c r="X887" s="9">
        <v>22411</v>
      </c>
      <c r="Z887" s="9">
        <v>0</v>
      </c>
      <c r="AA887" s="27">
        <v>0.36666666666666664</v>
      </c>
      <c r="AB887" s="9">
        <v>4</v>
      </c>
      <c r="AC887" s="9" t="s">
        <v>41</v>
      </c>
      <c r="AD887" s="9" t="str">
        <f t="shared" si="15"/>
        <v>Actual</v>
      </c>
      <c r="AE887" s="9" t="str">
        <f t="shared" si="16"/>
        <v>TMK7</v>
      </c>
      <c r="AF887" s="9">
        <f>HOUR(O887)</f>
        <v>8</v>
      </c>
      <c r="AG887" s="9">
        <f>DAY(O887)</f>
        <v>18</v>
      </c>
      <c r="AH887" s="9">
        <f>IFERROR((I887-K887)*24*60,0)</f>
        <v>0.99999999278225005</v>
      </c>
      <c r="AI887" s="9">
        <f t="shared" si="17"/>
        <v>0.99999999278225005</v>
      </c>
      <c r="AJ887" s="9">
        <f>C887</f>
        <v>957</v>
      </c>
      <c r="AK887" s="9">
        <f>IF(P887="completed",((V887-K887)*24*60),0)</f>
        <v>4.0000000025611371</v>
      </c>
      <c r="AL887" s="9">
        <f>IF(P887="completed",((U887-K887)*24*60),0)</f>
        <v>4.9999999953433871</v>
      </c>
      <c r="AM887" s="9" t="str">
        <f t="shared" si="18"/>
        <v>OTP Achieved</v>
      </c>
      <c r="AN887" s="9" t="str">
        <f t="shared" si="19"/>
        <v>OTP Achieved</v>
      </c>
    </row>
    <row r="888" spans="1:40" ht="15.75" customHeight="1">
      <c r="A888" s="9" t="s">
        <v>379</v>
      </c>
      <c r="B888" s="25">
        <v>46313.366666666669</v>
      </c>
      <c r="C888" s="9">
        <v>380</v>
      </c>
      <c r="D888" s="9" t="s">
        <v>41</v>
      </c>
      <c r="E888" s="9">
        <v>0</v>
      </c>
      <c r="F888" s="9" t="s">
        <v>41</v>
      </c>
      <c r="G888" s="9" t="s">
        <v>41</v>
      </c>
      <c r="H888" s="9" t="s">
        <v>2770</v>
      </c>
      <c r="I888" s="25">
        <v>46313.367361111108</v>
      </c>
      <c r="J888" s="9" t="s">
        <v>41</v>
      </c>
      <c r="K888" s="25">
        <v>46313.366666666669</v>
      </c>
      <c r="L888" s="9">
        <v>20</v>
      </c>
      <c r="O888" s="25">
        <v>46313.365972222222</v>
      </c>
      <c r="P888" s="9" t="s">
        <v>43</v>
      </c>
      <c r="Q888" s="9" t="s">
        <v>381</v>
      </c>
      <c r="R888" s="9" t="s">
        <v>2771</v>
      </c>
      <c r="S888" s="9">
        <v>4247</v>
      </c>
      <c r="T888" s="9" t="s">
        <v>41</v>
      </c>
      <c r="U888" s="25">
        <v>46313.368750000001</v>
      </c>
      <c r="V888" s="25">
        <v>46313.367361111108</v>
      </c>
      <c r="W888" s="26" t="s">
        <v>2772</v>
      </c>
      <c r="X888" s="9">
        <v>22411</v>
      </c>
      <c r="Z888" s="9">
        <v>0</v>
      </c>
      <c r="AA888" s="27">
        <v>0.36666666666666664</v>
      </c>
      <c r="AB888" s="9">
        <v>0</v>
      </c>
      <c r="AC888" s="9" t="s">
        <v>41</v>
      </c>
      <c r="AD888" s="9" t="str">
        <f t="shared" si="15"/>
        <v>Actual</v>
      </c>
      <c r="AE888" s="9" t="str">
        <f t="shared" si="16"/>
        <v>TMK7</v>
      </c>
      <c r="AF888" s="9">
        <f>HOUR(O888)</f>
        <v>8</v>
      </c>
      <c r="AG888" s="9">
        <f>DAY(O888)</f>
        <v>18</v>
      </c>
      <c r="AH888" s="9">
        <f>IFERROR((I888-K888)*24*60,0)</f>
        <v>0.99999999278225005</v>
      </c>
      <c r="AI888" s="9">
        <f t="shared" si="17"/>
        <v>0.99999999278225005</v>
      </c>
      <c r="AJ888" s="9">
        <f>C888</f>
        <v>380</v>
      </c>
      <c r="AK888" s="9">
        <f>IF(P888="completed",((V888-K888)*24*60),0)</f>
        <v>0.99999999278225005</v>
      </c>
      <c r="AL888" s="9">
        <f>IF(P888="completed",((U888-K888)*24*60),0)</f>
        <v>2.9999999993015081</v>
      </c>
      <c r="AM888" s="9" t="str">
        <f t="shared" si="18"/>
        <v>OTP Achieved</v>
      </c>
      <c r="AN888" s="9" t="str">
        <f t="shared" si="19"/>
        <v>OTP Achieved</v>
      </c>
    </row>
    <row r="889" spans="1:40" ht="15.75" customHeight="1">
      <c r="A889" s="9" t="s">
        <v>655</v>
      </c>
      <c r="B889" s="25">
        <v>46313.365972222222</v>
      </c>
      <c r="C889" s="9">
        <v>1496</v>
      </c>
      <c r="D889" s="9" t="s">
        <v>41</v>
      </c>
      <c r="E889" s="9">
        <v>4</v>
      </c>
      <c r="F889" s="9" t="s">
        <v>41</v>
      </c>
      <c r="G889" s="9" t="s">
        <v>41</v>
      </c>
      <c r="H889" s="9" t="s">
        <v>2773</v>
      </c>
      <c r="I889" s="25">
        <v>46313.367361111108</v>
      </c>
      <c r="J889" s="9" t="s">
        <v>41</v>
      </c>
      <c r="K889" s="25">
        <v>46313.367361111108</v>
      </c>
      <c r="L889" s="9">
        <v>18</v>
      </c>
      <c r="O889" s="25">
        <v>46313.365972222222</v>
      </c>
      <c r="P889" s="9" t="s">
        <v>43</v>
      </c>
      <c r="Q889" s="9" t="s">
        <v>657</v>
      </c>
      <c r="R889" s="9" t="s">
        <v>2774</v>
      </c>
      <c r="S889" s="9">
        <v>4247</v>
      </c>
      <c r="T889" s="9" t="s">
        <v>41</v>
      </c>
      <c r="U889" s="25">
        <v>46313.371527777781</v>
      </c>
      <c r="V889" s="25">
        <v>46313.370138888888</v>
      </c>
      <c r="W889" s="26" t="s">
        <v>2775</v>
      </c>
      <c r="X889" s="9">
        <v>22411</v>
      </c>
      <c r="Z889" s="9">
        <v>0</v>
      </c>
      <c r="AA889" s="27">
        <v>0.3659722222222222</v>
      </c>
      <c r="AB889" s="9">
        <v>4</v>
      </c>
      <c r="AC889" s="9" t="s">
        <v>41</v>
      </c>
      <c r="AD889" s="9" t="str">
        <f t="shared" si="15"/>
        <v>Actual</v>
      </c>
      <c r="AE889" s="9" t="str">
        <f t="shared" si="16"/>
        <v>TMK7</v>
      </c>
      <c r="AF889" s="9">
        <f>HOUR(O889)</f>
        <v>8</v>
      </c>
      <c r="AG889" s="9">
        <f>DAY(O889)</f>
        <v>18</v>
      </c>
      <c r="AH889" s="9">
        <f>IFERROR((I889-K889)*24*60,0)</f>
        <v>0</v>
      </c>
      <c r="AI889" s="9">
        <f t="shared" si="17"/>
        <v>0</v>
      </c>
      <c r="AJ889" s="9">
        <f>C889</f>
        <v>1496</v>
      </c>
      <c r="AK889" s="9">
        <f>IF(P889="completed",((V889-K889)*24*60),0)</f>
        <v>4.0000000025611371</v>
      </c>
      <c r="AL889" s="9">
        <f>IF(P889="completed",((U889-K889)*24*60),0)</f>
        <v>6.0000000090803951</v>
      </c>
      <c r="AM889" s="9" t="str">
        <f t="shared" si="18"/>
        <v>OTP Achieved</v>
      </c>
      <c r="AN889" s="9" t="str">
        <f t="shared" si="19"/>
        <v>OTP Achieved</v>
      </c>
    </row>
    <row r="890" spans="1:40" ht="15.75" customHeight="1">
      <c r="A890" s="9" t="s">
        <v>2318</v>
      </c>
      <c r="B890" s="25">
        <v>46313.365972222222</v>
      </c>
      <c r="C890" s="9">
        <v>3047</v>
      </c>
      <c r="D890" s="9" t="s">
        <v>41</v>
      </c>
      <c r="E890" s="9">
        <v>8</v>
      </c>
      <c r="F890" s="9" t="s">
        <v>41</v>
      </c>
      <c r="G890" s="9" t="s">
        <v>41</v>
      </c>
      <c r="H890" s="9" t="s">
        <v>2776</v>
      </c>
      <c r="I890" s="25">
        <v>46313.366666666669</v>
      </c>
      <c r="J890" s="9" t="s">
        <v>41</v>
      </c>
      <c r="K890" s="25">
        <v>46313.365972222222</v>
      </c>
      <c r="L890" s="9">
        <v>17</v>
      </c>
      <c r="O890" s="25">
        <v>46313.365972222222</v>
      </c>
      <c r="P890" s="9" t="s">
        <v>43</v>
      </c>
      <c r="Q890" s="9" t="s">
        <v>2320</v>
      </c>
      <c r="R890" s="9" t="s">
        <v>2777</v>
      </c>
      <c r="S890" s="9">
        <v>4247</v>
      </c>
      <c r="T890" s="9" t="s">
        <v>41</v>
      </c>
      <c r="U890" s="25">
        <v>46313.375</v>
      </c>
      <c r="V890" s="25">
        <v>46313.37222222222</v>
      </c>
      <c r="W890" s="26" t="s">
        <v>2778</v>
      </c>
      <c r="X890" s="9">
        <v>22411</v>
      </c>
      <c r="Z890" s="9">
        <v>0</v>
      </c>
      <c r="AA890" s="27">
        <v>0.3659722222222222</v>
      </c>
      <c r="AB890" s="9">
        <v>8</v>
      </c>
      <c r="AC890" s="9" t="s">
        <v>41</v>
      </c>
      <c r="AD890" s="9" t="str">
        <f t="shared" si="15"/>
        <v>Actual</v>
      </c>
      <c r="AE890" s="9" t="str">
        <f t="shared" si="16"/>
        <v>TMK7</v>
      </c>
      <c r="AF890" s="9">
        <f>HOUR(O890)</f>
        <v>8</v>
      </c>
      <c r="AG890" s="9">
        <f>DAY(O890)</f>
        <v>18</v>
      </c>
      <c r="AH890" s="9">
        <f>IFERROR((I890-K890)*24*60,0)</f>
        <v>1.000000003259629</v>
      </c>
      <c r="AI890" s="9">
        <f t="shared" si="17"/>
        <v>1.000000003259629</v>
      </c>
      <c r="AJ890" s="9">
        <f>C890</f>
        <v>3047</v>
      </c>
      <c r="AK890" s="9">
        <f>IF(P890="completed",((V890-K890)*24*60),0)</f>
        <v>8.9999999979045242</v>
      </c>
      <c r="AL890" s="9">
        <f>IF(P890="completed",((U890-K890)*24*60),0)</f>
        <v>13.000000000465661</v>
      </c>
      <c r="AM890" s="9" t="str">
        <f t="shared" si="18"/>
        <v>OTP Achieved</v>
      </c>
      <c r="AN890" s="9" t="str">
        <f t="shared" si="19"/>
        <v>OTP Achieved</v>
      </c>
    </row>
    <row r="891" spans="1:40" ht="15.75" customHeight="1">
      <c r="A891" s="9" t="s">
        <v>1310</v>
      </c>
      <c r="B891" s="25">
        <v>46313.365277777775</v>
      </c>
      <c r="C891" s="9">
        <v>2761</v>
      </c>
      <c r="D891" s="9" t="s">
        <v>41</v>
      </c>
      <c r="E891" s="9">
        <v>8</v>
      </c>
      <c r="F891" s="9" t="s">
        <v>41</v>
      </c>
      <c r="G891" s="9" t="s">
        <v>41</v>
      </c>
      <c r="H891" s="9" t="s">
        <v>2779</v>
      </c>
      <c r="I891" s="25">
        <v>46313.365972222222</v>
      </c>
      <c r="J891" s="9" t="s">
        <v>41</v>
      </c>
      <c r="K891" s="25">
        <v>46313.365972222222</v>
      </c>
      <c r="L891" s="9">
        <v>9</v>
      </c>
      <c r="O891" s="25">
        <v>46313.365277777775</v>
      </c>
      <c r="P891" s="9" t="s">
        <v>43</v>
      </c>
      <c r="Q891" s="9" t="s">
        <v>1312</v>
      </c>
      <c r="R891" s="9" t="s">
        <v>2780</v>
      </c>
      <c r="S891" s="9">
        <v>4247</v>
      </c>
      <c r="T891" s="9" t="s">
        <v>41</v>
      </c>
      <c r="U891" s="25">
        <v>46313.37222222222</v>
      </c>
      <c r="V891" s="25">
        <v>46313.371527777781</v>
      </c>
      <c r="W891" s="26" t="s">
        <v>2781</v>
      </c>
      <c r="X891" s="9">
        <v>22411</v>
      </c>
      <c r="Z891" s="9">
        <v>0</v>
      </c>
      <c r="AA891" s="27">
        <v>0.36527777777777776</v>
      </c>
      <c r="AB891" s="9">
        <v>8</v>
      </c>
      <c r="AC891" s="9" t="s">
        <v>41</v>
      </c>
      <c r="AD891" s="9" t="str">
        <f t="shared" si="15"/>
        <v>Actual</v>
      </c>
      <c r="AE891" s="9" t="str">
        <f t="shared" si="16"/>
        <v>TMK7</v>
      </c>
      <c r="AF891" s="9">
        <f>HOUR(O891)</f>
        <v>8</v>
      </c>
      <c r="AG891" s="9">
        <f>DAY(O891)</f>
        <v>18</v>
      </c>
      <c r="AH891" s="9">
        <f>IFERROR((I891-K891)*24*60,0)</f>
        <v>0</v>
      </c>
      <c r="AI891" s="9">
        <f t="shared" si="17"/>
        <v>0</v>
      </c>
      <c r="AJ891" s="9">
        <f>C891</f>
        <v>2761</v>
      </c>
      <c r="AK891" s="9">
        <f>IF(P891="completed",((V891-K891)*24*60),0)</f>
        <v>8.0000000051222742</v>
      </c>
      <c r="AL891" s="9">
        <f>IF(P891="completed",((U891-K891)*24*60),0)</f>
        <v>8.9999999979045242</v>
      </c>
      <c r="AM891" s="9" t="str">
        <f t="shared" si="18"/>
        <v>OTP Achieved</v>
      </c>
      <c r="AN891" s="9" t="str">
        <f t="shared" si="19"/>
        <v>OTP Achieved</v>
      </c>
    </row>
    <row r="892" spans="1:40" ht="15.75" customHeight="1">
      <c r="A892" s="9" t="s">
        <v>1077</v>
      </c>
      <c r="B892" s="25">
        <v>46313.365277777775</v>
      </c>
      <c r="C892" s="9">
        <v>2829</v>
      </c>
      <c r="D892" s="9" t="s">
        <v>41</v>
      </c>
      <c r="E892" s="9">
        <v>7</v>
      </c>
      <c r="F892" s="9" t="s">
        <v>41</v>
      </c>
      <c r="G892" s="9" t="s">
        <v>41</v>
      </c>
      <c r="H892" s="9" t="s">
        <v>2782</v>
      </c>
      <c r="I892" s="25">
        <v>46313.365972222222</v>
      </c>
      <c r="J892" s="9" t="s">
        <v>41</v>
      </c>
      <c r="K892" s="25">
        <v>46313.365972222222</v>
      </c>
      <c r="L892" s="9">
        <v>21</v>
      </c>
      <c r="O892" s="25">
        <v>46313.364583333336</v>
      </c>
      <c r="P892" s="9" t="s">
        <v>43</v>
      </c>
      <c r="Q892" s="9" t="s">
        <v>1079</v>
      </c>
      <c r="R892" s="9" t="s">
        <v>2783</v>
      </c>
      <c r="S892" s="9">
        <v>4247</v>
      </c>
      <c r="T892" s="9" t="s">
        <v>41</v>
      </c>
      <c r="U892" s="25">
        <v>46313.373611111114</v>
      </c>
      <c r="V892" s="25">
        <v>46313.370833333334</v>
      </c>
      <c r="W892" s="26" t="s">
        <v>2784</v>
      </c>
      <c r="X892" s="9">
        <v>22411</v>
      </c>
      <c r="Z892" s="9">
        <v>0</v>
      </c>
      <c r="AA892" s="27">
        <v>0.36527777777777776</v>
      </c>
      <c r="AB892" s="9">
        <v>7</v>
      </c>
      <c r="AC892" s="9" t="s">
        <v>41</v>
      </c>
      <c r="AD892" s="9" t="str">
        <f t="shared" si="15"/>
        <v>Actual</v>
      </c>
      <c r="AE892" s="9" t="str">
        <f t="shared" si="16"/>
        <v>TMK7</v>
      </c>
      <c r="AF892" s="9">
        <f>HOUR(O892)</f>
        <v>8</v>
      </c>
      <c r="AG892" s="9">
        <f>DAY(O892)</f>
        <v>18</v>
      </c>
      <c r="AH892" s="9">
        <f>IFERROR((I892-K892)*24*60,0)</f>
        <v>0</v>
      </c>
      <c r="AI892" s="9">
        <f t="shared" si="17"/>
        <v>0</v>
      </c>
      <c r="AJ892" s="9">
        <f>C892</f>
        <v>2829</v>
      </c>
      <c r="AK892" s="9">
        <f>IF(P892="completed",((V892-K892)*24*60),0)</f>
        <v>7.0000000018626451</v>
      </c>
      <c r="AL892" s="9">
        <f>IF(P892="completed",((U892-K892)*24*60),0)</f>
        <v>11.000000004423782</v>
      </c>
      <c r="AM892" s="9" t="str">
        <f t="shared" si="18"/>
        <v>OTP Achieved</v>
      </c>
      <c r="AN892" s="9" t="str">
        <f t="shared" si="19"/>
        <v>OTP Achieved</v>
      </c>
    </row>
    <row r="893" spans="1:40" ht="15.75" customHeight="1">
      <c r="A893" s="9" t="s">
        <v>1365</v>
      </c>
      <c r="B893" s="25">
        <v>46313.364583333336</v>
      </c>
      <c r="C893" s="9">
        <v>878</v>
      </c>
      <c r="D893" s="9" t="s">
        <v>41</v>
      </c>
      <c r="E893" s="9">
        <v>3</v>
      </c>
      <c r="F893" s="9" t="s">
        <v>41</v>
      </c>
      <c r="G893" s="9" t="s">
        <v>41</v>
      </c>
      <c r="H893" s="9" t="s">
        <v>2785</v>
      </c>
      <c r="I893" s="25">
        <v>46313.365277777775</v>
      </c>
      <c r="J893" s="9" t="s">
        <v>41</v>
      </c>
      <c r="K893" s="25">
        <v>46313.364583333336</v>
      </c>
      <c r="L893" s="9">
        <v>29</v>
      </c>
      <c r="O893" s="25">
        <v>46313.364583333336</v>
      </c>
      <c r="P893" s="9" t="s">
        <v>43</v>
      </c>
      <c r="Q893" s="9" t="s">
        <v>1367</v>
      </c>
      <c r="R893" s="9" t="s">
        <v>2786</v>
      </c>
      <c r="S893" s="9">
        <v>4247</v>
      </c>
      <c r="T893" s="9" t="s">
        <v>41</v>
      </c>
      <c r="U893" s="25">
        <v>46313.367361111108</v>
      </c>
      <c r="V893" s="25">
        <v>46313.366666666669</v>
      </c>
      <c r="W893" s="26" t="s">
        <v>2787</v>
      </c>
      <c r="X893" s="9">
        <v>22411</v>
      </c>
      <c r="Z893" s="9">
        <v>0</v>
      </c>
      <c r="AA893" s="27">
        <v>0.36458333333333331</v>
      </c>
      <c r="AB893" s="9">
        <v>3</v>
      </c>
      <c r="AC893" s="9" t="s">
        <v>41</v>
      </c>
      <c r="AD893" s="9" t="str">
        <f t="shared" si="15"/>
        <v>Actual</v>
      </c>
      <c r="AE893" s="9" t="str">
        <f t="shared" si="16"/>
        <v>TMK7</v>
      </c>
      <c r="AF893" s="9">
        <f>HOUR(O893)</f>
        <v>8</v>
      </c>
      <c r="AG893" s="9">
        <f>DAY(O893)</f>
        <v>18</v>
      </c>
      <c r="AH893" s="9">
        <f>IFERROR((I893-K893)*24*60,0)</f>
        <v>0.99999999278225005</v>
      </c>
      <c r="AI893" s="9">
        <f t="shared" si="17"/>
        <v>0.99999999278225005</v>
      </c>
      <c r="AJ893" s="9">
        <f>C893</f>
        <v>878</v>
      </c>
      <c r="AK893" s="9">
        <f>IF(P893="completed",((V893-K893)*24*60),0)</f>
        <v>2.9999999993015081</v>
      </c>
      <c r="AL893" s="9">
        <f>IF(P893="completed",((U893-K893)*24*60),0)</f>
        <v>3.9999999920837581</v>
      </c>
      <c r="AM893" s="9" t="str">
        <f t="shared" si="18"/>
        <v>OTP Achieved</v>
      </c>
      <c r="AN893" s="9" t="str">
        <f t="shared" si="19"/>
        <v>OTP Achieved</v>
      </c>
    </row>
    <row r="894" spans="1:40" ht="15.75" customHeight="1">
      <c r="A894" s="9" t="s">
        <v>1461</v>
      </c>
      <c r="B894" s="25">
        <v>46313.363888888889</v>
      </c>
      <c r="C894" s="9">
        <v>1240</v>
      </c>
      <c r="D894" s="9" t="s">
        <v>41</v>
      </c>
      <c r="E894" s="9">
        <v>4</v>
      </c>
      <c r="F894" s="9" t="s">
        <v>41</v>
      </c>
      <c r="G894" s="9" t="s">
        <v>41</v>
      </c>
      <c r="H894" s="9" t="s">
        <v>2788</v>
      </c>
      <c r="I894" s="25">
        <v>46313.365277777775</v>
      </c>
      <c r="J894" s="9" t="s">
        <v>41</v>
      </c>
      <c r="K894" s="25">
        <v>46313.364583333336</v>
      </c>
      <c r="L894" s="9">
        <v>40</v>
      </c>
      <c r="O894" s="25">
        <v>46313.363888888889</v>
      </c>
      <c r="P894" s="9" t="s">
        <v>43</v>
      </c>
      <c r="Q894" s="9" t="s">
        <v>1463</v>
      </c>
      <c r="R894" s="9" t="s">
        <v>2789</v>
      </c>
      <c r="S894" s="9">
        <v>4247</v>
      </c>
      <c r="T894" s="9" t="s">
        <v>41</v>
      </c>
      <c r="U894" s="25">
        <v>46313.369444444441</v>
      </c>
      <c r="V894" s="25">
        <v>46313.367361111108</v>
      </c>
      <c r="W894" s="26" t="s">
        <v>2790</v>
      </c>
      <c r="X894" s="9">
        <v>22411</v>
      </c>
      <c r="Z894" s="9">
        <v>0</v>
      </c>
      <c r="AA894" s="27">
        <v>0.36388888888888887</v>
      </c>
      <c r="AB894" s="9">
        <v>3</v>
      </c>
      <c r="AC894" s="9" t="s">
        <v>41</v>
      </c>
      <c r="AD894" s="9" t="str">
        <f t="shared" si="15"/>
        <v>Actual</v>
      </c>
      <c r="AE894" s="9" t="str">
        <f t="shared" si="16"/>
        <v>TMK7</v>
      </c>
      <c r="AF894" s="9">
        <f>HOUR(O894)</f>
        <v>8</v>
      </c>
      <c r="AG894" s="9">
        <f>DAY(O894)</f>
        <v>18</v>
      </c>
      <c r="AH894" s="9">
        <f>IFERROR((I894-K894)*24*60,0)</f>
        <v>0.99999999278225005</v>
      </c>
      <c r="AI894" s="9">
        <f t="shared" si="17"/>
        <v>0.99999999278225005</v>
      </c>
      <c r="AJ894" s="9">
        <f>C894</f>
        <v>1240</v>
      </c>
      <c r="AK894" s="9">
        <f>IF(P894="completed",((V894-K894)*24*60),0)</f>
        <v>3.9999999920837581</v>
      </c>
      <c r="AL894" s="9">
        <f>IF(P894="completed",((U894-K894)*24*60),0)</f>
        <v>6.9999999913852662</v>
      </c>
      <c r="AM894" s="9" t="str">
        <f t="shared" si="18"/>
        <v>OTP Achieved</v>
      </c>
      <c r="AN894" s="9" t="str">
        <f t="shared" si="19"/>
        <v>OTP Achieved</v>
      </c>
    </row>
    <row r="895" spans="1:40" ht="15.75" customHeight="1">
      <c r="A895" s="9" t="s">
        <v>106</v>
      </c>
      <c r="B895" s="25">
        <v>46313.363194444442</v>
      </c>
      <c r="C895" s="9">
        <v>1520</v>
      </c>
      <c r="D895" s="9" t="s">
        <v>41</v>
      </c>
      <c r="E895" s="9">
        <v>7</v>
      </c>
      <c r="F895" s="9" t="s">
        <v>41</v>
      </c>
      <c r="G895" s="9" t="s">
        <v>41</v>
      </c>
      <c r="H895" s="9" t="s">
        <v>2791</v>
      </c>
      <c r="I895" s="25">
        <v>46313.365972222222</v>
      </c>
      <c r="J895" s="9" t="s">
        <v>41</v>
      </c>
      <c r="K895" s="25">
        <v>46313.365277777775</v>
      </c>
      <c r="L895" s="9">
        <v>42</v>
      </c>
      <c r="O895" s="25">
        <v>46313.363194444442</v>
      </c>
      <c r="P895" s="9" t="s">
        <v>43</v>
      </c>
      <c r="Q895" s="9" t="s">
        <v>108</v>
      </c>
      <c r="R895" s="9" t="s">
        <v>2792</v>
      </c>
      <c r="S895" s="9">
        <v>4247</v>
      </c>
      <c r="T895" s="9" t="s">
        <v>41</v>
      </c>
      <c r="U895" s="25">
        <v>46313.371527777781</v>
      </c>
      <c r="V895" s="25">
        <v>46313.370138888888</v>
      </c>
      <c r="W895" s="26" t="s">
        <v>2793</v>
      </c>
      <c r="X895" s="9">
        <v>22411</v>
      </c>
      <c r="Z895" s="9">
        <v>0</v>
      </c>
      <c r="AA895" s="27">
        <v>0.36319444444444443</v>
      </c>
      <c r="AB895" s="9">
        <v>6</v>
      </c>
      <c r="AC895" s="9" t="s">
        <v>41</v>
      </c>
      <c r="AD895" s="9" t="str">
        <f t="shared" si="15"/>
        <v>Actual</v>
      </c>
      <c r="AE895" s="9" t="str">
        <f t="shared" si="16"/>
        <v>TMK7</v>
      </c>
      <c r="AF895" s="9">
        <f>HOUR(O895)</f>
        <v>8</v>
      </c>
      <c r="AG895" s="9">
        <f>DAY(O895)</f>
        <v>18</v>
      </c>
      <c r="AH895" s="9">
        <f>IFERROR((I895-K895)*24*60,0)</f>
        <v>1.000000003259629</v>
      </c>
      <c r="AI895" s="9">
        <f t="shared" si="17"/>
        <v>1.000000003259629</v>
      </c>
      <c r="AJ895" s="9">
        <f>C895</f>
        <v>1520</v>
      </c>
      <c r="AK895" s="9">
        <f>IF(P895="completed",((V895-K895)*24*60),0)</f>
        <v>7.0000000018626451</v>
      </c>
      <c r="AL895" s="9">
        <f>IF(P895="completed",((U895-K895)*24*60),0)</f>
        <v>9.0000000083819032</v>
      </c>
      <c r="AM895" s="9" t="str">
        <f t="shared" si="18"/>
        <v>OTP Achieved</v>
      </c>
      <c r="AN895" s="9" t="str">
        <f t="shared" si="19"/>
        <v>OTP Achieved</v>
      </c>
    </row>
    <row r="896" spans="1:40" ht="15.75" customHeight="1">
      <c r="A896" s="9" t="s">
        <v>1391</v>
      </c>
      <c r="B896" s="25">
        <v>46313.361111111109</v>
      </c>
      <c r="C896" s="9">
        <v>316</v>
      </c>
      <c r="D896" s="9" t="s">
        <v>41</v>
      </c>
      <c r="E896" s="9">
        <v>1</v>
      </c>
      <c r="F896" s="9" t="s">
        <v>41</v>
      </c>
      <c r="G896" s="9" t="s">
        <v>41</v>
      </c>
      <c r="H896" s="9" t="s">
        <v>2794</v>
      </c>
      <c r="I896" s="25">
        <v>46313.361805555556</v>
      </c>
      <c r="J896" s="9" t="s">
        <v>41</v>
      </c>
      <c r="K896" s="25">
        <v>46313.361805555556</v>
      </c>
      <c r="L896" s="9">
        <v>11</v>
      </c>
      <c r="O896" s="25">
        <v>46313.361111111109</v>
      </c>
      <c r="P896" s="9" t="s">
        <v>43</v>
      </c>
      <c r="Q896" s="9" t="s">
        <v>1393</v>
      </c>
      <c r="R896" s="9" t="s">
        <v>2795</v>
      </c>
      <c r="S896" s="9">
        <v>4247</v>
      </c>
      <c r="T896" s="9" t="s">
        <v>41</v>
      </c>
      <c r="U896" s="25">
        <v>46313.363194444442</v>
      </c>
      <c r="V896" s="25">
        <v>46313.362500000003</v>
      </c>
      <c r="W896" s="26" t="s">
        <v>2796</v>
      </c>
      <c r="X896" s="9">
        <v>22411</v>
      </c>
      <c r="Z896" s="9">
        <v>0</v>
      </c>
      <c r="AA896" s="27">
        <v>0.3611111111111111</v>
      </c>
      <c r="AB896" s="9">
        <v>1</v>
      </c>
      <c r="AC896" s="9" t="s">
        <v>41</v>
      </c>
      <c r="AD896" s="9" t="str">
        <f t="shared" si="15"/>
        <v>Actual</v>
      </c>
      <c r="AE896" s="9" t="str">
        <f t="shared" si="16"/>
        <v>TMK7</v>
      </c>
      <c r="AF896" s="9">
        <f>HOUR(O896)</f>
        <v>8</v>
      </c>
      <c r="AG896" s="9">
        <f>DAY(O896)</f>
        <v>18</v>
      </c>
      <c r="AH896" s="9">
        <f>IFERROR((I896-K896)*24*60,0)</f>
        <v>0</v>
      </c>
      <c r="AI896" s="9">
        <f t="shared" si="17"/>
        <v>0</v>
      </c>
      <c r="AJ896" s="9">
        <f>C896</f>
        <v>316</v>
      </c>
      <c r="AK896" s="9">
        <f>IF(P896="completed",((V896-K896)*24*60),0)</f>
        <v>1.000000003259629</v>
      </c>
      <c r="AL896" s="9">
        <f>IF(P896="completed",((U896-K896)*24*60),0)</f>
        <v>1.9999999960418791</v>
      </c>
      <c r="AM896" s="9" t="str">
        <f t="shared" si="18"/>
        <v>OTP Achieved</v>
      </c>
      <c r="AN896" s="9" t="str">
        <f t="shared" si="19"/>
        <v>OTP Achieved</v>
      </c>
    </row>
    <row r="897" spans="1:40" ht="15.75" customHeight="1">
      <c r="A897" s="9" t="s">
        <v>98</v>
      </c>
      <c r="B897" s="25">
        <v>46313.361111111109</v>
      </c>
      <c r="C897" s="9">
        <v>1417</v>
      </c>
      <c r="D897" s="9" t="s">
        <v>41</v>
      </c>
      <c r="E897" s="9">
        <v>4</v>
      </c>
      <c r="F897" s="9" t="s">
        <v>41</v>
      </c>
      <c r="G897" s="9" t="s">
        <v>41</v>
      </c>
      <c r="H897" s="9" t="s">
        <v>2797</v>
      </c>
      <c r="I897" s="25">
        <v>46313.361805555556</v>
      </c>
      <c r="J897" s="9" t="s">
        <v>41</v>
      </c>
      <c r="K897" s="25">
        <v>46313.361111111109</v>
      </c>
      <c r="L897" s="9">
        <v>17</v>
      </c>
      <c r="O897" s="25">
        <v>46313.361111111109</v>
      </c>
      <c r="P897" s="9" t="s">
        <v>43</v>
      </c>
      <c r="Q897" s="9" t="s">
        <v>100</v>
      </c>
      <c r="R897" s="9" t="s">
        <v>2798</v>
      </c>
      <c r="S897" s="9">
        <v>4247</v>
      </c>
      <c r="T897" s="9" t="s">
        <v>41</v>
      </c>
      <c r="U897" s="25">
        <v>46313.365277777775</v>
      </c>
      <c r="V897" s="25">
        <v>46313.363888888889</v>
      </c>
      <c r="W897" s="26" t="s">
        <v>2799</v>
      </c>
      <c r="X897" s="9">
        <v>22411</v>
      </c>
      <c r="Z897" s="9">
        <v>0</v>
      </c>
      <c r="AA897" s="27">
        <v>0.3611111111111111</v>
      </c>
      <c r="AB897" s="9">
        <v>3</v>
      </c>
      <c r="AC897" s="9" t="s">
        <v>41</v>
      </c>
      <c r="AD897" s="9" t="str">
        <f t="shared" si="15"/>
        <v>Actual</v>
      </c>
      <c r="AE897" s="9" t="str">
        <f t="shared" si="16"/>
        <v>TMK7</v>
      </c>
      <c r="AF897" s="9">
        <f>HOUR(O897)</f>
        <v>8</v>
      </c>
      <c r="AG897" s="9">
        <f>DAY(O897)</f>
        <v>18</v>
      </c>
      <c r="AH897" s="9">
        <f>IFERROR((I897-K897)*24*60,0)</f>
        <v>1.000000003259629</v>
      </c>
      <c r="AI897" s="9">
        <f t="shared" si="17"/>
        <v>1.000000003259629</v>
      </c>
      <c r="AJ897" s="9">
        <f>C897</f>
        <v>1417</v>
      </c>
      <c r="AK897" s="9">
        <f>IF(P897="completed",((V897-K897)*24*60),0)</f>
        <v>4.0000000025611371</v>
      </c>
      <c r="AL897" s="9">
        <f>IF(P897="completed",((U897-K897)*24*60),0)</f>
        <v>5.9999999986030161</v>
      </c>
      <c r="AM897" s="9" t="str">
        <f t="shared" si="18"/>
        <v>OTP Achieved</v>
      </c>
      <c r="AN897" s="9" t="str">
        <f t="shared" si="19"/>
        <v>OTP Achieved</v>
      </c>
    </row>
    <row r="898" spans="1:40" ht="15.75" customHeight="1">
      <c r="A898" s="9" t="s">
        <v>2247</v>
      </c>
      <c r="B898" s="25">
        <v>46313.361111111109</v>
      </c>
      <c r="C898" s="9">
        <v>43</v>
      </c>
      <c r="D898" s="9" t="s">
        <v>41</v>
      </c>
      <c r="E898" s="9">
        <v>0</v>
      </c>
      <c r="F898" s="9" t="s">
        <v>41</v>
      </c>
      <c r="G898" s="9" t="s">
        <v>41</v>
      </c>
      <c r="H898" s="9" t="s">
        <v>2800</v>
      </c>
      <c r="I898" s="25">
        <v>46313.361111111109</v>
      </c>
      <c r="J898" s="9" t="s">
        <v>41</v>
      </c>
      <c r="K898" s="25">
        <v>46313.361111111109</v>
      </c>
      <c r="L898" s="9">
        <v>23</v>
      </c>
      <c r="O898" s="25">
        <v>46313.36041666667</v>
      </c>
      <c r="P898" s="9" t="s">
        <v>43</v>
      </c>
      <c r="Q898" s="9" t="s">
        <v>2249</v>
      </c>
      <c r="R898" s="9" t="s">
        <v>2801</v>
      </c>
      <c r="S898" s="9">
        <v>4247</v>
      </c>
      <c r="T898" s="9" t="s">
        <v>41</v>
      </c>
      <c r="U898" s="25">
        <v>46313.361805555556</v>
      </c>
      <c r="V898" s="25">
        <v>46313.361111111109</v>
      </c>
      <c r="W898" s="26" t="s">
        <v>2802</v>
      </c>
      <c r="X898" s="9">
        <v>22411</v>
      </c>
      <c r="Z898" s="9">
        <v>0</v>
      </c>
      <c r="AA898" s="27">
        <v>0.3611111111111111</v>
      </c>
      <c r="AB898" s="9">
        <v>0</v>
      </c>
      <c r="AC898" s="9" t="s">
        <v>41</v>
      </c>
      <c r="AD898" s="9" t="str">
        <f t="shared" si="15"/>
        <v>Actual</v>
      </c>
      <c r="AE898" s="9" t="str">
        <f t="shared" si="16"/>
        <v>TMK7</v>
      </c>
      <c r="AF898" s="9">
        <f>HOUR(O898)</f>
        <v>8</v>
      </c>
      <c r="AG898" s="9">
        <f>DAY(O898)</f>
        <v>18</v>
      </c>
      <c r="AH898" s="9">
        <f>IFERROR((I898-K898)*24*60,0)</f>
        <v>0</v>
      </c>
      <c r="AI898" s="9">
        <f t="shared" si="17"/>
        <v>0</v>
      </c>
      <c r="AJ898" s="9">
        <f>C898</f>
        <v>43</v>
      </c>
      <c r="AK898" s="9">
        <f>IF(P898="completed",((V898-K898)*24*60),0)</f>
        <v>0</v>
      </c>
      <c r="AL898" s="9">
        <f>IF(P898="completed",((U898-K898)*24*60),0)</f>
        <v>1.000000003259629</v>
      </c>
      <c r="AM898" s="9" t="str">
        <f t="shared" si="18"/>
        <v>OTP Achieved</v>
      </c>
      <c r="AN898" s="9" t="str">
        <f t="shared" si="19"/>
        <v>OTP Achieved</v>
      </c>
    </row>
    <row r="899" spans="1:40" ht="15.75" customHeight="1">
      <c r="A899" s="9" t="s">
        <v>177</v>
      </c>
      <c r="B899" s="25">
        <v>46313.36041666667</v>
      </c>
      <c r="C899" s="9">
        <v>2125</v>
      </c>
      <c r="D899" s="9" t="s">
        <v>41</v>
      </c>
      <c r="E899" s="9">
        <v>7</v>
      </c>
      <c r="F899" s="9" t="s">
        <v>41</v>
      </c>
      <c r="G899" s="9" t="s">
        <v>41</v>
      </c>
      <c r="H899" s="9" t="s">
        <v>2803</v>
      </c>
      <c r="I899" s="25">
        <v>46313.361111111109</v>
      </c>
      <c r="J899" s="9" t="s">
        <v>41</v>
      </c>
      <c r="K899" s="25">
        <v>46313.36041666667</v>
      </c>
      <c r="L899" s="9">
        <v>26</v>
      </c>
      <c r="O899" s="25">
        <v>46313.36041666667</v>
      </c>
      <c r="P899" s="9" t="s">
        <v>43</v>
      </c>
      <c r="Q899" s="9" t="s">
        <v>179</v>
      </c>
      <c r="R899" s="9" t="s">
        <v>2804</v>
      </c>
      <c r="S899" s="9">
        <v>4247</v>
      </c>
      <c r="T899" s="9" t="s">
        <v>41</v>
      </c>
      <c r="U899" s="25">
        <v>46313.367361111108</v>
      </c>
      <c r="V899" s="25">
        <v>46313.365277777775</v>
      </c>
      <c r="W899" s="26" t="s">
        <v>2805</v>
      </c>
      <c r="X899" s="9">
        <v>22411</v>
      </c>
      <c r="Z899" s="9">
        <v>0</v>
      </c>
      <c r="AA899" s="27">
        <v>0.36041666666666666</v>
      </c>
      <c r="AB899" s="9">
        <v>6</v>
      </c>
      <c r="AC899" s="9" t="s">
        <v>41</v>
      </c>
      <c r="AD899" s="9" t="str">
        <f t="shared" si="15"/>
        <v>Actual</v>
      </c>
      <c r="AE899" s="9" t="str">
        <f t="shared" si="16"/>
        <v>TMK7</v>
      </c>
      <c r="AF899" s="9">
        <f>HOUR(O899)</f>
        <v>8</v>
      </c>
      <c r="AG899" s="9">
        <f>DAY(O899)</f>
        <v>18</v>
      </c>
      <c r="AH899" s="9">
        <f>IFERROR((I899-K899)*24*60,0)</f>
        <v>0.99999999278225005</v>
      </c>
      <c r="AI899" s="9">
        <f t="shared" si="17"/>
        <v>0.99999999278225005</v>
      </c>
      <c r="AJ899" s="9">
        <f>C899</f>
        <v>2125</v>
      </c>
      <c r="AK899" s="9">
        <f>IF(P899="completed",((V899-K899)*24*60),0)</f>
        <v>6.9999999913852662</v>
      </c>
      <c r="AL899" s="9">
        <f>IF(P899="completed",((U899-K899)*24*60),0)</f>
        <v>9.9999999906867743</v>
      </c>
      <c r="AM899" s="9" t="str">
        <f t="shared" si="18"/>
        <v>OTP Achieved</v>
      </c>
      <c r="AN899" s="9" t="str">
        <f t="shared" si="19"/>
        <v>OTP Achieved</v>
      </c>
    </row>
    <row r="900" spans="1:40" ht="15.75" customHeight="1">
      <c r="A900" s="9" t="s">
        <v>1336</v>
      </c>
      <c r="B900" s="25">
        <v>46313.36041666667</v>
      </c>
      <c r="C900" s="9">
        <v>1984</v>
      </c>
      <c r="D900" s="9" t="s">
        <v>41</v>
      </c>
      <c r="E900" s="9">
        <v>5</v>
      </c>
      <c r="F900" s="9" t="s">
        <v>41</v>
      </c>
      <c r="G900" s="9" t="s">
        <v>41</v>
      </c>
      <c r="H900" s="9" t="s">
        <v>2806</v>
      </c>
      <c r="I900" s="25">
        <v>46313.361111111109</v>
      </c>
      <c r="J900" s="9" t="s">
        <v>41</v>
      </c>
      <c r="K900" s="25">
        <v>46313.36041666667</v>
      </c>
      <c r="L900" s="9">
        <v>8</v>
      </c>
      <c r="O900" s="25">
        <v>46313.359722222223</v>
      </c>
      <c r="P900" s="9" t="s">
        <v>43</v>
      </c>
      <c r="Q900" s="9" t="s">
        <v>1338</v>
      </c>
      <c r="R900" s="9" t="s">
        <v>2807</v>
      </c>
      <c r="S900" s="9">
        <v>4247</v>
      </c>
      <c r="T900" s="9" t="s">
        <v>41</v>
      </c>
      <c r="U900" s="25">
        <v>46313.365277777775</v>
      </c>
      <c r="V900" s="25">
        <v>46313.363888888889</v>
      </c>
      <c r="W900" s="26" t="s">
        <v>2808</v>
      </c>
      <c r="X900" s="9">
        <v>22411</v>
      </c>
      <c r="Z900" s="9">
        <v>0</v>
      </c>
      <c r="AA900" s="27">
        <v>0.36041666666666666</v>
      </c>
      <c r="AB900" s="9">
        <v>5</v>
      </c>
      <c r="AC900" s="9" t="s">
        <v>41</v>
      </c>
      <c r="AD900" s="9" t="str">
        <f t="shared" si="15"/>
        <v>Actual</v>
      </c>
      <c r="AE900" s="9" t="str">
        <f t="shared" si="16"/>
        <v>TMK7</v>
      </c>
      <c r="AF900" s="9">
        <f>HOUR(O900)</f>
        <v>8</v>
      </c>
      <c r="AG900" s="9">
        <f>DAY(O900)</f>
        <v>18</v>
      </c>
      <c r="AH900" s="9">
        <f>IFERROR((I900-K900)*24*60,0)</f>
        <v>0.99999999278225005</v>
      </c>
      <c r="AI900" s="9">
        <f t="shared" si="17"/>
        <v>0.99999999278225005</v>
      </c>
      <c r="AJ900" s="9">
        <f>C900</f>
        <v>1984</v>
      </c>
      <c r="AK900" s="9">
        <f>IF(P900="completed",((V900-K900)*24*60),0)</f>
        <v>4.9999999953433871</v>
      </c>
      <c r="AL900" s="9">
        <f>IF(P900="completed",((U900-K900)*24*60),0)</f>
        <v>6.9999999913852662</v>
      </c>
      <c r="AM900" s="9" t="str">
        <f t="shared" si="18"/>
        <v>OTP Achieved</v>
      </c>
      <c r="AN900" s="9" t="str">
        <f t="shared" si="19"/>
        <v>OTP Achieved</v>
      </c>
    </row>
    <row r="901" spans="1:40" ht="15.75" customHeight="1">
      <c r="A901" s="9" t="s">
        <v>2258</v>
      </c>
      <c r="B901" s="25">
        <v>46313.359027777777</v>
      </c>
      <c r="C901" s="9">
        <v>2301</v>
      </c>
      <c r="D901" s="9" t="s">
        <v>41</v>
      </c>
      <c r="E901" s="9">
        <v>6</v>
      </c>
      <c r="F901" s="9" t="s">
        <v>41</v>
      </c>
      <c r="G901" s="9" t="s">
        <v>41</v>
      </c>
      <c r="H901" s="9" t="s">
        <v>2809</v>
      </c>
      <c r="I901" s="25">
        <v>46313.359722222223</v>
      </c>
      <c r="J901" s="9" t="s">
        <v>41</v>
      </c>
      <c r="K901" s="25">
        <v>46313.359722222223</v>
      </c>
      <c r="L901" s="9">
        <v>16</v>
      </c>
      <c r="O901" s="25">
        <v>46313.35833333333</v>
      </c>
      <c r="P901" s="9" t="s">
        <v>43</v>
      </c>
      <c r="Q901" s="9" t="s">
        <v>2260</v>
      </c>
      <c r="R901" s="9" t="s">
        <v>2810</v>
      </c>
      <c r="S901" s="9">
        <v>4247</v>
      </c>
      <c r="T901" s="9" t="s">
        <v>41</v>
      </c>
      <c r="U901" s="25">
        <v>46313.364583333336</v>
      </c>
      <c r="V901" s="25">
        <v>46313.363194444442</v>
      </c>
      <c r="W901" s="26" t="s">
        <v>2811</v>
      </c>
      <c r="X901" s="9">
        <v>22411</v>
      </c>
      <c r="Z901" s="9">
        <v>0</v>
      </c>
      <c r="AA901" s="27">
        <v>0.35902777777777778</v>
      </c>
      <c r="AB901" s="9">
        <v>5</v>
      </c>
      <c r="AC901" s="9" t="s">
        <v>41</v>
      </c>
      <c r="AD901" s="9" t="str">
        <f t="shared" si="15"/>
        <v>Actual</v>
      </c>
      <c r="AE901" s="9" t="str">
        <f t="shared" si="16"/>
        <v>TMK7</v>
      </c>
      <c r="AF901" s="9">
        <f>HOUR(O901)</f>
        <v>8</v>
      </c>
      <c r="AG901" s="9">
        <f>DAY(O901)</f>
        <v>18</v>
      </c>
      <c r="AH901" s="9">
        <f>IFERROR((I901-K901)*24*60,0)</f>
        <v>0</v>
      </c>
      <c r="AI901" s="9">
        <f t="shared" si="17"/>
        <v>0</v>
      </c>
      <c r="AJ901" s="9">
        <f>C901</f>
        <v>2301</v>
      </c>
      <c r="AK901" s="9">
        <f>IF(P901="completed",((V901-K901)*24*60),0)</f>
        <v>4.9999999953433871</v>
      </c>
      <c r="AL901" s="9">
        <f>IF(P901="completed",((U901-K901)*24*60),0)</f>
        <v>7.0000000018626451</v>
      </c>
      <c r="AM901" s="9" t="str">
        <f t="shared" si="18"/>
        <v>OTP Achieved</v>
      </c>
      <c r="AN901" s="9" t="str">
        <f t="shared" si="19"/>
        <v>OTP Achieved</v>
      </c>
    </row>
    <row r="902" spans="1:40" ht="15.75" customHeight="1">
      <c r="A902" s="9" t="s">
        <v>1965</v>
      </c>
      <c r="B902" s="25">
        <v>46313.357638888891</v>
      </c>
      <c r="C902" s="9">
        <v>2060</v>
      </c>
      <c r="D902" s="9" t="s">
        <v>41</v>
      </c>
      <c r="E902" s="9">
        <v>6</v>
      </c>
      <c r="F902" s="9" t="s">
        <v>41</v>
      </c>
      <c r="G902" s="9" t="s">
        <v>41</v>
      </c>
      <c r="H902" s="9" t="s">
        <v>2812</v>
      </c>
      <c r="I902" s="25">
        <v>46313.359027777777</v>
      </c>
      <c r="J902" s="9" t="s">
        <v>41</v>
      </c>
      <c r="K902" s="25">
        <v>46313.359027777777</v>
      </c>
      <c r="L902" s="9">
        <v>11</v>
      </c>
      <c r="O902" s="25">
        <v>46313.357638888891</v>
      </c>
      <c r="P902" s="9" t="s">
        <v>43</v>
      </c>
      <c r="Q902" s="9" t="s">
        <v>1967</v>
      </c>
      <c r="R902" s="9" t="s">
        <v>2813</v>
      </c>
      <c r="S902" s="9">
        <v>4247</v>
      </c>
      <c r="T902" s="9" t="s">
        <v>41</v>
      </c>
      <c r="U902" s="25">
        <v>46313.363888888889</v>
      </c>
      <c r="V902" s="25">
        <v>46313.363194444442</v>
      </c>
      <c r="W902" s="26" t="s">
        <v>2814</v>
      </c>
      <c r="X902" s="9">
        <v>22411</v>
      </c>
      <c r="Z902" s="9">
        <v>0</v>
      </c>
      <c r="AA902" s="27">
        <v>0.3576388888888889</v>
      </c>
      <c r="AB902" s="9">
        <v>6</v>
      </c>
      <c r="AC902" s="9" t="s">
        <v>41</v>
      </c>
      <c r="AD902" s="9" t="str">
        <f t="shared" si="15"/>
        <v>Actual</v>
      </c>
      <c r="AE902" s="9" t="str">
        <f t="shared" si="16"/>
        <v>TMK7</v>
      </c>
      <c r="AF902" s="9">
        <f>HOUR(O902)</f>
        <v>8</v>
      </c>
      <c r="AG902" s="9">
        <f>DAY(O902)</f>
        <v>18</v>
      </c>
      <c r="AH902" s="9">
        <f>IFERROR((I902-K902)*24*60,0)</f>
        <v>0</v>
      </c>
      <c r="AI902" s="9">
        <f t="shared" si="17"/>
        <v>0</v>
      </c>
      <c r="AJ902" s="9">
        <f>C902</f>
        <v>2060</v>
      </c>
      <c r="AK902" s="9">
        <f>IF(P902="completed",((V902-K902)*24*60),0)</f>
        <v>5.9999999986030161</v>
      </c>
      <c r="AL902" s="9">
        <f>IF(P902="completed",((U902-K902)*24*60),0)</f>
        <v>7.0000000018626451</v>
      </c>
      <c r="AM902" s="9" t="str">
        <f t="shared" si="18"/>
        <v>OTP Achieved</v>
      </c>
      <c r="AN902" s="9" t="str">
        <f t="shared" si="19"/>
        <v>OTP Achieved</v>
      </c>
    </row>
    <row r="903" spans="1:40" ht="15.75" customHeight="1">
      <c r="A903" s="9" t="s">
        <v>1624</v>
      </c>
      <c r="B903" s="25">
        <v>46313.356249999997</v>
      </c>
      <c r="C903" s="9">
        <v>3128</v>
      </c>
      <c r="D903" s="9" t="s">
        <v>41</v>
      </c>
      <c r="E903" s="9">
        <v>8</v>
      </c>
      <c r="F903" s="9" t="s">
        <v>41</v>
      </c>
      <c r="G903" s="9" t="s">
        <v>41</v>
      </c>
      <c r="H903" s="9" t="s">
        <v>2815</v>
      </c>
      <c r="I903" s="25">
        <v>46313.35833333333</v>
      </c>
      <c r="J903" s="9" t="s">
        <v>41</v>
      </c>
      <c r="K903" s="25">
        <v>46313.357638888891</v>
      </c>
      <c r="L903" s="9">
        <v>29</v>
      </c>
      <c r="O903" s="25">
        <v>46313.356249999997</v>
      </c>
      <c r="P903" s="9" t="s">
        <v>43</v>
      </c>
      <c r="Q903" s="9" t="s">
        <v>1626</v>
      </c>
      <c r="R903" s="9" t="s">
        <v>2816</v>
      </c>
      <c r="S903" s="9">
        <v>4247</v>
      </c>
      <c r="T903" s="9" t="s">
        <v>41</v>
      </c>
      <c r="U903" s="25">
        <v>46313.365972222222</v>
      </c>
      <c r="V903" s="25">
        <v>46313.363194444442</v>
      </c>
      <c r="W903" s="26" t="s">
        <v>2817</v>
      </c>
      <c r="X903" s="9">
        <v>22411</v>
      </c>
      <c r="Z903" s="9">
        <v>0</v>
      </c>
      <c r="AA903" s="27">
        <v>0.35625000000000001</v>
      </c>
      <c r="AB903" s="9">
        <v>7</v>
      </c>
      <c r="AC903" s="9" t="s">
        <v>41</v>
      </c>
      <c r="AD903" s="9" t="str">
        <f t="shared" si="15"/>
        <v>Actual</v>
      </c>
      <c r="AE903" s="9" t="str">
        <f t="shared" si="16"/>
        <v>TMK7</v>
      </c>
      <c r="AF903" s="9">
        <f>HOUR(O903)</f>
        <v>8</v>
      </c>
      <c r="AG903" s="9">
        <f>DAY(O903)</f>
        <v>18</v>
      </c>
      <c r="AH903" s="9">
        <f>IFERROR((I903-K903)*24*60,0)</f>
        <v>0.99999999278225005</v>
      </c>
      <c r="AI903" s="9">
        <f t="shared" si="17"/>
        <v>0.99999999278225005</v>
      </c>
      <c r="AJ903" s="9">
        <f>C903</f>
        <v>3128</v>
      </c>
      <c r="AK903" s="9">
        <f>IF(P903="completed",((V903-K903)*24*60),0)</f>
        <v>7.9999999946448952</v>
      </c>
      <c r="AL903" s="9">
        <f>IF(P903="completed",((U903-K903)*24*60),0)</f>
        <v>11.999999997206032</v>
      </c>
      <c r="AM903" s="9" t="str">
        <f t="shared" si="18"/>
        <v>OTP Achieved</v>
      </c>
      <c r="AN903" s="9" t="str">
        <f t="shared" si="19"/>
        <v>OTP Achieved</v>
      </c>
    </row>
    <row r="904" spans="1:40" ht="15.75" customHeight="1">
      <c r="A904" s="9" t="s">
        <v>52</v>
      </c>
      <c r="B904" s="25">
        <v>46313.355555555558</v>
      </c>
      <c r="C904" s="9">
        <v>395</v>
      </c>
      <c r="D904" s="9" t="s">
        <v>41</v>
      </c>
      <c r="E904" s="9">
        <v>2</v>
      </c>
      <c r="F904" s="9" t="s">
        <v>41</v>
      </c>
      <c r="G904" s="9" t="s">
        <v>41</v>
      </c>
      <c r="H904" s="9" t="s">
        <v>2818</v>
      </c>
      <c r="I904" s="25">
        <v>46313.356944444444</v>
      </c>
      <c r="J904" s="9" t="s">
        <v>41</v>
      </c>
      <c r="K904" s="25">
        <v>46313.356249999997</v>
      </c>
      <c r="L904" s="9">
        <v>32</v>
      </c>
      <c r="O904" s="25">
        <v>46313.355555555558</v>
      </c>
      <c r="P904" s="9" t="s">
        <v>43</v>
      </c>
      <c r="Q904" s="9" t="s">
        <v>54</v>
      </c>
      <c r="R904" s="9" t="s">
        <v>2819</v>
      </c>
      <c r="S904" s="9">
        <v>4247</v>
      </c>
      <c r="T904" s="9" t="s">
        <v>41</v>
      </c>
      <c r="U904" s="25">
        <v>46313.35833333333</v>
      </c>
      <c r="V904" s="25">
        <v>46313.357638888891</v>
      </c>
      <c r="W904" s="26" t="s">
        <v>2820</v>
      </c>
      <c r="X904" s="9">
        <v>22411</v>
      </c>
      <c r="Z904" s="9">
        <v>0</v>
      </c>
      <c r="AA904" s="27">
        <v>0.35555555555555557</v>
      </c>
      <c r="AB904" s="9">
        <v>1</v>
      </c>
      <c r="AC904" s="9" t="s">
        <v>41</v>
      </c>
      <c r="AD904" s="9" t="str">
        <f t="shared" si="15"/>
        <v>Actual</v>
      </c>
      <c r="AE904" s="9" t="str">
        <f t="shared" si="16"/>
        <v>TMK7</v>
      </c>
      <c r="AF904" s="9">
        <f>HOUR(O904)</f>
        <v>8</v>
      </c>
      <c r="AG904" s="9">
        <f>DAY(O904)</f>
        <v>18</v>
      </c>
      <c r="AH904" s="9">
        <f>IFERROR((I904-K904)*24*60,0)</f>
        <v>1.000000003259629</v>
      </c>
      <c r="AI904" s="9">
        <f t="shared" si="17"/>
        <v>1.000000003259629</v>
      </c>
      <c r="AJ904" s="9">
        <f>C904</f>
        <v>395</v>
      </c>
      <c r="AK904" s="9">
        <f>IF(P904="completed",((V904-K904)*24*60),0)</f>
        <v>2.000000006519258</v>
      </c>
      <c r="AL904" s="9">
        <f>IF(P904="completed",((U904-K904)*24*60),0)</f>
        <v>2.9999999993015081</v>
      </c>
      <c r="AM904" s="9" t="str">
        <f t="shared" si="18"/>
        <v>OTP Achieved</v>
      </c>
      <c r="AN904" s="9" t="str">
        <f t="shared" si="19"/>
        <v>OTP Achieved</v>
      </c>
    </row>
    <row r="905" spans="1:40" ht="15.75" customHeight="1">
      <c r="A905" s="9" t="s">
        <v>93</v>
      </c>
      <c r="B905" s="25">
        <v>46313.355555555558</v>
      </c>
      <c r="C905" s="9">
        <v>2743</v>
      </c>
      <c r="D905" s="9" t="s">
        <v>41</v>
      </c>
      <c r="E905" s="9">
        <v>7</v>
      </c>
      <c r="F905" s="9" t="s">
        <v>41</v>
      </c>
      <c r="G905" s="9" t="s">
        <v>41</v>
      </c>
      <c r="H905" s="9" t="s">
        <v>2821</v>
      </c>
      <c r="I905" s="25">
        <v>46313.356249999997</v>
      </c>
      <c r="J905" s="9" t="s">
        <v>41</v>
      </c>
      <c r="K905" s="25">
        <v>46313.355555555558</v>
      </c>
      <c r="L905" s="9">
        <v>33</v>
      </c>
      <c r="O905" s="25">
        <v>46313.355555555558</v>
      </c>
      <c r="P905" s="9" t="s">
        <v>43</v>
      </c>
      <c r="Q905" s="9" t="s">
        <v>95</v>
      </c>
      <c r="R905" s="9" t="s">
        <v>2822</v>
      </c>
      <c r="S905" s="9">
        <v>4247</v>
      </c>
      <c r="T905" s="9" t="s">
        <v>41</v>
      </c>
      <c r="U905" s="25">
        <v>46313.362500000003</v>
      </c>
      <c r="V905" s="25">
        <v>46313.36041666667</v>
      </c>
      <c r="W905" s="26" t="s">
        <v>2823</v>
      </c>
      <c r="X905" s="9">
        <v>22411</v>
      </c>
      <c r="Z905" s="9">
        <v>0</v>
      </c>
      <c r="AA905" s="27">
        <v>0.35555555555555557</v>
      </c>
      <c r="AB905" s="9">
        <v>6</v>
      </c>
      <c r="AC905" s="9" t="s">
        <v>41</v>
      </c>
      <c r="AD905" s="9" t="str">
        <f t="shared" si="15"/>
        <v>Actual</v>
      </c>
      <c r="AE905" s="9" t="str">
        <f t="shared" si="16"/>
        <v>TMK7</v>
      </c>
      <c r="AF905" s="9">
        <f>HOUR(O905)</f>
        <v>8</v>
      </c>
      <c r="AG905" s="9">
        <f>DAY(O905)</f>
        <v>18</v>
      </c>
      <c r="AH905" s="9">
        <f>IFERROR((I905-K905)*24*60,0)</f>
        <v>0.99999999278225005</v>
      </c>
      <c r="AI905" s="9">
        <f t="shared" si="17"/>
        <v>0.99999999278225005</v>
      </c>
      <c r="AJ905" s="9">
        <f>C905</f>
        <v>2743</v>
      </c>
      <c r="AK905" s="9">
        <f>IF(P905="completed",((V905-K905)*24*60),0)</f>
        <v>7.0000000018626451</v>
      </c>
      <c r="AL905" s="9">
        <f>IF(P905="completed",((U905-K905)*24*60),0)</f>
        <v>10.000000001164153</v>
      </c>
      <c r="AM905" s="9" t="str">
        <f t="shared" si="18"/>
        <v>OTP Achieved</v>
      </c>
      <c r="AN905" s="9" t="str">
        <f t="shared" si="19"/>
        <v>OTP Achieved</v>
      </c>
    </row>
    <row r="906" spans="1:40" ht="15.75" customHeight="1">
      <c r="A906" s="9" t="s">
        <v>1592</v>
      </c>
      <c r="B906" s="25">
        <v>46313.355555555558</v>
      </c>
      <c r="C906" s="9">
        <v>899</v>
      </c>
      <c r="D906" s="9" t="s">
        <v>41</v>
      </c>
      <c r="E906" s="9">
        <v>3</v>
      </c>
      <c r="F906" s="9" t="s">
        <v>41</v>
      </c>
      <c r="G906" s="9" t="s">
        <v>41</v>
      </c>
      <c r="H906" s="9" t="s">
        <v>2824</v>
      </c>
      <c r="I906" s="25">
        <v>46313.356249999997</v>
      </c>
      <c r="J906" s="9" t="s">
        <v>41</v>
      </c>
      <c r="K906" s="25">
        <v>46313.355555555558</v>
      </c>
      <c r="L906" s="9">
        <v>34</v>
      </c>
      <c r="O906" s="25">
        <v>46313.354861111111</v>
      </c>
      <c r="P906" s="9" t="s">
        <v>43</v>
      </c>
      <c r="Q906" s="9" t="s">
        <v>1594</v>
      </c>
      <c r="R906" s="9" t="s">
        <v>2825</v>
      </c>
      <c r="S906" s="9">
        <v>4247</v>
      </c>
      <c r="T906" s="9" t="s">
        <v>41</v>
      </c>
      <c r="U906" s="25">
        <v>46313.359027777777</v>
      </c>
      <c r="V906" s="25">
        <v>46313.35833333333</v>
      </c>
      <c r="W906" s="26" t="s">
        <v>2826</v>
      </c>
      <c r="X906" s="9">
        <v>22411</v>
      </c>
      <c r="Z906" s="9">
        <v>0</v>
      </c>
      <c r="AA906" s="27">
        <v>0.35555555555555557</v>
      </c>
      <c r="AB906" s="9">
        <v>3</v>
      </c>
      <c r="AC906" s="9" t="s">
        <v>41</v>
      </c>
      <c r="AD906" s="9" t="str">
        <f t="shared" si="15"/>
        <v>Actual</v>
      </c>
      <c r="AE906" s="9" t="str">
        <f t="shared" si="16"/>
        <v>TMK7</v>
      </c>
      <c r="AF906" s="9">
        <f>HOUR(O906)</f>
        <v>8</v>
      </c>
      <c r="AG906" s="9">
        <f>DAY(O906)</f>
        <v>18</v>
      </c>
      <c r="AH906" s="9">
        <f>IFERROR((I906-K906)*24*60,0)</f>
        <v>0.99999999278225005</v>
      </c>
      <c r="AI906" s="9">
        <f t="shared" si="17"/>
        <v>0.99999999278225005</v>
      </c>
      <c r="AJ906" s="9">
        <f>C906</f>
        <v>899</v>
      </c>
      <c r="AK906" s="9">
        <f>IF(P906="completed",((V906-K906)*24*60),0)</f>
        <v>3.9999999920837581</v>
      </c>
      <c r="AL906" s="9">
        <f>IF(P906="completed",((U906-K906)*24*60),0)</f>
        <v>4.9999999953433871</v>
      </c>
      <c r="AM906" s="9" t="str">
        <f t="shared" si="18"/>
        <v>OTP Achieved</v>
      </c>
      <c r="AN906" s="9" t="str">
        <f t="shared" si="19"/>
        <v>OTP Achieved</v>
      </c>
    </row>
    <row r="907" spans="1:40" ht="15.75" customHeight="1">
      <c r="A907" s="9" t="s">
        <v>347</v>
      </c>
      <c r="B907" s="25">
        <v>46313.354861111111</v>
      </c>
      <c r="C907" s="9">
        <v>1265</v>
      </c>
      <c r="D907" s="9" t="s">
        <v>41</v>
      </c>
      <c r="E907" s="9">
        <v>5</v>
      </c>
      <c r="F907" s="9" t="s">
        <v>41</v>
      </c>
      <c r="G907" s="9" t="s">
        <v>41</v>
      </c>
      <c r="H907" s="9" t="s">
        <v>2827</v>
      </c>
      <c r="I907" s="25">
        <v>46313.356249999997</v>
      </c>
      <c r="J907" s="9" t="s">
        <v>41</v>
      </c>
      <c r="K907" s="25">
        <v>46313.356249999997</v>
      </c>
      <c r="L907" s="9">
        <v>23</v>
      </c>
      <c r="O907" s="25">
        <v>46313.354861111111</v>
      </c>
      <c r="P907" s="9" t="s">
        <v>43</v>
      </c>
      <c r="Q907" s="9" t="s">
        <v>349</v>
      </c>
      <c r="R907" s="9" t="s">
        <v>2828</v>
      </c>
      <c r="S907" s="9">
        <v>4247</v>
      </c>
      <c r="T907" s="9" t="s">
        <v>41</v>
      </c>
      <c r="U907" s="25">
        <v>46313.361111111109</v>
      </c>
      <c r="V907" s="25">
        <v>46313.359027777777</v>
      </c>
      <c r="W907" s="26" t="s">
        <v>2829</v>
      </c>
      <c r="X907" s="9">
        <v>22411</v>
      </c>
      <c r="Z907" s="9">
        <v>0</v>
      </c>
      <c r="AA907" s="27">
        <v>0.35486111111111113</v>
      </c>
      <c r="AB907" s="9">
        <v>4</v>
      </c>
      <c r="AC907" s="9" t="s">
        <v>41</v>
      </c>
      <c r="AD907" s="9" t="str">
        <f t="shared" si="15"/>
        <v>Actual</v>
      </c>
      <c r="AE907" s="9" t="str">
        <f t="shared" si="16"/>
        <v>TMK7</v>
      </c>
      <c r="AF907" s="9">
        <f>HOUR(O907)</f>
        <v>8</v>
      </c>
      <c r="AG907" s="9">
        <f>DAY(O907)</f>
        <v>18</v>
      </c>
      <c r="AH907" s="9">
        <f>IFERROR((I907-K907)*24*60,0)</f>
        <v>0</v>
      </c>
      <c r="AI907" s="9">
        <f t="shared" si="17"/>
        <v>0</v>
      </c>
      <c r="AJ907" s="9">
        <f>C907</f>
        <v>1265</v>
      </c>
      <c r="AK907" s="9">
        <f>IF(P907="completed",((V907-K907)*24*60),0)</f>
        <v>4.0000000025611371</v>
      </c>
      <c r="AL907" s="9">
        <f>IF(P907="completed",((U907-K907)*24*60),0)</f>
        <v>7.0000000018626451</v>
      </c>
      <c r="AM907" s="9" t="str">
        <f t="shared" si="18"/>
        <v>OTP Achieved</v>
      </c>
      <c r="AN907" s="9" t="str">
        <f t="shared" si="19"/>
        <v>OTP Achieved</v>
      </c>
    </row>
    <row r="908" spans="1:40" ht="15.75" customHeight="1">
      <c r="A908" s="9" t="s">
        <v>734</v>
      </c>
      <c r="B908" s="25">
        <v>46313.354166666664</v>
      </c>
      <c r="C908" s="9">
        <v>1515</v>
      </c>
      <c r="D908" s="9" t="s">
        <v>41</v>
      </c>
      <c r="E908" s="9">
        <v>6</v>
      </c>
      <c r="F908" s="9" t="s">
        <v>41</v>
      </c>
      <c r="G908" s="9" t="s">
        <v>41</v>
      </c>
      <c r="H908" s="9" t="s">
        <v>2830</v>
      </c>
      <c r="I908" s="25">
        <v>46313.354861111111</v>
      </c>
      <c r="J908" s="9" t="s">
        <v>41</v>
      </c>
      <c r="K908" s="25">
        <v>46313.354861111111</v>
      </c>
      <c r="L908" s="9">
        <v>15</v>
      </c>
      <c r="O908" s="25">
        <v>46313.354166666664</v>
      </c>
      <c r="P908" s="9" t="s">
        <v>43</v>
      </c>
      <c r="Q908" s="9" t="s">
        <v>736</v>
      </c>
      <c r="R908" s="9" t="s">
        <v>2831</v>
      </c>
      <c r="S908" s="9">
        <v>4247</v>
      </c>
      <c r="T908" s="9" t="s">
        <v>41</v>
      </c>
      <c r="U908" s="25">
        <v>46313.361111111109</v>
      </c>
      <c r="V908" s="25">
        <v>46313.359027777777</v>
      </c>
      <c r="W908" s="26" t="s">
        <v>2832</v>
      </c>
      <c r="X908" s="9">
        <v>22411</v>
      </c>
      <c r="Z908" s="9">
        <v>0</v>
      </c>
      <c r="AA908" s="27">
        <v>0.35416666666666669</v>
      </c>
      <c r="AB908" s="9">
        <v>6</v>
      </c>
      <c r="AC908" s="9" t="s">
        <v>41</v>
      </c>
      <c r="AD908" s="9" t="str">
        <f t="shared" si="15"/>
        <v>Actual</v>
      </c>
      <c r="AE908" s="9" t="str">
        <f t="shared" si="16"/>
        <v>TMK7</v>
      </c>
      <c r="AF908" s="9">
        <f>HOUR(O908)</f>
        <v>8</v>
      </c>
      <c r="AG908" s="9">
        <f>DAY(O908)</f>
        <v>18</v>
      </c>
      <c r="AH908" s="9">
        <f>IFERROR((I908-K908)*24*60,0)</f>
        <v>0</v>
      </c>
      <c r="AI908" s="9">
        <f t="shared" si="17"/>
        <v>0</v>
      </c>
      <c r="AJ908" s="9">
        <f>C908</f>
        <v>1515</v>
      </c>
      <c r="AK908" s="9">
        <f>IF(P908="completed",((V908-K908)*24*60),0)</f>
        <v>5.9999999986030161</v>
      </c>
      <c r="AL908" s="9">
        <f>IF(P908="completed",((U908-K908)*24*60),0)</f>
        <v>8.9999999979045242</v>
      </c>
      <c r="AM908" s="9" t="str">
        <f t="shared" si="18"/>
        <v>OTP Achieved</v>
      </c>
      <c r="AN908" s="9" t="str">
        <f t="shared" si="19"/>
        <v>OTP Achieved</v>
      </c>
    </row>
    <row r="909" spans="1:40" ht="15.75" customHeight="1">
      <c r="A909" s="9" t="s">
        <v>185</v>
      </c>
      <c r="B909" s="25">
        <v>46313.353472222225</v>
      </c>
      <c r="C909" s="9">
        <v>1790</v>
      </c>
      <c r="D909" s="9" t="s">
        <v>41</v>
      </c>
      <c r="E909" s="9">
        <v>6</v>
      </c>
      <c r="F909" s="9" t="s">
        <v>41</v>
      </c>
      <c r="G909" s="9" t="s">
        <v>41</v>
      </c>
      <c r="H909" s="9" t="s">
        <v>2833</v>
      </c>
      <c r="I909" s="25">
        <v>46313.354861111111</v>
      </c>
      <c r="J909" s="9" t="s">
        <v>41</v>
      </c>
      <c r="K909" s="25">
        <v>46313.354861111111</v>
      </c>
      <c r="L909" s="9">
        <v>11</v>
      </c>
      <c r="O909" s="25">
        <v>46313.353472222225</v>
      </c>
      <c r="P909" s="9" t="s">
        <v>43</v>
      </c>
      <c r="Q909" s="9" t="s">
        <v>187</v>
      </c>
      <c r="R909" s="9" t="s">
        <v>2834</v>
      </c>
      <c r="S909" s="9">
        <v>4247</v>
      </c>
      <c r="T909" s="9" t="s">
        <v>41</v>
      </c>
      <c r="U909" s="25">
        <v>46313.36041666667</v>
      </c>
      <c r="V909" s="25">
        <v>46313.359027777777</v>
      </c>
      <c r="W909" s="26" t="s">
        <v>2835</v>
      </c>
      <c r="X909" s="9">
        <v>22411</v>
      </c>
      <c r="Z909" s="9">
        <v>0</v>
      </c>
      <c r="AA909" s="27">
        <v>0.35347222222222224</v>
      </c>
      <c r="AB909" s="9">
        <v>6</v>
      </c>
      <c r="AC909" s="9" t="s">
        <v>41</v>
      </c>
      <c r="AD909" s="9" t="str">
        <f t="shared" si="15"/>
        <v>Actual</v>
      </c>
      <c r="AE909" s="9" t="str">
        <f t="shared" si="16"/>
        <v>TMK7</v>
      </c>
      <c r="AF909" s="9">
        <f>HOUR(O909)</f>
        <v>8</v>
      </c>
      <c r="AG909" s="9">
        <f>DAY(O909)</f>
        <v>18</v>
      </c>
      <c r="AH909" s="9">
        <f>IFERROR((I909-K909)*24*60,0)</f>
        <v>0</v>
      </c>
      <c r="AI909" s="9">
        <f t="shared" si="17"/>
        <v>0</v>
      </c>
      <c r="AJ909" s="9">
        <f>C909</f>
        <v>1790</v>
      </c>
      <c r="AK909" s="9">
        <f>IF(P909="completed",((V909-K909)*24*60),0)</f>
        <v>5.9999999986030161</v>
      </c>
      <c r="AL909" s="9">
        <f>IF(P909="completed",((U909-K909)*24*60),0)</f>
        <v>8.0000000051222742</v>
      </c>
      <c r="AM909" s="9" t="str">
        <f t="shared" si="18"/>
        <v>OTP Achieved</v>
      </c>
      <c r="AN909" s="9" t="str">
        <f t="shared" si="19"/>
        <v>OTP Achieved</v>
      </c>
    </row>
    <row r="910" spans="1:40" ht="15.75" customHeight="1">
      <c r="A910" s="9" t="s">
        <v>655</v>
      </c>
      <c r="B910" s="25">
        <v>46313.353472222225</v>
      </c>
      <c r="C910" s="9">
        <v>1700</v>
      </c>
      <c r="D910" s="9" t="s">
        <v>41</v>
      </c>
      <c r="E910" s="9">
        <v>4</v>
      </c>
      <c r="F910" s="9" t="s">
        <v>41</v>
      </c>
      <c r="G910" s="9" t="s">
        <v>41</v>
      </c>
      <c r="H910" s="9" t="s">
        <v>2836</v>
      </c>
      <c r="I910" s="25">
        <v>46313.354166666664</v>
      </c>
      <c r="J910" s="9" t="s">
        <v>41</v>
      </c>
      <c r="K910" s="25">
        <v>46313.353472222225</v>
      </c>
      <c r="L910" s="9">
        <v>19</v>
      </c>
      <c r="O910" s="25">
        <v>46313.353472222225</v>
      </c>
      <c r="P910" s="9" t="s">
        <v>43</v>
      </c>
      <c r="Q910" s="9" t="s">
        <v>657</v>
      </c>
      <c r="R910" s="9" t="s">
        <v>2837</v>
      </c>
      <c r="S910" s="9">
        <v>4247</v>
      </c>
      <c r="T910" s="9" t="s">
        <v>41</v>
      </c>
      <c r="U910" s="25">
        <v>46313.359722222223</v>
      </c>
      <c r="V910" s="25">
        <v>46313.356249999997</v>
      </c>
      <c r="W910" s="26" t="s">
        <v>2838</v>
      </c>
      <c r="X910" s="9">
        <v>22411</v>
      </c>
      <c r="Z910" s="9">
        <v>0</v>
      </c>
      <c r="AA910" s="27">
        <v>0.35347222222222224</v>
      </c>
      <c r="AB910" s="9">
        <v>3</v>
      </c>
      <c r="AC910" s="9" t="s">
        <v>41</v>
      </c>
      <c r="AD910" s="9" t="str">
        <f t="shared" si="15"/>
        <v>Actual</v>
      </c>
      <c r="AE910" s="9" t="str">
        <f t="shared" si="16"/>
        <v>TMK7</v>
      </c>
      <c r="AF910" s="9">
        <f>HOUR(O910)</f>
        <v>8</v>
      </c>
      <c r="AG910" s="9">
        <f>DAY(O910)</f>
        <v>18</v>
      </c>
      <c r="AH910" s="9">
        <f>IFERROR((I910-K910)*24*60,0)</f>
        <v>0.99999999278225005</v>
      </c>
      <c r="AI910" s="9">
        <f t="shared" si="17"/>
        <v>0.99999999278225005</v>
      </c>
      <c r="AJ910" s="9">
        <f>C910</f>
        <v>1700</v>
      </c>
      <c r="AK910" s="9">
        <f>IF(P910="completed",((V910-K910)*24*60),0)</f>
        <v>3.9999999920837581</v>
      </c>
      <c r="AL910" s="9">
        <f>IF(P910="completed",((U910-K910)*24*60),0)</f>
        <v>8.9999999979045242</v>
      </c>
      <c r="AM910" s="9" t="str">
        <f t="shared" si="18"/>
        <v>OTP Achieved</v>
      </c>
      <c r="AN910" s="9" t="str">
        <f t="shared" si="19"/>
        <v>OTP Achieved</v>
      </c>
    </row>
    <row r="911" spans="1:40" ht="15.75" customHeight="1">
      <c r="A911" s="9" t="s">
        <v>379</v>
      </c>
      <c r="B911" s="25">
        <v>46313.352777777778</v>
      </c>
      <c r="C911" s="9">
        <v>621</v>
      </c>
      <c r="D911" s="9" t="s">
        <v>41</v>
      </c>
      <c r="E911" s="9">
        <v>2</v>
      </c>
      <c r="F911" s="9" t="s">
        <v>41</v>
      </c>
      <c r="G911" s="9" t="s">
        <v>41</v>
      </c>
      <c r="H911" s="9" t="s">
        <v>2839</v>
      </c>
      <c r="I911" s="25">
        <v>46313.354861111111</v>
      </c>
      <c r="J911" s="9" t="s">
        <v>41</v>
      </c>
      <c r="K911" s="25">
        <v>46313.354166666664</v>
      </c>
      <c r="L911" s="9">
        <v>23</v>
      </c>
      <c r="O911" s="25">
        <v>46313.352777777778</v>
      </c>
      <c r="P911" s="9" t="s">
        <v>43</v>
      </c>
      <c r="Q911" s="9" t="s">
        <v>381</v>
      </c>
      <c r="R911" s="9" t="s">
        <v>2840</v>
      </c>
      <c r="S911" s="9">
        <v>4247</v>
      </c>
      <c r="T911" s="9" t="s">
        <v>41</v>
      </c>
      <c r="U911" s="25">
        <v>46313.356944444444</v>
      </c>
      <c r="V911" s="25">
        <v>46313.355555555558</v>
      </c>
      <c r="W911" s="26" t="s">
        <v>2841</v>
      </c>
      <c r="X911" s="9">
        <v>22411</v>
      </c>
      <c r="Z911" s="9">
        <v>0</v>
      </c>
      <c r="AA911" s="27">
        <v>0.3527777777777778</v>
      </c>
      <c r="AB911" s="9">
        <v>2</v>
      </c>
      <c r="AC911" s="9" t="s">
        <v>41</v>
      </c>
      <c r="AD911" s="9" t="str">
        <f t="shared" si="15"/>
        <v>Actual</v>
      </c>
      <c r="AE911" s="9" t="str">
        <f t="shared" si="16"/>
        <v>TMK7</v>
      </c>
      <c r="AF911" s="9">
        <f>HOUR(O911)</f>
        <v>8</v>
      </c>
      <c r="AG911" s="9">
        <f>DAY(O911)</f>
        <v>18</v>
      </c>
      <c r="AH911" s="9">
        <f>IFERROR((I911-K911)*24*60,0)</f>
        <v>1.000000003259629</v>
      </c>
      <c r="AI911" s="9">
        <f t="shared" si="17"/>
        <v>1.000000003259629</v>
      </c>
      <c r="AJ911" s="9">
        <f>C911</f>
        <v>621</v>
      </c>
      <c r="AK911" s="9">
        <f>IF(P911="completed",((V911-K911)*24*60),0)</f>
        <v>2.000000006519258</v>
      </c>
      <c r="AL911" s="9">
        <f>IF(P911="completed",((U911-K911)*24*60),0)</f>
        <v>4.0000000025611371</v>
      </c>
      <c r="AM911" s="9" t="str">
        <f t="shared" si="18"/>
        <v>OTP Achieved</v>
      </c>
      <c r="AN911" s="9" t="str">
        <f t="shared" si="19"/>
        <v>OTP Achieved</v>
      </c>
    </row>
    <row r="912" spans="1:40" ht="15.75" customHeight="1">
      <c r="A912" s="9" t="s">
        <v>1239</v>
      </c>
      <c r="B912" s="25">
        <v>46313.352777777778</v>
      </c>
      <c r="C912" s="9">
        <v>2290</v>
      </c>
      <c r="D912" s="9" t="s">
        <v>41</v>
      </c>
      <c r="E912" s="9">
        <v>7</v>
      </c>
      <c r="F912" s="9" t="s">
        <v>41</v>
      </c>
      <c r="G912" s="9" t="s">
        <v>41</v>
      </c>
      <c r="H912" s="9" t="s">
        <v>2842</v>
      </c>
      <c r="I912" s="25">
        <v>46313.353472222225</v>
      </c>
      <c r="J912" s="9" t="s">
        <v>41</v>
      </c>
      <c r="K912" s="25">
        <v>46313.353472222225</v>
      </c>
      <c r="L912" s="9">
        <v>17</v>
      </c>
      <c r="O912" s="25">
        <v>46313.352083333331</v>
      </c>
      <c r="P912" s="9" t="s">
        <v>43</v>
      </c>
      <c r="Q912" s="9" t="s">
        <v>1241</v>
      </c>
      <c r="R912" s="9" t="s">
        <v>2843</v>
      </c>
      <c r="S912" s="9">
        <v>4247</v>
      </c>
      <c r="T912" s="9" t="s">
        <v>41</v>
      </c>
      <c r="U912" s="25">
        <v>46313.36041666667</v>
      </c>
      <c r="V912" s="25">
        <v>46313.35833333333</v>
      </c>
      <c r="W912" s="26" t="s">
        <v>2844</v>
      </c>
      <c r="X912" s="9">
        <v>22411</v>
      </c>
      <c r="Z912" s="9">
        <v>0</v>
      </c>
      <c r="AA912" s="27">
        <v>0.3527777777777778</v>
      </c>
      <c r="AB912" s="9">
        <v>7</v>
      </c>
      <c r="AC912" s="9" t="s">
        <v>41</v>
      </c>
      <c r="AD912" s="9" t="str">
        <f t="shared" si="15"/>
        <v>Actual</v>
      </c>
      <c r="AE912" s="9" t="str">
        <f t="shared" si="16"/>
        <v>TMK7</v>
      </c>
      <c r="AF912" s="9">
        <f>HOUR(O912)</f>
        <v>8</v>
      </c>
      <c r="AG912" s="9">
        <f>DAY(O912)</f>
        <v>18</v>
      </c>
      <c r="AH912" s="9">
        <f>IFERROR((I912-K912)*24*60,0)</f>
        <v>0</v>
      </c>
      <c r="AI912" s="9">
        <f t="shared" si="17"/>
        <v>0</v>
      </c>
      <c r="AJ912" s="9">
        <f>C912</f>
        <v>2290</v>
      </c>
      <c r="AK912" s="9">
        <f>IF(P912="completed",((V912-K912)*24*60),0)</f>
        <v>6.9999999913852662</v>
      </c>
      <c r="AL912" s="9">
        <f>IF(P912="completed",((U912-K912)*24*60),0)</f>
        <v>10.000000001164153</v>
      </c>
      <c r="AM912" s="9" t="str">
        <f t="shared" si="18"/>
        <v>OTP Achieved</v>
      </c>
      <c r="AN912" s="9" t="str">
        <f t="shared" si="19"/>
        <v>OTP Achieved</v>
      </c>
    </row>
    <row r="913" spans="1:40" ht="15.75" customHeight="1">
      <c r="A913" s="9" t="s">
        <v>1365</v>
      </c>
      <c r="B913" s="25">
        <v>46313.35</v>
      </c>
      <c r="C913" s="9">
        <v>1150</v>
      </c>
      <c r="D913" s="9" t="s">
        <v>41</v>
      </c>
      <c r="E913" s="9">
        <v>3</v>
      </c>
      <c r="F913" s="9" t="s">
        <v>41</v>
      </c>
      <c r="G913" s="9" t="s">
        <v>41</v>
      </c>
      <c r="H913" s="9" t="s">
        <v>2845</v>
      </c>
      <c r="I913" s="25">
        <v>46313.35</v>
      </c>
      <c r="J913" s="9" t="s">
        <v>41</v>
      </c>
      <c r="K913" s="25">
        <v>46313.35</v>
      </c>
      <c r="L913" s="9">
        <v>12</v>
      </c>
      <c r="O913" s="25">
        <v>46313.35</v>
      </c>
      <c r="P913" s="9" t="s">
        <v>43</v>
      </c>
      <c r="Q913" s="9" t="s">
        <v>1367</v>
      </c>
      <c r="R913" s="9" t="s">
        <v>2846</v>
      </c>
      <c r="S913" s="9">
        <v>4247</v>
      </c>
      <c r="T913" s="9" t="s">
        <v>41</v>
      </c>
      <c r="U913" s="25">
        <v>46313.352777777778</v>
      </c>
      <c r="V913" s="25">
        <v>46313.352083333331</v>
      </c>
      <c r="W913" s="26" t="s">
        <v>2847</v>
      </c>
      <c r="X913" s="9">
        <v>22411</v>
      </c>
      <c r="Z913" s="9">
        <v>0</v>
      </c>
      <c r="AA913" s="27">
        <v>0.35</v>
      </c>
      <c r="AB913" s="9">
        <v>3</v>
      </c>
      <c r="AC913" s="9" t="s">
        <v>41</v>
      </c>
      <c r="AD913" s="9" t="str">
        <f t="shared" si="15"/>
        <v>Actual</v>
      </c>
      <c r="AE913" s="9" t="str">
        <f t="shared" si="16"/>
        <v>TMK7</v>
      </c>
      <c r="AF913" s="9">
        <f>HOUR(O913)</f>
        <v>8</v>
      </c>
      <c r="AG913" s="9">
        <f>DAY(O913)</f>
        <v>18</v>
      </c>
      <c r="AH913" s="9">
        <f>IFERROR((I913-K913)*24*60,0)</f>
        <v>0</v>
      </c>
      <c r="AI913" s="9">
        <f t="shared" si="17"/>
        <v>0</v>
      </c>
      <c r="AJ913" s="9">
        <f>C913</f>
        <v>1150</v>
      </c>
      <c r="AK913" s="9">
        <f>IF(P913="completed",((V913-K913)*24*60),0)</f>
        <v>2.9999999993015081</v>
      </c>
      <c r="AL913" s="9">
        <f>IF(P913="completed",((U913-K913)*24*60),0)</f>
        <v>4.0000000025611371</v>
      </c>
      <c r="AM913" s="9" t="str">
        <f t="shared" si="18"/>
        <v>OTP Achieved</v>
      </c>
      <c r="AN913" s="9" t="str">
        <f t="shared" si="19"/>
        <v>OTP Achieved</v>
      </c>
    </row>
    <row r="914" spans="1:40" ht="15.75" customHeight="1">
      <c r="A914" s="9" t="s">
        <v>1171</v>
      </c>
      <c r="B914" s="25">
        <v>46313.349305555559</v>
      </c>
      <c r="C914" s="9">
        <v>1189</v>
      </c>
      <c r="D914" s="9" t="s">
        <v>41</v>
      </c>
      <c r="E914" s="9">
        <v>4</v>
      </c>
      <c r="F914" s="9" t="s">
        <v>41</v>
      </c>
      <c r="G914" s="9" t="s">
        <v>41</v>
      </c>
      <c r="H914" s="9" t="s">
        <v>2848</v>
      </c>
      <c r="I914" s="25">
        <v>46313.35</v>
      </c>
      <c r="J914" s="9" t="s">
        <v>41</v>
      </c>
      <c r="K914" s="25">
        <v>46313.35</v>
      </c>
      <c r="L914" s="9">
        <v>9</v>
      </c>
      <c r="O914" s="25">
        <v>46313.349305555559</v>
      </c>
      <c r="P914" s="9" t="s">
        <v>43</v>
      </c>
      <c r="Q914" s="9" t="s">
        <v>1173</v>
      </c>
      <c r="R914" s="9" t="s">
        <v>2849</v>
      </c>
      <c r="S914" s="9">
        <v>4247</v>
      </c>
      <c r="T914" s="9" t="s">
        <v>41</v>
      </c>
      <c r="U914" s="25">
        <v>46313.354166666664</v>
      </c>
      <c r="V914" s="25">
        <v>46313.352777777778</v>
      </c>
      <c r="W914" s="26" t="s">
        <v>2850</v>
      </c>
      <c r="X914" s="9">
        <v>22411</v>
      </c>
      <c r="Y914" s="25"/>
      <c r="Z914" s="9">
        <v>0</v>
      </c>
      <c r="AA914" s="27">
        <v>0.34930555555555554</v>
      </c>
      <c r="AB914" s="9">
        <v>4</v>
      </c>
      <c r="AC914" s="9" t="s">
        <v>41</v>
      </c>
      <c r="AD914" s="9" t="str">
        <f t="shared" si="15"/>
        <v>Actual</v>
      </c>
      <c r="AE914" s="9" t="str">
        <f t="shared" si="16"/>
        <v>TMK7</v>
      </c>
      <c r="AF914" s="9">
        <f>HOUR(O914)</f>
        <v>8</v>
      </c>
      <c r="AG914" s="9">
        <f>DAY(O914)</f>
        <v>18</v>
      </c>
      <c r="AH914" s="9">
        <f>IFERROR((I914-K914)*24*60,0)</f>
        <v>0</v>
      </c>
      <c r="AI914" s="9">
        <f t="shared" si="17"/>
        <v>0</v>
      </c>
      <c r="AJ914" s="9">
        <f>C914</f>
        <v>1189</v>
      </c>
      <c r="AK914" s="9">
        <f>IF(P914="completed",((V914-K914)*24*60),0)</f>
        <v>4.0000000025611371</v>
      </c>
      <c r="AL914" s="9">
        <f>IF(P914="completed",((U914-K914)*24*60),0)</f>
        <v>5.9999999986030161</v>
      </c>
      <c r="AM914" s="9" t="str">
        <f t="shared" si="18"/>
        <v>OTP Achieved</v>
      </c>
      <c r="AN914" s="9" t="str">
        <f t="shared" si="19"/>
        <v>OTP Achieved</v>
      </c>
    </row>
    <row r="915" spans="1:40" ht="15.75" customHeight="1">
      <c r="A915" s="9" t="s">
        <v>1391</v>
      </c>
      <c r="B915" s="25">
        <v>46313.34652777778</v>
      </c>
      <c r="C915" s="9">
        <v>1233</v>
      </c>
      <c r="D915" s="9" t="s">
        <v>41</v>
      </c>
      <c r="E915" s="9">
        <v>3</v>
      </c>
      <c r="F915" s="9" t="s">
        <v>41</v>
      </c>
      <c r="G915" s="9" t="s">
        <v>41</v>
      </c>
      <c r="H915" s="9" t="s">
        <v>2851</v>
      </c>
      <c r="I915" s="25">
        <v>46313.347222222219</v>
      </c>
      <c r="J915" s="9" t="s">
        <v>41</v>
      </c>
      <c r="K915" s="25">
        <v>46313.347222222219</v>
      </c>
      <c r="L915" s="9">
        <v>25</v>
      </c>
      <c r="O915" s="25">
        <v>46313.34652777778</v>
      </c>
      <c r="P915" s="9" t="s">
        <v>43</v>
      </c>
      <c r="Q915" s="9" t="s">
        <v>1393</v>
      </c>
      <c r="R915" s="9" t="s">
        <v>2852</v>
      </c>
      <c r="S915" s="9">
        <v>4247</v>
      </c>
      <c r="T915" s="9" t="s">
        <v>41</v>
      </c>
      <c r="U915" s="25">
        <v>46313.350694444445</v>
      </c>
      <c r="V915" s="25">
        <v>46313.35</v>
      </c>
      <c r="W915" s="26" t="s">
        <v>2853</v>
      </c>
      <c r="X915" s="9">
        <v>22411</v>
      </c>
      <c r="Y915" s="25"/>
      <c r="Z915" s="9">
        <v>0</v>
      </c>
      <c r="AA915" s="27">
        <v>0.34652777777777777</v>
      </c>
      <c r="AB915" s="9">
        <v>3</v>
      </c>
      <c r="AC915" s="9" t="s">
        <v>41</v>
      </c>
      <c r="AD915" s="9" t="str">
        <f t="shared" si="15"/>
        <v>Actual</v>
      </c>
      <c r="AE915" s="9" t="str">
        <f t="shared" si="16"/>
        <v>TMK7</v>
      </c>
      <c r="AF915" s="9">
        <f>HOUR(O915)</f>
        <v>8</v>
      </c>
      <c r="AG915" s="9">
        <f>DAY(O915)</f>
        <v>18</v>
      </c>
      <c r="AH915" s="9">
        <f>IFERROR((I915-K915)*24*60,0)</f>
        <v>0</v>
      </c>
      <c r="AI915" s="9">
        <f t="shared" si="17"/>
        <v>0</v>
      </c>
      <c r="AJ915" s="9">
        <f>C915</f>
        <v>1233</v>
      </c>
      <c r="AK915" s="9">
        <f>IF(P915="completed",((V915-K915)*24*60),0)</f>
        <v>4.0000000025611371</v>
      </c>
      <c r="AL915" s="9">
        <f>IF(P915="completed",((U915-K915)*24*60),0)</f>
        <v>5.0000000058207661</v>
      </c>
      <c r="AM915" s="9" t="str">
        <f t="shared" si="18"/>
        <v>OTP Achieved</v>
      </c>
      <c r="AN915" s="9" t="str">
        <f t="shared" si="19"/>
        <v>OTP Achieved</v>
      </c>
    </row>
    <row r="916" spans="1:40" ht="15.75" customHeight="1">
      <c r="A916" s="9" t="s">
        <v>106</v>
      </c>
      <c r="B916" s="25">
        <v>46313.34652777778</v>
      </c>
      <c r="C916" s="9">
        <v>1138</v>
      </c>
      <c r="D916" s="9" t="s">
        <v>41</v>
      </c>
      <c r="E916" s="9">
        <v>4</v>
      </c>
      <c r="F916" s="9" t="s">
        <v>41</v>
      </c>
      <c r="G916" s="9" t="s">
        <v>41</v>
      </c>
      <c r="H916" s="9" t="s">
        <v>2854</v>
      </c>
      <c r="I916" s="25">
        <v>46313.347222222219</v>
      </c>
      <c r="J916" s="9" t="s">
        <v>41</v>
      </c>
      <c r="K916" s="25">
        <v>46313.347222222219</v>
      </c>
      <c r="L916" s="9">
        <v>29</v>
      </c>
      <c r="O916" s="25">
        <v>46313.34652777778</v>
      </c>
      <c r="P916" s="9" t="s">
        <v>43</v>
      </c>
      <c r="Q916" s="9" t="s">
        <v>108</v>
      </c>
      <c r="R916" s="9" t="s">
        <v>2855</v>
      </c>
      <c r="S916" s="9">
        <v>4247</v>
      </c>
      <c r="T916" s="9" t="s">
        <v>41</v>
      </c>
      <c r="U916" s="25">
        <v>46313.35</v>
      </c>
      <c r="V916" s="25">
        <v>46313.349305555559</v>
      </c>
      <c r="W916" s="26" t="s">
        <v>2856</v>
      </c>
      <c r="X916" s="9">
        <v>22411</v>
      </c>
      <c r="Z916" s="9">
        <v>0</v>
      </c>
      <c r="AA916" s="27">
        <v>0.34652777777777777</v>
      </c>
      <c r="AB916" s="9">
        <v>3</v>
      </c>
      <c r="AC916" s="9" t="s">
        <v>41</v>
      </c>
      <c r="AD916" s="9" t="str">
        <f t="shared" si="15"/>
        <v>Actual</v>
      </c>
      <c r="AE916" s="9" t="str">
        <f t="shared" si="16"/>
        <v>TMK7</v>
      </c>
      <c r="AF916" s="9">
        <f>HOUR(O916)</f>
        <v>8</v>
      </c>
      <c r="AG916" s="9">
        <f>DAY(O916)</f>
        <v>18</v>
      </c>
      <c r="AH916" s="9">
        <f>IFERROR((I916-K916)*24*60,0)</f>
        <v>0</v>
      </c>
      <c r="AI916" s="9">
        <f t="shared" si="17"/>
        <v>0</v>
      </c>
      <c r="AJ916" s="9">
        <f>C916</f>
        <v>1138</v>
      </c>
      <c r="AK916" s="9">
        <f>IF(P916="completed",((V916-K916)*24*60),0)</f>
        <v>3.000000009778887</v>
      </c>
      <c r="AL916" s="9">
        <f>IF(P916="completed",((U916-K916)*24*60),0)</f>
        <v>4.0000000025611371</v>
      </c>
      <c r="AM916" s="9" t="str">
        <f t="shared" si="18"/>
        <v>OTP Achieved</v>
      </c>
      <c r="AN916" s="9" t="str">
        <f t="shared" si="19"/>
        <v>OTP Achieved</v>
      </c>
    </row>
    <row r="917" spans="1:40" ht="15.75" customHeight="1">
      <c r="A917" s="9" t="s">
        <v>177</v>
      </c>
      <c r="B917" s="25">
        <v>46313.345833333333</v>
      </c>
      <c r="C917" s="9">
        <v>957</v>
      </c>
      <c r="D917" s="9" t="s">
        <v>41</v>
      </c>
      <c r="E917" s="9">
        <v>4</v>
      </c>
      <c r="F917" s="9" t="s">
        <v>41</v>
      </c>
      <c r="G917" s="9" t="s">
        <v>41</v>
      </c>
      <c r="H917" s="9" t="s">
        <v>2857</v>
      </c>
      <c r="I917" s="25">
        <v>46313.347222222219</v>
      </c>
      <c r="J917" s="9" t="s">
        <v>41</v>
      </c>
      <c r="K917" s="25">
        <v>46313.34652777778</v>
      </c>
      <c r="L917" s="9">
        <v>13</v>
      </c>
      <c r="O917" s="25">
        <v>46313.345833333333</v>
      </c>
      <c r="P917" s="9" t="s">
        <v>43</v>
      </c>
      <c r="Q917" s="9" t="s">
        <v>179</v>
      </c>
      <c r="R917" s="9" t="s">
        <v>2858</v>
      </c>
      <c r="S917" s="9">
        <v>4247</v>
      </c>
      <c r="T917" s="9" t="s">
        <v>41</v>
      </c>
      <c r="U917" s="25">
        <v>46313.349305555559</v>
      </c>
      <c r="V917" s="25">
        <v>46313.349305555559</v>
      </c>
      <c r="W917" s="26" t="s">
        <v>2859</v>
      </c>
      <c r="X917" s="9">
        <v>22411</v>
      </c>
      <c r="Z917" s="9">
        <v>0</v>
      </c>
      <c r="AA917" s="27">
        <v>0.34583333333333333</v>
      </c>
      <c r="AB917" s="9">
        <v>3</v>
      </c>
      <c r="AC917" s="9" t="s">
        <v>41</v>
      </c>
      <c r="AD917" s="9" t="str">
        <f t="shared" si="15"/>
        <v>Actual</v>
      </c>
      <c r="AE917" s="9" t="str">
        <f t="shared" si="16"/>
        <v>TMK7</v>
      </c>
      <c r="AF917" s="9">
        <f>HOUR(O917)</f>
        <v>8</v>
      </c>
      <c r="AG917" s="9">
        <f>DAY(O917)</f>
        <v>18</v>
      </c>
      <c r="AH917" s="9">
        <f>IFERROR((I917-K917)*24*60,0)</f>
        <v>0.99999999278225005</v>
      </c>
      <c r="AI917" s="9">
        <f t="shared" si="17"/>
        <v>0.99999999278225005</v>
      </c>
      <c r="AJ917" s="9">
        <f>C917</f>
        <v>957</v>
      </c>
      <c r="AK917" s="9">
        <f>IF(P917="completed",((V917-K917)*24*60),0)</f>
        <v>4.0000000025611371</v>
      </c>
      <c r="AL917" s="9">
        <f>IF(P917="completed",((U917-K917)*24*60),0)</f>
        <v>4.0000000025611371</v>
      </c>
      <c r="AM917" s="9" t="str">
        <f t="shared" si="18"/>
        <v>OTP Breached</v>
      </c>
      <c r="AN917" s="9" t="str">
        <f t="shared" si="19"/>
        <v>OTP Achieved</v>
      </c>
    </row>
    <row r="918" spans="1:40" ht="15.75" customHeight="1">
      <c r="A918" s="9" t="s">
        <v>1077</v>
      </c>
      <c r="B918" s="25">
        <v>46313.345833333333</v>
      </c>
      <c r="C918" s="9">
        <v>2317</v>
      </c>
      <c r="D918" s="9" t="s">
        <v>41</v>
      </c>
      <c r="E918" s="9">
        <v>7</v>
      </c>
      <c r="F918" s="9" t="s">
        <v>41</v>
      </c>
      <c r="G918" s="9" t="s">
        <v>41</v>
      </c>
      <c r="H918" s="9" t="s">
        <v>2860</v>
      </c>
      <c r="I918" s="25">
        <v>46313.34652777778</v>
      </c>
      <c r="J918" s="9" t="s">
        <v>41</v>
      </c>
      <c r="K918" s="25">
        <v>46313.345833333333</v>
      </c>
      <c r="L918" s="9">
        <v>23</v>
      </c>
      <c r="O918" s="25">
        <v>46313.345138888886</v>
      </c>
      <c r="P918" s="9" t="s">
        <v>43</v>
      </c>
      <c r="Q918" s="9" t="s">
        <v>1079</v>
      </c>
      <c r="R918" s="9" t="s">
        <v>2861</v>
      </c>
      <c r="S918" s="9">
        <v>4247</v>
      </c>
      <c r="T918" s="9" t="s">
        <v>41</v>
      </c>
      <c r="U918" s="25">
        <v>46313.351388888892</v>
      </c>
      <c r="V918" s="25">
        <v>46313.350694444445</v>
      </c>
      <c r="W918" s="26" t="s">
        <v>2862</v>
      </c>
      <c r="X918" s="9">
        <v>22411</v>
      </c>
      <c r="Z918" s="9">
        <v>0</v>
      </c>
      <c r="AA918" s="27">
        <v>0.34583333333333333</v>
      </c>
      <c r="AB918" s="9">
        <v>7</v>
      </c>
      <c r="AC918" s="9" t="s">
        <v>41</v>
      </c>
      <c r="AD918" s="9" t="str">
        <f t="shared" si="15"/>
        <v>Actual</v>
      </c>
      <c r="AE918" s="9" t="str">
        <f t="shared" si="16"/>
        <v>TMK7</v>
      </c>
      <c r="AF918" s="9">
        <f>HOUR(O918)</f>
        <v>8</v>
      </c>
      <c r="AG918" s="9">
        <f>DAY(O918)</f>
        <v>18</v>
      </c>
      <c r="AH918" s="9">
        <f>IFERROR((I918-K918)*24*60,0)</f>
        <v>1.000000003259629</v>
      </c>
      <c r="AI918" s="9">
        <f t="shared" si="17"/>
        <v>1.000000003259629</v>
      </c>
      <c r="AJ918" s="9">
        <f>C918</f>
        <v>2317</v>
      </c>
      <c r="AK918" s="9">
        <f>IF(P918="completed",((V918-K918)*24*60),0)</f>
        <v>7.0000000018626451</v>
      </c>
      <c r="AL918" s="9">
        <f>IF(P918="completed",((U918-K918)*24*60),0)</f>
        <v>8.0000000051222742</v>
      </c>
      <c r="AM918" s="9" t="str">
        <f t="shared" si="18"/>
        <v>OTP Achieved</v>
      </c>
      <c r="AN918" s="9" t="str">
        <f t="shared" si="19"/>
        <v>OTP Achieved</v>
      </c>
    </row>
    <row r="919" spans="1:40" ht="15.75" customHeight="1">
      <c r="A919" s="9" t="s">
        <v>2247</v>
      </c>
      <c r="B919" s="25">
        <v>46313.342361111114</v>
      </c>
      <c r="C919" s="9">
        <v>1412</v>
      </c>
      <c r="D919" s="9" t="s">
        <v>41</v>
      </c>
      <c r="E919" s="9">
        <v>5</v>
      </c>
      <c r="F919" s="9" t="s">
        <v>41</v>
      </c>
      <c r="G919" s="9" t="s">
        <v>41</v>
      </c>
      <c r="H919" s="9" t="s">
        <v>2863</v>
      </c>
      <c r="I919" s="25">
        <v>46313.345138888886</v>
      </c>
      <c r="J919" s="9" t="s">
        <v>41</v>
      </c>
      <c r="K919" s="25">
        <v>46313.345138888886</v>
      </c>
      <c r="L919" s="9">
        <v>11</v>
      </c>
      <c r="O919" s="25">
        <v>46313.342361111114</v>
      </c>
      <c r="P919" s="9" t="s">
        <v>43</v>
      </c>
      <c r="Q919" s="9" t="s">
        <v>2249</v>
      </c>
      <c r="R919" s="9" t="s">
        <v>2864</v>
      </c>
      <c r="S919" s="9">
        <v>4247</v>
      </c>
      <c r="T919" s="9" t="s">
        <v>41</v>
      </c>
      <c r="U919" s="25">
        <v>46313.347916666666</v>
      </c>
      <c r="V919" s="25">
        <v>46313.348611111112</v>
      </c>
      <c r="W919" s="26" t="s">
        <v>2865</v>
      </c>
      <c r="X919" s="9">
        <v>22411</v>
      </c>
      <c r="Z919" s="9">
        <v>0</v>
      </c>
      <c r="AA919" s="27">
        <v>0.34236111111111112</v>
      </c>
      <c r="AB919" s="9">
        <v>4</v>
      </c>
      <c r="AC919" s="9" t="s">
        <v>41</v>
      </c>
      <c r="AD919" s="9" t="str">
        <f t="shared" si="15"/>
        <v>Actual</v>
      </c>
      <c r="AE919" s="9" t="str">
        <f t="shared" si="16"/>
        <v>TMK7</v>
      </c>
      <c r="AF919" s="9">
        <f>HOUR(O919)</f>
        <v>8</v>
      </c>
      <c r="AG919" s="9">
        <f>DAY(O919)</f>
        <v>18</v>
      </c>
      <c r="AH919" s="9">
        <f>IFERROR((I919-K919)*24*60,0)</f>
        <v>0</v>
      </c>
      <c r="AI919" s="9">
        <f t="shared" si="17"/>
        <v>0</v>
      </c>
      <c r="AJ919" s="9">
        <f>C919</f>
        <v>1412</v>
      </c>
      <c r="AK919" s="9">
        <f>IF(P919="completed",((V919-K919)*24*60),0)</f>
        <v>5.0000000058207661</v>
      </c>
      <c r="AL919" s="9">
        <f>IF(P919="completed",((U919-K919)*24*60),0)</f>
        <v>4.0000000025611371</v>
      </c>
      <c r="AM919" s="9" t="str">
        <f t="shared" si="18"/>
        <v>OTP Breached</v>
      </c>
      <c r="AN919" s="9" t="str">
        <f t="shared" si="19"/>
        <v>OTP Achieved</v>
      </c>
    </row>
    <row r="920" spans="1:40" ht="15.75" customHeight="1">
      <c r="A920" s="9" t="s">
        <v>1310</v>
      </c>
      <c r="B920" s="25">
        <v>46313.341666666667</v>
      </c>
      <c r="C920" s="9">
        <v>2822</v>
      </c>
      <c r="D920" s="9" t="s">
        <v>41</v>
      </c>
      <c r="E920" s="9">
        <v>9</v>
      </c>
      <c r="F920" s="9" t="s">
        <v>41</v>
      </c>
      <c r="G920" s="9" t="s">
        <v>41</v>
      </c>
      <c r="H920" s="9" t="s">
        <v>2866</v>
      </c>
      <c r="I920" s="25">
        <v>46313.344444444447</v>
      </c>
      <c r="J920" s="9" t="s">
        <v>41</v>
      </c>
      <c r="K920" s="25">
        <v>46313.344444444447</v>
      </c>
      <c r="L920" s="9">
        <v>15</v>
      </c>
      <c r="O920" s="25">
        <v>46313.341666666667</v>
      </c>
      <c r="P920" s="9" t="s">
        <v>43</v>
      </c>
      <c r="Q920" s="9" t="s">
        <v>1312</v>
      </c>
      <c r="R920" s="9" t="s">
        <v>2867</v>
      </c>
      <c r="S920" s="9">
        <v>4247</v>
      </c>
      <c r="T920" s="9" t="s">
        <v>41</v>
      </c>
      <c r="U920" s="25">
        <v>46313.352083333331</v>
      </c>
      <c r="V920" s="25">
        <v>46313.350694444445</v>
      </c>
      <c r="W920" s="26" t="s">
        <v>2868</v>
      </c>
      <c r="X920" s="9">
        <v>22411</v>
      </c>
      <c r="Z920" s="9">
        <v>0</v>
      </c>
      <c r="AA920" s="27">
        <v>0.34166666666666667</v>
      </c>
      <c r="AB920" s="9">
        <v>9</v>
      </c>
      <c r="AC920" s="9" t="s">
        <v>41</v>
      </c>
      <c r="AD920" s="9" t="str">
        <f t="shared" si="15"/>
        <v>Actual</v>
      </c>
      <c r="AE920" s="9" t="str">
        <f t="shared" si="16"/>
        <v>TMK7</v>
      </c>
      <c r="AF920" s="9">
        <f>HOUR(O920)</f>
        <v>8</v>
      </c>
      <c r="AG920" s="9">
        <f>DAY(O920)</f>
        <v>18</v>
      </c>
      <c r="AH920" s="9">
        <f>IFERROR((I920-K920)*24*60,0)</f>
        <v>0</v>
      </c>
      <c r="AI920" s="9">
        <f t="shared" si="17"/>
        <v>0</v>
      </c>
      <c r="AJ920" s="9">
        <f>C920</f>
        <v>2822</v>
      </c>
      <c r="AK920" s="9">
        <f>IF(P920="completed",((V920-K920)*24*60),0)</f>
        <v>8.9999999979045242</v>
      </c>
      <c r="AL920" s="9">
        <f>IF(P920="completed",((U920-K920)*24*60),0)</f>
        <v>10.999999993946403</v>
      </c>
      <c r="AM920" s="9" t="str">
        <f t="shared" si="18"/>
        <v>OTP Achieved</v>
      </c>
      <c r="AN920" s="9" t="str">
        <f t="shared" si="19"/>
        <v>OTP Achieved</v>
      </c>
    </row>
    <row r="921" spans="1:40" ht="15.75" customHeight="1">
      <c r="A921" s="9" t="s">
        <v>1965</v>
      </c>
      <c r="B921" s="25">
        <v>46313.340277777781</v>
      </c>
      <c r="C921" s="9">
        <v>1987</v>
      </c>
      <c r="D921" s="9" t="s">
        <v>41</v>
      </c>
      <c r="E921" s="9">
        <v>5</v>
      </c>
      <c r="F921" s="9" t="s">
        <v>41</v>
      </c>
      <c r="G921" s="9" t="s">
        <v>41</v>
      </c>
      <c r="H921" s="9" t="s">
        <v>2869</v>
      </c>
      <c r="I921" s="25">
        <v>46313.34097222222</v>
      </c>
      <c r="J921" s="9" t="s">
        <v>41</v>
      </c>
      <c r="K921" s="25">
        <v>46313.34097222222</v>
      </c>
      <c r="L921" s="9">
        <v>7</v>
      </c>
      <c r="O921" s="25">
        <v>46313.340277777781</v>
      </c>
      <c r="P921" s="9" t="s">
        <v>43</v>
      </c>
      <c r="Q921" s="9" t="s">
        <v>1967</v>
      </c>
      <c r="R921" s="9" t="s">
        <v>2870</v>
      </c>
      <c r="S921" s="9">
        <v>4247</v>
      </c>
      <c r="T921" s="9" t="s">
        <v>41</v>
      </c>
      <c r="U921" s="25">
        <v>46313.347222222219</v>
      </c>
      <c r="V921" s="25">
        <v>46313.344444444447</v>
      </c>
      <c r="W921" s="26" t="s">
        <v>2871</v>
      </c>
      <c r="X921" s="9">
        <v>22411</v>
      </c>
      <c r="Z921" s="9">
        <v>0</v>
      </c>
      <c r="AA921" s="27">
        <v>0.34027777777777779</v>
      </c>
      <c r="AB921" s="9">
        <v>4</v>
      </c>
      <c r="AC921" s="9" t="s">
        <v>41</v>
      </c>
      <c r="AD921" s="9" t="str">
        <f t="shared" si="15"/>
        <v>Actual</v>
      </c>
      <c r="AE921" s="9" t="str">
        <f t="shared" si="16"/>
        <v>TMK7</v>
      </c>
      <c r="AF921" s="9">
        <f>HOUR(O921)</f>
        <v>8</v>
      </c>
      <c r="AG921" s="9">
        <f>DAY(O921)</f>
        <v>18</v>
      </c>
      <c r="AH921" s="9">
        <f>IFERROR((I921-K921)*24*60,0)</f>
        <v>0</v>
      </c>
      <c r="AI921" s="9">
        <f t="shared" si="17"/>
        <v>0</v>
      </c>
      <c r="AJ921" s="9">
        <f>C921</f>
        <v>1987</v>
      </c>
      <c r="AK921" s="9">
        <f>IF(P921="completed",((V921-K921)*24*60),0)</f>
        <v>5.0000000058207661</v>
      </c>
      <c r="AL921" s="9">
        <f>IF(P921="completed",((U921-K921)*24*60),0)</f>
        <v>8.9999999979045242</v>
      </c>
      <c r="AM921" s="9" t="str">
        <f t="shared" si="18"/>
        <v>OTP Achieved</v>
      </c>
      <c r="AN921" s="9" t="str">
        <f t="shared" si="19"/>
        <v>OTP Achieved</v>
      </c>
    </row>
    <row r="922" spans="1:40" ht="15.75" customHeight="1">
      <c r="A922" s="9" t="s">
        <v>98</v>
      </c>
      <c r="B922" s="25">
        <v>46313.339583333334</v>
      </c>
      <c r="C922" s="9">
        <v>3107</v>
      </c>
      <c r="D922" s="9" t="s">
        <v>41</v>
      </c>
      <c r="E922" s="9">
        <v>7</v>
      </c>
      <c r="F922" s="9" t="s">
        <v>41</v>
      </c>
      <c r="G922" s="9" t="s">
        <v>41</v>
      </c>
      <c r="H922" s="9" t="s">
        <v>2872</v>
      </c>
      <c r="I922" s="25">
        <v>46313.342361111114</v>
      </c>
      <c r="J922" s="9" t="s">
        <v>41</v>
      </c>
      <c r="K922" s="25">
        <v>46313.342361111114</v>
      </c>
      <c r="L922" s="9">
        <v>12</v>
      </c>
      <c r="O922" s="25">
        <v>46313.339583333334</v>
      </c>
      <c r="P922" s="9" t="s">
        <v>43</v>
      </c>
      <c r="Q922" s="9" t="s">
        <v>100</v>
      </c>
      <c r="R922" s="9" t="s">
        <v>2873</v>
      </c>
      <c r="S922" s="9">
        <v>4247</v>
      </c>
      <c r="T922" s="9" t="s">
        <v>41</v>
      </c>
      <c r="U922" s="25">
        <v>46313.35</v>
      </c>
      <c r="V922" s="25">
        <v>46313.34652777778</v>
      </c>
      <c r="W922" s="26" t="s">
        <v>2874</v>
      </c>
      <c r="X922" s="9">
        <v>22411</v>
      </c>
      <c r="Z922" s="9">
        <v>0</v>
      </c>
      <c r="AA922" s="27">
        <v>0.33958333333333335</v>
      </c>
      <c r="AB922" s="9">
        <v>6</v>
      </c>
      <c r="AC922" s="9" t="s">
        <v>41</v>
      </c>
      <c r="AD922" s="9" t="str">
        <f t="shared" si="15"/>
        <v>Actual</v>
      </c>
      <c r="AE922" s="9" t="str">
        <f t="shared" si="16"/>
        <v>TMK7</v>
      </c>
      <c r="AF922" s="9">
        <f>HOUR(O922)</f>
        <v>8</v>
      </c>
      <c r="AG922" s="9">
        <f>DAY(O922)</f>
        <v>18</v>
      </c>
      <c r="AH922" s="9">
        <f>IFERROR((I922-K922)*24*60,0)</f>
        <v>0</v>
      </c>
      <c r="AI922" s="9">
        <f t="shared" si="17"/>
        <v>0</v>
      </c>
      <c r="AJ922" s="9">
        <f>C922</f>
        <v>3107</v>
      </c>
      <c r="AK922" s="9">
        <f>IF(P922="completed",((V922-K922)*24*60),0)</f>
        <v>5.9999999986030161</v>
      </c>
      <c r="AL922" s="9">
        <f>IF(P922="completed",((U922-K922)*24*60),0)</f>
        <v>10.999999993946403</v>
      </c>
      <c r="AM922" s="9" t="str">
        <f t="shared" si="18"/>
        <v>OTP Achieved</v>
      </c>
      <c r="AN922" s="9" t="str">
        <f t="shared" si="19"/>
        <v>OTP Achieved</v>
      </c>
    </row>
    <row r="923" spans="1:40" ht="15.75" customHeight="1">
      <c r="A923" s="9" t="s">
        <v>2258</v>
      </c>
      <c r="B923" s="25">
        <v>46313.339583333334</v>
      </c>
      <c r="C923" s="9">
        <v>2449</v>
      </c>
      <c r="D923" s="9" t="s">
        <v>41</v>
      </c>
      <c r="E923" s="9">
        <v>6</v>
      </c>
      <c r="F923" s="9" t="s">
        <v>41</v>
      </c>
      <c r="G923" s="9" t="s">
        <v>41</v>
      </c>
      <c r="H923" s="9" t="s">
        <v>2875</v>
      </c>
      <c r="I923" s="25">
        <v>46313.340277777781</v>
      </c>
      <c r="J923" s="9" t="s">
        <v>41</v>
      </c>
      <c r="K923" s="25">
        <v>46313.340277777781</v>
      </c>
      <c r="L923" s="9">
        <v>26</v>
      </c>
      <c r="O923" s="25">
        <v>46313.338888888888</v>
      </c>
      <c r="P923" s="9" t="s">
        <v>43</v>
      </c>
      <c r="Q923" s="9" t="s">
        <v>2260</v>
      </c>
      <c r="R923" s="9" t="s">
        <v>2876</v>
      </c>
      <c r="S923" s="9">
        <v>4247</v>
      </c>
      <c r="T923" s="9" t="s">
        <v>41</v>
      </c>
      <c r="U923" s="25">
        <v>46313.345138888886</v>
      </c>
      <c r="V923" s="25">
        <v>46313.344444444447</v>
      </c>
      <c r="W923" s="26" t="s">
        <v>2877</v>
      </c>
      <c r="X923" s="9">
        <v>22411</v>
      </c>
      <c r="Z923" s="9">
        <v>0</v>
      </c>
      <c r="AA923" s="27">
        <v>0.33958333333333335</v>
      </c>
      <c r="AB923" s="9">
        <v>6</v>
      </c>
      <c r="AC923" s="9" t="s">
        <v>41</v>
      </c>
      <c r="AD923" s="9" t="str">
        <f t="shared" si="15"/>
        <v>Actual</v>
      </c>
      <c r="AE923" s="9" t="str">
        <f t="shared" si="16"/>
        <v>TMK7</v>
      </c>
      <c r="AF923" s="9">
        <f>HOUR(O923)</f>
        <v>8</v>
      </c>
      <c r="AG923" s="9">
        <f>DAY(O923)</f>
        <v>18</v>
      </c>
      <c r="AH923" s="9">
        <f>IFERROR((I923-K923)*24*60,0)</f>
        <v>0</v>
      </c>
      <c r="AI923" s="9">
        <f t="shared" si="17"/>
        <v>0</v>
      </c>
      <c r="AJ923" s="9">
        <f>C923</f>
        <v>2449</v>
      </c>
      <c r="AK923" s="9">
        <f>IF(P923="completed",((V923-K923)*24*60),0)</f>
        <v>5.9999999986030161</v>
      </c>
      <c r="AL923" s="9">
        <f>IF(P923="completed",((U923-K923)*24*60),0)</f>
        <v>6.9999999913852662</v>
      </c>
      <c r="AM923" s="9" t="str">
        <f t="shared" si="18"/>
        <v>OTP Achieved</v>
      </c>
      <c r="AN923" s="9" t="str">
        <f t="shared" si="19"/>
        <v>OTP Achieved</v>
      </c>
    </row>
    <row r="924" spans="1:40" ht="15.75" customHeight="1">
      <c r="A924" s="9" t="s">
        <v>1592</v>
      </c>
      <c r="B924" s="25">
        <v>46313.337500000001</v>
      </c>
      <c r="C924" s="9">
        <v>2190</v>
      </c>
      <c r="D924" s="9" t="s">
        <v>41</v>
      </c>
      <c r="E924" s="9">
        <v>6</v>
      </c>
      <c r="F924" s="9" t="s">
        <v>41</v>
      </c>
      <c r="G924" s="9" t="s">
        <v>41</v>
      </c>
      <c r="H924" s="9" t="s">
        <v>2878</v>
      </c>
      <c r="I924" s="25">
        <v>46313.338194444441</v>
      </c>
      <c r="J924" s="9" t="s">
        <v>41</v>
      </c>
      <c r="K924" s="25">
        <v>46313.338194444441</v>
      </c>
      <c r="L924" s="9">
        <v>25</v>
      </c>
      <c r="O924" s="25">
        <v>46313.337500000001</v>
      </c>
      <c r="P924" s="9" t="s">
        <v>43</v>
      </c>
      <c r="Q924" s="9" t="s">
        <v>1594</v>
      </c>
      <c r="R924" s="9" t="s">
        <v>2879</v>
      </c>
      <c r="S924" s="9">
        <v>4247</v>
      </c>
      <c r="T924" s="9" t="s">
        <v>41</v>
      </c>
      <c r="U924" s="25">
        <v>46313.345138888886</v>
      </c>
      <c r="V924" s="25">
        <v>46313.341666666667</v>
      </c>
      <c r="W924" s="26" t="s">
        <v>2880</v>
      </c>
      <c r="X924" s="9">
        <v>22411</v>
      </c>
      <c r="Z924" s="9">
        <v>0</v>
      </c>
      <c r="AA924" s="27">
        <v>0.33750000000000002</v>
      </c>
      <c r="AB924" s="9">
        <v>5</v>
      </c>
      <c r="AC924" s="9" t="s">
        <v>41</v>
      </c>
      <c r="AD924" s="9" t="str">
        <f t="shared" si="15"/>
        <v>Actual</v>
      </c>
      <c r="AE924" s="9" t="str">
        <f t="shared" si="16"/>
        <v>TMK7</v>
      </c>
      <c r="AF924" s="9">
        <f>HOUR(O924)</f>
        <v>8</v>
      </c>
      <c r="AG924" s="9">
        <f>DAY(O924)</f>
        <v>18</v>
      </c>
      <c r="AH924" s="9">
        <f>IFERROR((I924-K924)*24*60,0)</f>
        <v>0</v>
      </c>
      <c r="AI924" s="9">
        <f t="shared" si="17"/>
        <v>0</v>
      </c>
      <c r="AJ924" s="9">
        <f>C924</f>
        <v>2190</v>
      </c>
      <c r="AK924" s="9">
        <f>IF(P924="completed",((V924-K924)*24*60),0)</f>
        <v>5.0000000058207661</v>
      </c>
      <c r="AL924" s="9">
        <f>IF(P924="completed",((U924-K924)*24*60),0)</f>
        <v>10.000000001164153</v>
      </c>
      <c r="AM924" s="9" t="str">
        <f t="shared" si="18"/>
        <v>OTP Achieved</v>
      </c>
      <c r="AN924" s="9" t="str">
        <f t="shared" si="19"/>
        <v>OTP Achieved</v>
      </c>
    </row>
    <row r="925" spans="1:40" ht="15.75" customHeight="1">
      <c r="A925" s="9" t="s">
        <v>1365</v>
      </c>
      <c r="B925" s="25">
        <v>46313.336805555555</v>
      </c>
      <c r="C925" s="9">
        <v>957</v>
      </c>
      <c r="D925" s="9" t="s">
        <v>41</v>
      </c>
      <c r="E925" s="9">
        <v>3</v>
      </c>
      <c r="F925" s="9" t="s">
        <v>41</v>
      </c>
      <c r="G925" s="9" t="s">
        <v>41</v>
      </c>
      <c r="H925" s="9" t="s">
        <v>2881</v>
      </c>
      <c r="I925" s="25">
        <v>46313.338194444441</v>
      </c>
      <c r="J925" s="9" t="s">
        <v>41</v>
      </c>
      <c r="K925" s="25">
        <v>46313.337500000001</v>
      </c>
      <c r="L925" s="9">
        <v>23</v>
      </c>
      <c r="O925" s="25">
        <v>46313.336111111108</v>
      </c>
      <c r="P925" s="9" t="s">
        <v>43</v>
      </c>
      <c r="Q925" s="9" t="s">
        <v>1367</v>
      </c>
      <c r="R925" s="9" t="s">
        <v>2882</v>
      </c>
      <c r="S925" s="9">
        <v>4247</v>
      </c>
      <c r="T925" s="9" t="s">
        <v>41</v>
      </c>
      <c r="U925" s="25">
        <v>46313.340277777781</v>
      </c>
      <c r="V925" s="25">
        <v>46313.340277777781</v>
      </c>
      <c r="W925" s="26" t="s">
        <v>2883</v>
      </c>
      <c r="X925" s="9">
        <v>22411</v>
      </c>
      <c r="Z925" s="9">
        <v>0</v>
      </c>
      <c r="AA925" s="27">
        <v>0.33680555555555558</v>
      </c>
      <c r="AB925" s="9">
        <v>3</v>
      </c>
      <c r="AC925" s="9" t="s">
        <v>41</v>
      </c>
      <c r="AD925" s="9" t="str">
        <f t="shared" si="15"/>
        <v>Actual</v>
      </c>
      <c r="AE925" s="9" t="str">
        <f t="shared" si="16"/>
        <v>TMK7</v>
      </c>
      <c r="AF925" s="9">
        <f>HOUR(O925)</f>
        <v>8</v>
      </c>
      <c r="AG925" s="9">
        <f>DAY(O925)</f>
        <v>18</v>
      </c>
      <c r="AH925" s="9">
        <f>IFERROR((I925-K925)*24*60,0)</f>
        <v>0.99999999278225005</v>
      </c>
      <c r="AI925" s="9">
        <f t="shared" si="17"/>
        <v>0.99999999278225005</v>
      </c>
      <c r="AJ925" s="9">
        <f>C925</f>
        <v>957</v>
      </c>
      <c r="AK925" s="9">
        <f>IF(P925="completed",((V925-K925)*24*60),0)</f>
        <v>4.0000000025611371</v>
      </c>
      <c r="AL925" s="9">
        <f>IF(P925="completed",((U925-K925)*24*60),0)</f>
        <v>4.0000000025611371</v>
      </c>
      <c r="AM925" s="9" t="str">
        <f t="shared" si="18"/>
        <v>OTP Breached</v>
      </c>
      <c r="AN925" s="9" t="str">
        <f t="shared" si="19"/>
        <v>OTP Achieved</v>
      </c>
    </row>
    <row r="926" spans="1:40" ht="15.75" customHeight="1">
      <c r="A926" s="9" t="s">
        <v>1391</v>
      </c>
      <c r="B926" s="25">
        <v>46313.336805555555</v>
      </c>
      <c r="C926" s="9">
        <v>1324</v>
      </c>
      <c r="D926" s="9" t="s">
        <v>41</v>
      </c>
      <c r="E926" s="9">
        <v>4</v>
      </c>
      <c r="F926" s="9" t="s">
        <v>41</v>
      </c>
      <c r="G926" s="9" t="s">
        <v>41</v>
      </c>
      <c r="H926" s="9" t="s">
        <v>2884</v>
      </c>
      <c r="I926" s="25">
        <v>46313.338194444441</v>
      </c>
      <c r="J926" s="9" t="s">
        <v>41</v>
      </c>
      <c r="K926" s="25">
        <v>46313.338194444441</v>
      </c>
      <c r="L926" s="9">
        <v>21</v>
      </c>
      <c r="O926" s="25">
        <v>46313.336111111108</v>
      </c>
      <c r="P926" s="9" t="s">
        <v>43</v>
      </c>
      <c r="Q926" s="9" t="s">
        <v>1393</v>
      </c>
      <c r="R926" s="9" t="s">
        <v>2885</v>
      </c>
      <c r="S926" s="9">
        <v>4247</v>
      </c>
      <c r="T926" s="9" t="s">
        <v>41</v>
      </c>
      <c r="U926" s="25">
        <v>46313.34097222222</v>
      </c>
      <c r="V926" s="25">
        <v>46313.340277777781</v>
      </c>
      <c r="W926" s="26" t="s">
        <v>2886</v>
      </c>
      <c r="X926" s="9">
        <v>22411</v>
      </c>
      <c r="Z926" s="9">
        <v>0</v>
      </c>
      <c r="AA926" s="27">
        <v>0.33680555555555558</v>
      </c>
      <c r="AB926" s="9">
        <v>3</v>
      </c>
      <c r="AC926" s="9" t="s">
        <v>41</v>
      </c>
      <c r="AD926" s="9" t="str">
        <f t="shared" si="15"/>
        <v>Actual</v>
      </c>
      <c r="AE926" s="9" t="str">
        <f t="shared" si="16"/>
        <v>TMK7</v>
      </c>
      <c r="AF926" s="9">
        <f>HOUR(O926)</f>
        <v>8</v>
      </c>
      <c r="AG926" s="9">
        <f>DAY(O926)</f>
        <v>18</v>
      </c>
      <c r="AH926" s="9">
        <f>IFERROR((I926-K926)*24*60,0)</f>
        <v>0</v>
      </c>
      <c r="AI926" s="9">
        <f t="shared" si="17"/>
        <v>0</v>
      </c>
      <c r="AJ926" s="9">
        <f>C926</f>
        <v>1324</v>
      </c>
      <c r="AK926" s="9">
        <f>IF(P926="completed",((V926-K926)*24*60),0)</f>
        <v>3.000000009778887</v>
      </c>
      <c r="AL926" s="9">
        <f>IF(P926="completed",((U926-K926)*24*60),0)</f>
        <v>4.0000000025611371</v>
      </c>
      <c r="AM926" s="9" t="str">
        <f t="shared" si="18"/>
        <v>OTP Achieved</v>
      </c>
      <c r="AN926" s="9" t="str">
        <f t="shared" si="19"/>
        <v>OTP Achieved</v>
      </c>
    </row>
    <row r="927" spans="1:40" ht="15.75" customHeight="1">
      <c r="A927" s="9" t="s">
        <v>185</v>
      </c>
      <c r="B927" s="25">
        <v>46313.336111111108</v>
      </c>
      <c r="C927" s="9">
        <v>2170</v>
      </c>
      <c r="D927" s="9" t="s">
        <v>41</v>
      </c>
      <c r="E927" s="9">
        <v>6</v>
      </c>
      <c r="F927" s="9" t="s">
        <v>41</v>
      </c>
      <c r="G927" s="9" t="s">
        <v>41</v>
      </c>
      <c r="H927" s="9" t="s">
        <v>2887</v>
      </c>
      <c r="I927" s="25">
        <v>46313.336805555555</v>
      </c>
      <c r="J927" s="9" t="s">
        <v>41</v>
      </c>
      <c r="K927" s="25">
        <v>46313.336805555555</v>
      </c>
      <c r="L927" s="9">
        <v>8</v>
      </c>
      <c r="O927" s="25">
        <v>46313.336111111108</v>
      </c>
      <c r="P927" s="9" t="s">
        <v>43</v>
      </c>
      <c r="Q927" s="9" t="s">
        <v>187</v>
      </c>
      <c r="R927" s="9" t="s">
        <v>2888</v>
      </c>
      <c r="S927" s="9">
        <v>4247</v>
      </c>
      <c r="T927" s="9" t="s">
        <v>41</v>
      </c>
      <c r="U927" s="25">
        <v>46313.341666666667</v>
      </c>
      <c r="V927" s="25">
        <v>46313.341666666667</v>
      </c>
      <c r="W927" s="26" t="s">
        <v>2889</v>
      </c>
      <c r="X927" s="9">
        <v>22411</v>
      </c>
      <c r="Z927" s="9">
        <v>0</v>
      </c>
      <c r="AA927" s="27">
        <v>0.33611111111111114</v>
      </c>
      <c r="AB927" s="9">
        <v>6</v>
      </c>
      <c r="AC927" s="9" t="s">
        <v>41</v>
      </c>
      <c r="AD927" s="9" t="str">
        <f t="shared" si="15"/>
        <v>Actual</v>
      </c>
      <c r="AE927" s="9" t="str">
        <f t="shared" si="16"/>
        <v>TMK7</v>
      </c>
      <c r="AF927" s="9">
        <f>HOUR(O927)</f>
        <v>8</v>
      </c>
      <c r="AG927" s="9">
        <f>DAY(O927)</f>
        <v>18</v>
      </c>
      <c r="AH927" s="9">
        <f>IFERROR((I927-K927)*24*60,0)</f>
        <v>0</v>
      </c>
      <c r="AI927" s="9">
        <f t="shared" si="17"/>
        <v>0</v>
      </c>
      <c r="AJ927" s="9">
        <f>C927</f>
        <v>2170</v>
      </c>
      <c r="AK927" s="9">
        <f>IF(P927="completed",((V927-K927)*24*60),0)</f>
        <v>7.0000000018626451</v>
      </c>
      <c r="AL927" s="9">
        <f>IF(P927="completed",((U927-K927)*24*60),0)</f>
        <v>7.0000000018626451</v>
      </c>
      <c r="AM927" s="9" t="str">
        <f t="shared" si="18"/>
        <v>OTP Breached</v>
      </c>
      <c r="AN927" s="9" t="str">
        <f t="shared" si="19"/>
        <v>OTP Achieved</v>
      </c>
    </row>
    <row r="928" spans="1:40" ht="15.75" customHeight="1">
      <c r="A928" s="9" t="s">
        <v>1336</v>
      </c>
      <c r="B928" s="25">
        <v>46313.336111111108</v>
      </c>
      <c r="C928" s="9">
        <v>3876</v>
      </c>
      <c r="D928" s="9" t="s">
        <v>41</v>
      </c>
      <c r="E928" s="9">
        <v>9</v>
      </c>
      <c r="F928" s="9" t="s">
        <v>41</v>
      </c>
      <c r="G928" s="9" t="s">
        <v>41</v>
      </c>
      <c r="H928" s="9" t="s">
        <v>2890</v>
      </c>
      <c r="I928" s="25">
        <v>46313.337500000001</v>
      </c>
      <c r="J928" s="9" t="s">
        <v>41</v>
      </c>
      <c r="K928" s="25">
        <v>46313.337500000001</v>
      </c>
      <c r="L928" s="9">
        <v>15</v>
      </c>
      <c r="O928" s="25">
        <v>46313.336111111108</v>
      </c>
      <c r="P928" s="9" t="s">
        <v>43</v>
      </c>
      <c r="Q928" s="9" t="s">
        <v>1338</v>
      </c>
      <c r="R928" s="9" t="s">
        <v>2891</v>
      </c>
      <c r="S928" s="9">
        <v>4247</v>
      </c>
      <c r="T928" s="9" t="s">
        <v>41</v>
      </c>
      <c r="U928" s="25">
        <v>46313.347222222219</v>
      </c>
      <c r="V928" s="25">
        <v>46313.34375</v>
      </c>
      <c r="W928" s="26" t="s">
        <v>2892</v>
      </c>
      <c r="X928" s="9">
        <v>22411</v>
      </c>
      <c r="Z928" s="9">
        <v>0</v>
      </c>
      <c r="AA928" s="27">
        <v>0.33611111111111114</v>
      </c>
      <c r="AB928" s="9">
        <v>9</v>
      </c>
      <c r="AC928" s="9" t="s">
        <v>41</v>
      </c>
      <c r="AD928" s="9" t="str">
        <f t="shared" si="15"/>
        <v>Actual</v>
      </c>
      <c r="AE928" s="9" t="str">
        <f t="shared" si="16"/>
        <v>TMK7</v>
      </c>
      <c r="AF928" s="9">
        <f>HOUR(O928)</f>
        <v>8</v>
      </c>
      <c r="AG928" s="9">
        <f>DAY(O928)</f>
        <v>18</v>
      </c>
      <c r="AH928" s="9">
        <f>IFERROR((I928-K928)*24*60,0)</f>
        <v>0</v>
      </c>
      <c r="AI928" s="9">
        <f t="shared" si="17"/>
        <v>0</v>
      </c>
      <c r="AJ928" s="9">
        <f>C928</f>
        <v>3876</v>
      </c>
      <c r="AK928" s="9">
        <f>IF(P928="completed",((V928-K928)*24*60),0)</f>
        <v>8.9999999979045242</v>
      </c>
      <c r="AL928" s="9">
        <f>IF(P928="completed",((U928-K928)*24*60),0)</f>
        <v>13.999999993247911</v>
      </c>
      <c r="AM928" s="9" t="str">
        <f t="shared" si="18"/>
        <v>OTP Achieved</v>
      </c>
      <c r="AN928" s="9" t="str">
        <f t="shared" si="19"/>
        <v>OTP Achieved</v>
      </c>
    </row>
    <row r="929" spans="1:40" ht="15.75" customHeight="1">
      <c r="A929" s="9" t="s">
        <v>93</v>
      </c>
      <c r="B929" s="25">
        <v>46313.334027777775</v>
      </c>
      <c r="C929" s="9">
        <v>3750</v>
      </c>
      <c r="D929" s="9" t="s">
        <v>41</v>
      </c>
      <c r="E929" s="9">
        <v>8</v>
      </c>
      <c r="F929" s="9" t="s">
        <v>41</v>
      </c>
      <c r="G929" s="9" t="s">
        <v>41</v>
      </c>
      <c r="H929" s="9" t="s">
        <v>2893</v>
      </c>
      <c r="I929" s="25">
        <v>46313.336111111108</v>
      </c>
      <c r="J929" s="9" t="s">
        <v>41</v>
      </c>
      <c r="K929" s="25">
        <v>46313.336111111108</v>
      </c>
      <c r="L929" s="9">
        <v>9</v>
      </c>
      <c r="O929" s="25">
        <v>46313.334027777775</v>
      </c>
      <c r="P929" s="9" t="s">
        <v>43</v>
      </c>
      <c r="Q929" s="9" t="s">
        <v>95</v>
      </c>
      <c r="R929" s="9" t="s">
        <v>2894</v>
      </c>
      <c r="S929" s="9">
        <v>4247</v>
      </c>
      <c r="T929" s="9" t="s">
        <v>41</v>
      </c>
      <c r="U929" s="25">
        <v>46313.345138888886</v>
      </c>
      <c r="V929" s="25">
        <v>46313.341666666667</v>
      </c>
      <c r="W929" s="26" t="s">
        <v>2895</v>
      </c>
      <c r="X929" s="9">
        <v>22411</v>
      </c>
      <c r="Y929" s="25"/>
      <c r="Z929" s="9">
        <v>0</v>
      </c>
      <c r="AA929" s="27">
        <v>0.33402777777777776</v>
      </c>
      <c r="AB929" s="9">
        <v>8</v>
      </c>
      <c r="AC929" s="9" t="s">
        <v>41</v>
      </c>
      <c r="AD929" s="9" t="str">
        <f t="shared" si="15"/>
        <v>Actual</v>
      </c>
      <c r="AE929" s="9" t="str">
        <f t="shared" si="16"/>
        <v>TMK7</v>
      </c>
      <c r="AF929" s="9">
        <f>HOUR(O929)</f>
        <v>8</v>
      </c>
      <c r="AG929" s="9">
        <f>DAY(O929)</f>
        <v>18</v>
      </c>
      <c r="AH929" s="9">
        <f>IFERROR((I929-K929)*24*60,0)</f>
        <v>0</v>
      </c>
      <c r="AI929" s="9">
        <f t="shared" si="17"/>
        <v>0</v>
      </c>
      <c r="AJ929" s="9">
        <f>C929</f>
        <v>3750</v>
      </c>
      <c r="AK929" s="9">
        <f>IF(P929="completed",((V929-K929)*24*60),0)</f>
        <v>8.0000000051222742</v>
      </c>
      <c r="AL929" s="9">
        <f>IF(P929="completed",((U929-K929)*24*60),0)</f>
        <v>13.000000000465661</v>
      </c>
      <c r="AM929" s="9" t="str">
        <f t="shared" si="18"/>
        <v>OTP Achieved</v>
      </c>
      <c r="AN929" s="9" t="str">
        <f t="shared" si="19"/>
        <v>OTP Achieved</v>
      </c>
    </row>
    <row r="930" spans="1:40" ht="15.75" customHeight="1">
      <c r="A930" s="9" t="s">
        <v>347</v>
      </c>
      <c r="B930" s="25">
        <v>46313.333333333336</v>
      </c>
      <c r="C930" s="9">
        <v>3878</v>
      </c>
      <c r="D930" s="9" t="s">
        <v>41</v>
      </c>
      <c r="E930" s="9">
        <v>8</v>
      </c>
      <c r="F930" s="9" t="s">
        <v>41</v>
      </c>
      <c r="G930" s="9" t="s">
        <v>41</v>
      </c>
      <c r="H930" s="9" t="s">
        <v>2896</v>
      </c>
      <c r="I930" s="25">
        <v>46313.334722222222</v>
      </c>
      <c r="J930" s="9" t="s">
        <v>41</v>
      </c>
      <c r="K930" s="25">
        <v>46313.334722222222</v>
      </c>
      <c r="L930" s="9">
        <v>8</v>
      </c>
      <c r="O930" s="25">
        <v>46313.333333333336</v>
      </c>
      <c r="P930" s="9" t="s">
        <v>43</v>
      </c>
      <c r="Q930" s="9" t="s">
        <v>349</v>
      </c>
      <c r="R930" s="9" t="s">
        <v>2897</v>
      </c>
      <c r="S930" s="9">
        <v>4247</v>
      </c>
      <c r="T930" s="9" t="s">
        <v>41</v>
      </c>
      <c r="U930" s="25">
        <v>46313.34375</v>
      </c>
      <c r="V930" s="25">
        <v>46313.340277777781</v>
      </c>
      <c r="W930" s="26" t="s">
        <v>2898</v>
      </c>
      <c r="X930" s="9">
        <v>22411</v>
      </c>
      <c r="Z930" s="9">
        <v>0</v>
      </c>
      <c r="AA930" s="27">
        <v>0.33333333333333331</v>
      </c>
      <c r="AB930" s="9">
        <v>8</v>
      </c>
      <c r="AC930" s="9" t="s">
        <v>41</v>
      </c>
      <c r="AD930" s="9" t="str">
        <f t="shared" si="15"/>
        <v>Actual</v>
      </c>
      <c r="AE930" s="9" t="str">
        <f t="shared" si="16"/>
        <v>TMK7</v>
      </c>
      <c r="AF930" s="9">
        <f>HOUR(O930)</f>
        <v>8</v>
      </c>
      <c r="AG930" s="9">
        <f>DAY(O930)</f>
        <v>18</v>
      </c>
      <c r="AH930" s="9">
        <f>IFERROR((I930-K930)*24*60,0)</f>
        <v>0</v>
      </c>
      <c r="AI930" s="9">
        <f t="shared" si="17"/>
        <v>0</v>
      </c>
      <c r="AJ930" s="9">
        <f>C930</f>
        <v>3878</v>
      </c>
      <c r="AK930" s="9">
        <f>IF(P930="completed",((V930-K930)*24*60),0)</f>
        <v>8.0000000051222742</v>
      </c>
      <c r="AL930" s="9">
        <f>IF(P930="completed",((U930-K930)*24*60),0)</f>
        <v>13.000000000465661</v>
      </c>
      <c r="AM930" s="9" t="str">
        <f t="shared" si="18"/>
        <v>OTP Achieved</v>
      </c>
      <c r="AN930" s="9" t="str">
        <f t="shared" si="19"/>
        <v>OTP Achieved</v>
      </c>
    </row>
    <row r="931" spans="1:40" ht="15.75" customHeight="1">
      <c r="A931" s="9" t="s">
        <v>655</v>
      </c>
      <c r="B931" s="25">
        <v>46313.333333333336</v>
      </c>
      <c r="C931" s="9">
        <v>2896</v>
      </c>
      <c r="D931" s="9" t="s">
        <v>41</v>
      </c>
      <c r="E931" s="9">
        <v>7</v>
      </c>
      <c r="F931" s="9" t="s">
        <v>41</v>
      </c>
      <c r="G931" s="9" t="s">
        <v>41</v>
      </c>
      <c r="H931" s="9" t="s">
        <v>2899</v>
      </c>
      <c r="I931" s="25">
        <v>46313.334722222222</v>
      </c>
      <c r="J931" s="9" t="s">
        <v>41</v>
      </c>
      <c r="K931" s="25">
        <v>46313.334722222222</v>
      </c>
      <c r="L931" s="9">
        <v>13</v>
      </c>
      <c r="O931" s="25">
        <v>46313.332638888889</v>
      </c>
      <c r="P931" s="9" t="s">
        <v>43</v>
      </c>
      <c r="Q931" s="9" t="s">
        <v>657</v>
      </c>
      <c r="R931" s="9" t="s">
        <v>2900</v>
      </c>
      <c r="S931" s="9">
        <v>4247</v>
      </c>
      <c r="T931" s="9" t="s">
        <v>41</v>
      </c>
      <c r="U931" s="25">
        <v>46313.343055555553</v>
      </c>
      <c r="V931" s="25">
        <v>46313.340277777781</v>
      </c>
      <c r="W931" s="26" t="s">
        <v>2901</v>
      </c>
      <c r="X931" s="9">
        <v>22411</v>
      </c>
      <c r="Z931" s="9">
        <v>0</v>
      </c>
      <c r="AA931" s="27">
        <v>0.33333333333333331</v>
      </c>
      <c r="AB931" s="9">
        <v>7</v>
      </c>
      <c r="AC931" s="9" t="s">
        <v>41</v>
      </c>
      <c r="AD931" s="9" t="str">
        <f t="shared" si="15"/>
        <v>Actual</v>
      </c>
      <c r="AE931" s="9" t="str">
        <f t="shared" si="16"/>
        <v>TMK7</v>
      </c>
      <c r="AF931" s="9">
        <f>HOUR(O931)</f>
        <v>7</v>
      </c>
      <c r="AG931" s="9">
        <f>DAY(O931)</f>
        <v>18</v>
      </c>
      <c r="AH931" s="9">
        <f>IFERROR((I931-K931)*24*60,0)</f>
        <v>0</v>
      </c>
      <c r="AI931" s="9">
        <f t="shared" si="17"/>
        <v>0</v>
      </c>
      <c r="AJ931" s="9">
        <f>C931</f>
        <v>2896</v>
      </c>
      <c r="AK931" s="9">
        <f>IF(P931="completed",((V931-K931)*24*60),0)</f>
        <v>8.0000000051222742</v>
      </c>
      <c r="AL931" s="9">
        <f>IF(P931="completed",((U931-K931)*24*60),0)</f>
        <v>11.999999997206032</v>
      </c>
      <c r="AM931" s="9" t="str">
        <f t="shared" si="18"/>
        <v>OTP Achieved</v>
      </c>
      <c r="AN931" s="9" t="str">
        <f t="shared" si="19"/>
        <v>OTP Achieved</v>
      </c>
    </row>
    <row r="932" spans="1:40" ht="15.75" customHeight="1">
      <c r="A932" s="9" t="s">
        <v>379</v>
      </c>
      <c r="B932" s="25">
        <v>46313.332638888889</v>
      </c>
      <c r="C932" s="9">
        <v>1362</v>
      </c>
      <c r="D932" s="9" t="s">
        <v>41</v>
      </c>
      <c r="E932" s="9">
        <v>5</v>
      </c>
      <c r="F932" s="9" t="s">
        <v>41</v>
      </c>
      <c r="G932" s="9" t="s">
        <v>41</v>
      </c>
      <c r="H932" s="9" t="s">
        <v>2902</v>
      </c>
      <c r="I932" s="25">
        <v>46313.334027777775</v>
      </c>
      <c r="J932" s="9" t="s">
        <v>41</v>
      </c>
      <c r="K932" s="25">
        <v>46313.333333333336</v>
      </c>
      <c r="L932" s="9">
        <v>28</v>
      </c>
      <c r="O932" s="25">
        <v>46313.332638888889</v>
      </c>
      <c r="P932" s="9" t="s">
        <v>43</v>
      </c>
      <c r="Q932" s="9" t="s">
        <v>381</v>
      </c>
      <c r="R932" s="9" t="s">
        <v>2903</v>
      </c>
      <c r="S932" s="9">
        <v>4247</v>
      </c>
      <c r="T932" s="9" t="s">
        <v>41</v>
      </c>
      <c r="U932" s="25">
        <v>46313.338888888888</v>
      </c>
      <c r="V932" s="25">
        <v>46313.336805555555</v>
      </c>
      <c r="W932" s="26" t="s">
        <v>2904</v>
      </c>
      <c r="X932" s="9">
        <v>22411</v>
      </c>
      <c r="Z932" s="9">
        <v>0</v>
      </c>
      <c r="AA932" s="27">
        <v>0.33263888888888887</v>
      </c>
      <c r="AB932" s="9">
        <v>4</v>
      </c>
      <c r="AC932" s="9" t="s">
        <v>41</v>
      </c>
      <c r="AD932" s="9" t="str">
        <f t="shared" si="15"/>
        <v>Actual</v>
      </c>
      <c r="AE932" s="9" t="str">
        <f t="shared" si="16"/>
        <v>TMK7</v>
      </c>
      <c r="AF932" s="9">
        <f>HOUR(O932)</f>
        <v>7</v>
      </c>
      <c r="AG932" s="9">
        <f>DAY(O932)</f>
        <v>18</v>
      </c>
      <c r="AH932" s="9">
        <f>IFERROR((I932-K932)*24*60,0)</f>
        <v>0.99999999278225005</v>
      </c>
      <c r="AI932" s="9">
        <f t="shared" si="17"/>
        <v>0.99999999278225005</v>
      </c>
      <c r="AJ932" s="9">
        <f>C932</f>
        <v>1362</v>
      </c>
      <c r="AK932" s="9">
        <f>IF(P932="completed",((V932-K932)*24*60),0)</f>
        <v>4.9999999953433871</v>
      </c>
      <c r="AL932" s="9">
        <f>IF(P932="completed",((U932-K932)*24*60),0)</f>
        <v>7.9999999946448952</v>
      </c>
      <c r="AM932" s="9" t="str">
        <f t="shared" si="18"/>
        <v>OTP Achieved</v>
      </c>
      <c r="AN932" s="9" t="str">
        <f t="shared" si="19"/>
        <v>OTP Achieved</v>
      </c>
    </row>
    <row r="933" spans="1:40" ht="15.75" customHeight="1">
      <c r="A933" s="9" t="s">
        <v>1239</v>
      </c>
      <c r="B933" s="25">
        <v>46313.330555555556</v>
      </c>
      <c r="C933" s="9">
        <v>2158</v>
      </c>
      <c r="D933" s="9" t="s">
        <v>41</v>
      </c>
      <c r="E933" s="9">
        <v>6</v>
      </c>
      <c r="F933" s="9" t="s">
        <v>41</v>
      </c>
      <c r="G933" s="9" t="s">
        <v>41</v>
      </c>
      <c r="H933" s="9" t="s">
        <v>2905</v>
      </c>
      <c r="I933" s="25">
        <v>46313.331944444442</v>
      </c>
      <c r="J933" s="9" t="s">
        <v>41</v>
      </c>
      <c r="K933" s="25">
        <v>46313.331250000003</v>
      </c>
      <c r="L933" s="9">
        <v>18</v>
      </c>
      <c r="O933" s="25">
        <v>46313.330555555556</v>
      </c>
      <c r="P933" s="9" t="s">
        <v>43</v>
      </c>
      <c r="Q933" s="9" t="s">
        <v>1241</v>
      </c>
      <c r="R933" s="9" t="s">
        <v>2906</v>
      </c>
      <c r="S933" s="9">
        <v>4247</v>
      </c>
      <c r="T933" s="9" t="s">
        <v>41</v>
      </c>
      <c r="U933" s="25">
        <v>46313.338194444441</v>
      </c>
      <c r="V933" s="25">
        <v>46313.335416666669</v>
      </c>
      <c r="W933" s="26" t="s">
        <v>2907</v>
      </c>
      <c r="X933" s="9">
        <v>22411</v>
      </c>
      <c r="Z933" s="9">
        <v>0</v>
      </c>
      <c r="AA933" s="27">
        <v>0.33055555555555555</v>
      </c>
      <c r="AB933" s="9">
        <v>5</v>
      </c>
      <c r="AC933" s="9" t="s">
        <v>41</v>
      </c>
      <c r="AD933" s="9" t="str">
        <f t="shared" si="15"/>
        <v>Actual</v>
      </c>
      <c r="AE933" s="9" t="str">
        <f t="shared" si="16"/>
        <v>TMK7</v>
      </c>
      <c r="AF933" s="9">
        <f>HOUR(O933)</f>
        <v>7</v>
      </c>
      <c r="AG933" s="9">
        <f>DAY(O933)</f>
        <v>18</v>
      </c>
      <c r="AH933" s="9">
        <f>IFERROR((I933-K933)*24*60,0)</f>
        <v>0.99999999278225005</v>
      </c>
      <c r="AI933" s="9">
        <f t="shared" si="17"/>
        <v>0.99999999278225005</v>
      </c>
      <c r="AJ933" s="9">
        <f>C933</f>
        <v>2158</v>
      </c>
      <c r="AK933" s="9">
        <f>IF(P933="completed",((V933-K933)*24*60),0)</f>
        <v>5.9999999986030161</v>
      </c>
      <c r="AL933" s="9">
        <f>IF(P933="completed",((U933-K933)*24*60),0)</f>
        <v>9.9999999906867743</v>
      </c>
      <c r="AM933" s="9" t="str">
        <f t="shared" si="18"/>
        <v>OTP Achieved</v>
      </c>
      <c r="AN933" s="9" t="str">
        <f t="shared" si="19"/>
        <v>OTP Achieved</v>
      </c>
    </row>
    <row r="934" spans="1:40" ht="15.75" customHeight="1">
      <c r="A934" s="9" t="s">
        <v>106</v>
      </c>
      <c r="B934" s="25">
        <v>46313.329861111109</v>
      </c>
      <c r="C934" s="9">
        <v>2224</v>
      </c>
      <c r="D934" s="9" t="s">
        <v>41</v>
      </c>
      <c r="E934" s="9">
        <v>7</v>
      </c>
      <c r="F934" s="9" t="s">
        <v>41</v>
      </c>
      <c r="G934" s="9" t="s">
        <v>41</v>
      </c>
      <c r="H934" s="9" t="s">
        <v>2908</v>
      </c>
      <c r="I934" s="25">
        <v>46313.331944444442</v>
      </c>
      <c r="J934" s="9" t="s">
        <v>41</v>
      </c>
      <c r="K934" s="25">
        <v>46313.331944444442</v>
      </c>
      <c r="L934" s="9">
        <v>24</v>
      </c>
      <c r="O934" s="25">
        <v>46313.329861111109</v>
      </c>
      <c r="P934" s="9" t="s">
        <v>43</v>
      </c>
      <c r="Q934" s="9" t="s">
        <v>108</v>
      </c>
      <c r="R934" s="9" t="s">
        <v>2909</v>
      </c>
      <c r="S934" s="9">
        <v>4247</v>
      </c>
      <c r="T934" s="9" t="s">
        <v>41</v>
      </c>
      <c r="U934" s="25">
        <v>46313.336805555555</v>
      </c>
      <c r="V934" s="25">
        <v>46313.336805555555</v>
      </c>
      <c r="W934" s="26" t="s">
        <v>2910</v>
      </c>
      <c r="X934" s="9">
        <v>22411</v>
      </c>
      <c r="Z934" s="9">
        <v>0</v>
      </c>
      <c r="AA934" s="27">
        <v>0.3298611111111111</v>
      </c>
      <c r="AB934" s="9">
        <v>6</v>
      </c>
      <c r="AC934" s="9" t="s">
        <v>41</v>
      </c>
      <c r="AD934" s="9" t="str">
        <f t="shared" si="15"/>
        <v>Actual</v>
      </c>
      <c r="AE934" s="9" t="str">
        <f t="shared" si="16"/>
        <v>TMK7</v>
      </c>
      <c r="AF934" s="9">
        <f>HOUR(O934)</f>
        <v>7</v>
      </c>
      <c r="AG934" s="9">
        <f>DAY(O934)</f>
        <v>18</v>
      </c>
      <c r="AH934" s="9">
        <f>IFERROR((I934-K934)*24*60,0)</f>
        <v>0</v>
      </c>
      <c r="AI934" s="9">
        <f t="shared" si="17"/>
        <v>0</v>
      </c>
      <c r="AJ934" s="9">
        <f>C934</f>
        <v>2224</v>
      </c>
      <c r="AK934" s="9">
        <f>IF(P934="completed",((V934-K934)*24*60),0)</f>
        <v>7.0000000018626451</v>
      </c>
      <c r="AL934" s="9">
        <f>IF(P934="completed",((U934-K934)*24*60),0)</f>
        <v>7.0000000018626451</v>
      </c>
      <c r="AM934" s="9" t="str">
        <f t="shared" si="18"/>
        <v>OTP Breached</v>
      </c>
      <c r="AN934" s="9" t="str">
        <f t="shared" si="19"/>
        <v>OTP Achieved</v>
      </c>
    </row>
    <row r="935" spans="1:40" ht="15.75" customHeight="1">
      <c r="A935" s="9" t="s">
        <v>1310</v>
      </c>
      <c r="B935" s="25">
        <v>46313.32916666667</v>
      </c>
      <c r="C935" s="9">
        <v>1125</v>
      </c>
      <c r="D935" s="9" t="s">
        <v>41</v>
      </c>
      <c r="E935" s="9">
        <v>4</v>
      </c>
      <c r="F935" s="9" t="s">
        <v>41</v>
      </c>
      <c r="G935" s="9" t="s">
        <v>41</v>
      </c>
      <c r="H935" s="9" t="s">
        <v>2911</v>
      </c>
      <c r="I935" s="25">
        <v>46313.329861111109</v>
      </c>
      <c r="J935" s="9" t="s">
        <v>41</v>
      </c>
      <c r="K935" s="25">
        <v>46313.329861111109</v>
      </c>
      <c r="L935" s="9">
        <v>11</v>
      </c>
      <c r="O935" s="25">
        <v>46313.32916666667</v>
      </c>
      <c r="P935" s="9" t="s">
        <v>43</v>
      </c>
      <c r="Q935" s="9" t="s">
        <v>1312</v>
      </c>
      <c r="R935" s="9" t="s">
        <v>2912</v>
      </c>
      <c r="S935" s="9">
        <v>4247</v>
      </c>
      <c r="T935" s="9" t="s">
        <v>41</v>
      </c>
      <c r="U935" s="25">
        <v>46313.332638888889</v>
      </c>
      <c r="V935" s="25">
        <v>46313.332638888889</v>
      </c>
      <c r="W935" s="26" t="s">
        <v>2913</v>
      </c>
      <c r="X935" s="9">
        <v>22411</v>
      </c>
      <c r="Y935" s="25"/>
      <c r="Z935" s="9">
        <v>0</v>
      </c>
      <c r="AA935" s="27">
        <v>0.32916666666666666</v>
      </c>
      <c r="AB935" s="9">
        <v>4</v>
      </c>
      <c r="AC935" s="9" t="s">
        <v>41</v>
      </c>
      <c r="AD935" s="9" t="str">
        <f t="shared" si="15"/>
        <v>Actual</v>
      </c>
      <c r="AE935" s="9" t="str">
        <f t="shared" si="16"/>
        <v>TMK7</v>
      </c>
      <c r="AF935" s="9">
        <f>HOUR(O935)</f>
        <v>7</v>
      </c>
      <c r="AG935" s="9">
        <f>DAY(O935)</f>
        <v>18</v>
      </c>
      <c r="AH935" s="9">
        <f>IFERROR((I935-K935)*24*60,0)</f>
        <v>0</v>
      </c>
      <c r="AI935" s="9">
        <f t="shared" si="17"/>
        <v>0</v>
      </c>
      <c r="AJ935" s="9">
        <f>C935</f>
        <v>1125</v>
      </c>
      <c r="AK935" s="9">
        <f>IF(P935="completed",((V935-K935)*24*60),0)</f>
        <v>4.0000000025611371</v>
      </c>
      <c r="AL935" s="9">
        <f>IF(P935="completed",((U935-K935)*24*60),0)</f>
        <v>4.0000000025611371</v>
      </c>
      <c r="AM935" s="9" t="str">
        <f t="shared" si="18"/>
        <v>OTP Breached</v>
      </c>
      <c r="AN935" s="9" t="str">
        <f t="shared" si="19"/>
        <v>OTP Achieved</v>
      </c>
    </row>
    <row r="936" spans="1:40" ht="15.75" customHeight="1">
      <c r="A936" s="9" t="s">
        <v>734</v>
      </c>
      <c r="B936" s="25">
        <v>46313.328472222223</v>
      </c>
      <c r="C936" s="9">
        <v>2667</v>
      </c>
      <c r="D936" s="9" t="s">
        <v>41</v>
      </c>
      <c r="E936" s="9">
        <v>6</v>
      </c>
      <c r="F936" s="9" t="s">
        <v>41</v>
      </c>
      <c r="G936" s="9" t="s">
        <v>41</v>
      </c>
      <c r="H936" s="9" t="s">
        <v>2914</v>
      </c>
      <c r="I936" s="25">
        <v>46313.329861111109</v>
      </c>
      <c r="J936" s="9" t="s">
        <v>41</v>
      </c>
      <c r="K936" s="25">
        <v>46313.329861111109</v>
      </c>
      <c r="L936" s="9">
        <v>12</v>
      </c>
      <c r="O936" s="25">
        <v>46313.328472222223</v>
      </c>
      <c r="P936" s="9" t="s">
        <v>43</v>
      </c>
      <c r="Q936" s="9" t="s">
        <v>736</v>
      </c>
      <c r="R936" s="9" t="s">
        <v>2915</v>
      </c>
      <c r="S936" s="9">
        <v>4247</v>
      </c>
      <c r="T936" s="9" t="s">
        <v>41</v>
      </c>
      <c r="U936" s="25">
        <v>46313.336111111108</v>
      </c>
      <c r="V936" s="25">
        <v>46313.334722222222</v>
      </c>
      <c r="W936" s="26" t="s">
        <v>2916</v>
      </c>
      <c r="X936" s="9">
        <v>22411</v>
      </c>
      <c r="Z936" s="9">
        <v>0</v>
      </c>
      <c r="AA936" s="27">
        <v>0.32847222222222222</v>
      </c>
      <c r="AB936" s="9">
        <v>6</v>
      </c>
      <c r="AC936" s="9" t="s">
        <v>41</v>
      </c>
      <c r="AD936" s="9" t="str">
        <f t="shared" si="15"/>
        <v>Actual</v>
      </c>
      <c r="AE936" s="9" t="str">
        <f t="shared" si="16"/>
        <v>TMK7</v>
      </c>
      <c r="AF936" s="9">
        <f>HOUR(O936)</f>
        <v>7</v>
      </c>
      <c r="AG936" s="9">
        <f>DAY(O936)</f>
        <v>18</v>
      </c>
      <c r="AH936" s="9">
        <f>IFERROR((I936-K936)*24*60,0)</f>
        <v>0</v>
      </c>
      <c r="AI936" s="9">
        <f t="shared" si="17"/>
        <v>0</v>
      </c>
      <c r="AJ936" s="9">
        <f>C936</f>
        <v>2667</v>
      </c>
      <c r="AK936" s="9">
        <f>IF(P936="completed",((V936-K936)*24*60),0)</f>
        <v>7.0000000018626451</v>
      </c>
      <c r="AL936" s="9">
        <f>IF(P936="completed",((U936-K936)*24*60),0)</f>
        <v>8.9999999979045242</v>
      </c>
      <c r="AM936" s="9" t="str">
        <f t="shared" si="18"/>
        <v>OTP Achieved</v>
      </c>
      <c r="AN936" s="9" t="str">
        <f t="shared" si="19"/>
        <v>OTP Achieved</v>
      </c>
    </row>
    <row r="937" spans="1:40" ht="15.75" customHeight="1">
      <c r="A937" s="9" t="s">
        <v>1965</v>
      </c>
      <c r="B937" s="25">
        <v>46313.328472222223</v>
      </c>
      <c r="C937" s="9">
        <v>2077</v>
      </c>
      <c r="D937" s="9" t="s">
        <v>41</v>
      </c>
      <c r="E937" s="9">
        <v>6</v>
      </c>
      <c r="F937" s="9" t="s">
        <v>41</v>
      </c>
      <c r="G937" s="9" t="s">
        <v>41</v>
      </c>
      <c r="H937" s="9" t="s">
        <v>2917</v>
      </c>
      <c r="I937" s="25">
        <v>46313.32916666667</v>
      </c>
      <c r="J937" s="9" t="s">
        <v>41</v>
      </c>
      <c r="K937" s="25">
        <v>46313.32916666667</v>
      </c>
      <c r="L937" s="9">
        <v>11</v>
      </c>
      <c r="O937" s="25">
        <v>46313.328472222223</v>
      </c>
      <c r="P937" s="9" t="s">
        <v>43</v>
      </c>
      <c r="Q937" s="9" t="s">
        <v>1967</v>
      </c>
      <c r="R937" s="9" t="s">
        <v>2918</v>
      </c>
      <c r="S937" s="9">
        <v>4247</v>
      </c>
      <c r="T937" s="9" t="s">
        <v>41</v>
      </c>
      <c r="U937" s="25">
        <v>46313.334027777775</v>
      </c>
      <c r="V937" s="25">
        <v>46313.333333333336</v>
      </c>
      <c r="W937" s="26" t="s">
        <v>2919</v>
      </c>
      <c r="X937" s="9">
        <v>22411</v>
      </c>
      <c r="Z937" s="9">
        <v>0</v>
      </c>
      <c r="AA937" s="27">
        <v>0.32847222222222222</v>
      </c>
      <c r="AB937" s="9">
        <v>6</v>
      </c>
      <c r="AC937" s="9" t="s">
        <v>41</v>
      </c>
      <c r="AD937" s="9" t="str">
        <f t="shared" si="15"/>
        <v>Actual</v>
      </c>
      <c r="AE937" s="9" t="str">
        <f t="shared" si="16"/>
        <v>TMK7</v>
      </c>
      <c r="AF937" s="9">
        <f>HOUR(O937)</f>
        <v>7</v>
      </c>
      <c r="AG937" s="9">
        <f>DAY(O937)</f>
        <v>18</v>
      </c>
      <c r="AH937" s="9">
        <f>IFERROR((I937-K937)*24*60,0)</f>
        <v>0</v>
      </c>
      <c r="AI937" s="9">
        <f t="shared" si="17"/>
        <v>0</v>
      </c>
      <c r="AJ937" s="9">
        <f>C937</f>
        <v>2077</v>
      </c>
      <c r="AK937" s="9">
        <f>IF(P937="completed",((V937-K937)*24*60),0)</f>
        <v>5.9999999986030161</v>
      </c>
      <c r="AL937" s="9">
        <f>IF(P937="completed",((U937-K937)*24*60),0)</f>
        <v>6.9999999913852662</v>
      </c>
      <c r="AM937" s="9" t="str">
        <f t="shared" si="18"/>
        <v>OTP Achieved</v>
      </c>
      <c r="AN937" s="9" t="str">
        <f t="shared" si="19"/>
        <v>OTP Achieved</v>
      </c>
    </row>
    <row r="938" spans="1:40" ht="15.75" customHeight="1">
      <c r="A938" s="9" t="s">
        <v>2920</v>
      </c>
      <c r="B938" s="25">
        <v>46313.328472222223</v>
      </c>
      <c r="C938" s="9">
        <v>1125</v>
      </c>
      <c r="D938" s="9" t="s">
        <v>41</v>
      </c>
      <c r="E938" s="9">
        <v>4</v>
      </c>
      <c r="F938" s="9" t="s">
        <v>41</v>
      </c>
      <c r="G938" s="9" t="s">
        <v>41</v>
      </c>
      <c r="H938" s="9" t="s">
        <v>2921</v>
      </c>
      <c r="I938" s="25">
        <v>46313.32916666667</v>
      </c>
      <c r="J938" s="9" t="s">
        <v>41</v>
      </c>
      <c r="K938" s="25">
        <v>46313.32916666667</v>
      </c>
      <c r="L938" s="9">
        <v>10</v>
      </c>
      <c r="O938" s="25">
        <v>46313.328472222223</v>
      </c>
      <c r="P938" s="9" t="s">
        <v>43</v>
      </c>
      <c r="Q938" s="9" t="s">
        <v>2922</v>
      </c>
      <c r="R938" s="9" t="s">
        <v>2923</v>
      </c>
      <c r="S938" s="9">
        <v>4247</v>
      </c>
      <c r="T938" s="9" t="s">
        <v>41</v>
      </c>
      <c r="U938" s="25">
        <v>46313.331944444442</v>
      </c>
      <c r="V938" s="25">
        <v>46313.331250000003</v>
      </c>
      <c r="W938" s="26" t="s">
        <v>2924</v>
      </c>
      <c r="X938" s="9">
        <v>22411</v>
      </c>
      <c r="Z938" s="9">
        <v>0</v>
      </c>
      <c r="AA938" s="27">
        <v>0.32847222222222222</v>
      </c>
      <c r="AB938" s="9">
        <v>3</v>
      </c>
      <c r="AC938" s="9" t="s">
        <v>41</v>
      </c>
      <c r="AD938" s="9" t="str">
        <f t="shared" si="15"/>
        <v>Actual</v>
      </c>
      <c r="AE938" s="9" t="str">
        <f t="shared" si="16"/>
        <v>TMK7</v>
      </c>
      <c r="AF938" s="9">
        <f>HOUR(O938)</f>
        <v>7</v>
      </c>
      <c r="AG938" s="9">
        <f>DAY(O938)</f>
        <v>18</v>
      </c>
      <c r="AH938" s="9">
        <f>IFERROR((I938-K938)*24*60,0)</f>
        <v>0</v>
      </c>
      <c r="AI938" s="9">
        <f t="shared" si="17"/>
        <v>0</v>
      </c>
      <c r="AJ938" s="9">
        <f>C938</f>
        <v>1125</v>
      </c>
      <c r="AK938" s="9">
        <f>IF(P938="completed",((V938-K938)*24*60),0)</f>
        <v>2.9999999993015081</v>
      </c>
      <c r="AL938" s="9">
        <f>IF(P938="completed",((U938-K938)*24*60),0)</f>
        <v>3.9999999920837581</v>
      </c>
      <c r="AM938" s="9" t="str">
        <f t="shared" si="18"/>
        <v>OTP Achieved</v>
      </c>
      <c r="AN938" s="9" t="str">
        <f t="shared" si="19"/>
        <v>OTP Achieved</v>
      </c>
    </row>
    <row r="939" spans="1:40" ht="15.75" customHeight="1">
      <c r="A939" s="9" t="s">
        <v>98</v>
      </c>
      <c r="B939" s="25">
        <v>46313.328472222223</v>
      </c>
      <c r="C939" s="9">
        <v>1393</v>
      </c>
      <c r="D939" s="9" t="s">
        <v>41</v>
      </c>
      <c r="E939" s="9">
        <v>4</v>
      </c>
      <c r="F939" s="9" t="s">
        <v>41</v>
      </c>
      <c r="G939" s="9" t="s">
        <v>41</v>
      </c>
      <c r="H939" s="9" t="s">
        <v>2925</v>
      </c>
      <c r="I939" s="25">
        <v>46313.329861111109</v>
      </c>
      <c r="J939" s="9" t="s">
        <v>41</v>
      </c>
      <c r="K939" s="25">
        <v>46313.329861111109</v>
      </c>
      <c r="L939" s="9">
        <v>9</v>
      </c>
      <c r="O939" s="25">
        <v>46313.328472222223</v>
      </c>
      <c r="P939" s="9" t="s">
        <v>43</v>
      </c>
      <c r="Q939" s="9" t="s">
        <v>100</v>
      </c>
      <c r="R939" s="9" t="s">
        <v>2926</v>
      </c>
      <c r="S939" s="9">
        <v>4247</v>
      </c>
      <c r="T939" s="9" t="s">
        <v>41</v>
      </c>
      <c r="U939" s="25">
        <v>46313.334722222222</v>
      </c>
      <c r="V939" s="25">
        <v>46313.332638888889</v>
      </c>
      <c r="W939" s="26" t="s">
        <v>2927</v>
      </c>
      <c r="X939" s="9">
        <v>22411</v>
      </c>
      <c r="Z939" s="9">
        <v>0</v>
      </c>
      <c r="AA939" s="27">
        <v>0.32847222222222222</v>
      </c>
      <c r="AB939" s="9">
        <v>4</v>
      </c>
      <c r="AC939" s="9" t="s">
        <v>41</v>
      </c>
      <c r="AD939" s="9" t="str">
        <f t="shared" si="15"/>
        <v>Actual</v>
      </c>
      <c r="AE939" s="9" t="str">
        <f t="shared" si="16"/>
        <v>TMK7</v>
      </c>
      <c r="AF939" s="9">
        <f>HOUR(O939)</f>
        <v>7</v>
      </c>
      <c r="AG939" s="9">
        <f>DAY(O939)</f>
        <v>18</v>
      </c>
      <c r="AH939" s="9">
        <f>IFERROR((I939-K939)*24*60,0)</f>
        <v>0</v>
      </c>
      <c r="AI939" s="9">
        <f t="shared" si="17"/>
        <v>0</v>
      </c>
      <c r="AJ939" s="9">
        <f>C939</f>
        <v>1393</v>
      </c>
      <c r="AK939" s="9">
        <f>IF(P939="completed",((V939-K939)*24*60),0)</f>
        <v>4.0000000025611371</v>
      </c>
      <c r="AL939" s="9">
        <f>IF(P939="completed",((U939-K939)*24*60),0)</f>
        <v>7.0000000018626451</v>
      </c>
      <c r="AM939" s="9" t="str">
        <f t="shared" si="18"/>
        <v>OTP Achieved</v>
      </c>
      <c r="AN939" s="9" t="str">
        <f t="shared" si="19"/>
        <v>OTP Achieved</v>
      </c>
    </row>
    <row r="940" spans="1:40" ht="15.75" customHeight="1">
      <c r="A940" s="9" t="s">
        <v>1365</v>
      </c>
      <c r="B940" s="25">
        <v>46313.327777777777</v>
      </c>
      <c r="C940" s="9">
        <v>1413</v>
      </c>
      <c r="D940" s="9" t="s">
        <v>41</v>
      </c>
      <c r="E940" s="9">
        <v>4</v>
      </c>
      <c r="F940" s="9" t="s">
        <v>41</v>
      </c>
      <c r="G940" s="9" t="s">
        <v>41</v>
      </c>
      <c r="H940" s="9" t="s">
        <v>2928</v>
      </c>
      <c r="I940" s="25">
        <v>46313.328472222223</v>
      </c>
      <c r="J940" s="9" t="s">
        <v>41</v>
      </c>
      <c r="K940" s="25">
        <v>46313.327777777777</v>
      </c>
      <c r="L940" s="9">
        <v>25</v>
      </c>
      <c r="O940" s="25">
        <v>46313.327777777777</v>
      </c>
      <c r="P940" s="9" t="s">
        <v>43</v>
      </c>
      <c r="Q940" s="9" t="s">
        <v>1367</v>
      </c>
      <c r="R940" s="9" t="s">
        <v>2929</v>
      </c>
      <c r="S940" s="9">
        <v>4247</v>
      </c>
      <c r="T940" s="9" t="s">
        <v>41</v>
      </c>
      <c r="U940" s="25">
        <v>46313.331250000003</v>
      </c>
      <c r="V940" s="25">
        <v>46313.330555555556</v>
      </c>
      <c r="W940" s="26" t="s">
        <v>2930</v>
      </c>
      <c r="X940" s="9">
        <v>22411</v>
      </c>
      <c r="Z940" s="9">
        <v>0</v>
      </c>
      <c r="AA940" s="27">
        <v>0.32777777777777778</v>
      </c>
      <c r="AB940" s="9">
        <v>3</v>
      </c>
      <c r="AC940" s="9" t="s">
        <v>41</v>
      </c>
      <c r="AD940" s="9" t="str">
        <f t="shared" si="15"/>
        <v>Actual</v>
      </c>
      <c r="AE940" s="9" t="str">
        <f t="shared" si="16"/>
        <v>TMK7</v>
      </c>
      <c r="AF940" s="9">
        <f>HOUR(O940)</f>
        <v>7</v>
      </c>
      <c r="AG940" s="9">
        <f>DAY(O940)</f>
        <v>18</v>
      </c>
      <c r="AH940" s="9">
        <f>IFERROR((I940-K940)*24*60,0)</f>
        <v>1.000000003259629</v>
      </c>
      <c r="AI940" s="9">
        <f t="shared" si="17"/>
        <v>1.000000003259629</v>
      </c>
      <c r="AJ940" s="9">
        <f>C940</f>
        <v>1413</v>
      </c>
      <c r="AK940" s="9">
        <f>IF(P940="completed",((V940-K940)*24*60),0)</f>
        <v>4.0000000025611371</v>
      </c>
      <c r="AL940" s="9">
        <f>IF(P940="completed",((U940-K940)*24*60),0)</f>
        <v>5.0000000058207661</v>
      </c>
      <c r="AM940" s="9" t="str">
        <f t="shared" si="18"/>
        <v>OTP Achieved</v>
      </c>
      <c r="AN940" s="9" t="str">
        <f t="shared" si="19"/>
        <v>OTP Achieved</v>
      </c>
    </row>
    <row r="941" spans="1:40" ht="15.75" customHeight="1">
      <c r="A941" s="9" t="s">
        <v>177</v>
      </c>
      <c r="B941" s="25">
        <v>46313.326388888891</v>
      </c>
      <c r="C941" s="9">
        <v>1470</v>
      </c>
      <c r="D941" s="9" t="s">
        <v>41</v>
      </c>
      <c r="E941" s="9">
        <v>4</v>
      </c>
      <c r="F941" s="9" t="s">
        <v>41</v>
      </c>
      <c r="G941" s="9" t="s">
        <v>41</v>
      </c>
      <c r="H941" s="9" t="s">
        <v>2931</v>
      </c>
      <c r="I941" s="25">
        <v>46313.327777777777</v>
      </c>
      <c r="J941" s="9" t="s">
        <v>41</v>
      </c>
      <c r="K941" s="25">
        <v>46313.327777777777</v>
      </c>
      <c r="L941" s="9">
        <v>17</v>
      </c>
      <c r="O941" s="25">
        <v>46313.326388888891</v>
      </c>
      <c r="P941" s="9" t="s">
        <v>43</v>
      </c>
      <c r="Q941" s="9" t="s">
        <v>179</v>
      </c>
      <c r="R941" s="9" t="s">
        <v>2932</v>
      </c>
      <c r="S941" s="9">
        <v>4247</v>
      </c>
      <c r="T941" s="9" t="s">
        <v>41</v>
      </c>
      <c r="U941" s="25">
        <v>46313.334027777775</v>
      </c>
      <c r="V941" s="25">
        <v>46313.330555555556</v>
      </c>
      <c r="W941" s="26" t="s">
        <v>2933</v>
      </c>
      <c r="X941" s="9">
        <v>22411</v>
      </c>
      <c r="Z941" s="9">
        <v>0</v>
      </c>
      <c r="AA941" s="27">
        <v>0.3263888888888889</v>
      </c>
      <c r="AB941" s="9">
        <v>3</v>
      </c>
      <c r="AC941" s="9" t="s">
        <v>41</v>
      </c>
      <c r="AD941" s="9" t="str">
        <f t="shared" si="15"/>
        <v>Actual</v>
      </c>
      <c r="AE941" s="9" t="str">
        <f t="shared" si="16"/>
        <v>TMK7</v>
      </c>
      <c r="AF941" s="9">
        <f>HOUR(O941)</f>
        <v>7</v>
      </c>
      <c r="AG941" s="9">
        <f>DAY(O941)</f>
        <v>18</v>
      </c>
      <c r="AH941" s="9">
        <f>IFERROR((I941-K941)*24*60,0)</f>
        <v>0</v>
      </c>
      <c r="AI941" s="9">
        <f t="shared" si="17"/>
        <v>0</v>
      </c>
      <c r="AJ941" s="9">
        <f>C941</f>
        <v>1470</v>
      </c>
      <c r="AK941" s="9">
        <f>IF(P941="completed",((V941-K941)*24*60),0)</f>
        <v>4.0000000025611371</v>
      </c>
      <c r="AL941" s="9">
        <f>IF(P941="completed",((U941-K941)*24*60),0)</f>
        <v>8.9999999979045242</v>
      </c>
      <c r="AM941" s="9" t="str">
        <f t="shared" si="18"/>
        <v>OTP Achieved</v>
      </c>
      <c r="AN941" s="9" t="str">
        <f t="shared" si="19"/>
        <v>OTP Achieved</v>
      </c>
    </row>
    <row r="942" spans="1:40" ht="15.75" customHeight="1">
      <c r="A942" s="9" t="s">
        <v>185</v>
      </c>
      <c r="B942" s="25">
        <v>46313.326388888891</v>
      </c>
      <c r="C942" s="9">
        <v>1153</v>
      </c>
      <c r="D942" s="9" t="s">
        <v>41</v>
      </c>
      <c r="E942" s="9">
        <v>3</v>
      </c>
      <c r="F942" s="9" t="s">
        <v>41</v>
      </c>
      <c r="G942" s="9" t="s">
        <v>41</v>
      </c>
      <c r="H942" s="9" t="s">
        <v>2934</v>
      </c>
      <c r="I942" s="25">
        <v>46313.32708333333</v>
      </c>
      <c r="J942" s="9" t="s">
        <v>41</v>
      </c>
      <c r="K942" s="25">
        <v>46313.32708333333</v>
      </c>
      <c r="L942" s="9">
        <v>10</v>
      </c>
      <c r="O942" s="25">
        <v>46313.326388888891</v>
      </c>
      <c r="P942" s="9" t="s">
        <v>43</v>
      </c>
      <c r="Q942" s="9" t="s">
        <v>187</v>
      </c>
      <c r="R942" s="9" t="s">
        <v>2935</v>
      </c>
      <c r="S942" s="9">
        <v>4247</v>
      </c>
      <c r="T942" s="9" t="s">
        <v>41</v>
      </c>
      <c r="U942" s="25">
        <v>46313.329861111109</v>
      </c>
      <c r="V942" s="25">
        <v>46313.32916666667</v>
      </c>
      <c r="W942" s="26" t="s">
        <v>2936</v>
      </c>
      <c r="X942" s="9">
        <v>22411</v>
      </c>
      <c r="Z942" s="9">
        <v>0</v>
      </c>
      <c r="AA942" s="27">
        <v>0.3263888888888889</v>
      </c>
      <c r="AB942" s="9">
        <v>3</v>
      </c>
      <c r="AC942" s="9" t="s">
        <v>41</v>
      </c>
      <c r="AD942" s="9" t="str">
        <f t="shared" si="15"/>
        <v>Actual</v>
      </c>
      <c r="AE942" s="9" t="str">
        <f t="shared" si="16"/>
        <v>TMK7</v>
      </c>
      <c r="AF942" s="9">
        <f>HOUR(O942)</f>
        <v>7</v>
      </c>
      <c r="AG942" s="9">
        <f>DAY(O942)</f>
        <v>18</v>
      </c>
      <c r="AH942" s="9">
        <f>IFERROR((I942-K942)*24*60,0)</f>
        <v>0</v>
      </c>
      <c r="AI942" s="9">
        <f t="shared" si="17"/>
        <v>0</v>
      </c>
      <c r="AJ942" s="9">
        <f>C942</f>
        <v>1153</v>
      </c>
      <c r="AK942" s="9">
        <f>IF(P942="completed",((V942-K942)*24*60),0)</f>
        <v>3.000000009778887</v>
      </c>
      <c r="AL942" s="9">
        <f>IF(P942="completed",((U942-K942)*24*60),0)</f>
        <v>4.0000000025611371</v>
      </c>
      <c r="AM942" s="9" t="str">
        <f t="shared" si="18"/>
        <v>OTP Achieved</v>
      </c>
      <c r="AN942" s="9" t="str">
        <f t="shared" si="19"/>
        <v>OTP Achieved</v>
      </c>
    </row>
    <row r="943" spans="1:40" ht="15.75" customHeight="1">
      <c r="A943" s="9" t="s">
        <v>2258</v>
      </c>
      <c r="B943" s="25">
        <v>46313.323611111111</v>
      </c>
      <c r="C943" s="9">
        <v>2139</v>
      </c>
      <c r="D943" s="9" t="s">
        <v>41</v>
      </c>
      <c r="E943" s="9">
        <v>7</v>
      </c>
      <c r="F943" s="9" t="s">
        <v>41</v>
      </c>
      <c r="G943" s="9" t="s">
        <v>41</v>
      </c>
      <c r="H943" s="9" t="s">
        <v>2937</v>
      </c>
      <c r="I943" s="25">
        <v>46313.326388888891</v>
      </c>
      <c r="J943" s="9" t="s">
        <v>41</v>
      </c>
      <c r="K943" s="25">
        <v>46313.326388888891</v>
      </c>
      <c r="L943" s="9">
        <v>12</v>
      </c>
      <c r="O943" s="25">
        <v>46313.322916666664</v>
      </c>
      <c r="P943" s="9" t="s">
        <v>43</v>
      </c>
      <c r="Q943" s="9" t="s">
        <v>2260</v>
      </c>
      <c r="R943" s="9" t="s">
        <v>2938</v>
      </c>
      <c r="S943" s="9">
        <v>4247</v>
      </c>
      <c r="T943" s="9" t="s">
        <v>41</v>
      </c>
      <c r="U943" s="25">
        <v>46313.330555555556</v>
      </c>
      <c r="V943" s="25">
        <v>46313.330555555556</v>
      </c>
      <c r="W943" s="26" t="s">
        <v>2939</v>
      </c>
      <c r="X943" s="9">
        <v>22411</v>
      </c>
      <c r="Y943" s="25"/>
      <c r="Z943" s="9">
        <v>0</v>
      </c>
      <c r="AA943" s="27">
        <v>0.32361111111111113</v>
      </c>
      <c r="AB943" s="9">
        <v>6</v>
      </c>
      <c r="AC943" s="9" t="s">
        <v>41</v>
      </c>
      <c r="AD943" s="9" t="str">
        <f t="shared" si="15"/>
        <v>Actual</v>
      </c>
      <c r="AE943" s="9" t="str">
        <f t="shared" si="16"/>
        <v>TMK7</v>
      </c>
      <c r="AF943" s="9">
        <f>HOUR(O943)</f>
        <v>7</v>
      </c>
      <c r="AG943" s="9">
        <f>DAY(O943)</f>
        <v>18</v>
      </c>
      <c r="AH943" s="9">
        <f>IFERROR((I943-K943)*24*60,0)</f>
        <v>0</v>
      </c>
      <c r="AI943" s="9">
        <f t="shared" si="17"/>
        <v>0</v>
      </c>
      <c r="AJ943" s="9">
        <f>C943</f>
        <v>2139</v>
      </c>
      <c r="AK943" s="9">
        <f>IF(P943="completed",((V943-K943)*24*60),0)</f>
        <v>5.9999999986030161</v>
      </c>
      <c r="AL943" s="9">
        <f>IF(P943="completed",((U943-K943)*24*60),0)</f>
        <v>5.9999999986030161</v>
      </c>
      <c r="AM943" s="9" t="str">
        <f t="shared" si="18"/>
        <v>OTP Breached</v>
      </c>
      <c r="AN943" s="9" t="str">
        <f t="shared" si="19"/>
        <v>OTP Achieved</v>
      </c>
    </row>
    <row r="944" spans="1:40" ht="15.75" customHeight="1">
      <c r="A944" s="9" t="s">
        <v>2247</v>
      </c>
      <c r="B944" s="25">
        <v>46313.321527777778</v>
      </c>
      <c r="C944" s="9">
        <v>2767</v>
      </c>
      <c r="D944" s="9" t="s">
        <v>41</v>
      </c>
      <c r="E944" s="9">
        <v>7</v>
      </c>
      <c r="F944" s="9" t="s">
        <v>41</v>
      </c>
      <c r="G944" s="9" t="s">
        <v>41</v>
      </c>
      <c r="H944" s="9" t="s">
        <v>2940</v>
      </c>
      <c r="I944" s="25">
        <v>46313.322222222225</v>
      </c>
      <c r="J944" s="9" t="s">
        <v>41</v>
      </c>
      <c r="K944" s="25">
        <v>46313.322222222225</v>
      </c>
      <c r="L944" s="9">
        <v>8</v>
      </c>
      <c r="O944" s="25">
        <v>46313.320833333331</v>
      </c>
      <c r="P944" s="9" t="s">
        <v>43</v>
      </c>
      <c r="Q944" s="9" t="s">
        <v>2249</v>
      </c>
      <c r="R944" s="9" t="s">
        <v>2941</v>
      </c>
      <c r="S944" s="9">
        <v>4247</v>
      </c>
      <c r="T944" s="9" t="s">
        <v>41</v>
      </c>
      <c r="U944" s="25">
        <v>46313.328472222223</v>
      </c>
      <c r="V944" s="25">
        <v>46313.32708333333</v>
      </c>
      <c r="W944" s="26" t="s">
        <v>2942</v>
      </c>
      <c r="X944" s="9">
        <v>22411</v>
      </c>
      <c r="Z944" s="9">
        <v>0</v>
      </c>
      <c r="AA944" s="27">
        <v>0.3215277777777778</v>
      </c>
      <c r="AB944" s="9">
        <v>7</v>
      </c>
      <c r="AC944" s="9" t="s">
        <v>41</v>
      </c>
      <c r="AD944" s="9" t="str">
        <f t="shared" si="15"/>
        <v>Actual</v>
      </c>
      <c r="AE944" s="9" t="str">
        <f t="shared" si="16"/>
        <v>TMK7</v>
      </c>
      <c r="AF944" s="9">
        <f>HOUR(O944)</f>
        <v>7</v>
      </c>
      <c r="AG944" s="9">
        <f>DAY(O944)</f>
        <v>18</v>
      </c>
      <c r="AH944" s="9">
        <f>IFERROR((I944-K944)*24*60,0)</f>
        <v>0</v>
      </c>
      <c r="AI944" s="9">
        <f t="shared" si="17"/>
        <v>0</v>
      </c>
      <c r="AJ944" s="9">
        <f>C944</f>
        <v>2767</v>
      </c>
      <c r="AK944" s="9">
        <f>IF(P944="completed",((V944-K944)*24*60),0)</f>
        <v>6.9999999913852662</v>
      </c>
      <c r="AL944" s="9">
        <f>IF(P944="completed",((U944-K944)*24*60),0)</f>
        <v>8.9999999979045242</v>
      </c>
      <c r="AM944" s="9" t="str">
        <f t="shared" si="18"/>
        <v>OTP Achieved</v>
      </c>
      <c r="AN944" s="9" t="str">
        <f t="shared" si="19"/>
        <v>OTP Achieved</v>
      </c>
    </row>
    <row r="945" spans="1:40" ht="15.75" customHeight="1">
      <c r="A945" s="9" t="s">
        <v>655</v>
      </c>
      <c r="B945" s="25">
        <v>46313.320138888892</v>
      </c>
      <c r="C945" s="9">
        <v>1638</v>
      </c>
      <c r="D945" s="9" t="s">
        <v>41</v>
      </c>
      <c r="E945" s="9">
        <v>4</v>
      </c>
      <c r="F945" s="9" t="s">
        <v>41</v>
      </c>
      <c r="G945" s="9" t="s">
        <v>41</v>
      </c>
      <c r="H945" s="9" t="s">
        <v>2943</v>
      </c>
      <c r="I945" s="25">
        <v>46313.320833333331</v>
      </c>
      <c r="J945" s="9" t="s">
        <v>41</v>
      </c>
      <c r="K945" s="25">
        <v>46313.320833333331</v>
      </c>
      <c r="L945" s="9">
        <v>11</v>
      </c>
      <c r="O945" s="25">
        <v>46313.320138888892</v>
      </c>
      <c r="P945" s="9" t="s">
        <v>43</v>
      </c>
      <c r="Q945" s="9" t="s">
        <v>657</v>
      </c>
      <c r="R945" s="9" t="s">
        <v>2944</v>
      </c>
      <c r="S945" s="9">
        <v>4247</v>
      </c>
      <c r="T945" s="9" t="s">
        <v>41</v>
      </c>
      <c r="U945" s="25">
        <v>46313.325694444444</v>
      </c>
      <c r="V945" s="25">
        <v>46313.322916666664</v>
      </c>
      <c r="W945" s="26" t="s">
        <v>2945</v>
      </c>
      <c r="X945" s="9">
        <v>22411</v>
      </c>
      <c r="Z945" s="9">
        <v>0</v>
      </c>
      <c r="AA945" s="27">
        <v>0.32013888888888886</v>
      </c>
      <c r="AB945" s="9">
        <v>3</v>
      </c>
      <c r="AC945" s="9" t="s">
        <v>41</v>
      </c>
      <c r="AD945" s="9" t="str">
        <f t="shared" si="15"/>
        <v>Actual</v>
      </c>
      <c r="AE945" s="9" t="str">
        <f t="shared" si="16"/>
        <v>TMK7</v>
      </c>
      <c r="AF945" s="9">
        <f>HOUR(O945)</f>
        <v>7</v>
      </c>
      <c r="AG945" s="9">
        <f>DAY(O945)</f>
        <v>18</v>
      </c>
      <c r="AH945" s="9">
        <f>IFERROR((I945-K945)*24*60,0)</f>
        <v>0</v>
      </c>
      <c r="AI945" s="9">
        <f t="shared" si="17"/>
        <v>0</v>
      </c>
      <c r="AJ945" s="9">
        <f>C945</f>
        <v>1638</v>
      </c>
      <c r="AK945" s="9">
        <f>IF(P945="completed",((V945-K945)*24*60),0)</f>
        <v>2.9999999993015081</v>
      </c>
      <c r="AL945" s="9">
        <f>IF(P945="completed",((U945-K945)*24*60),0)</f>
        <v>7.0000000018626451</v>
      </c>
      <c r="AM945" s="9" t="str">
        <f t="shared" si="18"/>
        <v>OTP Achieved</v>
      </c>
      <c r="AN945" s="9" t="str">
        <f t="shared" si="19"/>
        <v>OTP Achieved</v>
      </c>
    </row>
    <row r="946" spans="1:40" ht="15.75" customHeight="1">
      <c r="A946" s="9" t="s">
        <v>93</v>
      </c>
      <c r="B946" s="25">
        <v>46313.318749999999</v>
      </c>
      <c r="C946" s="9">
        <v>376</v>
      </c>
      <c r="D946" s="9" t="s">
        <v>41</v>
      </c>
      <c r="E946" s="9">
        <v>2</v>
      </c>
      <c r="F946" s="9" t="s">
        <v>41</v>
      </c>
      <c r="G946" s="9" t="s">
        <v>41</v>
      </c>
      <c r="H946" s="9" t="s">
        <v>2946</v>
      </c>
      <c r="I946" s="25">
        <v>46313.319444444445</v>
      </c>
      <c r="J946" s="9" t="s">
        <v>41</v>
      </c>
      <c r="K946" s="25">
        <v>46313.319444444445</v>
      </c>
      <c r="L946" s="9">
        <v>19</v>
      </c>
      <c r="O946" s="25">
        <v>46313.318749999999</v>
      </c>
      <c r="P946" s="9" t="s">
        <v>43</v>
      </c>
      <c r="Q946" s="9" t="s">
        <v>95</v>
      </c>
      <c r="R946" s="9" t="s">
        <v>2947</v>
      </c>
      <c r="S946" s="9">
        <v>4247</v>
      </c>
      <c r="T946" s="9" t="s">
        <v>41</v>
      </c>
      <c r="U946" s="25">
        <v>46313.321527777778</v>
      </c>
      <c r="V946" s="25">
        <v>46313.320833333331</v>
      </c>
      <c r="W946" s="26" t="s">
        <v>2948</v>
      </c>
      <c r="X946" s="9">
        <v>22411</v>
      </c>
      <c r="Z946" s="9">
        <v>0</v>
      </c>
      <c r="AA946" s="27">
        <v>0.31874999999999998</v>
      </c>
      <c r="AB946" s="9">
        <v>1</v>
      </c>
      <c r="AC946" s="9" t="s">
        <v>41</v>
      </c>
      <c r="AD946" s="9" t="str">
        <f t="shared" si="15"/>
        <v>Actual</v>
      </c>
      <c r="AE946" s="9" t="str">
        <f t="shared" si="16"/>
        <v>TMK7</v>
      </c>
      <c r="AF946" s="9">
        <f>HOUR(O946)</f>
        <v>7</v>
      </c>
      <c r="AG946" s="9">
        <f>DAY(O946)</f>
        <v>18</v>
      </c>
      <c r="AH946" s="9">
        <f>IFERROR((I946-K946)*24*60,0)</f>
        <v>0</v>
      </c>
      <c r="AI946" s="9">
        <f t="shared" si="17"/>
        <v>0</v>
      </c>
      <c r="AJ946" s="9">
        <f>C946</f>
        <v>376</v>
      </c>
      <c r="AK946" s="9">
        <f>IF(P946="completed",((V946-K946)*24*60),0)</f>
        <v>1.9999999960418791</v>
      </c>
      <c r="AL946" s="9">
        <f>IF(P946="completed",((U946-K946)*24*60),0)</f>
        <v>2.9999999993015081</v>
      </c>
      <c r="AM946" s="9" t="str">
        <f t="shared" si="18"/>
        <v>OTP Achieved</v>
      </c>
      <c r="AN946" s="9" t="str">
        <f t="shared" si="19"/>
        <v>OTP Achieved</v>
      </c>
    </row>
    <row r="947" spans="1:40" ht="15.75" customHeight="1">
      <c r="A947" s="9" t="s">
        <v>98</v>
      </c>
      <c r="B947" s="25">
        <v>46313.315972222219</v>
      </c>
      <c r="C947" s="9">
        <v>240</v>
      </c>
      <c r="D947" s="9" t="s">
        <v>41</v>
      </c>
      <c r="E947" s="9">
        <v>0</v>
      </c>
      <c r="F947" s="9" t="s">
        <v>41</v>
      </c>
      <c r="G947" s="9" t="s">
        <v>41</v>
      </c>
      <c r="H947" s="9" t="s">
        <v>2949</v>
      </c>
      <c r="I947" s="25">
        <v>46313.316666666666</v>
      </c>
      <c r="J947" s="9" t="s">
        <v>41</v>
      </c>
      <c r="K947" s="25">
        <v>46313.316666666666</v>
      </c>
      <c r="L947" s="9">
        <v>9</v>
      </c>
      <c r="O947" s="25">
        <v>46313.31527777778</v>
      </c>
      <c r="P947" s="9" t="s">
        <v>43</v>
      </c>
      <c r="Q947" s="9" t="s">
        <v>100</v>
      </c>
      <c r="R947" s="9" t="s">
        <v>2950</v>
      </c>
      <c r="S947" s="9">
        <v>4247</v>
      </c>
      <c r="T947" s="9" t="s">
        <v>41</v>
      </c>
      <c r="U947" s="25">
        <v>46313.318055555559</v>
      </c>
      <c r="V947" s="25">
        <v>46313.316666666666</v>
      </c>
      <c r="W947" s="26" t="s">
        <v>2951</v>
      </c>
      <c r="X947" s="9">
        <v>22411</v>
      </c>
      <c r="Z947" s="9">
        <v>0</v>
      </c>
      <c r="AA947" s="27">
        <v>0.31597222222222221</v>
      </c>
      <c r="AB947" s="9">
        <v>0</v>
      </c>
      <c r="AC947" s="9" t="s">
        <v>41</v>
      </c>
      <c r="AD947" s="9" t="str">
        <f t="shared" si="15"/>
        <v>Actual</v>
      </c>
      <c r="AE947" s="9" t="str">
        <f t="shared" si="16"/>
        <v>TMK7</v>
      </c>
      <c r="AF947" s="9">
        <f>HOUR(O947)</f>
        <v>7</v>
      </c>
      <c r="AG947" s="9">
        <f>DAY(O947)</f>
        <v>18</v>
      </c>
      <c r="AH947" s="9">
        <f>IFERROR((I947-K947)*24*60,0)</f>
        <v>0</v>
      </c>
      <c r="AI947" s="9">
        <f t="shared" si="17"/>
        <v>0</v>
      </c>
      <c r="AJ947" s="9">
        <f>C947</f>
        <v>240</v>
      </c>
      <c r="AK947" s="9">
        <f>IF(P947="completed",((V947-K947)*24*60),0)</f>
        <v>0</v>
      </c>
      <c r="AL947" s="9">
        <f>IF(P947="completed",((U947-K947)*24*60),0)</f>
        <v>2.000000006519258</v>
      </c>
      <c r="AM947" s="9" t="str">
        <f t="shared" si="18"/>
        <v>OTP Achieved</v>
      </c>
      <c r="AN947" s="9" t="str">
        <f t="shared" si="19"/>
        <v>OTP Achieved</v>
      </c>
    </row>
    <row r="948" spans="1:40" ht="15.75" customHeight="1">
      <c r="A948" s="9" t="s">
        <v>1239</v>
      </c>
      <c r="B948" s="25">
        <v>46313.31527777778</v>
      </c>
      <c r="C948" s="9">
        <v>1393</v>
      </c>
      <c r="D948" s="9" t="s">
        <v>41</v>
      </c>
      <c r="E948" s="9">
        <v>4</v>
      </c>
      <c r="F948" s="9" t="s">
        <v>41</v>
      </c>
      <c r="G948" s="9" t="s">
        <v>41</v>
      </c>
      <c r="H948" s="9" t="s">
        <v>2952</v>
      </c>
      <c r="I948" s="25">
        <v>46313.315972222219</v>
      </c>
      <c r="J948" s="9" t="s">
        <v>41</v>
      </c>
      <c r="K948" s="25">
        <v>46313.315972222219</v>
      </c>
      <c r="L948" s="9">
        <v>7</v>
      </c>
      <c r="O948" s="25">
        <v>46313.31527777778</v>
      </c>
      <c r="P948" s="9" t="s">
        <v>43</v>
      </c>
      <c r="Q948" s="9" t="s">
        <v>1241</v>
      </c>
      <c r="R948" s="9" t="s">
        <v>2953</v>
      </c>
      <c r="S948" s="9">
        <v>4247</v>
      </c>
      <c r="T948" s="9" t="s">
        <v>41</v>
      </c>
      <c r="U948" s="25">
        <v>46313.318749999999</v>
      </c>
      <c r="V948" s="25">
        <v>46313.318749999999</v>
      </c>
      <c r="W948" s="26" t="s">
        <v>2954</v>
      </c>
      <c r="X948" s="9">
        <v>22411</v>
      </c>
      <c r="Y948" s="25"/>
      <c r="Z948" s="9">
        <v>0</v>
      </c>
      <c r="AA948" s="27">
        <v>0.31527777777777777</v>
      </c>
      <c r="AB948" s="9">
        <v>4</v>
      </c>
      <c r="AC948" s="9" t="s">
        <v>41</v>
      </c>
      <c r="AD948" s="9" t="str">
        <f t="shared" si="15"/>
        <v>Actual</v>
      </c>
      <c r="AE948" s="9" t="str">
        <f t="shared" si="16"/>
        <v>TMK7</v>
      </c>
      <c r="AF948" s="9">
        <f>HOUR(O948)</f>
        <v>7</v>
      </c>
      <c r="AG948" s="9">
        <f>DAY(O948)</f>
        <v>18</v>
      </c>
      <c r="AH948" s="9">
        <f>IFERROR((I948-K948)*24*60,0)</f>
        <v>0</v>
      </c>
      <c r="AI948" s="9">
        <f t="shared" si="17"/>
        <v>0</v>
      </c>
      <c r="AJ948" s="9">
        <f>C948</f>
        <v>1393</v>
      </c>
      <c r="AK948" s="9">
        <f>IF(P948="completed",((V948-K948)*24*60),0)</f>
        <v>4.0000000025611371</v>
      </c>
      <c r="AL948" s="9">
        <f>IF(P948="completed",((U948-K948)*24*60),0)</f>
        <v>4.0000000025611371</v>
      </c>
      <c r="AM948" s="9" t="str">
        <f t="shared" si="18"/>
        <v>OTP Breached</v>
      </c>
      <c r="AN948" s="9" t="str">
        <f t="shared" si="19"/>
        <v>OTP Achieved</v>
      </c>
    </row>
    <row r="949" spans="1:40" ht="15.75" customHeight="1">
      <c r="A949" s="9" t="s">
        <v>734</v>
      </c>
      <c r="B949" s="25">
        <v>46313.313888888886</v>
      </c>
      <c r="C949" s="9">
        <v>1437</v>
      </c>
      <c r="D949" s="9" t="s">
        <v>41</v>
      </c>
      <c r="E949" s="9">
        <v>4</v>
      </c>
      <c r="F949" s="9" t="s">
        <v>41</v>
      </c>
      <c r="G949" s="9" t="s">
        <v>41</v>
      </c>
      <c r="H949" s="9" t="s">
        <v>2955</v>
      </c>
      <c r="I949" s="25">
        <v>46313.314583333333</v>
      </c>
      <c r="J949" s="9" t="s">
        <v>41</v>
      </c>
      <c r="K949" s="25">
        <v>46313.314583333333</v>
      </c>
      <c r="L949" s="9">
        <v>16</v>
      </c>
      <c r="O949" s="25">
        <v>46313.313194444447</v>
      </c>
      <c r="P949" s="9" t="s">
        <v>43</v>
      </c>
      <c r="Q949" s="9" t="s">
        <v>736</v>
      </c>
      <c r="R949" s="9" t="s">
        <v>2956</v>
      </c>
      <c r="S949" s="9">
        <v>4247</v>
      </c>
      <c r="T949" s="9" t="s">
        <v>41</v>
      </c>
      <c r="U949" s="25">
        <v>46313.319444444445</v>
      </c>
      <c r="V949" s="25">
        <v>46313.317361111112</v>
      </c>
      <c r="W949" s="26" t="s">
        <v>2957</v>
      </c>
      <c r="X949" s="9">
        <v>22411</v>
      </c>
      <c r="Z949" s="9">
        <v>0</v>
      </c>
      <c r="AA949" s="27">
        <v>0.31388888888888888</v>
      </c>
      <c r="AB949" s="9">
        <v>4</v>
      </c>
      <c r="AC949" s="9" t="s">
        <v>41</v>
      </c>
      <c r="AD949" s="9" t="str">
        <f t="shared" si="15"/>
        <v>Actual</v>
      </c>
      <c r="AE949" s="9" t="str">
        <f t="shared" si="16"/>
        <v>TMK7</v>
      </c>
      <c r="AF949" s="9">
        <f>HOUR(O949)</f>
        <v>7</v>
      </c>
      <c r="AG949" s="9">
        <f>DAY(O949)</f>
        <v>18</v>
      </c>
      <c r="AH949" s="9">
        <f>IFERROR((I949-K949)*24*60,0)</f>
        <v>0</v>
      </c>
      <c r="AI949" s="9">
        <f t="shared" si="17"/>
        <v>0</v>
      </c>
      <c r="AJ949" s="9">
        <f>C949</f>
        <v>1437</v>
      </c>
      <c r="AK949" s="9">
        <f>IF(P949="completed",((V949-K949)*24*60),0)</f>
        <v>4.0000000025611371</v>
      </c>
      <c r="AL949" s="9">
        <f>IF(P949="completed",((U949-K949)*24*60),0)</f>
        <v>7.0000000018626451</v>
      </c>
      <c r="AM949" s="9" t="str">
        <f t="shared" si="18"/>
        <v>OTP Achieved</v>
      </c>
      <c r="AN949" s="9" t="str">
        <f t="shared" si="19"/>
        <v>OTP Achieved</v>
      </c>
    </row>
    <row r="950" spans="1:40" ht="15.75" customHeight="1">
      <c r="A950" s="9" t="s">
        <v>1336</v>
      </c>
      <c r="B950" s="25">
        <v>46313.313888888886</v>
      </c>
      <c r="C950" s="9">
        <v>1816</v>
      </c>
      <c r="D950" s="9" t="s">
        <v>41</v>
      </c>
      <c r="E950" s="9">
        <v>5</v>
      </c>
      <c r="F950" s="9" t="s">
        <v>41</v>
      </c>
      <c r="G950" s="9" t="s">
        <v>41</v>
      </c>
      <c r="H950" s="9" t="s">
        <v>2958</v>
      </c>
      <c r="I950" s="25">
        <v>46313.320138888892</v>
      </c>
      <c r="J950" s="9" t="s">
        <v>41</v>
      </c>
      <c r="K950" s="25">
        <v>46313.320138888892</v>
      </c>
      <c r="L950" s="9">
        <v>8</v>
      </c>
      <c r="O950" s="25">
        <v>46313.313194444447</v>
      </c>
      <c r="P950" s="9" t="s">
        <v>43</v>
      </c>
      <c r="Q950" s="9" t="s">
        <v>1338</v>
      </c>
      <c r="R950" s="9" t="s">
        <v>2959</v>
      </c>
      <c r="S950" s="9">
        <v>4247</v>
      </c>
      <c r="T950" s="9" t="s">
        <v>41</v>
      </c>
      <c r="U950" s="25">
        <v>46313.325694444444</v>
      </c>
      <c r="V950" s="25">
        <v>46313.323611111111</v>
      </c>
      <c r="W950" s="26" t="s">
        <v>2960</v>
      </c>
      <c r="X950" s="9">
        <v>22411</v>
      </c>
      <c r="Z950" s="9">
        <v>0</v>
      </c>
      <c r="AA950" s="27">
        <v>0.31388888888888888</v>
      </c>
      <c r="AB950" s="9">
        <v>5</v>
      </c>
      <c r="AC950" s="9" t="s">
        <v>41</v>
      </c>
      <c r="AD950" s="9" t="str">
        <f t="shared" si="15"/>
        <v>Actual</v>
      </c>
      <c r="AE950" s="9" t="str">
        <f t="shared" si="16"/>
        <v>TMK7</v>
      </c>
      <c r="AF950" s="9">
        <f>HOUR(O950)</f>
        <v>7</v>
      </c>
      <c r="AG950" s="9">
        <f>DAY(O950)</f>
        <v>18</v>
      </c>
      <c r="AH950" s="9">
        <f>IFERROR((I950-K950)*24*60,0)</f>
        <v>0</v>
      </c>
      <c r="AI950" s="9">
        <f t="shared" si="17"/>
        <v>0</v>
      </c>
      <c r="AJ950" s="9">
        <f>C950</f>
        <v>1816</v>
      </c>
      <c r="AK950" s="9">
        <f>IF(P950="completed",((V950-K950)*24*60),0)</f>
        <v>4.9999999953433871</v>
      </c>
      <c r="AL950" s="9">
        <f>IF(P950="completed",((U950-K950)*24*60),0)</f>
        <v>7.9999999946448952</v>
      </c>
      <c r="AM950" s="9" t="str">
        <f t="shared" si="18"/>
        <v>OTP Achieved</v>
      </c>
      <c r="AN950" s="9" t="str">
        <f t="shared" si="19"/>
        <v>OTP Achieved</v>
      </c>
    </row>
    <row r="951" spans="1:40" ht="15.75" customHeight="1">
      <c r="A951" s="9" t="s">
        <v>106</v>
      </c>
      <c r="B951" s="25">
        <v>46313.313194444447</v>
      </c>
      <c r="C951" s="9">
        <v>2131</v>
      </c>
      <c r="D951" s="9" t="s">
        <v>41</v>
      </c>
      <c r="E951" s="9">
        <v>6</v>
      </c>
      <c r="F951" s="9" t="s">
        <v>41</v>
      </c>
      <c r="G951" s="9" t="s">
        <v>41</v>
      </c>
      <c r="H951" s="9" t="s">
        <v>2961</v>
      </c>
      <c r="I951" s="25">
        <v>46313.31527777778</v>
      </c>
      <c r="J951" s="9" t="s">
        <v>41</v>
      </c>
      <c r="K951" s="25">
        <v>46313.31527777778</v>
      </c>
      <c r="L951" s="9">
        <v>9</v>
      </c>
      <c r="O951" s="25">
        <v>46313.313194444447</v>
      </c>
      <c r="P951" s="9" t="s">
        <v>43</v>
      </c>
      <c r="Q951" s="9" t="s">
        <v>108</v>
      </c>
      <c r="R951" s="9" t="s">
        <v>2962</v>
      </c>
      <c r="S951" s="9">
        <v>4247</v>
      </c>
      <c r="T951" s="9" t="s">
        <v>41</v>
      </c>
      <c r="U951" s="25">
        <v>46313.319444444445</v>
      </c>
      <c r="V951" s="25">
        <v>46313.319444444445</v>
      </c>
      <c r="W951" s="26" t="s">
        <v>2963</v>
      </c>
      <c r="X951" s="9">
        <v>22411</v>
      </c>
      <c r="Z951" s="9">
        <v>0</v>
      </c>
      <c r="AA951" s="27">
        <v>0.31319444444444444</v>
      </c>
      <c r="AB951" s="9">
        <v>6</v>
      </c>
      <c r="AC951" s="9" t="s">
        <v>41</v>
      </c>
      <c r="AD951" s="9" t="str">
        <f t="shared" si="15"/>
        <v>Actual</v>
      </c>
      <c r="AE951" s="9" t="str">
        <f t="shared" si="16"/>
        <v>TMK7</v>
      </c>
      <c r="AF951" s="9">
        <f>HOUR(O951)</f>
        <v>7</v>
      </c>
      <c r="AG951" s="9">
        <f>DAY(O951)</f>
        <v>18</v>
      </c>
      <c r="AH951" s="9">
        <f>IFERROR((I951-K951)*24*60,0)</f>
        <v>0</v>
      </c>
      <c r="AI951" s="9">
        <f t="shared" si="17"/>
        <v>0</v>
      </c>
      <c r="AJ951" s="9">
        <f>C951</f>
        <v>2131</v>
      </c>
      <c r="AK951" s="9">
        <f>IF(P951="completed",((V951-K951)*24*60),0)</f>
        <v>5.9999999986030161</v>
      </c>
      <c r="AL951" s="9">
        <f>IF(P951="completed",((U951-K951)*24*60),0)</f>
        <v>5.9999999986030161</v>
      </c>
      <c r="AM951" s="9" t="str">
        <f t="shared" si="18"/>
        <v>OTP Breached</v>
      </c>
      <c r="AN951" s="9" t="str">
        <f t="shared" si="19"/>
        <v>OTP Achieved</v>
      </c>
    </row>
    <row r="952" spans="1:40" ht="15.75" customHeight="1">
      <c r="A952" s="9" t="s">
        <v>1365</v>
      </c>
      <c r="B952" s="25">
        <v>46313.311805555553</v>
      </c>
      <c r="C952" s="9">
        <v>1410</v>
      </c>
      <c r="D952" s="9" t="s">
        <v>41</v>
      </c>
      <c r="E952" s="9">
        <v>4</v>
      </c>
      <c r="F952" s="9" t="s">
        <v>41</v>
      </c>
      <c r="G952" s="9" t="s">
        <v>41</v>
      </c>
      <c r="H952" s="9" t="s">
        <v>2964</v>
      </c>
      <c r="I952" s="25">
        <v>46313.313194444447</v>
      </c>
      <c r="J952" s="9" t="s">
        <v>41</v>
      </c>
      <c r="K952" s="25">
        <v>46313.3125</v>
      </c>
      <c r="L952" s="9">
        <v>21</v>
      </c>
      <c r="O952" s="25">
        <v>46313.311805555553</v>
      </c>
      <c r="P952" s="9" t="s">
        <v>43</v>
      </c>
      <c r="Q952" s="9" t="s">
        <v>1367</v>
      </c>
      <c r="R952" s="9" t="s">
        <v>2965</v>
      </c>
      <c r="S952" s="9">
        <v>4247</v>
      </c>
      <c r="T952" s="9" t="s">
        <v>41</v>
      </c>
      <c r="U952" s="25">
        <v>46313.315972222219</v>
      </c>
      <c r="V952" s="25">
        <v>46313.31527777778</v>
      </c>
      <c r="W952" s="26" t="s">
        <v>2966</v>
      </c>
      <c r="X952" s="9">
        <v>22411</v>
      </c>
      <c r="Z952" s="9">
        <v>0</v>
      </c>
      <c r="AA952" s="27">
        <v>0.31180555555555556</v>
      </c>
      <c r="AB952" s="9">
        <v>4</v>
      </c>
      <c r="AC952" s="9" t="s">
        <v>41</v>
      </c>
      <c r="AD952" s="9" t="str">
        <f t="shared" si="15"/>
        <v>Actual</v>
      </c>
      <c r="AE952" s="9" t="str">
        <f t="shared" si="16"/>
        <v>TMK7</v>
      </c>
      <c r="AF952" s="9">
        <f>HOUR(O952)</f>
        <v>7</v>
      </c>
      <c r="AG952" s="9">
        <f>DAY(O952)</f>
        <v>18</v>
      </c>
      <c r="AH952" s="9">
        <f>IFERROR((I952-K952)*24*60,0)</f>
        <v>1.000000003259629</v>
      </c>
      <c r="AI952" s="9">
        <f t="shared" si="17"/>
        <v>1.000000003259629</v>
      </c>
      <c r="AJ952" s="9">
        <f>C952</f>
        <v>1410</v>
      </c>
      <c r="AK952" s="9">
        <f>IF(P952="completed",((V952-K952)*24*60),0)</f>
        <v>4.0000000025611371</v>
      </c>
      <c r="AL952" s="9">
        <f>IF(P952="completed",((U952-K952)*24*60),0)</f>
        <v>4.9999999953433871</v>
      </c>
      <c r="AM952" s="9" t="str">
        <f t="shared" si="18"/>
        <v>OTP Achieved</v>
      </c>
      <c r="AN952" s="9" t="str">
        <f t="shared" si="19"/>
        <v>OTP Achieved</v>
      </c>
    </row>
    <row r="953" spans="1:40" ht="15.75" customHeight="1">
      <c r="A953" s="9" t="s">
        <v>185</v>
      </c>
      <c r="B953" s="25">
        <v>46313.307638888888</v>
      </c>
      <c r="C953" s="9">
        <v>1233</v>
      </c>
      <c r="D953" s="9" t="s">
        <v>41</v>
      </c>
      <c r="E953" s="9">
        <v>3</v>
      </c>
      <c r="F953" s="9" t="s">
        <v>41</v>
      </c>
      <c r="G953" s="9" t="s">
        <v>41</v>
      </c>
      <c r="H953" s="9" t="s">
        <v>2967</v>
      </c>
      <c r="I953" s="25">
        <v>46313.308333333334</v>
      </c>
      <c r="J953" s="9" t="s">
        <v>41</v>
      </c>
      <c r="K953" s="25">
        <v>46313.308333333334</v>
      </c>
      <c r="L953" s="9">
        <v>17</v>
      </c>
      <c r="O953" s="25">
        <v>46313.306944444441</v>
      </c>
      <c r="P953" s="9" t="s">
        <v>43</v>
      </c>
      <c r="Q953" s="9" t="s">
        <v>187</v>
      </c>
      <c r="R953" s="9" t="s">
        <v>2968</v>
      </c>
      <c r="S953" s="9">
        <v>4247</v>
      </c>
      <c r="T953" s="9" t="s">
        <v>41</v>
      </c>
      <c r="U953" s="25">
        <v>46313.311805555553</v>
      </c>
      <c r="V953" s="25">
        <v>46313.310416666667</v>
      </c>
      <c r="W953" s="26" t="s">
        <v>2969</v>
      </c>
      <c r="X953" s="9">
        <v>22411</v>
      </c>
      <c r="Z953" s="9">
        <v>0</v>
      </c>
      <c r="AA953" s="27">
        <v>0.30694444444444446</v>
      </c>
      <c r="AB953" s="9">
        <v>2</v>
      </c>
      <c r="AC953" s="9" t="s">
        <v>41</v>
      </c>
      <c r="AD953" s="9" t="str">
        <f t="shared" si="15"/>
        <v>Actual</v>
      </c>
      <c r="AE953" s="9" t="str">
        <f t="shared" si="16"/>
        <v>TMK7</v>
      </c>
      <c r="AF953" s="9">
        <f>HOUR(O953)</f>
        <v>7</v>
      </c>
      <c r="AG953" s="9">
        <f>DAY(O953)</f>
        <v>18</v>
      </c>
      <c r="AH953" s="9">
        <f>IFERROR((I953-K953)*24*60,0)</f>
        <v>0</v>
      </c>
      <c r="AI953" s="9">
        <f t="shared" si="17"/>
        <v>0</v>
      </c>
      <c r="AJ953" s="9">
        <f>C953</f>
        <v>1233</v>
      </c>
      <c r="AK953" s="9">
        <f>IF(P953="completed",((V953-K953)*24*60),0)</f>
        <v>2.9999999993015081</v>
      </c>
      <c r="AL953" s="9">
        <f>IF(P953="completed",((U953-K953)*24*60),0)</f>
        <v>4.9999999953433871</v>
      </c>
      <c r="AM953" s="9" t="str">
        <f t="shared" si="18"/>
        <v>OTP Achieved</v>
      </c>
      <c r="AN953" s="9" t="str">
        <f t="shared" si="19"/>
        <v>OTP Achieved</v>
      </c>
    </row>
    <row r="954" spans="1:40" ht="15.75" customHeight="1">
      <c r="A954" s="9" t="s">
        <v>655</v>
      </c>
      <c r="B954" s="25">
        <v>46313.306944444441</v>
      </c>
      <c r="C954" s="9">
        <v>949</v>
      </c>
      <c r="D954" s="9" t="s">
        <v>41</v>
      </c>
      <c r="E954" s="9">
        <v>2</v>
      </c>
      <c r="F954" s="9" t="s">
        <v>41</v>
      </c>
      <c r="G954" s="9" t="s">
        <v>41</v>
      </c>
      <c r="H954" s="9" t="s">
        <v>2970</v>
      </c>
      <c r="I954" s="25">
        <v>46313.307638888888</v>
      </c>
      <c r="J954" s="9" t="s">
        <v>41</v>
      </c>
      <c r="K954" s="25">
        <v>46313.307638888888</v>
      </c>
      <c r="L954" s="9">
        <v>18</v>
      </c>
      <c r="O954" s="25">
        <v>46313.306944444441</v>
      </c>
      <c r="P954" s="9" t="s">
        <v>43</v>
      </c>
      <c r="Q954" s="9" t="s">
        <v>657</v>
      </c>
      <c r="R954" s="9" t="s">
        <v>2971</v>
      </c>
      <c r="S954" s="9">
        <v>4247</v>
      </c>
      <c r="T954" s="9" t="s">
        <v>41</v>
      </c>
      <c r="U954" s="25">
        <v>46313.311805555553</v>
      </c>
      <c r="V954" s="25">
        <v>46313.309027777781</v>
      </c>
      <c r="W954" s="26" t="s">
        <v>2972</v>
      </c>
      <c r="X954" s="9">
        <v>22411</v>
      </c>
      <c r="Z954" s="9">
        <v>0</v>
      </c>
      <c r="AA954" s="27">
        <v>0.30694444444444446</v>
      </c>
      <c r="AB954" s="9">
        <v>2</v>
      </c>
      <c r="AC954" s="9" t="s">
        <v>41</v>
      </c>
      <c r="AD954" s="9" t="str">
        <f t="shared" si="15"/>
        <v>Actual</v>
      </c>
      <c r="AE954" s="9" t="str">
        <f t="shared" si="16"/>
        <v>TMK7</v>
      </c>
      <c r="AF954" s="9">
        <f>HOUR(O954)</f>
        <v>7</v>
      </c>
      <c r="AG954" s="9">
        <f>DAY(O954)</f>
        <v>18</v>
      </c>
      <c r="AH954" s="9">
        <f>IFERROR((I954-K954)*24*60,0)</f>
        <v>0</v>
      </c>
      <c r="AI954" s="9">
        <f t="shared" si="17"/>
        <v>0</v>
      </c>
      <c r="AJ954" s="9">
        <f>C954</f>
        <v>949</v>
      </c>
      <c r="AK954" s="9">
        <f>IF(P954="completed",((V954-K954)*24*60),0)</f>
        <v>2.000000006519258</v>
      </c>
      <c r="AL954" s="9">
        <f>IF(P954="completed",((U954-K954)*24*60),0)</f>
        <v>5.9999999986030161</v>
      </c>
      <c r="AM954" s="9" t="str">
        <f t="shared" si="18"/>
        <v>OTP Achieved</v>
      </c>
      <c r="AN954" s="9" t="str">
        <f t="shared" si="19"/>
        <v>OTP Achieved</v>
      </c>
    </row>
    <row r="955" spans="1:40" ht="15.75" customHeight="1">
      <c r="A955" s="9" t="s">
        <v>1965</v>
      </c>
      <c r="B955" s="25">
        <v>46313.305555555555</v>
      </c>
      <c r="C955" s="9">
        <v>3067</v>
      </c>
      <c r="D955" s="9" t="s">
        <v>41</v>
      </c>
      <c r="E955" s="9">
        <v>7</v>
      </c>
      <c r="F955" s="9" t="s">
        <v>41</v>
      </c>
      <c r="G955" s="9" t="s">
        <v>41</v>
      </c>
      <c r="H955" s="9" t="s">
        <v>2973</v>
      </c>
      <c r="I955" s="25">
        <v>46313.306250000001</v>
      </c>
      <c r="J955" s="9" t="s">
        <v>41</v>
      </c>
      <c r="K955" s="25">
        <v>46313.305555555555</v>
      </c>
      <c r="L955" s="9">
        <v>11</v>
      </c>
      <c r="O955" s="25">
        <v>46313.305555555555</v>
      </c>
      <c r="P955" s="9" t="s">
        <v>43</v>
      </c>
      <c r="Q955" s="9" t="s">
        <v>1967</v>
      </c>
      <c r="R955" s="9" t="s">
        <v>2974</v>
      </c>
      <c r="S955" s="9">
        <v>4247</v>
      </c>
      <c r="T955" s="9" t="s">
        <v>41</v>
      </c>
      <c r="U955" s="25">
        <v>46313.314583333333</v>
      </c>
      <c r="V955" s="25">
        <v>46313.311111111114</v>
      </c>
      <c r="W955" s="26" t="s">
        <v>2975</v>
      </c>
      <c r="X955" s="9">
        <v>22411</v>
      </c>
      <c r="Z955" s="9">
        <v>0</v>
      </c>
      <c r="AA955" s="27">
        <v>0.30555555555555558</v>
      </c>
      <c r="AB955" s="9">
        <v>7</v>
      </c>
      <c r="AC955" s="9" t="s">
        <v>41</v>
      </c>
      <c r="AD955" s="9" t="str">
        <f t="shared" si="15"/>
        <v>Actual</v>
      </c>
      <c r="AE955" s="9" t="str">
        <f t="shared" si="16"/>
        <v>TMK7</v>
      </c>
      <c r="AF955" s="9">
        <f>HOUR(O955)</f>
        <v>7</v>
      </c>
      <c r="AG955" s="9">
        <f>DAY(O955)</f>
        <v>18</v>
      </c>
      <c r="AH955" s="9">
        <f>IFERROR((I955-K955)*24*60,0)</f>
        <v>1.000000003259629</v>
      </c>
      <c r="AI955" s="9">
        <f t="shared" si="17"/>
        <v>1.000000003259629</v>
      </c>
      <c r="AJ955" s="9">
        <f>C955</f>
        <v>3067</v>
      </c>
      <c r="AK955" s="9">
        <f>IF(P955="completed",((V955-K955)*24*60),0)</f>
        <v>8.0000000051222742</v>
      </c>
      <c r="AL955" s="9">
        <f>IF(P955="completed",((U955-K955)*24*60),0)</f>
        <v>13.000000000465661</v>
      </c>
      <c r="AM955" s="9" t="str">
        <f t="shared" si="18"/>
        <v>OTP Achieved</v>
      </c>
      <c r="AN955" s="9" t="str">
        <f t="shared" si="19"/>
        <v>OTP Achieved</v>
      </c>
    </row>
    <row r="956" spans="1:40" ht="15.75" customHeight="1">
      <c r="A956" s="9" t="s">
        <v>2258</v>
      </c>
      <c r="B956" s="25">
        <v>46313.301388888889</v>
      </c>
      <c r="C956" s="9">
        <v>3282</v>
      </c>
      <c r="D956" s="9" t="s">
        <v>41</v>
      </c>
      <c r="E956" s="9">
        <v>6</v>
      </c>
      <c r="F956" s="9" t="s">
        <v>41</v>
      </c>
      <c r="G956" s="9" t="s">
        <v>41</v>
      </c>
      <c r="H956" s="9" t="s">
        <v>2976</v>
      </c>
      <c r="I956" s="25">
        <v>46313.304166666669</v>
      </c>
      <c r="J956" s="9" t="s">
        <v>41</v>
      </c>
      <c r="K956" s="25">
        <v>46313.304166666669</v>
      </c>
      <c r="L956" s="9">
        <v>31</v>
      </c>
      <c r="O956" s="25">
        <v>46313.301388888889</v>
      </c>
      <c r="P956" s="9" t="s">
        <v>43</v>
      </c>
      <c r="Q956" s="9" t="s">
        <v>2260</v>
      </c>
      <c r="R956" s="9" t="s">
        <v>2977</v>
      </c>
      <c r="S956" s="9">
        <v>4247</v>
      </c>
      <c r="T956" s="9" t="s">
        <v>41</v>
      </c>
      <c r="U956" s="25">
        <v>46313.311111111114</v>
      </c>
      <c r="V956" s="25">
        <v>46313.308333333334</v>
      </c>
      <c r="W956" s="26" t="s">
        <v>2978</v>
      </c>
      <c r="X956" s="9">
        <v>22411</v>
      </c>
      <c r="Z956" s="9">
        <v>0</v>
      </c>
      <c r="AA956" s="27">
        <v>0.30138888888888887</v>
      </c>
      <c r="AB956" s="9">
        <v>6</v>
      </c>
      <c r="AC956" s="9" t="s">
        <v>41</v>
      </c>
      <c r="AD956" s="9" t="str">
        <f t="shared" si="15"/>
        <v>Actual</v>
      </c>
      <c r="AE956" s="9" t="str">
        <f t="shared" si="16"/>
        <v>TMK7</v>
      </c>
      <c r="AF956" s="9">
        <f>HOUR(O956)</f>
        <v>7</v>
      </c>
      <c r="AG956" s="9">
        <f>DAY(O956)</f>
        <v>18</v>
      </c>
      <c r="AH956" s="9">
        <f>IFERROR((I956-K956)*24*60,0)</f>
        <v>0</v>
      </c>
      <c r="AI956" s="9">
        <f t="shared" si="17"/>
        <v>0</v>
      </c>
      <c r="AJ956" s="9">
        <f>C956</f>
        <v>3282</v>
      </c>
      <c r="AK956" s="9">
        <f>IF(P956="completed",((V956-K956)*24*60),0)</f>
        <v>5.9999999986030161</v>
      </c>
      <c r="AL956" s="9">
        <f>IF(P956="completed",((U956-K956)*24*60),0)</f>
        <v>10.000000001164153</v>
      </c>
      <c r="AM956" s="9" t="str">
        <f t="shared" si="18"/>
        <v>OTP Achieved</v>
      </c>
      <c r="AN956" s="9" t="str">
        <f t="shared" si="19"/>
        <v>OTP Achieved</v>
      </c>
    </row>
    <row r="957" spans="1:40" ht="15.75" customHeight="1">
      <c r="A957" s="9" t="s">
        <v>2979</v>
      </c>
      <c r="B957" s="25">
        <v>46313.301388888889</v>
      </c>
      <c r="C957" s="9">
        <v>2064</v>
      </c>
      <c r="D957" s="9" t="s">
        <v>41</v>
      </c>
      <c r="E957" s="9">
        <v>6</v>
      </c>
      <c r="F957" s="9" t="s">
        <v>41</v>
      </c>
      <c r="G957" s="9" t="s">
        <v>41</v>
      </c>
      <c r="H957" s="9" t="s">
        <v>2980</v>
      </c>
      <c r="I957" s="25">
        <v>46313.302083333336</v>
      </c>
      <c r="J957" s="9" t="s">
        <v>41</v>
      </c>
      <c r="K957" s="25">
        <v>46313.301388888889</v>
      </c>
      <c r="L957" s="9">
        <v>12</v>
      </c>
      <c r="O957" s="25">
        <v>46313.300694444442</v>
      </c>
      <c r="P957" s="9" t="s">
        <v>43</v>
      </c>
      <c r="Q957" s="9" t="s">
        <v>2981</v>
      </c>
      <c r="R957" s="9" t="s">
        <v>2982</v>
      </c>
      <c r="S957" s="9">
        <v>4247</v>
      </c>
      <c r="T957" s="9" t="s">
        <v>41</v>
      </c>
      <c r="U957" s="25">
        <v>46313.306250000001</v>
      </c>
      <c r="V957" s="25">
        <v>46313.305555555555</v>
      </c>
      <c r="W957" s="26" t="s">
        <v>2983</v>
      </c>
      <c r="X957" s="9">
        <v>22411</v>
      </c>
      <c r="Z957" s="9">
        <v>0</v>
      </c>
      <c r="AA957" s="27">
        <v>0.30138888888888887</v>
      </c>
      <c r="AB957" s="9">
        <v>6</v>
      </c>
      <c r="AC957" s="9" t="s">
        <v>41</v>
      </c>
      <c r="AD957" s="9" t="str">
        <f t="shared" si="15"/>
        <v>Actual</v>
      </c>
      <c r="AE957" s="9" t="str">
        <f t="shared" si="16"/>
        <v>TMK7</v>
      </c>
      <c r="AF957" s="9">
        <f>HOUR(O957)</f>
        <v>7</v>
      </c>
      <c r="AG957" s="9">
        <f>DAY(O957)</f>
        <v>18</v>
      </c>
      <c r="AH957" s="9">
        <f>IFERROR((I957-K957)*24*60,0)</f>
        <v>1.000000003259629</v>
      </c>
      <c r="AI957" s="9">
        <f t="shared" si="17"/>
        <v>1.000000003259629</v>
      </c>
      <c r="AJ957" s="9">
        <f>C957</f>
        <v>2064</v>
      </c>
      <c r="AK957" s="9">
        <f>IF(P957="completed",((V957-K957)*24*60),0)</f>
        <v>5.9999999986030161</v>
      </c>
      <c r="AL957" s="9">
        <f>IF(P957="completed",((U957-K957)*24*60),0)</f>
        <v>7.0000000018626451</v>
      </c>
      <c r="AM957" s="9" t="str">
        <f t="shared" si="18"/>
        <v>OTP Achieved</v>
      </c>
      <c r="AN957" s="9" t="str">
        <f t="shared" si="19"/>
        <v>OTP Achieved</v>
      </c>
    </row>
    <row r="958" spans="1:40" ht="15.75" customHeight="1">
      <c r="A958" s="9" t="s">
        <v>734</v>
      </c>
      <c r="B958" s="25">
        <v>46313.291666666664</v>
      </c>
      <c r="C958" s="9">
        <v>630</v>
      </c>
      <c r="D958" s="9" t="s">
        <v>41</v>
      </c>
      <c r="E958" s="9">
        <v>3</v>
      </c>
      <c r="F958" s="9" t="s">
        <v>41</v>
      </c>
      <c r="G958" s="9" t="s">
        <v>41</v>
      </c>
      <c r="H958" s="9" t="s">
        <v>2984</v>
      </c>
      <c r="I958" s="25">
        <v>46313.292361111111</v>
      </c>
      <c r="J958" s="9" t="s">
        <v>41</v>
      </c>
      <c r="K958" s="25">
        <v>46313.292361111111</v>
      </c>
      <c r="L958" s="9">
        <v>13</v>
      </c>
      <c r="O958" s="25">
        <v>46313.291666666664</v>
      </c>
      <c r="P958" s="9" t="s">
        <v>43</v>
      </c>
      <c r="Q958" s="9" t="s">
        <v>736</v>
      </c>
      <c r="R958" s="9" t="s">
        <v>2985</v>
      </c>
      <c r="S958" s="9">
        <v>4247</v>
      </c>
      <c r="T958" s="9" t="s">
        <v>41</v>
      </c>
      <c r="U958" s="25">
        <v>46313.294444444444</v>
      </c>
      <c r="V958" s="25">
        <v>46313.294444444444</v>
      </c>
      <c r="W958" s="26" t="s">
        <v>2986</v>
      </c>
      <c r="X958" s="9">
        <v>22411</v>
      </c>
      <c r="Y958" s="25"/>
      <c r="Z958" s="9">
        <v>0</v>
      </c>
      <c r="AA958" s="27">
        <v>0.29166666666666669</v>
      </c>
      <c r="AB958" s="9">
        <v>3</v>
      </c>
      <c r="AC958" s="9" t="s">
        <v>41</v>
      </c>
      <c r="AD958" s="9" t="str">
        <f t="shared" si="15"/>
        <v>Actual</v>
      </c>
      <c r="AE958" s="9" t="str">
        <f t="shared" si="16"/>
        <v>TMK7</v>
      </c>
      <c r="AF958" s="9">
        <f>HOUR(O958)</f>
        <v>7</v>
      </c>
      <c r="AG958" s="9">
        <f>DAY(O958)</f>
        <v>18</v>
      </c>
      <c r="AH958" s="9">
        <f>IFERROR((I958-K958)*24*60,0)</f>
        <v>0</v>
      </c>
      <c r="AI958" s="9">
        <f t="shared" si="17"/>
        <v>0</v>
      </c>
      <c r="AJ958" s="9">
        <f>C958</f>
        <v>630</v>
      </c>
      <c r="AK958" s="9">
        <f>IF(P958="completed",((V958-K958)*24*60),0)</f>
        <v>2.9999999993015081</v>
      </c>
      <c r="AL958" s="9">
        <f>IF(P958="completed",((U958-K958)*24*60),0)</f>
        <v>2.9999999993015081</v>
      </c>
      <c r="AM958" s="9" t="str">
        <f t="shared" si="18"/>
        <v>OTP Breached</v>
      </c>
      <c r="AN958" s="9" t="str">
        <f t="shared" si="19"/>
        <v>OTP Achieved</v>
      </c>
    </row>
    <row r="959" spans="1:40" ht="15.75" customHeight="1">
      <c r="A959" s="9" t="s">
        <v>98</v>
      </c>
      <c r="B959" s="25">
        <v>46313.290972222225</v>
      </c>
      <c r="C959" s="9">
        <v>2093</v>
      </c>
      <c r="D959" s="9" t="s">
        <v>41</v>
      </c>
      <c r="E959" s="9">
        <v>6</v>
      </c>
      <c r="F959" s="9" t="s">
        <v>41</v>
      </c>
      <c r="G959" s="9" t="s">
        <v>41</v>
      </c>
      <c r="H959" s="9" t="s">
        <v>2987</v>
      </c>
      <c r="I959" s="25">
        <v>46313.292361111111</v>
      </c>
      <c r="J959" s="9" t="s">
        <v>41</v>
      </c>
      <c r="K959" s="25">
        <v>46313.292361111111</v>
      </c>
      <c r="L959" s="9">
        <v>27</v>
      </c>
      <c r="O959" s="25">
        <v>46313.290972222225</v>
      </c>
      <c r="P959" s="9" t="s">
        <v>43</v>
      </c>
      <c r="Q959" s="9" t="s">
        <v>100</v>
      </c>
      <c r="R959" s="9" t="s">
        <v>2988</v>
      </c>
      <c r="S959" s="9">
        <v>4247</v>
      </c>
      <c r="T959" s="9" t="s">
        <v>41</v>
      </c>
      <c r="U959" s="25">
        <v>46313.298611111109</v>
      </c>
      <c r="V959" s="25">
        <v>46313.296527777777</v>
      </c>
      <c r="W959" s="26" t="s">
        <v>2989</v>
      </c>
      <c r="X959" s="9">
        <v>22411</v>
      </c>
      <c r="Z959" s="9">
        <v>0</v>
      </c>
      <c r="AA959" s="27">
        <v>0.29097222222222224</v>
      </c>
      <c r="AB959" s="9">
        <v>6</v>
      </c>
      <c r="AC959" s="9" t="s">
        <v>41</v>
      </c>
      <c r="AD959" s="9" t="str">
        <f t="shared" si="15"/>
        <v>Actual</v>
      </c>
      <c r="AE959" s="9" t="str">
        <f t="shared" si="16"/>
        <v>TMK7</v>
      </c>
      <c r="AF959" s="9">
        <f>HOUR(O959)</f>
        <v>6</v>
      </c>
      <c r="AG959" s="9">
        <f>DAY(O959)</f>
        <v>18</v>
      </c>
      <c r="AH959" s="9">
        <f>IFERROR((I959-K959)*24*60,0)</f>
        <v>0</v>
      </c>
      <c r="AI959" s="9">
        <f t="shared" si="17"/>
        <v>0</v>
      </c>
      <c r="AJ959" s="9">
        <f>C959</f>
        <v>2093</v>
      </c>
      <c r="AK959" s="9">
        <f>IF(P959="completed",((V959-K959)*24*60),0)</f>
        <v>5.9999999986030161</v>
      </c>
      <c r="AL959" s="9">
        <f>IF(P959="completed",((U959-K959)*24*60),0)</f>
        <v>8.9999999979045242</v>
      </c>
      <c r="AM959" s="9" t="str">
        <f t="shared" si="18"/>
        <v>OTP Achieved</v>
      </c>
      <c r="AN959" s="9" t="str">
        <f t="shared" si="19"/>
        <v>OTP Achieved</v>
      </c>
    </row>
    <row r="960" spans="1:40" ht="15.75" customHeight="1">
      <c r="A960" s="9" t="s">
        <v>185</v>
      </c>
      <c r="B960" s="25">
        <v>46313.272916666669</v>
      </c>
      <c r="C960" s="9">
        <v>1722</v>
      </c>
      <c r="D960" s="9" t="s">
        <v>41</v>
      </c>
      <c r="E960" s="9">
        <v>5</v>
      </c>
      <c r="F960" s="9" t="s">
        <v>41</v>
      </c>
      <c r="G960" s="9" t="s">
        <v>41</v>
      </c>
      <c r="H960" s="9" t="s">
        <v>2990</v>
      </c>
      <c r="I960" s="25">
        <v>46313.273611111108</v>
      </c>
      <c r="J960" s="9" t="s">
        <v>41</v>
      </c>
      <c r="K960" s="25">
        <v>46313.273611111108</v>
      </c>
      <c r="L960" s="9">
        <v>11</v>
      </c>
      <c r="O960" s="25">
        <v>46313.272222222222</v>
      </c>
      <c r="P960" s="9" t="s">
        <v>43</v>
      </c>
      <c r="Q960" s="9" t="s">
        <v>187</v>
      </c>
      <c r="R960" s="9" t="s">
        <v>2991</v>
      </c>
      <c r="S960" s="9">
        <v>4247</v>
      </c>
      <c r="T960" s="9" t="s">
        <v>41</v>
      </c>
      <c r="U960" s="25">
        <v>46313.277777777781</v>
      </c>
      <c r="V960" s="25">
        <v>46313.277083333334</v>
      </c>
      <c r="W960" s="26" t="s">
        <v>2992</v>
      </c>
      <c r="X960" s="9">
        <v>22411</v>
      </c>
      <c r="Z960" s="9">
        <v>0</v>
      </c>
      <c r="AA960" s="27">
        <v>0.2722222222222222</v>
      </c>
      <c r="AB960" s="9">
        <v>5</v>
      </c>
      <c r="AC960" s="9" t="s">
        <v>41</v>
      </c>
      <c r="AD960" s="9" t="str">
        <f t="shared" si="15"/>
        <v>Actual</v>
      </c>
      <c r="AE960" s="9" t="str">
        <f t="shared" si="16"/>
        <v>TMK7</v>
      </c>
      <c r="AF960" s="9">
        <f>HOUR(O960)</f>
        <v>6</v>
      </c>
      <c r="AG960" s="9">
        <f>DAY(O960)</f>
        <v>18</v>
      </c>
      <c r="AH960" s="9">
        <f>IFERROR((I960-K960)*24*60,0)</f>
        <v>0</v>
      </c>
      <c r="AI960" s="9">
        <f t="shared" si="17"/>
        <v>0</v>
      </c>
      <c r="AJ960" s="9">
        <f>C960</f>
        <v>1722</v>
      </c>
      <c r="AK960" s="9">
        <f>IF(P960="completed",((V960-K960)*24*60),0)</f>
        <v>5.0000000058207661</v>
      </c>
      <c r="AL960" s="9">
        <f>IF(P960="completed",((U960-K960)*24*60),0)</f>
        <v>6.0000000090803951</v>
      </c>
      <c r="AM960" s="9" t="str">
        <f t="shared" si="18"/>
        <v>OTP Achieved</v>
      </c>
      <c r="AN960" s="9" t="str">
        <f t="shared" si="19"/>
        <v>OTP Achieved</v>
      </c>
    </row>
    <row r="961" spans="1:40" ht="15.75" customHeight="1">
      <c r="A961" s="9" t="s">
        <v>655</v>
      </c>
      <c r="B961" s="25">
        <v>46313.265277777777</v>
      </c>
      <c r="C961" s="9">
        <v>1157</v>
      </c>
      <c r="D961" s="9" t="s">
        <v>41</v>
      </c>
      <c r="E961" s="9">
        <v>3</v>
      </c>
      <c r="F961" s="9" t="s">
        <v>41</v>
      </c>
      <c r="G961" s="9" t="s">
        <v>41</v>
      </c>
      <c r="H961" s="9" t="s">
        <v>2993</v>
      </c>
      <c r="I961" s="25">
        <v>46313.26666666667</v>
      </c>
      <c r="J961" s="9" t="s">
        <v>41</v>
      </c>
      <c r="K961" s="25">
        <v>46313.26666666667</v>
      </c>
      <c r="L961" s="9">
        <v>19</v>
      </c>
      <c r="O961" s="25">
        <v>46313.265277777777</v>
      </c>
      <c r="P961" s="9" t="s">
        <v>43</v>
      </c>
      <c r="Q961" s="9" t="s">
        <v>657</v>
      </c>
      <c r="R961" s="9" t="s">
        <v>2994</v>
      </c>
      <c r="S961" s="9">
        <v>4247</v>
      </c>
      <c r="T961" s="9" t="s">
        <v>41</v>
      </c>
      <c r="U961" s="25">
        <v>46313.269444444442</v>
      </c>
      <c r="V961" s="25">
        <v>46313.268055555556</v>
      </c>
      <c r="W961" s="26" t="s">
        <v>2995</v>
      </c>
      <c r="X961" s="9">
        <v>22411</v>
      </c>
      <c r="Z961" s="9">
        <v>0</v>
      </c>
      <c r="AA961" s="27">
        <v>0.26527777777777778</v>
      </c>
      <c r="AB961" s="9">
        <v>2</v>
      </c>
      <c r="AC961" s="9" t="s">
        <v>41</v>
      </c>
      <c r="AD961" s="9" t="str">
        <f t="shared" si="15"/>
        <v>Actual</v>
      </c>
      <c r="AE961" s="9" t="str">
        <f t="shared" si="16"/>
        <v>TMK7</v>
      </c>
      <c r="AF961" s="9">
        <f>HOUR(O961)</f>
        <v>6</v>
      </c>
      <c r="AG961" s="9">
        <f>DAY(O961)</f>
        <v>18</v>
      </c>
      <c r="AH961" s="9">
        <f>IFERROR((I961-K961)*24*60,0)</f>
        <v>0</v>
      </c>
      <c r="AI961" s="9">
        <f t="shared" si="17"/>
        <v>0</v>
      </c>
      <c r="AJ961" s="9">
        <f>C961</f>
        <v>1157</v>
      </c>
      <c r="AK961" s="9">
        <f>IF(P961="completed",((V961-K961)*24*60),0)</f>
        <v>1.9999999960418791</v>
      </c>
      <c r="AL961" s="9">
        <f>IF(P961="completed",((U961-K961)*24*60),0)</f>
        <v>3.9999999920837581</v>
      </c>
      <c r="AM961" s="9" t="str">
        <f t="shared" si="18"/>
        <v>OTP Achieved</v>
      </c>
      <c r="AN961" s="9" t="str">
        <f t="shared" si="19"/>
        <v>OTP Achieved</v>
      </c>
    </row>
    <row r="962" spans="1:40" ht="15.75" customHeight="1">
      <c r="A962" s="9" t="s">
        <v>2258</v>
      </c>
      <c r="B962" s="25">
        <v>46313.259027777778</v>
      </c>
      <c r="C962" s="9">
        <v>1475</v>
      </c>
      <c r="D962" s="9" t="s">
        <v>41</v>
      </c>
      <c r="E962" s="9">
        <v>2</v>
      </c>
      <c r="F962" s="9" t="s">
        <v>41</v>
      </c>
      <c r="G962" s="9" t="s">
        <v>41</v>
      </c>
      <c r="H962" s="9" t="s">
        <v>2996</v>
      </c>
      <c r="I962" s="25">
        <v>46313.261111111111</v>
      </c>
      <c r="J962" s="9" t="s">
        <v>41</v>
      </c>
      <c r="K962" s="25">
        <v>46313.261111111111</v>
      </c>
      <c r="L962" s="9">
        <v>13</v>
      </c>
      <c r="O962" s="25">
        <v>46313.259027777778</v>
      </c>
      <c r="P962" s="9" t="s">
        <v>43</v>
      </c>
      <c r="Q962" s="9" t="s">
        <v>2260</v>
      </c>
      <c r="R962" s="9" t="s">
        <v>2997</v>
      </c>
      <c r="S962" s="9">
        <v>4247</v>
      </c>
      <c r="T962" s="9" t="s">
        <v>41</v>
      </c>
      <c r="U962" s="25">
        <v>46313.26666666667</v>
      </c>
      <c r="V962" s="25">
        <v>46313.262499999997</v>
      </c>
      <c r="W962" s="26" t="s">
        <v>2998</v>
      </c>
      <c r="X962" s="9">
        <v>22411</v>
      </c>
      <c r="Z962" s="9">
        <v>0</v>
      </c>
      <c r="AA962" s="27">
        <v>0.2590277777777778</v>
      </c>
      <c r="AB962" s="9">
        <v>2</v>
      </c>
      <c r="AC962" s="9" t="s">
        <v>41</v>
      </c>
      <c r="AD962" s="9" t="str">
        <f t="shared" si="15"/>
        <v>Actual</v>
      </c>
      <c r="AE962" s="9" t="str">
        <f t="shared" si="16"/>
        <v>TMK7</v>
      </c>
      <c r="AF962" s="9">
        <f>HOUR(O962)</f>
        <v>6</v>
      </c>
      <c r="AG962" s="9">
        <f>DAY(O962)</f>
        <v>18</v>
      </c>
      <c r="AH962" s="9">
        <f>IFERROR((I962-K962)*24*60,0)</f>
        <v>0</v>
      </c>
      <c r="AI962" s="9">
        <f t="shared" si="17"/>
        <v>0</v>
      </c>
      <c r="AJ962" s="9">
        <f>C962</f>
        <v>1475</v>
      </c>
      <c r="AK962" s="9">
        <f>IF(P962="completed",((V962-K962)*24*60),0)</f>
        <v>1.9999999960418791</v>
      </c>
      <c r="AL962" s="9">
        <f>IF(P962="completed",((U962-K962)*24*60),0)</f>
        <v>8.0000000051222742</v>
      </c>
      <c r="AM962" s="9" t="str">
        <f t="shared" si="18"/>
        <v>OTP Achieved</v>
      </c>
      <c r="AN962" s="9" t="str">
        <f t="shared" si="19"/>
        <v>OTP Achieved</v>
      </c>
    </row>
    <row r="963" spans="1:40" ht="15.75" customHeight="1">
      <c r="A963" s="9" t="s">
        <v>2979</v>
      </c>
      <c r="B963" s="25">
        <v>46313.257638888892</v>
      </c>
      <c r="C963" s="9">
        <v>1549</v>
      </c>
      <c r="D963" s="9" t="s">
        <v>41</v>
      </c>
      <c r="E963" s="9">
        <v>4</v>
      </c>
      <c r="F963" s="9" t="s">
        <v>41</v>
      </c>
      <c r="G963" s="9" t="s">
        <v>41</v>
      </c>
      <c r="H963" s="9" t="s">
        <v>2999</v>
      </c>
      <c r="I963" s="25">
        <v>46313.259722222225</v>
      </c>
      <c r="J963" s="9" t="s">
        <v>41</v>
      </c>
      <c r="K963" s="25">
        <v>46313.259027777778</v>
      </c>
      <c r="L963" s="9">
        <v>21</v>
      </c>
      <c r="O963" s="25">
        <v>46313.257638888892</v>
      </c>
      <c r="P963" s="9" t="s">
        <v>43</v>
      </c>
      <c r="Q963" s="9" t="s">
        <v>2981</v>
      </c>
      <c r="R963" s="9" t="s">
        <v>3000</v>
      </c>
      <c r="S963" s="9">
        <v>4247</v>
      </c>
      <c r="T963" s="9" t="s">
        <v>41</v>
      </c>
      <c r="U963" s="25">
        <v>46313.26458333333</v>
      </c>
      <c r="V963" s="25">
        <v>46313.261805555558</v>
      </c>
      <c r="W963" s="26" t="s">
        <v>3001</v>
      </c>
      <c r="X963" s="9">
        <v>22411</v>
      </c>
      <c r="Z963" s="9">
        <v>0</v>
      </c>
      <c r="AA963" s="27">
        <v>0.25763888888888886</v>
      </c>
      <c r="AB963" s="9">
        <v>3</v>
      </c>
      <c r="AC963" s="9" t="s">
        <v>41</v>
      </c>
      <c r="AD963" s="9" t="str">
        <f t="shared" si="15"/>
        <v>Actual</v>
      </c>
      <c r="AE963" s="9" t="str">
        <f t="shared" si="16"/>
        <v>TMK7</v>
      </c>
      <c r="AF963" s="9">
        <f>HOUR(O963)</f>
        <v>6</v>
      </c>
      <c r="AG963" s="9">
        <f>DAY(O963)</f>
        <v>18</v>
      </c>
      <c r="AH963" s="9">
        <f>IFERROR((I963-K963)*24*60,0)</f>
        <v>1.000000003259629</v>
      </c>
      <c r="AI963" s="9">
        <f t="shared" si="17"/>
        <v>1.000000003259629</v>
      </c>
      <c r="AJ963" s="9">
        <f>C963</f>
        <v>1549</v>
      </c>
      <c r="AK963" s="9">
        <f>IF(P963="completed",((V963-K963)*24*60),0)</f>
        <v>4.0000000025611371</v>
      </c>
      <c r="AL963" s="9">
        <f>IF(P963="completed",((U963-K963)*24*60),0)</f>
        <v>7.9999999946448952</v>
      </c>
      <c r="AM963" s="9" t="str">
        <f t="shared" si="18"/>
        <v>OTP Achieved</v>
      </c>
      <c r="AN963" s="9" t="str">
        <f t="shared" si="19"/>
        <v>OTP Achieved</v>
      </c>
    </row>
    <row r="964" spans="1:40" ht="15.75" customHeight="1">
      <c r="A964" s="9" t="s">
        <v>655</v>
      </c>
      <c r="B964" s="25">
        <v>46313.25277777778</v>
      </c>
      <c r="C964" s="9">
        <v>1209</v>
      </c>
      <c r="D964" s="9" t="s">
        <v>41</v>
      </c>
      <c r="E964" s="9">
        <v>2</v>
      </c>
      <c r="F964" s="9" t="s">
        <v>41</v>
      </c>
      <c r="G964" s="9" t="s">
        <v>41</v>
      </c>
      <c r="H964" s="9" t="s">
        <v>3002</v>
      </c>
      <c r="I964" s="25">
        <v>46313.253472222219</v>
      </c>
      <c r="J964" s="9" t="s">
        <v>41</v>
      </c>
      <c r="K964" s="25">
        <v>46313.253472222219</v>
      </c>
      <c r="L964" s="9">
        <v>19</v>
      </c>
      <c r="O964" s="25">
        <v>46313.25277777778</v>
      </c>
      <c r="P964" s="9" t="s">
        <v>43</v>
      </c>
      <c r="Q964" s="9" t="s">
        <v>657</v>
      </c>
      <c r="R964" s="9" t="s">
        <v>3003</v>
      </c>
      <c r="S964" s="9">
        <v>4247</v>
      </c>
      <c r="T964" s="9" t="s">
        <v>41</v>
      </c>
      <c r="U964" s="25">
        <v>46313.256249999999</v>
      </c>
      <c r="V964" s="25">
        <v>46313.254861111112</v>
      </c>
      <c r="W964" s="26" t="s">
        <v>3004</v>
      </c>
      <c r="X964" s="9">
        <v>22411</v>
      </c>
      <c r="Z964" s="9">
        <v>0</v>
      </c>
      <c r="AA964" s="27">
        <v>0.25277777777777777</v>
      </c>
      <c r="AB964" s="9">
        <v>2</v>
      </c>
      <c r="AC964" s="9" t="s">
        <v>41</v>
      </c>
      <c r="AD964" s="9" t="str">
        <f t="shared" si="15"/>
        <v>Actual</v>
      </c>
      <c r="AE964" s="9" t="str">
        <f t="shared" si="16"/>
        <v>TMK7</v>
      </c>
      <c r="AF964" s="9">
        <f>HOUR(O964)</f>
        <v>6</v>
      </c>
      <c r="AG964" s="9">
        <f>DAY(O964)</f>
        <v>18</v>
      </c>
      <c r="AH964" s="9">
        <f>IFERROR((I964-K964)*24*60,0)</f>
        <v>0</v>
      </c>
      <c r="AI964" s="9">
        <f t="shared" si="17"/>
        <v>0</v>
      </c>
      <c r="AJ964" s="9">
        <f>C964</f>
        <v>1209</v>
      </c>
      <c r="AK964" s="9">
        <f>IF(P964="completed",((V964-K964)*24*60),0)</f>
        <v>2.000000006519258</v>
      </c>
      <c r="AL964" s="9">
        <f>IF(P964="completed",((U964-K964)*24*60),0)</f>
        <v>4.0000000025611371</v>
      </c>
      <c r="AM964" s="9" t="str">
        <f t="shared" si="18"/>
        <v>OTP Achieved</v>
      </c>
      <c r="AN964" s="9" t="str">
        <f t="shared" si="19"/>
        <v>OTP Achieved</v>
      </c>
    </row>
    <row r="965" spans="1:40" ht="15.75" customHeight="1">
      <c r="B965" s="25"/>
      <c r="I965" s="25"/>
      <c r="K965" s="25"/>
      <c r="O965" s="25"/>
      <c r="U965" s="25"/>
      <c r="V965" s="25"/>
      <c r="AA965" s="27"/>
      <c r="AD965" s="9" t="str">
        <f t="shared" si="15"/>
        <v>Actual</v>
      </c>
      <c r="AE965" s="9" t="str">
        <f t="shared" si="16"/>
        <v/>
      </c>
      <c r="AF965" s="9">
        <f>HOUR(O965)</f>
        <v>0</v>
      </c>
      <c r="AG965" s="9">
        <f>DAY(O965)</f>
        <v>0</v>
      </c>
      <c r="AH965" s="9">
        <f>IFERROR((I965-K965)*24*60,0)</f>
        <v>0</v>
      </c>
      <c r="AI965" s="9">
        <f t="shared" si="17"/>
        <v>0</v>
      </c>
      <c r="AJ965" s="9">
        <f>C965</f>
        <v>0</v>
      </c>
      <c r="AK965" s="9">
        <f>IF(P965="completed",((V965-K965)*24*60),0)</f>
        <v>0</v>
      </c>
      <c r="AL965" s="9">
        <f>IF(P965="completed",((U965-K965)*24*60),0)</f>
        <v>0</v>
      </c>
      <c r="AM965" s="9" t="str">
        <f t="shared" si="18"/>
        <v>OTP Breached</v>
      </c>
      <c r="AN965" s="9" t="str">
        <f t="shared" si="19"/>
        <v>OTP Achieved</v>
      </c>
    </row>
    <row r="966" spans="1:40" ht="15.75" customHeight="1">
      <c r="B966" s="25"/>
      <c r="I966" s="25"/>
      <c r="K966" s="25"/>
      <c r="O966" s="25"/>
      <c r="U966" s="25"/>
      <c r="V966" s="25"/>
      <c r="AA966" s="27"/>
      <c r="AD966" s="9" t="str">
        <f t="shared" si="15"/>
        <v>Actual</v>
      </c>
      <c r="AE966" s="9" t="str">
        <f t="shared" si="16"/>
        <v/>
      </c>
      <c r="AF966" s="9">
        <f>HOUR(O966)</f>
        <v>0</v>
      </c>
      <c r="AG966" s="9">
        <f>DAY(O966)</f>
        <v>0</v>
      </c>
      <c r="AH966" s="9">
        <f>IFERROR((I966-K966)*24*60,0)</f>
        <v>0</v>
      </c>
      <c r="AI966" s="9">
        <f t="shared" si="17"/>
        <v>0</v>
      </c>
      <c r="AJ966" s="9">
        <f>C966</f>
        <v>0</v>
      </c>
      <c r="AK966" s="9">
        <f>IF(P966="completed",((V966-K966)*24*60),0)</f>
        <v>0</v>
      </c>
      <c r="AL966" s="9">
        <f>IF(P966="completed",((U966-K966)*24*60),0)</f>
        <v>0</v>
      </c>
      <c r="AM966" s="9" t="str">
        <f t="shared" si="18"/>
        <v>OTP Breached</v>
      </c>
      <c r="AN966" s="9" t="str">
        <f t="shared" si="19"/>
        <v>OTP Achieved</v>
      </c>
    </row>
    <row r="967" spans="1:40" ht="15.75" customHeight="1">
      <c r="B967" s="25"/>
      <c r="I967" s="25"/>
      <c r="K967" s="25"/>
      <c r="O967" s="25"/>
      <c r="U967" s="25"/>
      <c r="V967" s="25"/>
      <c r="AA967" s="27"/>
      <c r="AD967" s="9" t="str">
        <f t="shared" si="15"/>
        <v>Actual</v>
      </c>
      <c r="AE967" s="9" t="str">
        <f t="shared" si="16"/>
        <v/>
      </c>
      <c r="AF967" s="9">
        <f>HOUR(O967)</f>
        <v>0</v>
      </c>
      <c r="AG967" s="9">
        <f>DAY(O967)</f>
        <v>0</v>
      </c>
      <c r="AH967" s="9">
        <f>IFERROR((I967-K967)*24*60,0)</f>
        <v>0</v>
      </c>
      <c r="AI967" s="9">
        <f t="shared" si="17"/>
        <v>0</v>
      </c>
      <c r="AJ967" s="9">
        <f>C967</f>
        <v>0</v>
      </c>
      <c r="AK967" s="9">
        <f>IF(P967="completed",((V967-K967)*24*60),0)</f>
        <v>0</v>
      </c>
      <c r="AL967" s="9">
        <f>IF(P967="completed",((U967-K967)*24*60),0)</f>
        <v>0</v>
      </c>
      <c r="AM967" s="9" t="str">
        <f t="shared" si="18"/>
        <v>OTP Breached</v>
      </c>
      <c r="AN967" s="9" t="str">
        <f t="shared" si="19"/>
        <v>OTP Achieved</v>
      </c>
    </row>
    <row r="968" spans="1:40" ht="15.75" customHeight="1">
      <c r="B968" s="25"/>
      <c r="I968" s="25"/>
      <c r="K968" s="25"/>
      <c r="O968" s="25"/>
      <c r="U968" s="25"/>
      <c r="V968" s="25"/>
      <c r="AA968" s="27"/>
      <c r="AD968" s="9" t="str">
        <f t="shared" si="15"/>
        <v>Actual</v>
      </c>
      <c r="AE968" s="9" t="str">
        <f t="shared" si="16"/>
        <v/>
      </c>
      <c r="AF968" s="9">
        <f>HOUR(O968)</f>
        <v>0</v>
      </c>
      <c r="AG968" s="9">
        <f>DAY(O968)</f>
        <v>0</v>
      </c>
      <c r="AH968" s="9">
        <f>IFERROR((I968-K968)*24*60,0)</f>
        <v>0</v>
      </c>
      <c r="AI968" s="9">
        <f t="shared" si="17"/>
        <v>0</v>
      </c>
      <c r="AJ968" s="9">
        <f>C968</f>
        <v>0</v>
      </c>
      <c r="AK968" s="9">
        <f>IF(P968="completed",((V968-K968)*24*60),0)</f>
        <v>0</v>
      </c>
      <c r="AL968" s="9">
        <f>IF(P968="completed",((U968-K968)*24*60),0)</f>
        <v>0</v>
      </c>
      <c r="AM968" s="9" t="str">
        <f t="shared" si="18"/>
        <v>OTP Breached</v>
      </c>
      <c r="AN968" s="9" t="str">
        <f t="shared" si="19"/>
        <v>OTP Achieved</v>
      </c>
    </row>
    <row r="969" spans="1:40" ht="15.75" customHeight="1">
      <c r="B969" s="25"/>
      <c r="I969" s="25"/>
      <c r="K969" s="25"/>
      <c r="O969" s="25"/>
      <c r="U969" s="25"/>
      <c r="V969" s="25"/>
      <c r="AA969" s="27"/>
      <c r="AD969" s="9" t="str">
        <f t="shared" si="15"/>
        <v>Actual</v>
      </c>
      <c r="AE969" s="9" t="str">
        <f t="shared" si="16"/>
        <v/>
      </c>
      <c r="AF969" s="9">
        <f>HOUR(O969)</f>
        <v>0</v>
      </c>
      <c r="AG969" s="9">
        <f>DAY(O969)</f>
        <v>0</v>
      </c>
      <c r="AH969" s="9">
        <f>IFERROR((I969-K969)*24*60,0)</f>
        <v>0</v>
      </c>
      <c r="AI969" s="9">
        <f t="shared" si="17"/>
        <v>0</v>
      </c>
      <c r="AJ969" s="9">
        <f>C969</f>
        <v>0</v>
      </c>
      <c r="AK969" s="9">
        <f>IF(P969="completed",((V969-K969)*24*60),0)</f>
        <v>0</v>
      </c>
      <c r="AL969" s="9">
        <f>IF(P969="completed",((U969-K969)*24*60),0)</f>
        <v>0</v>
      </c>
      <c r="AM969" s="9" t="str">
        <f t="shared" si="18"/>
        <v>OTP Breached</v>
      </c>
      <c r="AN969" s="9" t="str">
        <f t="shared" si="19"/>
        <v>OTP Achieved</v>
      </c>
    </row>
    <row r="970" spans="1:40" ht="15.75" customHeight="1">
      <c r="B970" s="25"/>
      <c r="I970" s="25"/>
      <c r="K970" s="25"/>
      <c r="O970" s="25"/>
      <c r="U970" s="25"/>
      <c r="V970" s="25"/>
      <c r="AA970" s="27"/>
      <c r="AD970" s="9" t="str">
        <f t="shared" si="15"/>
        <v>Actual</v>
      </c>
      <c r="AE970" s="9" t="str">
        <f t="shared" si="16"/>
        <v/>
      </c>
      <c r="AF970" s="9">
        <f>HOUR(O970)</f>
        <v>0</v>
      </c>
      <c r="AG970" s="9">
        <f>DAY(O970)</f>
        <v>0</v>
      </c>
      <c r="AH970" s="9">
        <f>IFERROR((I970-K970)*24*60,0)</f>
        <v>0</v>
      </c>
      <c r="AI970" s="9">
        <f t="shared" si="17"/>
        <v>0</v>
      </c>
      <c r="AJ970" s="9">
        <f>C970</f>
        <v>0</v>
      </c>
      <c r="AK970" s="9">
        <f>IF(P970="completed",((V970-K970)*24*60),0)</f>
        <v>0</v>
      </c>
      <c r="AL970" s="9">
        <f>IF(P970="completed",((U970-K970)*24*60),0)</f>
        <v>0</v>
      </c>
      <c r="AM970" s="9" t="str">
        <f t="shared" si="18"/>
        <v>OTP Breached</v>
      </c>
      <c r="AN970" s="9" t="str">
        <f t="shared" si="19"/>
        <v>OTP Achieved</v>
      </c>
    </row>
    <row r="971" spans="1:40" ht="15.75" customHeight="1">
      <c r="B971" s="25"/>
      <c r="I971" s="25"/>
      <c r="K971" s="25"/>
      <c r="O971" s="25"/>
      <c r="U971" s="25"/>
      <c r="V971" s="25"/>
      <c r="AA971" s="27"/>
      <c r="AD971" s="9" t="str">
        <f t="shared" si="15"/>
        <v>Actual</v>
      </c>
      <c r="AE971" s="9" t="str">
        <f t="shared" si="16"/>
        <v/>
      </c>
      <c r="AF971" s="9">
        <f>HOUR(O971)</f>
        <v>0</v>
      </c>
      <c r="AG971" s="9">
        <f>DAY(O971)</f>
        <v>0</v>
      </c>
      <c r="AH971" s="9">
        <f>IFERROR((I971-K971)*24*60,0)</f>
        <v>0</v>
      </c>
      <c r="AI971" s="9">
        <f t="shared" si="17"/>
        <v>0</v>
      </c>
      <c r="AJ971" s="9">
        <f>C971</f>
        <v>0</v>
      </c>
      <c r="AK971" s="9">
        <f>IF(P971="completed",((V971-K971)*24*60),0)</f>
        <v>0</v>
      </c>
      <c r="AL971" s="9">
        <f>IF(P971="completed",((U971-K971)*24*60),0)</f>
        <v>0</v>
      </c>
      <c r="AM971" s="9" t="str">
        <f t="shared" si="18"/>
        <v>OTP Breached</v>
      </c>
      <c r="AN971" s="9" t="str">
        <f t="shared" si="19"/>
        <v>OTP Achieved</v>
      </c>
    </row>
    <row r="972" spans="1:40" ht="15.75" customHeight="1">
      <c r="B972" s="25"/>
      <c r="I972" s="25"/>
      <c r="K972" s="25"/>
      <c r="O972" s="25"/>
      <c r="U972" s="25"/>
      <c r="V972" s="25"/>
      <c r="AA972" s="27"/>
      <c r="AD972" s="9" t="str">
        <f t="shared" si="15"/>
        <v>Actual</v>
      </c>
      <c r="AE972" s="9" t="str">
        <f t="shared" si="16"/>
        <v/>
      </c>
      <c r="AF972" s="9">
        <f>HOUR(O972)</f>
        <v>0</v>
      </c>
      <c r="AG972" s="9">
        <f>DAY(O972)</f>
        <v>0</v>
      </c>
      <c r="AH972" s="9">
        <f>IFERROR((I972-K972)*24*60,0)</f>
        <v>0</v>
      </c>
      <c r="AI972" s="9">
        <f t="shared" si="17"/>
        <v>0</v>
      </c>
      <c r="AJ972" s="9">
        <f>C972</f>
        <v>0</v>
      </c>
      <c r="AK972" s="9">
        <f>IF(P972="completed",((V972-K972)*24*60),0)</f>
        <v>0</v>
      </c>
      <c r="AL972" s="9">
        <f>IF(P972="completed",((U972-K972)*24*60),0)</f>
        <v>0</v>
      </c>
      <c r="AM972" s="9" t="str">
        <f t="shared" si="18"/>
        <v>OTP Breached</v>
      </c>
      <c r="AN972" s="9" t="str">
        <f t="shared" si="19"/>
        <v>OTP Achieved</v>
      </c>
    </row>
    <row r="973" spans="1:40" ht="15.75" customHeight="1">
      <c r="B973" s="25"/>
      <c r="I973" s="25"/>
      <c r="K973" s="25"/>
      <c r="O973" s="25"/>
      <c r="U973" s="25"/>
      <c r="V973" s="25"/>
      <c r="AA973" s="27"/>
      <c r="AD973" s="9" t="str">
        <f t="shared" si="15"/>
        <v>Actual</v>
      </c>
      <c r="AE973" s="9" t="str">
        <f t="shared" si="16"/>
        <v/>
      </c>
      <c r="AF973" s="9">
        <f>HOUR(O973)</f>
        <v>0</v>
      </c>
      <c r="AG973" s="9">
        <f>DAY(O973)</f>
        <v>0</v>
      </c>
      <c r="AH973" s="9">
        <f>IFERROR((I973-K973)*24*60,0)</f>
        <v>0</v>
      </c>
      <c r="AI973" s="9">
        <f t="shared" si="17"/>
        <v>0</v>
      </c>
      <c r="AJ973" s="9">
        <f>C973</f>
        <v>0</v>
      </c>
      <c r="AK973" s="9">
        <f>IF(P973="completed",((V973-K973)*24*60),0)</f>
        <v>0</v>
      </c>
      <c r="AL973" s="9">
        <f>IF(P973="completed",((U973-K973)*24*60),0)</f>
        <v>0</v>
      </c>
      <c r="AM973" s="9" t="str">
        <f t="shared" si="18"/>
        <v>OTP Breached</v>
      </c>
      <c r="AN973" s="9" t="str">
        <f t="shared" si="19"/>
        <v>OTP Achieved</v>
      </c>
    </row>
    <row r="974" spans="1:40" ht="15.75" customHeight="1">
      <c r="B974" s="25"/>
      <c r="I974" s="25"/>
      <c r="K974" s="25"/>
      <c r="O974" s="25"/>
      <c r="U974" s="25"/>
      <c r="V974" s="25"/>
      <c r="AA974" s="27"/>
      <c r="AD974" s="9" t="str">
        <f t="shared" si="15"/>
        <v>Actual</v>
      </c>
      <c r="AE974" s="9" t="str">
        <f t="shared" si="16"/>
        <v/>
      </c>
      <c r="AF974" s="9">
        <f>HOUR(O974)</f>
        <v>0</v>
      </c>
      <c r="AG974" s="9">
        <f>DAY(O974)</f>
        <v>0</v>
      </c>
      <c r="AH974" s="9">
        <f>IFERROR((I974-K974)*24*60,0)</f>
        <v>0</v>
      </c>
      <c r="AI974" s="9">
        <f t="shared" si="17"/>
        <v>0</v>
      </c>
      <c r="AJ974" s="9">
        <f>C974</f>
        <v>0</v>
      </c>
      <c r="AK974" s="9">
        <f>IF(P974="completed",((V974-K974)*24*60),0)</f>
        <v>0</v>
      </c>
      <c r="AL974" s="9">
        <f>IF(P974="completed",((U974-K974)*24*60),0)</f>
        <v>0</v>
      </c>
      <c r="AM974" s="9" t="str">
        <f t="shared" si="18"/>
        <v>OTP Breached</v>
      </c>
      <c r="AN974" s="9" t="str">
        <f t="shared" si="19"/>
        <v>OTP Achieved</v>
      </c>
    </row>
    <row r="975" spans="1:40" ht="15.75" customHeight="1">
      <c r="B975" s="25"/>
      <c r="I975" s="25"/>
      <c r="K975" s="25"/>
      <c r="O975" s="25"/>
      <c r="U975" s="25"/>
      <c r="V975" s="25"/>
      <c r="AA975" s="27"/>
      <c r="AD975" s="9" t="str">
        <f t="shared" si="15"/>
        <v>Actual</v>
      </c>
      <c r="AE975" s="9" t="str">
        <f t="shared" si="16"/>
        <v/>
      </c>
      <c r="AF975" s="9">
        <f>HOUR(O975)</f>
        <v>0</v>
      </c>
      <c r="AG975" s="9">
        <f>DAY(O975)</f>
        <v>0</v>
      </c>
      <c r="AH975" s="9">
        <f>IFERROR((I975-K975)*24*60,0)</f>
        <v>0</v>
      </c>
      <c r="AI975" s="9">
        <f t="shared" si="17"/>
        <v>0</v>
      </c>
      <c r="AJ975" s="9">
        <f>C975</f>
        <v>0</v>
      </c>
      <c r="AK975" s="9">
        <f>IF(P975="completed",((V975-K975)*24*60),0)</f>
        <v>0</v>
      </c>
      <c r="AL975" s="9">
        <f>IF(P975="completed",((U975-K975)*24*60),0)</f>
        <v>0</v>
      </c>
      <c r="AM975" s="9" t="str">
        <f t="shared" si="18"/>
        <v>OTP Breached</v>
      </c>
      <c r="AN975" s="9" t="str">
        <f t="shared" si="19"/>
        <v>OTP Achieved</v>
      </c>
    </row>
    <row r="976" spans="1:40" ht="15.75" customHeight="1">
      <c r="B976" s="25"/>
      <c r="I976" s="25"/>
      <c r="K976" s="25"/>
      <c r="O976" s="25"/>
      <c r="U976" s="25"/>
      <c r="V976" s="25"/>
      <c r="AA976" s="27"/>
      <c r="AD976" s="9" t="str">
        <f t="shared" si="15"/>
        <v>Actual</v>
      </c>
      <c r="AE976" s="9" t="str">
        <f t="shared" si="16"/>
        <v/>
      </c>
      <c r="AF976" s="9">
        <f>HOUR(O976)</f>
        <v>0</v>
      </c>
      <c r="AG976" s="9">
        <f>DAY(O976)</f>
        <v>0</v>
      </c>
      <c r="AH976" s="9">
        <f>IFERROR((I976-K976)*24*60,0)</f>
        <v>0</v>
      </c>
      <c r="AI976" s="9">
        <f t="shared" si="17"/>
        <v>0</v>
      </c>
      <c r="AJ976" s="9">
        <f>C976</f>
        <v>0</v>
      </c>
      <c r="AK976" s="9">
        <f>IF(P976="completed",((V976-K976)*24*60),0)</f>
        <v>0</v>
      </c>
      <c r="AL976" s="9">
        <f>IF(P976="completed",((U976-K976)*24*60),0)</f>
        <v>0</v>
      </c>
      <c r="AM976" s="9" t="str">
        <f t="shared" si="18"/>
        <v>OTP Breached</v>
      </c>
      <c r="AN976" s="9" t="str">
        <f t="shared" si="19"/>
        <v>OTP Achieved</v>
      </c>
    </row>
    <row r="977" spans="2:40" ht="15.75" customHeight="1">
      <c r="B977" s="25"/>
      <c r="I977" s="25"/>
      <c r="K977" s="25"/>
      <c r="O977" s="25"/>
      <c r="U977" s="25"/>
      <c r="V977" s="25"/>
      <c r="AA977" s="27"/>
      <c r="AD977" s="9" t="str">
        <f t="shared" si="15"/>
        <v>Actual</v>
      </c>
      <c r="AE977" s="9" t="str">
        <f t="shared" si="16"/>
        <v/>
      </c>
      <c r="AF977" s="9">
        <f>HOUR(O977)</f>
        <v>0</v>
      </c>
      <c r="AG977" s="9">
        <f>DAY(O977)</f>
        <v>0</v>
      </c>
      <c r="AH977" s="9">
        <f>IFERROR((I977-K977)*24*60,0)</f>
        <v>0</v>
      </c>
      <c r="AI977" s="9">
        <f t="shared" si="17"/>
        <v>0</v>
      </c>
      <c r="AJ977" s="9">
        <f>C977</f>
        <v>0</v>
      </c>
      <c r="AK977" s="9">
        <f>IF(P977="completed",((V977-K977)*24*60),0)</f>
        <v>0</v>
      </c>
      <c r="AL977" s="9">
        <f>IF(P977="completed",((U977-K977)*24*60),0)</f>
        <v>0</v>
      </c>
      <c r="AM977" s="9" t="str">
        <f t="shared" si="18"/>
        <v>OTP Breached</v>
      </c>
      <c r="AN977" s="9" t="str">
        <f t="shared" si="19"/>
        <v>OTP Achieved</v>
      </c>
    </row>
    <row r="978" spans="2:40" ht="15.75" customHeight="1">
      <c r="B978" s="25"/>
      <c r="I978" s="25"/>
      <c r="K978" s="25"/>
      <c r="O978" s="25"/>
      <c r="U978" s="25"/>
      <c r="V978" s="25"/>
      <c r="AA978" s="27"/>
      <c r="AD978" s="9" t="str">
        <f t="shared" si="15"/>
        <v>Actual</v>
      </c>
      <c r="AE978" s="9" t="str">
        <f t="shared" si="16"/>
        <v/>
      </c>
      <c r="AF978" s="9">
        <f>HOUR(O978)</f>
        <v>0</v>
      </c>
      <c r="AG978" s="9">
        <f>DAY(O978)</f>
        <v>0</v>
      </c>
      <c r="AH978" s="9">
        <f>IFERROR((I978-K978)*24*60,0)</f>
        <v>0</v>
      </c>
      <c r="AI978" s="9">
        <f t="shared" si="17"/>
        <v>0</v>
      </c>
      <c r="AJ978" s="9">
        <f>C978</f>
        <v>0</v>
      </c>
      <c r="AK978" s="9">
        <f>IF(P978="completed",((V978-K978)*24*60),0)</f>
        <v>0</v>
      </c>
      <c r="AL978" s="9">
        <f>IF(P978="completed",((U978-K978)*24*60),0)</f>
        <v>0</v>
      </c>
      <c r="AM978" s="9" t="str">
        <f t="shared" si="18"/>
        <v>OTP Breached</v>
      </c>
      <c r="AN978" s="9" t="str">
        <f t="shared" si="19"/>
        <v>OTP Achieved</v>
      </c>
    </row>
    <row r="979" spans="2:40" ht="15.75" customHeight="1">
      <c r="B979" s="25"/>
      <c r="I979" s="25"/>
      <c r="K979" s="25"/>
      <c r="O979" s="25"/>
      <c r="U979" s="25"/>
      <c r="V979" s="25"/>
      <c r="Y979" s="25"/>
      <c r="AA979" s="27"/>
      <c r="AD979" s="9" t="str">
        <f t="shared" si="15"/>
        <v>Actual</v>
      </c>
      <c r="AE979" s="9" t="str">
        <f t="shared" si="16"/>
        <v/>
      </c>
      <c r="AF979" s="9">
        <f>HOUR(O979)</f>
        <v>0</v>
      </c>
      <c r="AG979" s="9">
        <f>DAY(O979)</f>
        <v>0</v>
      </c>
      <c r="AH979" s="9">
        <f>IFERROR((I979-K979)*24*60,0)</f>
        <v>0</v>
      </c>
      <c r="AI979" s="9">
        <f t="shared" si="17"/>
        <v>0</v>
      </c>
      <c r="AJ979" s="9">
        <f>C979</f>
        <v>0</v>
      </c>
      <c r="AK979" s="9">
        <f>IF(P979="completed",((V979-K979)*24*60),0)</f>
        <v>0</v>
      </c>
      <c r="AL979" s="9">
        <f>IF(P979="completed",((U979-K979)*24*60),0)</f>
        <v>0</v>
      </c>
      <c r="AM979" s="9" t="str">
        <f t="shared" si="18"/>
        <v>OTP Breached</v>
      </c>
      <c r="AN979" s="9" t="str">
        <f t="shared" si="19"/>
        <v>OTP Achieved</v>
      </c>
    </row>
    <row r="980" spans="2:40" ht="15.75" customHeight="1">
      <c r="B980" s="25"/>
      <c r="I980" s="25"/>
      <c r="K980" s="25"/>
      <c r="O980" s="25"/>
      <c r="U980" s="25"/>
      <c r="V980" s="25"/>
      <c r="AA980" s="27"/>
      <c r="AD980" s="9" t="str">
        <f t="shared" si="15"/>
        <v>Actual</v>
      </c>
      <c r="AE980" s="9" t="str">
        <f t="shared" si="16"/>
        <v/>
      </c>
      <c r="AF980" s="9">
        <f>HOUR(O980)</f>
        <v>0</v>
      </c>
      <c r="AG980" s="9">
        <f>DAY(O980)</f>
        <v>0</v>
      </c>
      <c r="AH980" s="9">
        <f>IFERROR((I980-K980)*24*60,0)</f>
        <v>0</v>
      </c>
      <c r="AI980" s="9">
        <f t="shared" si="17"/>
        <v>0</v>
      </c>
      <c r="AJ980" s="9">
        <f>C980</f>
        <v>0</v>
      </c>
      <c r="AK980" s="9">
        <f>IF(P980="completed",((V980-K980)*24*60),0)</f>
        <v>0</v>
      </c>
      <c r="AL980" s="9">
        <f>IF(P980="completed",((U980-K980)*24*60),0)</f>
        <v>0</v>
      </c>
      <c r="AM980" s="9" t="str">
        <f t="shared" si="18"/>
        <v>OTP Breached</v>
      </c>
      <c r="AN980" s="9" t="str">
        <f t="shared" si="19"/>
        <v>OTP Achieved</v>
      </c>
    </row>
    <row r="981" spans="2:40" ht="15.75" customHeight="1">
      <c r="B981" s="25"/>
      <c r="I981" s="25"/>
      <c r="K981" s="25"/>
      <c r="O981" s="25"/>
      <c r="U981" s="25"/>
      <c r="V981" s="25"/>
      <c r="AA981" s="27"/>
      <c r="AD981" s="9" t="str">
        <f t="shared" si="15"/>
        <v>Actual</v>
      </c>
      <c r="AE981" s="9" t="str">
        <f t="shared" si="16"/>
        <v/>
      </c>
      <c r="AF981" s="9">
        <f>HOUR(O981)</f>
        <v>0</v>
      </c>
      <c r="AG981" s="9">
        <f>DAY(O981)</f>
        <v>0</v>
      </c>
      <c r="AH981" s="9">
        <f>IFERROR((I981-K981)*24*60,0)</f>
        <v>0</v>
      </c>
      <c r="AI981" s="9">
        <f t="shared" si="17"/>
        <v>0</v>
      </c>
      <c r="AJ981" s="9">
        <f>C981</f>
        <v>0</v>
      </c>
      <c r="AK981" s="9">
        <f>IF(P981="completed",((V981-K981)*24*60),0)</f>
        <v>0</v>
      </c>
      <c r="AL981" s="9">
        <f>IF(P981="completed",((U981-K981)*24*60),0)</f>
        <v>0</v>
      </c>
      <c r="AM981" s="9" t="str">
        <f t="shared" si="18"/>
        <v>OTP Breached</v>
      </c>
      <c r="AN981" s="9" t="str">
        <f t="shared" si="19"/>
        <v>OTP Achieved</v>
      </c>
    </row>
    <row r="982" spans="2:40" ht="15.75" customHeight="1">
      <c r="B982" s="25"/>
      <c r="I982" s="25"/>
      <c r="K982" s="25"/>
      <c r="O982" s="25"/>
      <c r="U982" s="25"/>
      <c r="V982" s="25"/>
      <c r="AA982" s="27"/>
      <c r="AD982" s="9" t="str">
        <f t="shared" si="15"/>
        <v>Actual</v>
      </c>
      <c r="AE982" s="9" t="str">
        <f t="shared" si="16"/>
        <v/>
      </c>
      <c r="AF982" s="9">
        <f>HOUR(O982)</f>
        <v>0</v>
      </c>
      <c r="AG982" s="9">
        <f>DAY(O982)</f>
        <v>0</v>
      </c>
      <c r="AH982" s="9">
        <f>IFERROR((I982-K982)*24*60,0)</f>
        <v>0</v>
      </c>
      <c r="AI982" s="9">
        <f t="shared" si="17"/>
        <v>0</v>
      </c>
      <c r="AJ982" s="9">
        <f>C982</f>
        <v>0</v>
      </c>
      <c r="AK982" s="9">
        <f>IF(P982="completed",((V982-K982)*24*60),0)</f>
        <v>0</v>
      </c>
      <c r="AL982" s="9">
        <f>IF(P982="completed",((U982-K982)*24*60),0)</f>
        <v>0</v>
      </c>
      <c r="AM982" s="9" t="str">
        <f t="shared" si="18"/>
        <v>OTP Breached</v>
      </c>
      <c r="AN982" s="9" t="str">
        <f t="shared" si="19"/>
        <v>OTP Achieved</v>
      </c>
    </row>
    <row r="983" spans="2:40" ht="15.75" customHeight="1">
      <c r="B983" s="25"/>
      <c r="I983" s="25"/>
      <c r="K983" s="25"/>
      <c r="O983" s="25"/>
      <c r="U983" s="25"/>
      <c r="V983" s="25"/>
      <c r="AA983" s="27"/>
      <c r="AD983" s="9" t="str">
        <f t="shared" si="15"/>
        <v>Actual</v>
      </c>
      <c r="AE983" s="9" t="str">
        <f t="shared" si="16"/>
        <v/>
      </c>
      <c r="AF983" s="9">
        <f>HOUR(O983)</f>
        <v>0</v>
      </c>
      <c r="AG983" s="9">
        <f>DAY(O983)</f>
        <v>0</v>
      </c>
      <c r="AH983" s="9">
        <f>IFERROR((I983-K983)*24*60,0)</f>
        <v>0</v>
      </c>
      <c r="AI983" s="9">
        <f t="shared" si="17"/>
        <v>0</v>
      </c>
      <c r="AJ983" s="9">
        <f>C983</f>
        <v>0</v>
      </c>
      <c r="AK983" s="9">
        <f>IF(P983="completed",((V983-K983)*24*60),0)</f>
        <v>0</v>
      </c>
      <c r="AL983" s="9">
        <f>IF(P983="completed",((U983-K983)*24*60),0)</f>
        <v>0</v>
      </c>
      <c r="AM983" s="9" t="str">
        <f t="shared" si="18"/>
        <v>OTP Breached</v>
      </c>
      <c r="AN983" s="9" t="str">
        <f t="shared" si="19"/>
        <v>OTP Achieved</v>
      </c>
    </row>
    <row r="984" spans="2:40" ht="15.75" customHeight="1">
      <c r="B984" s="25"/>
      <c r="I984" s="25"/>
      <c r="K984" s="25"/>
      <c r="O984" s="25"/>
      <c r="U984" s="25"/>
      <c r="V984" s="25"/>
      <c r="AA984" s="27"/>
      <c r="AD984" s="9" t="str">
        <f t="shared" si="15"/>
        <v>Actual</v>
      </c>
      <c r="AE984" s="9" t="str">
        <f t="shared" si="16"/>
        <v/>
      </c>
      <c r="AF984" s="9">
        <f>HOUR(O984)</f>
        <v>0</v>
      </c>
      <c r="AG984" s="9">
        <f>DAY(O984)</f>
        <v>0</v>
      </c>
      <c r="AH984" s="9">
        <f>IFERROR((I984-K984)*24*60,0)</f>
        <v>0</v>
      </c>
      <c r="AI984" s="9">
        <f t="shared" si="17"/>
        <v>0</v>
      </c>
      <c r="AJ984" s="9">
        <f>C984</f>
        <v>0</v>
      </c>
      <c r="AK984" s="9">
        <f>IF(P984="completed",((V984-K984)*24*60),0)</f>
        <v>0</v>
      </c>
      <c r="AL984" s="9">
        <f>IF(P984="completed",((U984-K984)*24*60),0)</f>
        <v>0</v>
      </c>
      <c r="AM984" s="9" t="str">
        <f t="shared" si="18"/>
        <v>OTP Breached</v>
      </c>
      <c r="AN984" s="9" t="str">
        <f t="shared" si="19"/>
        <v>OTP Achieved</v>
      </c>
    </row>
    <row r="985" spans="2:40" ht="15.75" customHeight="1">
      <c r="B985" s="25"/>
      <c r="I985" s="25"/>
      <c r="K985" s="25"/>
      <c r="O985" s="25"/>
      <c r="U985" s="25"/>
      <c r="V985" s="25"/>
      <c r="AA985" s="27"/>
      <c r="AD985" s="9" t="str">
        <f t="shared" si="15"/>
        <v>Actual</v>
      </c>
      <c r="AE985" s="9" t="str">
        <f t="shared" si="16"/>
        <v/>
      </c>
      <c r="AF985" s="9">
        <f>HOUR(O985)</f>
        <v>0</v>
      </c>
      <c r="AG985" s="9">
        <f>DAY(O985)</f>
        <v>0</v>
      </c>
      <c r="AH985" s="9">
        <f>IFERROR((I985-K985)*24*60,0)</f>
        <v>0</v>
      </c>
      <c r="AI985" s="9">
        <f t="shared" si="17"/>
        <v>0</v>
      </c>
      <c r="AJ985" s="9">
        <f>C985</f>
        <v>0</v>
      </c>
      <c r="AK985" s="9">
        <f>IF(P985="completed",((V985-K985)*24*60),0)</f>
        <v>0</v>
      </c>
      <c r="AL985" s="9">
        <f>IF(P985="completed",((U985-K985)*24*60),0)</f>
        <v>0</v>
      </c>
      <c r="AM985" s="9" t="str">
        <f t="shared" si="18"/>
        <v>OTP Breached</v>
      </c>
      <c r="AN985" s="9" t="str">
        <f t="shared" si="19"/>
        <v>OTP Achieved</v>
      </c>
    </row>
    <row r="986" spans="2:40" ht="15.75" customHeight="1">
      <c r="B986" s="25"/>
      <c r="I986" s="25"/>
      <c r="K986" s="25"/>
      <c r="O986" s="25"/>
      <c r="U986" s="25"/>
      <c r="V986" s="25"/>
      <c r="AA986" s="27"/>
      <c r="AD986" s="9" t="str">
        <f t="shared" si="15"/>
        <v>Actual</v>
      </c>
      <c r="AE986" s="9" t="str">
        <f t="shared" si="16"/>
        <v/>
      </c>
      <c r="AF986" s="9">
        <f>HOUR(O986)</f>
        <v>0</v>
      </c>
      <c r="AG986" s="9">
        <f>DAY(O986)</f>
        <v>0</v>
      </c>
      <c r="AH986" s="9">
        <f>IFERROR((I986-K986)*24*60,0)</f>
        <v>0</v>
      </c>
      <c r="AI986" s="9">
        <f t="shared" si="17"/>
        <v>0</v>
      </c>
      <c r="AJ986" s="9">
        <f>C986</f>
        <v>0</v>
      </c>
      <c r="AK986" s="9">
        <f>IF(P986="completed",((V986-K986)*24*60),0)</f>
        <v>0</v>
      </c>
      <c r="AL986" s="9">
        <f>IF(P986="completed",((U986-K986)*24*60),0)</f>
        <v>0</v>
      </c>
      <c r="AM986" s="9" t="str">
        <f t="shared" si="18"/>
        <v>OTP Breached</v>
      </c>
      <c r="AN986" s="9" t="str">
        <f t="shared" si="19"/>
        <v>OTP Achieved</v>
      </c>
    </row>
    <row r="987" spans="2:40" ht="15.75" customHeight="1">
      <c r="B987" s="25"/>
      <c r="I987" s="25"/>
      <c r="K987" s="25"/>
      <c r="O987" s="25"/>
      <c r="U987" s="25"/>
      <c r="V987" s="25"/>
      <c r="AA987" s="27"/>
      <c r="AD987" s="9" t="str">
        <f t="shared" si="15"/>
        <v>Actual</v>
      </c>
      <c r="AE987" s="9" t="str">
        <f t="shared" si="16"/>
        <v/>
      </c>
      <c r="AF987" s="9">
        <f>HOUR(O987)</f>
        <v>0</v>
      </c>
      <c r="AG987" s="9">
        <f>DAY(O987)</f>
        <v>0</v>
      </c>
      <c r="AH987" s="9">
        <f>IFERROR((I987-K987)*24*60,0)</f>
        <v>0</v>
      </c>
      <c r="AI987" s="9">
        <f t="shared" si="17"/>
        <v>0</v>
      </c>
      <c r="AJ987" s="9">
        <f>C987</f>
        <v>0</v>
      </c>
      <c r="AK987" s="9">
        <f>IF(P987="completed",((V987-K987)*24*60),0)</f>
        <v>0</v>
      </c>
      <c r="AL987" s="9">
        <f>IF(P987="completed",((U987-K987)*24*60),0)</f>
        <v>0</v>
      </c>
      <c r="AM987" s="9" t="str">
        <f t="shared" si="18"/>
        <v>OTP Breached</v>
      </c>
      <c r="AN987" s="9" t="str">
        <f t="shared" si="19"/>
        <v>OTP Achieved</v>
      </c>
    </row>
    <row r="988" spans="2:40" ht="15.75" customHeight="1">
      <c r="B988" s="25"/>
      <c r="I988" s="25"/>
      <c r="K988" s="25"/>
      <c r="O988" s="25"/>
      <c r="U988" s="25"/>
      <c r="V988" s="25"/>
      <c r="AA988" s="27"/>
      <c r="AD988" s="9" t="str">
        <f t="shared" si="15"/>
        <v>Actual</v>
      </c>
      <c r="AE988" s="9" t="str">
        <f t="shared" si="16"/>
        <v/>
      </c>
      <c r="AF988" s="9">
        <f>HOUR(O988)</f>
        <v>0</v>
      </c>
      <c r="AG988" s="9">
        <f>DAY(O988)</f>
        <v>0</v>
      </c>
      <c r="AH988" s="9">
        <f>IFERROR((I988-K988)*24*60,0)</f>
        <v>0</v>
      </c>
      <c r="AI988" s="9">
        <f t="shared" si="17"/>
        <v>0</v>
      </c>
      <c r="AJ988" s="9">
        <f>C988</f>
        <v>0</v>
      </c>
      <c r="AK988" s="9">
        <f>IF(P988="completed",((V988-K988)*24*60),0)</f>
        <v>0</v>
      </c>
      <c r="AL988" s="9">
        <f>IF(P988="completed",((U988-K988)*24*60),0)</f>
        <v>0</v>
      </c>
      <c r="AM988" s="9" t="str">
        <f t="shared" si="18"/>
        <v>OTP Breached</v>
      </c>
      <c r="AN988" s="9" t="str">
        <f t="shared" si="19"/>
        <v>OTP Achieved</v>
      </c>
    </row>
    <row r="989" spans="2:40" ht="15.75" customHeight="1">
      <c r="B989" s="25"/>
      <c r="I989" s="25"/>
      <c r="K989" s="25"/>
      <c r="O989" s="25"/>
      <c r="U989" s="25"/>
      <c r="V989" s="25"/>
      <c r="AA989" s="27"/>
      <c r="AD989" s="9" t="str">
        <f t="shared" si="15"/>
        <v>Actual</v>
      </c>
      <c r="AE989" s="9" t="str">
        <f t="shared" si="16"/>
        <v/>
      </c>
      <c r="AF989" s="9">
        <f>HOUR(O989)</f>
        <v>0</v>
      </c>
      <c r="AG989" s="9">
        <f>DAY(O989)</f>
        <v>0</v>
      </c>
      <c r="AH989" s="9">
        <f>IFERROR((I989-K989)*24*60,0)</f>
        <v>0</v>
      </c>
      <c r="AI989" s="9">
        <f t="shared" si="17"/>
        <v>0</v>
      </c>
      <c r="AJ989" s="9">
        <f>C989</f>
        <v>0</v>
      </c>
      <c r="AK989" s="9">
        <f>IF(P989="completed",((V989-K989)*24*60),0)</f>
        <v>0</v>
      </c>
      <c r="AL989" s="9">
        <f>IF(P989="completed",((U989-K989)*24*60),0)</f>
        <v>0</v>
      </c>
      <c r="AM989" s="9" t="str">
        <f t="shared" si="18"/>
        <v>OTP Breached</v>
      </c>
      <c r="AN989" s="9" t="str">
        <f t="shared" si="19"/>
        <v>OTP Achieved</v>
      </c>
    </row>
    <row r="990" spans="2:40" ht="15.75" customHeight="1">
      <c r="B990" s="25"/>
      <c r="I990" s="25"/>
      <c r="K990" s="25"/>
      <c r="O990" s="25"/>
      <c r="U990" s="25"/>
      <c r="V990" s="25"/>
      <c r="AA990" s="27"/>
      <c r="AD990" s="9" t="str">
        <f t="shared" si="15"/>
        <v>Actual</v>
      </c>
      <c r="AE990" s="9" t="str">
        <f t="shared" si="16"/>
        <v/>
      </c>
      <c r="AF990" s="9">
        <f>HOUR(O990)</f>
        <v>0</v>
      </c>
      <c r="AG990" s="9">
        <f>DAY(O990)</f>
        <v>0</v>
      </c>
      <c r="AH990" s="9">
        <f>IFERROR((I990-K990)*24*60,0)</f>
        <v>0</v>
      </c>
      <c r="AI990" s="9">
        <f t="shared" si="17"/>
        <v>0</v>
      </c>
      <c r="AJ990" s="9">
        <f>C990</f>
        <v>0</v>
      </c>
      <c r="AK990" s="9">
        <f>IF(P990="completed",((V990-K990)*24*60),0)</f>
        <v>0</v>
      </c>
      <c r="AL990" s="9">
        <f>IF(P990="completed",((U990-K990)*24*60),0)</f>
        <v>0</v>
      </c>
      <c r="AM990" s="9" t="str">
        <f t="shared" si="18"/>
        <v>OTP Breached</v>
      </c>
      <c r="AN990" s="9" t="str">
        <f t="shared" si="19"/>
        <v>OTP Achieved</v>
      </c>
    </row>
    <row r="991" spans="2:40" ht="15.75" customHeight="1">
      <c r="B991" s="25"/>
      <c r="I991" s="25"/>
      <c r="K991" s="25"/>
      <c r="O991" s="25"/>
      <c r="U991" s="25"/>
      <c r="V991" s="25"/>
      <c r="AA991" s="27"/>
      <c r="AD991" s="9" t="str">
        <f t="shared" si="15"/>
        <v>Actual</v>
      </c>
      <c r="AE991" s="9" t="str">
        <f t="shared" si="16"/>
        <v/>
      </c>
      <c r="AF991" s="9">
        <f>HOUR(O991)</f>
        <v>0</v>
      </c>
      <c r="AG991" s="9">
        <f>DAY(O991)</f>
        <v>0</v>
      </c>
      <c r="AH991" s="9">
        <f>IFERROR((I991-K991)*24*60,0)</f>
        <v>0</v>
      </c>
      <c r="AI991" s="9">
        <f t="shared" si="17"/>
        <v>0</v>
      </c>
      <c r="AJ991" s="9">
        <f>C991</f>
        <v>0</v>
      </c>
      <c r="AK991" s="9">
        <f>IF(P991="completed",((V991-K991)*24*60),0)</f>
        <v>0</v>
      </c>
      <c r="AL991" s="9">
        <f>IF(P991="completed",((U991-K991)*24*60),0)</f>
        <v>0</v>
      </c>
      <c r="AM991" s="9" t="str">
        <f t="shared" si="18"/>
        <v>OTP Breached</v>
      </c>
      <c r="AN991" s="9" t="str">
        <f t="shared" si="19"/>
        <v>OTP Achieved</v>
      </c>
    </row>
    <row r="992" spans="2:40" ht="15.75" customHeight="1">
      <c r="B992" s="25"/>
      <c r="I992" s="25"/>
      <c r="K992" s="25"/>
      <c r="O992" s="25"/>
      <c r="U992" s="25"/>
      <c r="V992" s="25"/>
      <c r="AA992" s="27"/>
      <c r="AD992" s="9" t="str">
        <f t="shared" si="15"/>
        <v>Actual</v>
      </c>
      <c r="AE992" s="9" t="str">
        <f t="shared" si="16"/>
        <v/>
      </c>
      <c r="AF992" s="9">
        <f>HOUR(O992)</f>
        <v>0</v>
      </c>
      <c r="AG992" s="9">
        <f>DAY(O992)</f>
        <v>0</v>
      </c>
      <c r="AH992" s="9">
        <f>IFERROR((I992-K992)*24*60,0)</f>
        <v>0</v>
      </c>
      <c r="AI992" s="9">
        <f t="shared" si="17"/>
        <v>0</v>
      </c>
      <c r="AJ992" s="9">
        <f>C992</f>
        <v>0</v>
      </c>
      <c r="AK992" s="9">
        <f>IF(P992="completed",((V992-K992)*24*60),0)</f>
        <v>0</v>
      </c>
      <c r="AL992" s="9">
        <f>IF(P992="completed",((U992-K992)*24*60),0)</f>
        <v>0</v>
      </c>
      <c r="AM992" s="9" t="str">
        <f t="shared" si="18"/>
        <v>OTP Breached</v>
      </c>
      <c r="AN992" s="9" t="str">
        <f t="shared" si="19"/>
        <v>OTP Achieved</v>
      </c>
    </row>
    <row r="993" spans="2:40" ht="15.75" customHeight="1">
      <c r="B993" s="25"/>
      <c r="I993" s="25"/>
      <c r="K993" s="25"/>
      <c r="O993" s="25"/>
      <c r="U993" s="25"/>
      <c r="V993" s="25"/>
      <c r="AA993" s="27"/>
      <c r="AD993" s="9" t="str">
        <f t="shared" si="15"/>
        <v>Actual</v>
      </c>
      <c r="AE993" s="9" t="str">
        <f t="shared" si="16"/>
        <v/>
      </c>
      <c r="AF993" s="9">
        <f>HOUR(O993)</f>
        <v>0</v>
      </c>
      <c r="AG993" s="9">
        <f>DAY(O993)</f>
        <v>0</v>
      </c>
      <c r="AH993" s="9">
        <f>IFERROR((I993-K993)*24*60,0)</f>
        <v>0</v>
      </c>
      <c r="AI993" s="9">
        <f t="shared" si="17"/>
        <v>0</v>
      </c>
      <c r="AJ993" s="9">
        <f>C993</f>
        <v>0</v>
      </c>
      <c r="AK993" s="9">
        <f>IF(P993="completed",((V993-K993)*24*60),0)</f>
        <v>0</v>
      </c>
      <c r="AL993" s="9">
        <f>IF(P993="completed",((U993-K993)*24*60),0)</f>
        <v>0</v>
      </c>
      <c r="AM993" s="9" t="str">
        <f t="shared" si="18"/>
        <v>OTP Breached</v>
      </c>
      <c r="AN993" s="9" t="str">
        <f t="shared" si="19"/>
        <v>OTP Achieved</v>
      </c>
    </row>
    <row r="994" spans="2:40" ht="15.75" customHeight="1">
      <c r="B994" s="25"/>
      <c r="I994" s="25"/>
      <c r="K994" s="25"/>
      <c r="O994" s="25"/>
      <c r="U994" s="25"/>
      <c r="V994" s="25"/>
      <c r="AA994" s="27"/>
      <c r="AD994" s="9" t="str">
        <f t="shared" si="15"/>
        <v>Actual</v>
      </c>
      <c r="AE994" s="9" t="str">
        <f t="shared" si="16"/>
        <v/>
      </c>
      <c r="AF994" s="9">
        <f>HOUR(O994)</f>
        <v>0</v>
      </c>
      <c r="AG994" s="9">
        <f>DAY(O994)</f>
        <v>0</v>
      </c>
      <c r="AH994" s="9">
        <f>IFERROR((I994-K994)*24*60,0)</f>
        <v>0</v>
      </c>
      <c r="AI994" s="9">
        <f t="shared" si="17"/>
        <v>0</v>
      </c>
      <c r="AJ994" s="9">
        <f>C994</f>
        <v>0</v>
      </c>
      <c r="AK994" s="9">
        <f>IF(P994="completed",((V994-K994)*24*60),0)</f>
        <v>0</v>
      </c>
      <c r="AL994" s="9">
        <f>IF(P994="completed",((U994-K994)*24*60),0)</f>
        <v>0</v>
      </c>
      <c r="AM994" s="9" t="str">
        <f t="shared" si="18"/>
        <v>OTP Breached</v>
      </c>
      <c r="AN994" s="9" t="str">
        <f t="shared" si="19"/>
        <v>OTP Achieved</v>
      </c>
    </row>
    <row r="995" spans="2:40" ht="15.75" customHeight="1">
      <c r="B995" s="25"/>
      <c r="I995" s="25"/>
      <c r="K995" s="25"/>
      <c r="O995" s="25"/>
      <c r="U995" s="25"/>
      <c r="V995" s="25"/>
      <c r="AA995" s="27"/>
      <c r="AD995" s="9" t="str">
        <f t="shared" si="15"/>
        <v>Actual</v>
      </c>
      <c r="AE995" s="9" t="str">
        <f t="shared" si="16"/>
        <v/>
      </c>
      <c r="AF995" s="9">
        <f>HOUR(O995)</f>
        <v>0</v>
      </c>
      <c r="AG995" s="9">
        <f>DAY(O995)</f>
        <v>0</v>
      </c>
      <c r="AH995" s="9">
        <f>IFERROR((I995-K995)*24*60,0)</f>
        <v>0</v>
      </c>
      <c r="AI995" s="9">
        <f t="shared" si="17"/>
        <v>0</v>
      </c>
      <c r="AJ995" s="9">
        <f>C995</f>
        <v>0</v>
      </c>
      <c r="AK995" s="9">
        <f>IF(P995="completed",((V995-K995)*24*60),0)</f>
        <v>0</v>
      </c>
      <c r="AL995" s="9">
        <f>IF(P995="completed",((U995-K995)*24*60),0)</f>
        <v>0</v>
      </c>
      <c r="AM995" s="9" t="str">
        <f t="shared" si="18"/>
        <v>OTP Breached</v>
      </c>
      <c r="AN995" s="9" t="str">
        <f t="shared" si="19"/>
        <v>OTP Achieved</v>
      </c>
    </row>
    <row r="996" spans="2:40" ht="15.75" customHeight="1">
      <c r="B996" s="25"/>
      <c r="I996" s="25"/>
      <c r="K996" s="25"/>
      <c r="O996" s="25"/>
      <c r="U996" s="25"/>
      <c r="V996" s="25"/>
      <c r="AA996" s="27"/>
      <c r="AD996" s="9" t="str">
        <f t="shared" si="15"/>
        <v>Actual</v>
      </c>
      <c r="AE996" s="9" t="str">
        <f t="shared" si="16"/>
        <v/>
      </c>
      <c r="AF996" s="9">
        <f>HOUR(O996)</f>
        <v>0</v>
      </c>
      <c r="AG996" s="9">
        <f>DAY(O996)</f>
        <v>0</v>
      </c>
      <c r="AH996" s="9">
        <f>IFERROR((I996-K996)*24*60,0)</f>
        <v>0</v>
      </c>
      <c r="AI996" s="9">
        <f t="shared" si="17"/>
        <v>0</v>
      </c>
      <c r="AJ996" s="9">
        <f>C996</f>
        <v>0</v>
      </c>
      <c r="AK996" s="9">
        <f>IF(P996="completed",((V996-K996)*24*60),0)</f>
        <v>0</v>
      </c>
      <c r="AL996" s="9">
        <f>IF(P996="completed",((U996-K996)*24*60),0)</f>
        <v>0</v>
      </c>
      <c r="AM996" s="9" t="str">
        <f t="shared" si="18"/>
        <v>OTP Breached</v>
      </c>
      <c r="AN996" s="9" t="str">
        <f t="shared" si="19"/>
        <v>OTP Achieved</v>
      </c>
    </row>
    <row r="997" spans="2:40" ht="15.75" customHeight="1">
      <c r="B997" s="25"/>
      <c r="I997" s="25"/>
      <c r="K997" s="25"/>
      <c r="O997" s="25"/>
      <c r="U997" s="25"/>
      <c r="V997" s="25"/>
      <c r="AA997" s="27"/>
      <c r="AD997" s="9" t="str">
        <f t="shared" si="15"/>
        <v>Actual</v>
      </c>
      <c r="AE997" s="9" t="str">
        <f t="shared" si="16"/>
        <v/>
      </c>
      <c r="AF997" s="9">
        <f>HOUR(O997)</f>
        <v>0</v>
      </c>
      <c r="AG997" s="9">
        <f>DAY(O997)</f>
        <v>0</v>
      </c>
      <c r="AH997" s="9">
        <f>IFERROR((I997-K997)*24*60,0)</f>
        <v>0</v>
      </c>
      <c r="AI997" s="9">
        <f t="shared" si="17"/>
        <v>0</v>
      </c>
      <c r="AJ997" s="9">
        <f>C997</f>
        <v>0</v>
      </c>
      <c r="AK997" s="9">
        <f>IF(P997="completed",((V997-K997)*24*60),0)</f>
        <v>0</v>
      </c>
      <c r="AL997" s="9">
        <f>IF(P997="completed",((U997-K997)*24*60),0)</f>
        <v>0</v>
      </c>
      <c r="AM997" s="9" t="str">
        <f t="shared" si="18"/>
        <v>OTP Breached</v>
      </c>
      <c r="AN997" s="9" t="str">
        <f t="shared" si="19"/>
        <v>OTP Achieved</v>
      </c>
    </row>
    <row r="998" spans="2:40" ht="15.75" customHeight="1">
      <c r="B998" s="25"/>
      <c r="I998" s="25"/>
      <c r="K998" s="25"/>
      <c r="O998" s="25"/>
      <c r="U998" s="25"/>
      <c r="V998" s="25"/>
      <c r="AA998" s="27"/>
      <c r="AD998" s="9" t="str">
        <f t="shared" si="15"/>
        <v>Actual</v>
      </c>
      <c r="AE998" s="9" t="str">
        <f t="shared" si="16"/>
        <v/>
      </c>
      <c r="AF998" s="9">
        <f>HOUR(O998)</f>
        <v>0</v>
      </c>
      <c r="AG998" s="9">
        <f>DAY(O998)</f>
        <v>0</v>
      </c>
      <c r="AH998" s="9">
        <f>IFERROR((I998-K998)*24*60,0)</f>
        <v>0</v>
      </c>
      <c r="AI998" s="9">
        <f t="shared" si="17"/>
        <v>0</v>
      </c>
      <c r="AJ998" s="9">
        <f>C998</f>
        <v>0</v>
      </c>
      <c r="AK998" s="9">
        <f>IF(P998="completed",((V998-K998)*24*60),0)</f>
        <v>0</v>
      </c>
      <c r="AL998" s="9">
        <f>IF(P998="completed",((U998-K998)*24*60),0)</f>
        <v>0</v>
      </c>
      <c r="AM998" s="9" t="str">
        <f t="shared" si="18"/>
        <v>OTP Breached</v>
      </c>
      <c r="AN998" s="9" t="str">
        <f t="shared" si="19"/>
        <v>OTP Achieved</v>
      </c>
    </row>
    <row r="999" spans="2:40" ht="15.75" customHeight="1">
      <c r="B999" s="25"/>
      <c r="I999" s="25"/>
      <c r="K999" s="25"/>
      <c r="O999" s="25"/>
      <c r="U999" s="25"/>
      <c r="V999" s="25"/>
      <c r="AA999" s="27"/>
      <c r="AD999" s="9" t="str">
        <f t="shared" si="15"/>
        <v>Actual</v>
      </c>
      <c r="AE999" s="9" t="str">
        <f t="shared" si="16"/>
        <v/>
      </c>
      <c r="AF999" s="9">
        <f>HOUR(O999)</f>
        <v>0</v>
      </c>
      <c r="AG999" s="9">
        <f>DAY(O999)</f>
        <v>0</v>
      </c>
      <c r="AH999" s="9">
        <f>IFERROR((I999-K999)*24*60,0)</f>
        <v>0</v>
      </c>
      <c r="AI999" s="9">
        <f t="shared" si="17"/>
        <v>0</v>
      </c>
      <c r="AJ999" s="9">
        <f>C999</f>
        <v>0</v>
      </c>
      <c r="AK999" s="9">
        <f>IF(P999="completed",((V999-K999)*24*60),0)</f>
        <v>0</v>
      </c>
      <c r="AL999" s="9">
        <f>IF(P999="completed",((U999-K999)*24*60),0)</f>
        <v>0</v>
      </c>
      <c r="AM999" s="9" t="str">
        <f t="shared" si="18"/>
        <v>OTP Breached</v>
      </c>
      <c r="AN999" s="9" t="str">
        <f t="shared" si="19"/>
        <v>OTP Achieved</v>
      </c>
    </row>
    <row r="1000" spans="2:40" ht="15.75" customHeight="1">
      <c r="B1000" s="25"/>
      <c r="I1000" s="25"/>
      <c r="K1000" s="25"/>
      <c r="O1000" s="25"/>
      <c r="U1000" s="25"/>
      <c r="V1000" s="25"/>
      <c r="AA1000" s="27"/>
      <c r="AD1000" s="9" t="str">
        <f t="shared" si="15"/>
        <v>Actual</v>
      </c>
      <c r="AE1000" s="9" t="str">
        <f t="shared" si="16"/>
        <v/>
      </c>
      <c r="AF1000" s="9">
        <f>HOUR(O1000)</f>
        <v>0</v>
      </c>
      <c r="AG1000" s="9">
        <f>DAY(O1000)</f>
        <v>0</v>
      </c>
      <c r="AH1000" s="9">
        <f>IFERROR((I1000-K1000)*24*60,0)</f>
        <v>0</v>
      </c>
      <c r="AI1000" s="9">
        <f t="shared" si="17"/>
        <v>0</v>
      </c>
      <c r="AJ1000" s="9">
        <f>C1000</f>
        <v>0</v>
      </c>
      <c r="AK1000" s="9">
        <f>IF(P1000="completed",((V1000-K1000)*24*60),0)</f>
        <v>0</v>
      </c>
      <c r="AL1000" s="9">
        <f>IF(P1000="completed",((U1000-K1000)*24*60),0)</f>
        <v>0</v>
      </c>
      <c r="AM1000" s="9" t="str">
        <f t="shared" si="18"/>
        <v>OTP Breached</v>
      </c>
      <c r="AN1000" s="9" t="str">
        <f t="shared" si="19"/>
        <v>OTP Achieved</v>
      </c>
    </row>
    <row r="1001" spans="2:40" ht="15.75" customHeight="1">
      <c r="B1001" s="25"/>
      <c r="I1001" s="25"/>
      <c r="K1001" s="25"/>
      <c r="O1001" s="25"/>
      <c r="U1001" s="25"/>
      <c r="V1001" s="25"/>
      <c r="AA1001" s="27"/>
      <c r="AD1001" s="9" t="str">
        <f t="shared" si="15"/>
        <v>Actual</v>
      </c>
      <c r="AE1001" s="9" t="str">
        <f t="shared" si="16"/>
        <v/>
      </c>
      <c r="AF1001" s="9">
        <f>HOUR(O1001)</f>
        <v>0</v>
      </c>
      <c r="AG1001" s="9">
        <f>DAY(O1001)</f>
        <v>0</v>
      </c>
      <c r="AH1001" s="9">
        <f>IFERROR((I1001-K1001)*24*60,0)</f>
        <v>0</v>
      </c>
      <c r="AI1001" s="9">
        <f t="shared" si="17"/>
        <v>0</v>
      </c>
      <c r="AJ1001" s="9">
        <f>C1001</f>
        <v>0</v>
      </c>
      <c r="AK1001" s="9">
        <f>IF(P1001="completed",((V1001-K1001)*24*60),0)</f>
        <v>0</v>
      </c>
      <c r="AL1001" s="9">
        <f>IF(P1001="completed",((U1001-K1001)*24*60),0)</f>
        <v>0</v>
      </c>
      <c r="AM1001" s="9" t="str">
        <f t="shared" si="18"/>
        <v>OTP Breached</v>
      </c>
      <c r="AN1001" s="9" t="str">
        <f t="shared" si="19"/>
        <v>OTP Achieved</v>
      </c>
    </row>
    <row r="1002" spans="2:40" ht="15.75" customHeight="1">
      <c r="B1002" s="25"/>
      <c r="I1002" s="25"/>
      <c r="K1002" s="25"/>
      <c r="O1002" s="25"/>
      <c r="U1002" s="25"/>
      <c r="V1002" s="25"/>
      <c r="AA1002" s="27"/>
      <c r="AD1002" s="9" t="str">
        <f t="shared" si="15"/>
        <v>Actual</v>
      </c>
      <c r="AE1002" s="9" t="str">
        <f t="shared" si="16"/>
        <v/>
      </c>
      <c r="AF1002" s="9">
        <f>HOUR(O1002)</f>
        <v>0</v>
      </c>
      <c r="AG1002" s="9">
        <f>DAY(O1002)</f>
        <v>0</v>
      </c>
      <c r="AH1002" s="9">
        <f>IFERROR((I1002-K1002)*24*60,0)</f>
        <v>0</v>
      </c>
      <c r="AI1002" s="9">
        <f t="shared" si="17"/>
        <v>0</v>
      </c>
      <c r="AJ1002" s="9">
        <f>C1002</f>
        <v>0</v>
      </c>
      <c r="AK1002" s="9">
        <f>IF(P1002="completed",((V1002-K1002)*24*60),0)</f>
        <v>0</v>
      </c>
      <c r="AL1002" s="9">
        <f>IF(P1002="completed",((U1002-K1002)*24*60),0)</f>
        <v>0</v>
      </c>
      <c r="AM1002" s="9" t="str">
        <f t="shared" si="18"/>
        <v>OTP Breached</v>
      </c>
      <c r="AN1002" s="9" t="str">
        <f t="shared" si="19"/>
        <v>OTP Achieved</v>
      </c>
    </row>
    <row r="1003" spans="2:40" ht="15.75" customHeight="1">
      <c r="B1003" s="25"/>
      <c r="I1003" s="25"/>
      <c r="K1003" s="25"/>
      <c r="O1003" s="25"/>
      <c r="U1003" s="25"/>
      <c r="V1003" s="25"/>
      <c r="AA1003" s="27"/>
      <c r="AD1003" s="9" t="str">
        <f t="shared" si="15"/>
        <v>Actual</v>
      </c>
      <c r="AE1003" s="9" t="str">
        <f t="shared" si="16"/>
        <v/>
      </c>
      <c r="AF1003" s="9">
        <f>HOUR(O1003)</f>
        <v>0</v>
      </c>
      <c r="AG1003" s="9">
        <f>DAY(O1003)</f>
        <v>0</v>
      </c>
      <c r="AH1003" s="9">
        <f>IFERROR((I1003-K1003)*24*60,0)</f>
        <v>0</v>
      </c>
      <c r="AI1003" s="9">
        <f t="shared" si="17"/>
        <v>0</v>
      </c>
      <c r="AJ1003" s="9">
        <f>C1003</f>
        <v>0</v>
      </c>
      <c r="AK1003" s="9">
        <f>IF(P1003="completed",((V1003-K1003)*24*60),0)</f>
        <v>0</v>
      </c>
      <c r="AL1003" s="9">
        <f>IF(P1003="completed",((U1003-K1003)*24*60),0)</f>
        <v>0</v>
      </c>
      <c r="AM1003" s="9" t="str">
        <f t="shared" si="18"/>
        <v>OTP Breached</v>
      </c>
      <c r="AN1003" s="9" t="str">
        <f t="shared" si="19"/>
        <v>OTP Achieved</v>
      </c>
    </row>
    <row r="1004" spans="2:40" ht="15.75" customHeight="1">
      <c r="B1004" s="25"/>
      <c r="I1004" s="25"/>
      <c r="K1004" s="25"/>
      <c r="O1004" s="25"/>
      <c r="U1004" s="25"/>
      <c r="V1004" s="25"/>
      <c r="AA1004" s="27"/>
      <c r="AD1004" s="9" t="str">
        <f t="shared" si="15"/>
        <v>Actual</v>
      </c>
      <c r="AE1004" s="9" t="str">
        <f t="shared" si="16"/>
        <v/>
      </c>
      <c r="AF1004" s="9">
        <f>HOUR(O1004)</f>
        <v>0</v>
      </c>
      <c r="AG1004" s="9">
        <f>DAY(O1004)</f>
        <v>0</v>
      </c>
      <c r="AH1004" s="9">
        <f>IFERROR((I1004-K1004)*24*60,0)</f>
        <v>0</v>
      </c>
      <c r="AI1004" s="9">
        <f t="shared" si="17"/>
        <v>0</v>
      </c>
      <c r="AJ1004" s="9">
        <f>C1004</f>
        <v>0</v>
      </c>
      <c r="AK1004" s="9">
        <f>IF(P1004="completed",((V1004-K1004)*24*60),0)</f>
        <v>0</v>
      </c>
      <c r="AL1004" s="9">
        <f>IF(P1004="completed",((U1004-K1004)*24*60),0)</f>
        <v>0</v>
      </c>
      <c r="AM1004" s="9" t="str">
        <f t="shared" si="18"/>
        <v>OTP Breached</v>
      </c>
      <c r="AN1004" s="9" t="str">
        <f t="shared" si="19"/>
        <v>OTP Achieved</v>
      </c>
    </row>
    <row r="1005" spans="2:40" ht="15.75" customHeight="1">
      <c r="B1005" s="25"/>
      <c r="I1005" s="25"/>
      <c r="K1005" s="25"/>
      <c r="O1005" s="25"/>
      <c r="U1005" s="25"/>
      <c r="V1005" s="25"/>
      <c r="AA1005" s="27"/>
      <c r="AD1005" s="9" t="str">
        <f t="shared" si="15"/>
        <v>Actual</v>
      </c>
      <c r="AE1005" s="9" t="str">
        <f t="shared" si="16"/>
        <v/>
      </c>
      <c r="AF1005" s="9">
        <f>HOUR(O1005)</f>
        <v>0</v>
      </c>
      <c r="AG1005" s="9">
        <f>DAY(O1005)</f>
        <v>0</v>
      </c>
      <c r="AH1005" s="9">
        <f>IFERROR((I1005-K1005)*24*60,0)</f>
        <v>0</v>
      </c>
      <c r="AI1005" s="9">
        <f t="shared" si="17"/>
        <v>0</v>
      </c>
      <c r="AJ1005" s="9">
        <f>C1005</f>
        <v>0</v>
      </c>
      <c r="AK1005" s="9">
        <f>IF(P1005="completed",((V1005-K1005)*24*60),0)</f>
        <v>0</v>
      </c>
      <c r="AL1005" s="9">
        <f>IF(P1005="completed",((U1005-K1005)*24*60),0)</f>
        <v>0</v>
      </c>
      <c r="AM1005" s="9" t="str">
        <f t="shared" si="18"/>
        <v>OTP Breached</v>
      </c>
      <c r="AN1005" s="9" t="str">
        <f t="shared" si="19"/>
        <v>OTP Achieved</v>
      </c>
    </row>
    <row r="1006" spans="2:40" ht="15.75" customHeight="1">
      <c r="B1006" s="25"/>
      <c r="I1006" s="25"/>
      <c r="K1006" s="25"/>
      <c r="O1006" s="25"/>
      <c r="U1006" s="25"/>
      <c r="V1006" s="25"/>
      <c r="AA1006" s="27"/>
      <c r="AD1006" s="9" t="str">
        <f t="shared" si="15"/>
        <v>Actual</v>
      </c>
      <c r="AE1006" s="9" t="str">
        <f t="shared" si="16"/>
        <v/>
      </c>
      <c r="AF1006" s="9">
        <f>HOUR(O1006)</f>
        <v>0</v>
      </c>
      <c r="AG1006" s="9">
        <f>DAY(O1006)</f>
        <v>0</v>
      </c>
      <c r="AH1006" s="9">
        <f>IFERROR((I1006-K1006)*24*60,0)</f>
        <v>0</v>
      </c>
      <c r="AI1006" s="9">
        <f t="shared" si="17"/>
        <v>0</v>
      </c>
      <c r="AJ1006" s="9">
        <f>C1006</f>
        <v>0</v>
      </c>
      <c r="AK1006" s="9">
        <f>IF(P1006="completed",((V1006-K1006)*24*60),0)</f>
        <v>0</v>
      </c>
      <c r="AL1006" s="9">
        <f>IF(P1006="completed",((U1006-K1006)*24*60),0)</f>
        <v>0</v>
      </c>
      <c r="AM1006" s="9" t="str">
        <f t="shared" si="18"/>
        <v>OTP Breached</v>
      </c>
      <c r="AN1006" s="9" t="str">
        <f t="shared" si="19"/>
        <v>OTP Achieved</v>
      </c>
    </row>
    <row r="1007" spans="2:40" ht="15.75" customHeight="1">
      <c r="B1007" s="25"/>
      <c r="I1007" s="25"/>
      <c r="K1007" s="25"/>
      <c r="O1007" s="25"/>
      <c r="U1007" s="25"/>
      <c r="V1007" s="25"/>
      <c r="AA1007" s="27"/>
      <c r="AD1007" s="9" t="str">
        <f t="shared" si="15"/>
        <v>Actual</v>
      </c>
      <c r="AE1007" s="9" t="str">
        <f t="shared" si="16"/>
        <v/>
      </c>
      <c r="AF1007" s="9">
        <f>HOUR(O1007)</f>
        <v>0</v>
      </c>
      <c r="AG1007" s="9">
        <f>DAY(O1007)</f>
        <v>0</v>
      </c>
      <c r="AH1007" s="9">
        <f>IFERROR((I1007-K1007)*24*60,0)</f>
        <v>0</v>
      </c>
      <c r="AI1007" s="9">
        <f t="shared" si="17"/>
        <v>0</v>
      </c>
      <c r="AJ1007" s="9">
        <f>C1007</f>
        <v>0</v>
      </c>
      <c r="AK1007" s="9">
        <f>IF(P1007="completed",((V1007-K1007)*24*60),0)</f>
        <v>0</v>
      </c>
      <c r="AL1007" s="9">
        <f>IF(P1007="completed",((U1007-K1007)*24*60),0)</f>
        <v>0</v>
      </c>
      <c r="AM1007" s="9" t="str">
        <f t="shared" si="18"/>
        <v>OTP Breached</v>
      </c>
      <c r="AN1007" s="9" t="str">
        <f t="shared" si="19"/>
        <v>OTP Achieved</v>
      </c>
    </row>
    <row r="1008" spans="2:40" ht="15.75" customHeight="1">
      <c r="B1008" s="25"/>
      <c r="I1008" s="25"/>
      <c r="K1008" s="25"/>
      <c r="O1008" s="25"/>
      <c r="U1008" s="25"/>
      <c r="V1008" s="25"/>
      <c r="AA1008" s="27"/>
      <c r="AD1008" s="9" t="str">
        <f t="shared" si="15"/>
        <v>Actual</v>
      </c>
      <c r="AE1008" s="9" t="str">
        <f t="shared" si="16"/>
        <v/>
      </c>
      <c r="AF1008" s="9">
        <f>HOUR(O1008)</f>
        <v>0</v>
      </c>
      <c r="AG1008" s="9">
        <f>DAY(O1008)</f>
        <v>0</v>
      </c>
      <c r="AH1008" s="9">
        <f>IFERROR((I1008-K1008)*24*60,0)</f>
        <v>0</v>
      </c>
      <c r="AI1008" s="9">
        <f t="shared" si="17"/>
        <v>0</v>
      </c>
      <c r="AJ1008" s="9">
        <f>C1008</f>
        <v>0</v>
      </c>
      <c r="AK1008" s="9">
        <f>IF(P1008="completed",((V1008-K1008)*24*60),0)</f>
        <v>0</v>
      </c>
      <c r="AL1008" s="9">
        <f>IF(P1008="completed",((U1008-K1008)*24*60),0)</f>
        <v>0</v>
      </c>
      <c r="AM1008" s="9" t="str">
        <f t="shared" si="18"/>
        <v>OTP Breached</v>
      </c>
      <c r="AN1008" s="9" t="str">
        <f t="shared" si="19"/>
        <v>OTP Achieved</v>
      </c>
    </row>
    <row r="1009" spans="2:40" ht="15.75" customHeight="1">
      <c r="B1009" s="25"/>
      <c r="I1009" s="25"/>
      <c r="K1009" s="25"/>
      <c r="O1009" s="25"/>
      <c r="U1009" s="25"/>
      <c r="V1009" s="25"/>
      <c r="AA1009" s="27"/>
      <c r="AD1009" s="9" t="str">
        <f t="shared" si="15"/>
        <v>Actual</v>
      </c>
      <c r="AE1009" s="9" t="str">
        <f t="shared" si="16"/>
        <v/>
      </c>
      <c r="AF1009" s="9">
        <f>HOUR(O1009)</f>
        <v>0</v>
      </c>
      <c r="AG1009" s="9">
        <f>DAY(O1009)</f>
        <v>0</v>
      </c>
      <c r="AH1009" s="9">
        <f>IFERROR((I1009-K1009)*24*60,0)</f>
        <v>0</v>
      </c>
      <c r="AI1009" s="9">
        <f t="shared" si="17"/>
        <v>0</v>
      </c>
      <c r="AJ1009" s="9">
        <f>C1009</f>
        <v>0</v>
      </c>
      <c r="AK1009" s="9">
        <f>IF(P1009="completed",((V1009-K1009)*24*60),0)</f>
        <v>0</v>
      </c>
      <c r="AL1009" s="9">
        <f>IF(P1009="completed",((U1009-K1009)*24*60),0)</f>
        <v>0</v>
      </c>
      <c r="AM1009" s="9" t="str">
        <f t="shared" si="18"/>
        <v>OTP Breached</v>
      </c>
      <c r="AN1009" s="9" t="str">
        <f t="shared" si="19"/>
        <v>OTP Achieved</v>
      </c>
    </row>
    <row r="1010" spans="2:40" ht="15.75" customHeight="1">
      <c r="B1010" s="25"/>
      <c r="I1010" s="25"/>
      <c r="K1010" s="25"/>
      <c r="O1010" s="25"/>
      <c r="U1010" s="25"/>
      <c r="V1010" s="25"/>
      <c r="AA1010" s="27"/>
      <c r="AD1010" s="9" t="str">
        <f t="shared" si="15"/>
        <v>Actual</v>
      </c>
      <c r="AE1010" s="9" t="str">
        <f t="shared" si="16"/>
        <v/>
      </c>
      <c r="AF1010" s="9">
        <f>HOUR(O1010)</f>
        <v>0</v>
      </c>
      <c r="AG1010" s="9">
        <f>DAY(O1010)</f>
        <v>0</v>
      </c>
      <c r="AH1010" s="9">
        <f>IFERROR((I1010-K1010)*24*60,0)</f>
        <v>0</v>
      </c>
      <c r="AI1010" s="9">
        <f t="shared" si="17"/>
        <v>0</v>
      </c>
      <c r="AJ1010" s="9">
        <f>C1010</f>
        <v>0</v>
      </c>
      <c r="AK1010" s="9">
        <f>IF(P1010="completed",((V1010-K1010)*24*60),0)</f>
        <v>0</v>
      </c>
      <c r="AL1010" s="9">
        <f>IF(P1010="completed",((U1010-K1010)*24*60),0)</f>
        <v>0</v>
      </c>
      <c r="AM1010" s="9" t="str">
        <f t="shared" si="18"/>
        <v>OTP Breached</v>
      </c>
      <c r="AN1010" s="9" t="str">
        <f t="shared" si="19"/>
        <v>OTP Achieved</v>
      </c>
    </row>
    <row r="1011" spans="2:40" ht="15.75" customHeight="1">
      <c r="B1011" s="25"/>
      <c r="I1011" s="25"/>
      <c r="K1011" s="25"/>
      <c r="O1011" s="25"/>
      <c r="U1011" s="25"/>
      <c r="V1011" s="25"/>
      <c r="AA1011" s="27"/>
      <c r="AD1011" s="9" t="str">
        <f t="shared" si="15"/>
        <v>Actual</v>
      </c>
      <c r="AE1011" s="9" t="str">
        <f t="shared" si="16"/>
        <v/>
      </c>
      <c r="AF1011" s="9">
        <f>HOUR(O1011)</f>
        <v>0</v>
      </c>
      <c r="AG1011" s="9">
        <f>DAY(O1011)</f>
        <v>0</v>
      </c>
      <c r="AH1011" s="9">
        <f>IFERROR((I1011-K1011)*24*60,0)</f>
        <v>0</v>
      </c>
      <c r="AI1011" s="9">
        <f t="shared" si="17"/>
        <v>0</v>
      </c>
      <c r="AJ1011" s="9">
        <f>C1011</f>
        <v>0</v>
      </c>
      <c r="AK1011" s="9">
        <f>IF(P1011="completed",((V1011-K1011)*24*60),0)</f>
        <v>0</v>
      </c>
      <c r="AL1011" s="9">
        <f>IF(P1011="completed",((U1011-K1011)*24*60),0)</f>
        <v>0</v>
      </c>
      <c r="AM1011" s="9" t="str">
        <f t="shared" si="18"/>
        <v>OTP Breached</v>
      </c>
      <c r="AN1011" s="9" t="str">
        <f t="shared" si="19"/>
        <v>OTP Achieved</v>
      </c>
    </row>
    <row r="1012" spans="2:40" ht="15.75" customHeight="1">
      <c r="B1012" s="25"/>
      <c r="I1012" s="25"/>
      <c r="K1012" s="25"/>
      <c r="O1012" s="25"/>
      <c r="U1012" s="25"/>
      <c r="V1012" s="25"/>
      <c r="AA1012" s="27"/>
      <c r="AD1012" s="9" t="str">
        <f t="shared" si="15"/>
        <v>Actual</v>
      </c>
      <c r="AE1012" s="9" t="str">
        <f t="shared" si="16"/>
        <v/>
      </c>
      <c r="AF1012" s="9">
        <f>HOUR(O1012)</f>
        <v>0</v>
      </c>
      <c r="AG1012" s="9">
        <f>DAY(O1012)</f>
        <v>0</v>
      </c>
      <c r="AH1012" s="9">
        <f>IFERROR((I1012-K1012)*24*60,0)</f>
        <v>0</v>
      </c>
      <c r="AI1012" s="9">
        <f t="shared" si="17"/>
        <v>0</v>
      </c>
      <c r="AJ1012" s="9">
        <f>C1012</f>
        <v>0</v>
      </c>
      <c r="AK1012" s="9">
        <f>IF(P1012="completed",((V1012-K1012)*24*60),0)</f>
        <v>0</v>
      </c>
      <c r="AL1012" s="9">
        <f>IF(P1012="completed",((U1012-K1012)*24*60),0)</f>
        <v>0</v>
      </c>
      <c r="AM1012" s="9" t="str">
        <f t="shared" si="18"/>
        <v>OTP Breached</v>
      </c>
      <c r="AN1012" s="9" t="str">
        <f t="shared" si="19"/>
        <v>OTP Achieved</v>
      </c>
    </row>
    <row r="1013" spans="2:40" ht="15.75" customHeight="1">
      <c r="B1013" s="25"/>
      <c r="I1013" s="25"/>
      <c r="K1013" s="25"/>
      <c r="O1013" s="25"/>
      <c r="U1013" s="25"/>
      <c r="V1013" s="25"/>
      <c r="AA1013" s="27"/>
      <c r="AD1013" s="9" t="str">
        <f t="shared" si="15"/>
        <v>Actual</v>
      </c>
      <c r="AE1013" s="9" t="str">
        <f t="shared" si="16"/>
        <v/>
      </c>
      <c r="AF1013" s="9">
        <f>HOUR(O1013)</f>
        <v>0</v>
      </c>
      <c r="AG1013" s="9">
        <f>DAY(O1013)</f>
        <v>0</v>
      </c>
      <c r="AH1013" s="9">
        <f>IFERROR((I1013-K1013)*24*60,0)</f>
        <v>0</v>
      </c>
      <c r="AI1013" s="9">
        <f t="shared" si="17"/>
        <v>0</v>
      </c>
      <c r="AJ1013" s="9">
        <f>C1013</f>
        <v>0</v>
      </c>
      <c r="AK1013" s="9">
        <f>IF(P1013="completed",((V1013-K1013)*24*60),0)</f>
        <v>0</v>
      </c>
      <c r="AL1013" s="9">
        <f>IF(P1013="completed",((U1013-K1013)*24*60),0)</f>
        <v>0</v>
      </c>
      <c r="AM1013" s="9" t="str">
        <f t="shared" si="18"/>
        <v>OTP Breached</v>
      </c>
      <c r="AN1013" s="9" t="str">
        <f t="shared" si="19"/>
        <v>OTP Achieved</v>
      </c>
    </row>
    <row r="1014" spans="2:40" ht="15.75" customHeight="1">
      <c r="B1014" s="25"/>
      <c r="I1014" s="25"/>
      <c r="K1014" s="25"/>
      <c r="O1014" s="25"/>
      <c r="U1014" s="25"/>
      <c r="V1014" s="25"/>
      <c r="AA1014" s="27"/>
      <c r="AD1014" s="9" t="str">
        <f t="shared" si="15"/>
        <v>Actual</v>
      </c>
      <c r="AE1014" s="9" t="str">
        <f t="shared" si="16"/>
        <v/>
      </c>
      <c r="AF1014" s="9">
        <f>HOUR(O1014)</f>
        <v>0</v>
      </c>
      <c r="AG1014" s="9">
        <f>DAY(O1014)</f>
        <v>0</v>
      </c>
      <c r="AH1014" s="9">
        <f>IFERROR((I1014-K1014)*24*60,0)</f>
        <v>0</v>
      </c>
      <c r="AI1014" s="9">
        <f t="shared" si="17"/>
        <v>0</v>
      </c>
      <c r="AJ1014" s="9">
        <f>C1014</f>
        <v>0</v>
      </c>
      <c r="AK1014" s="9">
        <f>IF(P1014="completed",((V1014-K1014)*24*60),0)</f>
        <v>0</v>
      </c>
      <c r="AL1014" s="9">
        <f>IF(P1014="completed",((U1014-K1014)*24*60),0)</f>
        <v>0</v>
      </c>
      <c r="AM1014" s="9" t="str">
        <f t="shared" si="18"/>
        <v>OTP Breached</v>
      </c>
      <c r="AN1014" s="9" t="str">
        <f t="shared" si="19"/>
        <v>OTP Achieved</v>
      </c>
    </row>
    <row r="1015" spans="2:40" ht="15.75" customHeight="1">
      <c r="B1015" s="25"/>
      <c r="I1015" s="25"/>
      <c r="K1015" s="25"/>
      <c r="O1015" s="25"/>
      <c r="U1015" s="25"/>
      <c r="V1015" s="25"/>
      <c r="AA1015" s="27"/>
      <c r="AD1015" s="9" t="str">
        <f t="shared" si="15"/>
        <v>Actual</v>
      </c>
      <c r="AE1015" s="9" t="str">
        <f t="shared" si="16"/>
        <v/>
      </c>
      <c r="AF1015" s="9">
        <f>HOUR(O1015)</f>
        <v>0</v>
      </c>
      <c r="AG1015" s="9">
        <f>DAY(O1015)</f>
        <v>0</v>
      </c>
      <c r="AH1015" s="9">
        <f>IFERROR((I1015-K1015)*24*60,0)</f>
        <v>0</v>
      </c>
      <c r="AI1015" s="9">
        <f t="shared" si="17"/>
        <v>0</v>
      </c>
      <c r="AJ1015" s="9">
        <f>C1015</f>
        <v>0</v>
      </c>
      <c r="AK1015" s="9">
        <f>IF(P1015="completed",((V1015-K1015)*24*60),0)</f>
        <v>0</v>
      </c>
      <c r="AL1015" s="9">
        <f>IF(P1015="completed",((U1015-K1015)*24*60),0)</f>
        <v>0</v>
      </c>
      <c r="AM1015" s="9" t="str">
        <f t="shared" si="18"/>
        <v>OTP Breached</v>
      </c>
      <c r="AN1015" s="9" t="str">
        <f t="shared" si="19"/>
        <v>OTP Achieved</v>
      </c>
    </row>
    <row r="1016" spans="2:40" ht="15.75" customHeight="1">
      <c r="B1016" s="25"/>
      <c r="I1016" s="25"/>
      <c r="K1016" s="25"/>
      <c r="O1016" s="25"/>
      <c r="U1016" s="25"/>
      <c r="V1016" s="25"/>
      <c r="AA1016" s="27"/>
      <c r="AD1016" s="9" t="str">
        <f t="shared" si="15"/>
        <v>Actual</v>
      </c>
      <c r="AE1016" s="9" t="str">
        <f t="shared" si="16"/>
        <v/>
      </c>
      <c r="AF1016" s="9">
        <f>HOUR(O1016)</f>
        <v>0</v>
      </c>
      <c r="AG1016" s="9">
        <f>DAY(O1016)</f>
        <v>0</v>
      </c>
      <c r="AH1016" s="9">
        <f>IFERROR((I1016-K1016)*24*60,0)</f>
        <v>0</v>
      </c>
      <c r="AI1016" s="9">
        <f t="shared" si="17"/>
        <v>0</v>
      </c>
      <c r="AJ1016" s="9">
        <f>C1016</f>
        <v>0</v>
      </c>
      <c r="AK1016" s="9">
        <f>IF(P1016="completed",((V1016-K1016)*24*60),0)</f>
        <v>0</v>
      </c>
      <c r="AL1016" s="9">
        <f>IF(P1016="completed",((U1016-K1016)*24*60),0)</f>
        <v>0</v>
      </c>
      <c r="AM1016" s="9" t="str">
        <f t="shared" si="18"/>
        <v>OTP Breached</v>
      </c>
      <c r="AN1016" s="9" t="str">
        <f t="shared" si="19"/>
        <v>OTP Achieved</v>
      </c>
    </row>
    <row r="1017" spans="2:40" ht="15.75" customHeight="1">
      <c r="B1017" s="25"/>
      <c r="I1017" s="25"/>
      <c r="K1017" s="25"/>
      <c r="O1017" s="25"/>
      <c r="U1017" s="25"/>
      <c r="V1017" s="25"/>
      <c r="AA1017" s="27"/>
      <c r="AD1017" s="9" t="str">
        <f t="shared" si="15"/>
        <v>Actual</v>
      </c>
      <c r="AE1017" s="9" t="str">
        <f t="shared" si="16"/>
        <v/>
      </c>
      <c r="AF1017" s="9">
        <f>HOUR(O1017)</f>
        <v>0</v>
      </c>
      <c r="AG1017" s="9">
        <f>DAY(O1017)</f>
        <v>0</v>
      </c>
      <c r="AH1017" s="9">
        <f>IFERROR((I1017-K1017)*24*60,0)</f>
        <v>0</v>
      </c>
      <c r="AI1017" s="9">
        <f t="shared" si="17"/>
        <v>0</v>
      </c>
      <c r="AJ1017" s="9">
        <f>C1017</f>
        <v>0</v>
      </c>
      <c r="AK1017" s="9">
        <f>IF(P1017="completed",((V1017-K1017)*24*60),0)</f>
        <v>0</v>
      </c>
      <c r="AL1017" s="9">
        <f>IF(P1017="completed",((U1017-K1017)*24*60),0)</f>
        <v>0</v>
      </c>
      <c r="AM1017" s="9" t="str">
        <f t="shared" si="18"/>
        <v>OTP Breached</v>
      </c>
      <c r="AN1017" s="9" t="str">
        <f t="shared" si="19"/>
        <v>OTP Achieved</v>
      </c>
    </row>
    <row r="1018" spans="2:40" ht="15.75" customHeight="1">
      <c r="B1018" s="25"/>
      <c r="I1018" s="25"/>
      <c r="K1018" s="25"/>
      <c r="O1018" s="25"/>
      <c r="U1018" s="25"/>
      <c r="V1018" s="25"/>
      <c r="AA1018" s="27"/>
      <c r="AD1018" s="9" t="str">
        <f t="shared" si="15"/>
        <v>Actual</v>
      </c>
      <c r="AE1018" s="9" t="str">
        <f t="shared" si="16"/>
        <v/>
      </c>
      <c r="AF1018" s="9">
        <f>HOUR(O1018)</f>
        <v>0</v>
      </c>
      <c r="AG1018" s="9">
        <f>DAY(O1018)</f>
        <v>0</v>
      </c>
      <c r="AH1018" s="9">
        <f>IFERROR((I1018-K1018)*24*60,0)</f>
        <v>0</v>
      </c>
      <c r="AI1018" s="9">
        <f t="shared" si="17"/>
        <v>0</v>
      </c>
      <c r="AJ1018" s="9">
        <f>C1018</f>
        <v>0</v>
      </c>
      <c r="AK1018" s="9">
        <f>IF(P1018="completed",((V1018-K1018)*24*60),0)</f>
        <v>0</v>
      </c>
      <c r="AL1018" s="9">
        <f>IF(P1018="completed",((U1018-K1018)*24*60),0)</f>
        <v>0</v>
      </c>
      <c r="AM1018" s="9" t="str">
        <f t="shared" si="18"/>
        <v>OTP Breached</v>
      </c>
      <c r="AN1018" s="9" t="str">
        <f t="shared" si="19"/>
        <v>OTP Achieved</v>
      </c>
    </row>
    <row r="1019" spans="2:40" ht="15.75" customHeight="1">
      <c r="B1019" s="25"/>
      <c r="I1019" s="25"/>
      <c r="K1019" s="25"/>
      <c r="O1019" s="25"/>
      <c r="U1019" s="25"/>
      <c r="V1019" s="25"/>
      <c r="AA1019" s="27"/>
      <c r="AD1019" s="9" t="str">
        <f t="shared" si="15"/>
        <v>Actual</v>
      </c>
      <c r="AE1019" s="9" t="str">
        <f t="shared" si="16"/>
        <v/>
      </c>
      <c r="AF1019" s="9">
        <f>HOUR(O1019)</f>
        <v>0</v>
      </c>
      <c r="AG1019" s="9">
        <f>DAY(O1019)</f>
        <v>0</v>
      </c>
      <c r="AH1019" s="9">
        <f>IFERROR((I1019-K1019)*24*60,0)</f>
        <v>0</v>
      </c>
      <c r="AI1019" s="9">
        <f t="shared" si="17"/>
        <v>0</v>
      </c>
      <c r="AJ1019" s="9">
        <f>C1019</f>
        <v>0</v>
      </c>
      <c r="AK1019" s="9">
        <f>IF(P1019="completed",((V1019-K1019)*24*60),0)</f>
        <v>0</v>
      </c>
      <c r="AL1019" s="9">
        <f>IF(P1019="completed",((U1019-K1019)*24*60),0)</f>
        <v>0</v>
      </c>
      <c r="AM1019" s="9" t="str">
        <f t="shared" si="18"/>
        <v>OTP Breached</v>
      </c>
      <c r="AN1019" s="9" t="str">
        <f t="shared" si="19"/>
        <v>OTP Achieved</v>
      </c>
    </row>
    <row r="1020" spans="2:40" ht="15.75" customHeight="1">
      <c r="B1020" s="25"/>
      <c r="I1020" s="25"/>
      <c r="K1020" s="25"/>
      <c r="O1020" s="25"/>
      <c r="U1020" s="25"/>
      <c r="V1020" s="25"/>
      <c r="AA1020" s="27"/>
      <c r="AD1020" s="9" t="str">
        <f t="shared" si="15"/>
        <v>Actual</v>
      </c>
      <c r="AE1020" s="9" t="str">
        <f t="shared" si="16"/>
        <v/>
      </c>
      <c r="AF1020" s="9">
        <f>HOUR(O1020)</f>
        <v>0</v>
      </c>
      <c r="AG1020" s="9">
        <f>DAY(O1020)</f>
        <v>0</v>
      </c>
      <c r="AH1020" s="9">
        <f>IFERROR((I1020-K1020)*24*60,0)</f>
        <v>0</v>
      </c>
      <c r="AI1020" s="9">
        <f t="shared" si="17"/>
        <v>0</v>
      </c>
      <c r="AJ1020" s="9">
        <f>C1020</f>
        <v>0</v>
      </c>
      <c r="AK1020" s="9">
        <f>IF(P1020="completed",((V1020-K1020)*24*60),0)</f>
        <v>0</v>
      </c>
      <c r="AL1020" s="9">
        <f>IF(P1020="completed",((U1020-K1020)*24*60),0)</f>
        <v>0</v>
      </c>
      <c r="AM1020" s="9" t="str">
        <f t="shared" si="18"/>
        <v>OTP Breached</v>
      </c>
      <c r="AN1020" s="9" t="str">
        <f t="shared" si="19"/>
        <v>OTP Achieved</v>
      </c>
    </row>
    <row r="1021" spans="2:40" ht="15.75" customHeight="1">
      <c r="B1021" s="25"/>
      <c r="I1021" s="25"/>
      <c r="K1021" s="25"/>
      <c r="O1021" s="25"/>
      <c r="U1021" s="25"/>
      <c r="V1021" s="25"/>
      <c r="Y1021" s="25"/>
      <c r="AA1021" s="27"/>
      <c r="AD1021" s="9" t="str">
        <f t="shared" si="15"/>
        <v>Actual</v>
      </c>
      <c r="AE1021" s="9" t="str">
        <f t="shared" si="16"/>
        <v/>
      </c>
      <c r="AF1021" s="9">
        <f>HOUR(O1021)</f>
        <v>0</v>
      </c>
      <c r="AG1021" s="9">
        <f>DAY(O1021)</f>
        <v>0</v>
      </c>
      <c r="AH1021" s="9">
        <f>IFERROR((I1021-K1021)*24*60,0)</f>
        <v>0</v>
      </c>
      <c r="AI1021" s="9">
        <f t="shared" si="17"/>
        <v>0</v>
      </c>
      <c r="AJ1021" s="9">
        <f>C1021</f>
        <v>0</v>
      </c>
      <c r="AK1021" s="9">
        <f>IF(P1021="completed",((V1021-K1021)*24*60),0)</f>
        <v>0</v>
      </c>
      <c r="AL1021" s="9">
        <f>IF(P1021="completed",((U1021-K1021)*24*60),0)</f>
        <v>0</v>
      </c>
      <c r="AM1021" s="9" t="str">
        <f t="shared" si="18"/>
        <v>OTP Breached</v>
      </c>
      <c r="AN1021" s="9" t="str">
        <f t="shared" si="19"/>
        <v>OTP Achieved</v>
      </c>
    </row>
    <row r="1022" spans="2:40" ht="15.75" customHeight="1">
      <c r="B1022" s="25"/>
      <c r="I1022" s="25"/>
      <c r="K1022" s="25"/>
      <c r="O1022" s="25"/>
      <c r="U1022" s="25"/>
      <c r="V1022" s="25"/>
      <c r="AA1022" s="27"/>
      <c r="AD1022" s="9" t="str">
        <f t="shared" ref="AD1022:AD1276" si="20">IF(LEFT(R1022,2)="AM","Dummy","Actual")</f>
        <v>Actual</v>
      </c>
      <c r="AE1022" s="9" t="str">
        <f t="shared" ref="AE1022:AE1276" si="21">LEFT(H1022,4)</f>
        <v/>
      </c>
      <c r="AF1022" s="9">
        <f>HOUR(O1022)</f>
        <v>0</v>
      </c>
      <c r="AG1022" s="9">
        <f>DAY(O1022)</f>
        <v>0</v>
      </c>
      <c r="AH1022" s="9">
        <f>IFERROR((I1022-K1022)*24*60,0)</f>
        <v>0</v>
      </c>
      <c r="AI1022" s="9">
        <f t="shared" ref="AI1022:AI1276" si="22">IF(AH1022&gt;0,AH1022,0)</f>
        <v>0</v>
      </c>
      <c r="AJ1022" s="9">
        <f>C1022</f>
        <v>0</v>
      </c>
      <c r="AK1022" s="9">
        <f>IF(P1022="completed",((V1022-K1022)*24*60),0)</f>
        <v>0</v>
      </c>
      <c r="AL1022" s="9">
        <f>IF(P1022="completed",((U1022-K1022)*24*60),0)</f>
        <v>0</v>
      </c>
      <c r="AM1022" s="9" t="str">
        <f t="shared" ref="AM1022:AM1276" si="23">IF(AK1022&lt;AL1022,"OTP Achieved","OTP Breached")</f>
        <v>OTP Breached</v>
      </c>
      <c r="AN1022" s="9" t="str">
        <f t="shared" ref="AN1022:AN1276" si="24">IF(AK1022&lt;(AL1022+3),"OTP Achieved","OTP Breached")</f>
        <v>OTP Achieved</v>
      </c>
    </row>
    <row r="1023" spans="2:40" ht="15.75" customHeight="1">
      <c r="B1023" s="25"/>
      <c r="I1023" s="25"/>
      <c r="K1023" s="25"/>
      <c r="O1023" s="25"/>
      <c r="U1023" s="25"/>
      <c r="V1023" s="25"/>
      <c r="AA1023" s="27"/>
      <c r="AD1023" s="9" t="str">
        <f t="shared" si="20"/>
        <v>Actual</v>
      </c>
      <c r="AE1023" s="9" t="str">
        <f t="shared" si="21"/>
        <v/>
      </c>
      <c r="AF1023" s="9">
        <f>HOUR(O1023)</f>
        <v>0</v>
      </c>
      <c r="AG1023" s="9">
        <f>DAY(O1023)</f>
        <v>0</v>
      </c>
      <c r="AH1023" s="9">
        <f>IFERROR((I1023-K1023)*24*60,0)</f>
        <v>0</v>
      </c>
      <c r="AI1023" s="9">
        <f t="shared" si="22"/>
        <v>0</v>
      </c>
      <c r="AJ1023" s="9">
        <f>C1023</f>
        <v>0</v>
      </c>
      <c r="AK1023" s="9">
        <f>IF(P1023="completed",((V1023-K1023)*24*60),0)</f>
        <v>0</v>
      </c>
      <c r="AL1023" s="9">
        <f>IF(P1023="completed",((U1023-K1023)*24*60),0)</f>
        <v>0</v>
      </c>
      <c r="AM1023" s="9" t="str">
        <f t="shared" si="23"/>
        <v>OTP Breached</v>
      </c>
      <c r="AN1023" s="9" t="str">
        <f t="shared" si="24"/>
        <v>OTP Achieved</v>
      </c>
    </row>
    <row r="1024" spans="2:40" ht="15.75" customHeight="1">
      <c r="B1024" s="25"/>
      <c r="I1024" s="25"/>
      <c r="K1024" s="25"/>
      <c r="O1024" s="25"/>
      <c r="U1024" s="25"/>
      <c r="V1024" s="25"/>
      <c r="AA1024" s="27"/>
      <c r="AD1024" s="9" t="str">
        <f t="shared" si="20"/>
        <v>Actual</v>
      </c>
      <c r="AE1024" s="9" t="str">
        <f t="shared" si="21"/>
        <v/>
      </c>
      <c r="AF1024" s="9">
        <f>HOUR(O1024)</f>
        <v>0</v>
      </c>
      <c r="AG1024" s="9">
        <f>DAY(O1024)</f>
        <v>0</v>
      </c>
      <c r="AH1024" s="9">
        <f>IFERROR((I1024-K1024)*24*60,0)</f>
        <v>0</v>
      </c>
      <c r="AI1024" s="9">
        <f t="shared" si="22"/>
        <v>0</v>
      </c>
      <c r="AJ1024" s="9">
        <f>C1024</f>
        <v>0</v>
      </c>
      <c r="AK1024" s="9">
        <f>IF(P1024="completed",((V1024-K1024)*24*60),0)</f>
        <v>0</v>
      </c>
      <c r="AL1024" s="9">
        <f>IF(P1024="completed",((U1024-K1024)*24*60),0)</f>
        <v>0</v>
      </c>
      <c r="AM1024" s="9" t="str">
        <f t="shared" si="23"/>
        <v>OTP Breached</v>
      </c>
      <c r="AN1024" s="9" t="str">
        <f t="shared" si="24"/>
        <v>OTP Achieved</v>
      </c>
    </row>
    <row r="1025" spans="2:40" ht="15.75" customHeight="1">
      <c r="B1025" s="25"/>
      <c r="I1025" s="25"/>
      <c r="K1025" s="25"/>
      <c r="O1025" s="25"/>
      <c r="U1025" s="25"/>
      <c r="V1025" s="25"/>
      <c r="AA1025" s="27"/>
      <c r="AD1025" s="9" t="str">
        <f t="shared" si="20"/>
        <v>Actual</v>
      </c>
      <c r="AE1025" s="9" t="str">
        <f t="shared" si="21"/>
        <v/>
      </c>
      <c r="AF1025" s="9">
        <f>HOUR(O1025)</f>
        <v>0</v>
      </c>
      <c r="AG1025" s="9">
        <f>DAY(O1025)</f>
        <v>0</v>
      </c>
      <c r="AH1025" s="9">
        <f>IFERROR((I1025-K1025)*24*60,0)</f>
        <v>0</v>
      </c>
      <c r="AI1025" s="9">
        <f t="shared" si="22"/>
        <v>0</v>
      </c>
      <c r="AJ1025" s="9">
        <f>C1025</f>
        <v>0</v>
      </c>
      <c r="AK1025" s="9">
        <f>IF(P1025="completed",((V1025-K1025)*24*60),0)</f>
        <v>0</v>
      </c>
      <c r="AL1025" s="9">
        <f>IF(P1025="completed",((U1025-K1025)*24*60),0)</f>
        <v>0</v>
      </c>
      <c r="AM1025" s="9" t="str">
        <f t="shared" si="23"/>
        <v>OTP Breached</v>
      </c>
      <c r="AN1025" s="9" t="str">
        <f t="shared" si="24"/>
        <v>OTP Achieved</v>
      </c>
    </row>
    <row r="1026" spans="2:40" ht="15.75" customHeight="1">
      <c r="B1026" s="25"/>
      <c r="I1026" s="25"/>
      <c r="K1026" s="25"/>
      <c r="O1026" s="25"/>
      <c r="U1026" s="25"/>
      <c r="V1026" s="25"/>
      <c r="AA1026" s="27"/>
      <c r="AD1026" s="9" t="str">
        <f t="shared" si="20"/>
        <v>Actual</v>
      </c>
      <c r="AE1026" s="9" t="str">
        <f t="shared" si="21"/>
        <v/>
      </c>
      <c r="AF1026" s="9">
        <f>HOUR(O1026)</f>
        <v>0</v>
      </c>
      <c r="AG1026" s="9">
        <f>DAY(O1026)</f>
        <v>0</v>
      </c>
      <c r="AH1026" s="9">
        <f>IFERROR((I1026-K1026)*24*60,0)</f>
        <v>0</v>
      </c>
      <c r="AI1026" s="9">
        <f t="shared" si="22"/>
        <v>0</v>
      </c>
      <c r="AJ1026" s="9">
        <f>C1026</f>
        <v>0</v>
      </c>
      <c r="AK1026" s="9">
        <f>IF(P1026="completed",((V1026-K1026)*24*60),0)</f>
        <v>0</v>
      </c>
      <c r="AL1026" s="9">
        <f>IF(P1026="completed",((U1026-K1026)*24*60),0)</f>
        <v>0</v>
      </c>
      <c r="AM1026" s="9" t="str">
        <f t="shared" si="23"/>
        <v>OTP Breached</v>
      </c>
      <c r="AN1026" s="9" t="str">
        <f t="shared" si="24"/>
        <v>OTP Achieved</v>
      </c>
    </row>
    <row r="1027" spans="2:40" ht="15.75" customHeight="1">
      <c r="B1027" s="25"/>
      <c r="I1027" s="25"/>
      <c r="K1027" s="25"/>
      <c r="O1027" s="25"/>
      <c r="U1027" s="25"/>
      <c r="V1027" s="25"/>
      <c r="AA1027" s="27"/>
      <c r="AD1027" s="9" t="str">
        <f t="shared" si="20"/>
        <v>Actual</v>
      </c>
      <c r="AE1027" s="9" t="str">
        <f t="shared" si="21"/>
        <v/>
      </c>
      <c r="AF1027" s="9">
        <f>HOUR(O1027)</f>
        <v>0</v>
      </c>
      <c r="AG1027" s="9">
        <f>DAY(O1027)</f>
        <v>0</v>
      </c>
      <c r="AH1027" s="9">
        <f>IFERROR((I1027-K1027)*24*60,0)</f>
        <v>0</v>
      </c>
      <c r="AI1027" s="9">
        <f t="shared" si="22"/>
        <v>0</v>
      </c>
      <c r="AJ1027" s="9">
        <f>C1027</f>
        <v>0</v>
      </c>
      <c r="AK1027" s="9">
        <f>IF(P1027="completed",((V1027-K1027)*24*60),0)</f>
        <v>0</v>
      </c>
      <c r="AL1027" s="9">
        <f>IF(P1027="completed",((U1027-K1027)*24*60),0)</f>
        <v>0</v>
      </c>
      <c r="AM1027" s="9" t="str">
        <f t="shared" si="23"/>
        <v>OTP Breached</v>
      </c>
      <c r="AN1027" s="9" t="str">
        <f t="shared" si="24"/>
        <v>OTP Achieved</v>
      </c>
    </row>
    <row r="1028" spans="2:40" ht="15.75" customHeight="1">
      <c r="B1028" s="25"/>
      <c r="I1028" s="25"/>
      <c r="K1028" s="25"/>
      <c r="O1028" s="25"/>
      <c r="U1028" s="25"/>
      <c r="V1028" s="25"/>
      <c r="AA1028" s="27"/>
      <c r="AD1028" s="9" t="str">
        <f t="shared" si="20"/>
        <v>Actual</v>
      </c>
      <c r="AE1028" s="9" t="str">
        <f t="shared" si="21"/>
        <v/>
      </c>
      <c r="AF1028" s="9">
        <f>HOUR(O1028)</f>
        <v>0</v>
      </c>
      <c r="AG1028" s="9">
        <f>DAY(O1028)</f>
        <v>0</v>
      </c>
      <c r="AH1028" s="9">
        <f>IFERROR((I1028-K1028)*24*60,0)</f>
        <v>0</v>
      </c>
      <c r="AI1028" s="9">
        <f t="shared" si="22"/>
        <v>0</v>
      </c>
      <c r="AJ1028" s="9">
        <f>C1028</f>
        <v>0</v>
      </c>
      <c r="AK1028" s="9">
        <f>IF(P1028="completed",((V1028-K1028)*24*60),0)</f>
        <v>0</v>
      </c>
      <c r="AL1028" s="9">
        <f>IF(P1028="completed",((U1028-K1028)*24*60),0)</f>
        <v>0</v>
      </c>
      <c r="AM1028" s="9" t="str">
        <f t="shared" si="23"/>
        <v>OTP Breached</v>
      </c>
      <c r="AN1028" s="9" t="str">
        <f t="shared" si="24"/>
        <v>OTP Achieved</v>
      </c>
    </row>
    <row r="1029" spans="2:40" ht="15.75" customHeight="1">
      <c r="B1029" s="25"/>
      <c r="I1029" s="25"/>
      <c r="K1029" s="25"/>
      <c r="O1029" s="25"/>
      <c r="U1029" s="25"/>
      <c r="V1029" s="25"/>
      <c r="AA1029" s="27"/>
      <c r="AD1029" s="9" t="str">
        <f t="shared" si="20"/>
        <v>Actual</v>
      </c>
      <c r="AE1029" s="9" t="str">
        <f t="shared" si="21"/>
        <v/>
      </c>
      <c r="AF1029" s="9">
        <f>HOUR(O1029)</f>
        <v>0</v>
      </c>
      <c r="AG1029" s="9">
        <f>DAY(O1029)</f>
        <v>0</v>
      </c>
      <c r="AH1029" s="9">
        <f>IFERROR((I1029-K1029)*24*60,0)</f>
        <v>0</v>
      </c>
      <c r="AI1029" s="9">
        <f t="shared" si="22"/>
        <v>0</v>
      </c>
      <c r="AJ1029" s="9">
        <f>C1029</f>
        <v>0</v>
      </c>
      <c r="AK1029" s="9">
        <f>IF(P1029="completed",((V1029-K1029)*24*60),0)</f>
        <v>0</v>
      </c>
      <c r="AL1029" s="9">
        <f>IF(P1029="completed",((U1029-K1029)*24*60),0)</f>
        <v>0</v>
      </c>
      <c r="AM1029" s="9" t="str">
        <f t="shared" si="23"/>
        <v>OTP Breached</v>
      </c>
      <c r="AN1029" s="9" t="str">
        <f t="shared" si="24"/>
        <v>OTP Achieved</v>
      </c>
    </row>
    <row r="1030" spans="2:40" ht="15.75" customHeight="1">
      <c r="B1030" s="25"/>
      <c r="I1030" s="25"/>
      <c r="K1030" s="25"/>
      <c r="O1030" s="25"/>
      <c r="U1030" s="25"/>
      <c r="V1030" s="25"/>
      <c r="AA1030" s="27"/>
      <c r="AD1030" s="9" t="str">
        <f t="shared" si="20"/>
        <v>Actual</v>
      </c>
      <c r="AE1030" s="9" t="str">
        <f t="shared" si="21"/>
        <v/>
      </c>
      <c r="AF1030" s="9">
        <f>HOUR(O1030)</f>
        <v>0</v>
      </c>
      <c r="AG1030" s="9">
        <f>DAY(O1030)</f>
        <v>0</v>
      </c>
      <c r="AH1030" s="9">
        <f>IFERROR((I1030-K1030)*24*60,0)</f>
        <v>0</v>
      </c>
      <c r="AI1030" s="9">
        <f t="shared" si="22"/>
        <v>0</v>
      </c>
      <c r="AJ1030" s="9">
        <f>C1030</f>
        <v>0</v>
      </c>
      <c r="AK1030" s="9">
        <f>IF(P1030="completed",((V1030-K1030)*24*60),0)</f>
        <v>0</v>
      </c>
      <c r="AL1030" s="9">
        <f>IF(P1030="completed",((U1030-K1030)*24*60),0)</f>
        <v>0</v>
      </c>
      <c r="AM1030" s="9" t="str">
        <f t="shared" si="23"/>
        <v>OTP Breached</v>
      </c>
      <c r="AN1030" s="9" t="str">
        <f t="shared" si="24"/>
        <v>OTP Achieved</v>
      </c>
    </row>
    <row r="1031" spans="2:40" ht="15.75" customHeight="1">
      <c r="B1031" s="25"/>
      <c r="I1031" s="25"/>
      <c r="K1031" s="25"/>
      <c r="O1031" s="25"/>
      <c r="U1031" s="25"/>
      <c r="V1031" s="25"/>
      <c r="AA1031" s="27"/>
      <c r="AD1031" s="9" t="str">
        <f t="shared" si="20"/>
        <v>Actual</v>
      </c>
      <c r="AE1031" s="9" t="str">
        <f t="shared" si="21"/>
        <v/>
      </c>
      <c r="AF1031" s="9">
        <f>HOUR(O1031)</f>
        <v>0</v>
      </c>
      <c r="AG1031" s="9">
        <f>DAY(O1031)</f>
        <v>0</v>
      </c>
      <c r="AH1031" s="9">
        <f>IFERROR((I1031-K1031)*24*60,0)</f>
        <v>0</v>
      </c>
      <c r="AI1031" s="9">
        <f t="shared" si="22"/>
        <v>0</v>
      </c>
      <c r="AJ1031" s="9">
        <f>C1031</f>
        <v>0</v>
      </c>
      <c r="AK1031" s="9">
        <f>IF(P1031="completed",((V1031-K1031)*24*60),0)</f>
        <v>0</v>
      </c>
      <c r="AL1031" s="9">
        <f>IF(P1031="completed",((U1031-K1031)*24*60),0)</f>
        <v>0</v>
      </c>
      <c r="AM1031" s="9" t="str">
        <f t="shared" si="23"/>
        <v>OTP Breached</v>
      </c>
      <c r="AN1031" s="9" t="str">
        <f t="shared" si="24"/>
        <v>OTP Achieved</v>
      </c>
    </row>
    <row r="1032" spans="2:40" ht="15.75" customHeight="1">
      <c r="B1032" s="25"/>
      <c r="I1032" s="25"/>
      <c r="K1032" s="25"/>
      <c r="O1032" s="25"/>
      <c r="U1032" s="25"/>
      <c r="V1032" s="25"/>
      <c r="AA1032" s="27"/>
      <c r="AD1032" s="9" t="str">
        <f t="shared" si="20"/>
        <v>Actual</v>
      </c>
      <c r="AE1032" s="9" t="str">
        <f t="shared" si="21"/>
        <v/>
      </c>
      <c r="AF1032" s="9">
        <f>HOUR(O1032)</f>
        <v>0</v>
      </c>
      <c r="AG1032" s="9">
        <f>DAY(O1032)</f>
        <v>0</v>
      </c>
      <c r="AH1032" s="9">
        <f>IFERROR((I1032-K1032)*24*60,0)</f>
        <v>0</v>
      </c>
      <c r="AI1032" s="9">
        <f t="shared" si="22"/>
        <v>0</v>
      </c>
      <c r="AJ1032" s="9">
        <f>C1032</f>
        <v>0</v>
      </c>
      <c r="AK1032" s="9">
        <f>IF(P1032="completed",((V1032-K1032)*24*60),0)</f>
        <v>0</v>
      </c>
      <c r="AL1032" s="9">
        <f>IF(P1032="completed",((U1032-K1032)*24*60),0)</f>
        <v>0</v>
      </c>
      <c r="AM1032" s="9" t="str">
        <f t="shared" si="23"/>
        <v>OTP Breached</v>
      </c>
      <c r="AN1032" s="9" t="str">
        <f t="shared" si="24"/>
        <v>OTP Achieved</v>
      </c>
    </row>
    <row r="1033" spans="2:40" ht="15.75" customHeight="1">
      <c r="B1033" s="25"/>
      <c r="I1033" s="25"/>
      <c r="K1033" s="25"/>
      <c r="O1033" s="25"/>
      <c r="U1033" s="25"/>
      <c r="V1033" s="25"/>
      <c r="AA1033" s="27"/>
      <c r="AD1033" s="9" t="str">
        <f t="shared" si="20"/>
        <v>Actual</v>
      </c>
      <c r="AE1033" s="9" t="str">
        <f t="shared" si="21"/>
        <v/>
      </c>
      <c r="AF1033" s="9">
        <f>HOUR(O1033)</f>
        <v>0</v>
      </c>
      <c r="AG1033" s="9">
        <f>DAY(O1033)</f>
        <v>0</v>
      </c>
      <c r="AH1033" s="9">
        <f>IFERROR((I1033-K1033)*24*60,0)</f>
        <v>0</v>
      </c>
      <c r="AI1033" s="9">
        <f t="shared" si="22"/>
        <v>0</v>
      </c>
      <c r="AJ1033" s="9">
        <f>C1033</f>
        <v>0</v>
      </c>
      <c r="AK1033" s="9">
        <f>IF(P1033="completed",((V1033-K1033)*24*60),0)</f>
        <v>0</v>
      </c>
      <c r="AL1033" s="9">
        <f>IF(P1033="completed",((U1033-K1033)*24*60),0)</f>
        <v>0</v>
      </c>
      <c r="AM1033" s="9" t="str">
        <f t="shared" si="23"/>
        <v>OTP Breached</v>
      </c>
      <c r="AN1033" s="9" t="str">
        <f t="shared" si="24"/>
        <v>OTP Achieved</v>
      </c>
    </row>
    <row r="1034" spans="2:40" ht="15.75" customHeight="1">
      <c r="B1034" s="25"/>
      <c r="I1034" s="25"/>
      <c r="K1034" s="25"/>
      <c r="O1034" s="25"/>
      <c r="U1034" s="25"/>
      <c r="V1034" s="25"/>
      <c r="AA1034" s="27"/>
      <c r="AD1034" s="9" t="str">
        <f t="shared" si="20"/>
        <v>Actual</v>
      </c>
      <c r="AE1034" s="9" t="str">
        <f t="shared" si="21"/>
        <v/>
      </c>
      <c r="AF1034" s="9">
        <f>HOUR(O1034)</f>
        <v>0</v>
      </c>
      <c r="AG1034" s="9">
        <f>DAY(O1034)</f>
        <v>0</v>
      </c>
      <c r="AH1034" s="9">
        <f>IFERROR((I1034-K1034)*24*60,0)</f>
        <v>0</v>
      </c>
      <c r="AI1034" s="9">
        <f t="shared" si="22"/>
        <v>0</v>
      </c>
      <c r="AJ1034" s="9">
        <f>C1034</f>
        <v>0</v>
      </c>
      <c r="AK1034" s="9">
        <f>IF(P1034="completed",((V1034-K1034)*24*60),0)</f>
        <v>0</v>
      </c>
      <c r="AL1034" s="9">
        <f>IF(P1034="completed",((U1034-K1034)*24*60),0)</f>
        <v>0</v>
      </c>
      <c r="AM1034" s="9" t="str">
        <f t="shared" si="23"/>
        <v>OTP Breached</v>
      </c>
      <c r="AN1034" s="9" t="str">
        <f t="shared" si="24"/>
        <v>OTP Achieved</v>
      </c>
    </row>
    <row r="1035" spans="2:40" ht="15.75" customHeight="1">
      <c r="B1035" s="25"/>
      <c r="I1035" s="25"/>
      <c r="K1035" s="25"/>
      <c r="O1035" s="25"/>
      <c r="U1035" s="25"/>
      <c r="V1035" s="25"/>
      <c r="AA1035" s="27"/>
      <c r="AD1035" s="9" t="str">
        <f t="shared" si="20"/>
        <v>Actual</v>
      </c>
      <c r="AE1035" s="9" t="str">
        <f t="shared" si="21"/>
        <v/>
      </c>
      <c r="AF1035" s="9">
        <f>HOUR(O1035)</f>
        <v>0</v>
      </c>
      <c r="AG1035" s="9">
        <f>DAY(O1035)</f>
        <v>0</v>
      </c>
      <c r="AH1035" s="9">
        <f>IFERROR((I1035-K1035)*24*60,0)</f>
        <v>0</v>
      </c>
      <c r="AI1035" s="9">
        <f t="shared" si="22"/>
        <v>0</v>
      </c>
      <c r="AJ1035" s="9">
        <f>C1035</f>
        <v>0</v>
      </c>
      <c r="AK1035" s="9">
        <f>IF(P1035="completed",((V1035-K1035)*24*60),0)</f>
        <v>0</v>
      </c>
      <c r="AL1035" s="9">
        <f>IF(P1035="completed",((U1035-K1035)*24*60),0)</f>
        <v>0</v>
      </c>
      <c r="AM1035" s="9" t="str">
        <f t="shared" si="23"/>
        <v>OTP Breached</v>
      </c>
      <c r="AN1035" s="9" t="str">
        <f t="shared" si="24"/>
        <v>OTP Achieved</v>
      </c>
    </row>
    <row r="1036" spans="2:40" ht="15.75" customHeight="1">
      <c r="B1036" s="25"/>
      <c r="I1036" s="25"/>
      <c r="K1036" s="25"/>
      <c r="O1036" s="25"/>
      <c r="U1036" s="25"/>
      <c r="V1036" s="25"/>
      <c r="AA1036" s="27"/>
      <c r="AD1036" s="9" t="str">
        <f t="shared" si="20"/>
        <v>Actual</v>
      </c>
      <c r="AE1036" s="9" t="str">
        <f t="shared" si="21"/>
        <v/>
      </c>
      <c r="AF1036" s="9">
        <f>HOUR(O1036)</f>
        <v>0</v>
      </c>
      <c r="AG1036" s="9">
        <f>DAY(O1036)</f>
        <v>0</v>
      </c>
      <c r="AH1036" s="9">
        <f>IFERROR((I1036-K1036)*24*60,0)</f>
        <v>0</v>
      </c>
      <c r="AI1036" s="9">
        <f t="shared" si="22"/>
        <v>0</v>
      </c>
      <c r="AJ1036" s="9">
        <f>C1036</f>
        <v>0</v>
      </c>
      <c r="AK1036" s="9">
        <f>IF(P1036="completed",((V1036-K1036)*24*60),0)</f>
        <v>0</v>
      </c>
      <c r="AL1036" s="9">
        <f>IF(P1036="completed",((U1036-K1036)*24*60),0)</f>
        <v>0</v>
      </c>
      <c r="AM1036" s="9" t="str">
        <f t="shared" si="23"/>
        <v>OTP Breached</v>
      </c>
      <c r="AN1036" s="9" t="str">
        <f t="shared" si="24"/>
        <v>OTP Achieved</v>
      </c>
    </row>
    <row r="1037" spans="2:40" ht="15.75" customHeight="1">
      <c r="B1037" s="25"/>
      <c r="I1037" s="25"/>
      <c r="K1037" s="25"/>
      <c r="O1037" s="25"/>
      <c r="U1037" s="25"/>
      <c r="V1037" s="25"/>
      <c r="AA1037" s="27"/>
      <c r="AD1037" s="9" t="str">
        <f t="shared" si="20"/>
        <v>Actual</v>
      </c>
      <c r="AE1037" s="9" t="str">
        <f t="shared" si="21"/>
        <v/>
      </c>
      <c r="AF1037" s="9">
        <f>HOUR(O1037)</f>
        <v>0</v>
      </c>
      <c r="AG1037" s="9">
        <f>DAY(O1037)</f>
        <v>0</v>
      </c>
      <c r="AH1037" s="9">
        <f>IFERROR((I1037-K1037)*24*60,0)</f>
        <v>0</v>
      </c>
      <c r="AI1037" s="9">
        <f t="shared" si="22"/>
        <v>0</v>
      </c>
      <c r="AJ1037" s="9">
        <f>C1037</f>
        <v>0</v>
      </c>
      <c r="AK1037" s="9">
        <f>IF(P1037="completed",((V1037-K1037)*24*60),0)</f>
        <v>0</v>
      </c>
      <c r="AL1037" s="9">
        <f>IF(P1037="completed",((U1037-K1037)*24*60),0)</f>
        <v>0</v>
      </c>
      <c r="AM1037" s="9" t="str">
        <f t="shared" si="23"/>
        <v>OTP Breached</v>
      </c>
      <c r="AN1037" s="9" t="str">
        <f t="shared" si="24"/>
        <v>OTP Achieved</v>
      </c>
    </row>
    <row r="1038" spans="2:40" ht="15.75" customHeight="1">
      <c r="B1038" s="25"/>
      <c r="I1038" s="25"/>
      <c r="K1038" s="25"/>
      <c r="O1038" s="25"/>
      <c r="U1038" s="25"/>
      <c r="V1038" s="25"/>
      <c r="AA1038" s="27"/>
      <c r="AD1038" s="9" t="str">
        <f t="shared" si="20"/>
        <v>Actual</v>
      </c>
      <c r="AE1038" s="9" t="str">
        <f t="shared" si="21"/>
        <v/>
      </c>
      <c r="AF1038" s="9">
        <f>HOUR(O1038)</f>
        <v>0</v>
      </c>
      <c r="AG1038" s="9">
        <f>DAY(O1038)</f>
        <v>0</v>
      </c>
      <c r="AH1038" s="9">
        <f>IFERROR((I1038-K1038)*24*60,0)</f>
        <v>0</v>
      </c>
      <c r="AI1038" s="9">
        <f t="shared" si="22"/>
        <v>0</v>
      </c>
      <c r="AJ1038" s="9">
        <f>C1038</f>
        <v>0</v>
      </c>
      <c r="AK1038" s="9">
        <f>IF(P1038="completed",((V1038-K1038)*24*60),0)</f>
        <v>0</v>
      </c>
      <c r="AL1038" s="9">
        <f>IF(P1038="completed",((U1038-K1038)*24*60),0)</f>
        <v>0</v>
      </c>
      <c r="AM1038" s="9" t="str">
        <f t="shared" si="23"/>
        <v>OTP Breached</v>
      </c>
      <c r="AN1038" s="9" t="str">
        <f t="shared" si="24"/>
        <v>OTP Achieved</v>
      </c>
    </row>
    <row r="1039" spans="2:40" ht="15.75" customHeight="1">
      <c r="B1039" s="25"/>
      <c r="I1039" s="25"/>
      <c r="K1039" s="25"/>
      <c r="O1039" s="25"/>
      <c r="U1039" s="25"/>
      <c r="V1039" s="25"/>
      <c r="AA1039" s="27"/>
      <c r="AD1039" s="9" t="str">
        <f t="shared" si="20"/>
        <v>Actual</v>
      </c>
      <c r="AE1039" s="9" t="str">
        <f t="shared" si="21"/>
        <v/>
      </c>
      <c r="AF1039" s="9">
        <f>HOUR(O1039)</f>
        <v>0</v>
      </c>
      <c r="AG1039" s="9">
        <f>DAY(O1039)</f>
        <v>0</v>
      </c>
      <c r="AH1039" s="9">
        <f>IFERROR((I1039-K1039)*24*60,0)</f>
        <v>0</v>
      </c>
      <c r="AI1039" s="9">
        <f t="shared" si="22"/>
        <v>0</v>
      </c>
      <c r="AJ1039" s="9">
        <f>C1039</f>
        <v>0</v>
      </c>
      <c r="AK1039" s="9">
        <f>IF(P1039="completed",((V1039-K1039)*24*60),0)</f>
        <v>0</v>
      </c>
      <c r="AL1039" s="9">
        <f>IF(P1039="completed",((U1039-K1039)*24*60),0)</f>
        <v>0</v>
      </c>
      <c r="AM1039" s="9" t="str">
        <f t="shared" si="23"/>
        <v>OTP Breached</v>
      </c>
      <c r="AN1039" s="9" t="str">
        <f t="shared" si="24"/>
        <v>OTP Achieved</v>
      </c>
    </row>
    <row r="1040" spans="2:40" ht="15.75" customHeight="1">
      <c r="B1040" s="25"/>
      <c r="I1040" s="25"/>
      <c r="K1040" s="25"/>
      <c r="O1040" s="25"/>
      <c r="U1040" s="25"/>
      <c r="V1040" s="25"/>
      <c r="AA1040" s="27"/>
      <c r="AD1040" s="9" t="str">
        <f t="shared" si="20"/>
        <v>Actual</v>
      </c>
      <c r="AE1040" s="9" t="str">
        <f t="shared" si="21"/>
        <v/>
      </c>
      <c r="AF1040" s="9">
        <f>HOUR(O1040)</f>
        <v>0</v>
      </c>
      <c r="AG1040" s="9">
        <f>DAY(O1040)</f>
        <v>0</v>
      </c>
      <c r="AH1040" s="9">
        <f>IFERROR((I1040-K1040)*24*60,0)</f>
        <v>0</v>
      </c>
      <c r="AI1040" s="9">
        <f t="shared" si="22"/>
        <v>0</v>
      </c>
      <c r="AJ1040" s="9">
        <f>C1040</f>
        <v>0</v>
      </c>
      <c r="AK1040" s="9">
        <f>IF(P1040="completed",((V1040-K1040)*24*60),0)</f>
        <v>0</v>
      </c>
      <c r="AL1040" s="9">
        <f>IF(P1040="completed",((U1040-K1040)*24*60),0)</f>
        <v>0</v>
      </c>
      <c r="AM1040" s="9" t="str">
        <f t="shared" si="23"/>
        <v>OTP Breached</v>
      </c>
      <c r="AN1040" s="9" t="str">
        <f t="shared" si="24"/>
        <v>OTP Achieved</v>
      </c>
    </row>
    <row r="1041" spans="2:40" ht="15.75" customHeight="1">
      <c r="B1041" s="25"/>
      <c r="I1041" s="25"/>
      <c r="K1041" s="25"/>
      <c r="O1041" s="25"/>
      <c r="U1041" s="25"/>
      <c r="V1041" s="25"/>
      <c r="AA1041" s="27"/>
      <c r="AD1041" s="9" t="str">
        <f t="shared" si="20"/>
        <v>Actual</v>
      </c>
      <c r="AE1041" s="9" t="str">
        <f t="shared" si="21"/>
        <v/>
      </c>
      <c r="AF1041" s="9">
        <f>HOUR(O1041)</f>
        <v>0</v>
      </c>
      <c r="AG1041" s="9">
        <f>DAY(O1041)</f>
        <v>0</v>
      </c>
      <c r="AH1041" s="9">
        <f>IFERROR((I1041-K1041)*24*60,0)</f>
        <v>0</v>
      </c>
      <c r="AI1041" s="9">
        <f t="shared" si="22"/>
        <v>0</v>
      </c>
      <c r="AJ1041" s="9">
        <f>C1041</f>
        <v>0</v>
      </c>
      <c r="AK1041" s="9">
        <f>IF(P1041="completed",((V1041-K1041)*24*60),0)</f>
        <v>0</v>
      </c>
      <c r="AL1041" s="9">
        <f>IF(P1041="completed",((U1041-K1041)*24*60),0)</f>
        <v>0</v>
      </c>
      <c r="AM1041" s="9" t="str">
        <f t="shared" si="23"/>
        <v>OTP Breached</v>
      </c>
      <c r="AN1041" s="9" t="str">
        <f t="shared" si="24"/>
        <v>OTP Achieved</v>
      </c>
    </row>
    <row r="1042" spans="2:40" ht="15.75" customHeight="1">
      <c r="B1042" s="25"/>
      <c r="I1042" s="25"/>
      <c r="K1042" s="25"/>
      <c r="O1042" s="25"/>
      <c r="U1042" s="25"/>
      <c r="V1042" s="25"/>
      <c r="AA1042" s="27"/>
      <c r="AD1042" s="9" t="str">
        <f t="shared" si="20"/>
        <v>Actual</v>
      </c>
      <c r="AE1042" s="9" t="str">
        <f t="shared" si="21"/>
        <v/>
      </c>
      <c r="AF1042" s="9">
        <f>HOUR(O1042)</f>
        <v>0</v>
      </c>
      <c r="AG1042" s="9">
        <f>DAY(O1042)</f>
        <v>0</v>
      </c>
      <c r="AH1042" s="9">
        <f>IFERROR((I1042-K1042)*24*60,0)</f>
        <v>0</v>
      </c>
      <c r="AI1042" s="9">
        <f t="shared" si="22"/>
        <v>0</v>
      </c>
      <c r="AJ1042" s="9">
        <f>C1042</f>
        <v>0</v>
      </c>
      <c r="AK1042" s="9">
        <f>IF(P1042="completed",((V1042-K1042)*24*60),0)</f>
        <v>0</v>
      </c>
      <c r="AL1042" s="9">
        <f>IF(P1042="completed",((U1042-K1042)*24*60),0)</f>
        <v>0</v>
      </c>
      <c r="AM1042" s="9" t="str">
        <f t="shared" si="23"/>
        <v>OTP Breached</v>
      </c>
      <c r="AN1042" s="9" t="str">
        <f t="shared" si="24"/>
        <v>OTP Achieved</v>
      </c>
    </row>
    <row r="1043" spans="2:40" ht="15.75" customHeight="1">
      <c r="B1043" s="25"/>
      <c r="I1043" s="25"/>
      <c r="K1043" s="25"/>
      <c r="O1043" s="25"/>
      <c r="U1043" s="25"/>
      <c r="V1043" s="25"/>
      <c r="AA1043" s="27"/>
      <c r="AD1043" s="9" t="str">
        <f t="shared" si="20"/>
        <v>Actual</v>
      </c>
      <c r="AE1043" s="9" t="str">
        <f t="shared" si="21"/>
        <v/>
      </c>
      <c r="AF1043" s="9">
        <f>HOUR(O1043)</f>
        <v>0</v>
      </c>
      <c r="AG1043" s="9">
        <f>DAY(O1043)</f>
        <v>0</v>
      </c>
      <c r="AH1043" s="9">
        <f>IFERROR((I1043-K1043)*24*60,0)</f>
        <v>0</v>
      </c>
      <c r="AI1043" s="9">
        <f t="shared" si="22"/>
        <v>0</v>
      </c>
      <c r="AJ1043" s="9">
        <f>C1043</f>
        <v>0</v>
      </c>
      <c r="AK1043" s="9">
        <f>IF(P1043="completed",((V1043-K1043)*24*60),0)</f>
        <v>0</v>
      </c>
      <c r="AL1043" s="9">
        <f>IF(P1043="completed",((U1043-K1043)*24*60),0)</f>
        <v>0</v>
      </c>
      <c r="AM1043" s="9" t="str">
        <f t="shared" si="23"/>
        <v>OTP Breached</v>
      </c>
      <c r="AN1043" s="9" t="str">
        <f t="shared" si="24"/>
        <v>OTP Achieved</v>
      </c>
    </row>
    <row r="1044" spans="2:40" ht="15.75" customHeight="1">
      <c r="B1044" s="25"/>
      <c r="I1044" s="25"/>
      <c r="K1044" s="25"/>
      <c r="O1044" s="25"/>
      <c r="U1044" s="25"/>
      <c r="V1044" s="25"/>
      <c r="AA1044" s="27"/>
      <c r="AD1044" s="9" t="str">
        <f t="shared" si="20"/>
        <v>Actual</v>
      </c>
      <c r="AE1044" s="9" t="str">
        <f t="shared" si="21"/>
        <v/>
      </c>
      <c r="AF1044" s="9">
        <f>HOUR(O1044)</f>
        <v>0</v>
      </c>
      <c r="AG1044" s="9">
        <f>DAY(O1044)</f>
        <v>0</v>
      </c>
      <c r="AH1044" s="9">
        <f>IFERROR((I1044-K1044)*24*60,0)</f>
        <v>0</v>
      </c>
      <c r="AI1044" s="9">
        <f t="shared" si="22"/>
        <v>0</v>
      </c>
      <c r="AJ1044" s="9">
        <f>C1044</f>
        <v>0</v>
      </c>
      <c r="AK1044" s="9">
        <f>IF(P1044="completed",((V1044-K1044)*24*60),0)</f>
        <v>0</v>
      </c>
      <c r="AL1044" s="9">
        <f>IF(P1044="completed",((U1044-K1044)*24*60),0)</f>
        <v>0</v>
      </c>
      <c r="AM1044" s="9" t="str">
        <f t="shared" si="23"/>
        <v>OTP Breached</v>
      </c>
      <c r="AN1044" s="9" t="str">
        <f t="shared" si="24"/>
        <v>OTP Achieved</v>
      </c>
    </row>
    <row r="1045" spans="2:40" ht="15.75" customHeight="1">
      <c r="B1045" s="25"/>
      <c r="I1045" s="25"/>
      <c r="K1045" s="25"/>
      <c r="O1045" s="25"/>
      <c r="U1045" s="25"/>
      <c r="V1045" s="25"/>
      <c r="AA1045" s="27"/>
      <c r="AD1045" s="9" t="str">
        <f t="shared" si="20"/>
        <v>Actual</v>
      </c>
      <c r="AE1045" s="9" t="str">
        <f t="shared" si="21"/>
        <v/>
      </c>
      <c r="AF1045" s="9">
        <f>HOUR(O1045)</f>
        <v>0</v>
      </c>
      <c r="AG1045" s="9">
        <f>DAY(O1045)</f>
        <v>0</v>
      </c>
      <c r="AH1045" s="9">
        <f>IFERROR((I1045-K1045)*24*60,0)</f>
        <v>0</v>
      </c>
      <c r="AI1045" s="9">
        <f t="shared" si="22"/>
        <v>0</v>
      </c>
      <c r="AJ1045" s="9">
        <f>C1045</f>
        <v>0</v>
      </c>
      <c r="AK1045" s="9">
        <f>IF(P1045="completed",((V1045-K1045)*24*60),0)</f>
        <v>0</v>
      </c>
      <c r="AL1045" s="9">
        <f>IF(P1045="completed",((U1045-K1045)*24*60),0)</f>
        <v>0</v>
      </c>
      <c r="AM1045" s="9" t="str">
        <f t="shared" si="23"/>
        <v>OTP Breached</v>
      </c>
      <c r="AN1045" s="9" t="str">
        <f t="shared" si="24"/>
        <v>OTP Achieved</v>
      </c>
    </row>
    <row r="1046" spans="2:40" ht="15.75" customHeight="1">
      <c r="B1046" s="25"/>
      <c r="I1046" s="25"/>
      <c r="K1046" s="25"/>
      <c r="O1046" s="25"/>
      <c r="U1046" s="25"/>
      <c r="V1046" s="25"/>
      <c r="AA1046" s="27"/>
      <c r="AD1046" s="9" t="str">
        <f t="shared" si="20"/>
        <v>Actual</v>
      </c>
      <c r="AE1046" s="9" t="str">
        <f t="shared" si="21"/>
        <v/>
      </c>
      <c r="AF1046" s="9">
        <f>HOUR(O1046)</f>
        <v>0</v>
      </c>
      <c r="AG1046" s="9">
        <f>DAY(O1046)</f>
        <v>0</v>
      </c>
      <c r="AH1046" s="9">
        <f>IFERROR((I1046-K1046)*24*60,0)</f>
        <v>0</v>
      </c>
      <c r="AI1046" s="9">
        <f t="shared" si="22"/>
        <v>0</v>
      </c>
      <c r="AJ1046" s="9">
        <f>C1046</f>
        <v>0</v>
      </c>
      <c r="AK1046" s="9">
        <f>IF(P1046="completed",((V1046-K1046)*24*60),0)</f>
        <v>0</v>
      </c>
      <c r="AL1046" s="9">
        <f>IF(P1046="completed",((U1046-K1046)*24*60),0)</f>
        <v>0</v>
      </c>
      <c r="AM1046" s="9" t="str">
        <f t="shared" si="23"/>
        <v>OTP Breached</v>
      </c>
      <c r="AN1046" s="9" t="str">
        <f t="shared" si="24"/>
        <v>OTP Achieved</v>
      </c>
    </row>
    <row r="1047" spans="2:40" ht="15.75" customHeight="1">
      <c r="B1047" s="25"/>
      <c r="I1047" s="25"/>
      <c r="K1047" s="25"/>
      <c r="O1047" s="25"/>
      <c r="U1047" s="25"/>
      <c r="V1047" s="25"/>
      <c r="AA1047" s="27"/>
      <c r="AD1047" s="9" t="str">
        <f t="shared" si="20"/>
        <v>Actual</v>
      </c>
      <c r="AE1047" s="9" t="str">
        <f t="shared" si="21"/>
        <v/>
      </c>
      <c r="AF1047" s="9">
        <f>HOUR(O1047)</f>
        <v>0</v>
      </c>
      <c r="AG1047" s="9">
        <f>DAY(O1047)</f>
        <v>0</v>
      </c>
      <c r="AH1047" s="9">
        <f>IFERROR((I1047-K1047)*24*60,0)</f>
        <v>0</v>
      </c>
      <c r="AI1047" s="9">
        <f t="shared" si="22"/>
        <v>0</v>
      </c>
      <c r="AJ1047" s="9">
        <f>C1047</f>
        <v>0</v>
      </c>
      <c r="AK1047" s="9">
        <f>IF(P1047="completed",((V1047-K1047)*24*60),0)</f>
        <v>0</v>
      </c>
      <c r="AL1047" s="9">
        <f>IF(P1047="completed",((U1047-K1047)*24*60),0)</f>
        <v>0</v>
      </c>
      <c r="AM1047" s="9" t="str">
        <f t="shared" si="23"/>
        <v>OTP Breached</v>
      </c>
      <c r="AN1047" s="9" t="str">
        <f t="shared" si="24"/>
        <v>OTP Achieved</v>
      </c>
    </row>
    <row r="1048" spans="2:40" ht="15.75" customHeight="1">
      <c r="B1048" s="25"/>
      <c r="I1048" s="25"/>
      <c r="K1048" s="25"/>
      <c r="O1048" s="25"/>
      <c r="U1048" s="25"/>
      <c r="V1048" s="25"/>
      <c r="AA1048" s="27"/>
      <c r="AD1048" s="9" t="str">
        <f t="shared" si="20"/>
        <v>Actual</v>
      </c>
      <c r="AE1048" s="9" t="str">
        <f t="shared" si="21"/>
        <v/>
      </c>
      <c r="AF1048" s="9">
        <f>HOUR(O1048)</f>
        <v>0</v>
      </c>
      <c r="AG1048" s="9">
        <f>DAY(O1048)</f>
        <v>0</v>
      </c>
      <c r="AH1048" s="9">
        <f>IFERROR((I1048-K1048)*24*60,0)</f>
        <v>0</v>
      </c>
      <c r="AI1048" s="9">
        <f t="shared" si="22"/>
        <v>0</v>
      </c>
      <c r="AJ1048" s="9">
        <f>C1048</f>
        <v>0</v>
      </c>
      <c r="AK1048" s="9">
        <f>IF(P1048="completed",((V1048-K1048)*24*60),0)</f>
        <v>0</v>
      </c>
      <c r="AL1048" s="9">
        <f>IF(P1048="completed",((U1048-K1048)*24*60),0)</f>
        <v>0</v>
      </c>
      <c r="AM1048" s="9" t="str">
        <f t="shared" si="23"/>
        <v>OTP Breached</v>
      </c>
      <c r="AN1048" s="9" t="str">
        <f t="shared" si="24"/>
        <v>OTP Achieved</v>
      </c>
    </row>
    <row r="1049" spans="2:40" ht="15.75" customHeight="1">
      <c r="B1049" s="25"/>
      <c r="I1049" s="25"/>
      <c r="K1049" s="25"/>
      <c r="O1049" s="25"/>
      <c r="U1049" s="25"/>
      <c r="V1049" s="25"/>
      <c r="AA1049" s="27"/>
      <c r="AD1049" s="9" t="str">
        <f t="shared" si="20"/>
        <v>Actual</v>
      </c>
      <c r="AE1049" s="9" t="str">
        <f t="shared" si="21"/>
        <v/>
      </c>
      <c r="AF1049" s="9">
        <f>HOUR(O1049)</f>
        <v>0</v>
      </c>
      <c r="AG1049" s="9">
        <f>DAY(O1049)</f>
        <v>0</v>
      </c>
      <c r="AH1049" s="9">
        <f>IFERROR((I1049-K1049)*24*60,0)</f>
        <v>0</v>
      </c>
      <c r="AI1049" s="9">
        <f t="shared" si="22"/>
        <v>0</v>
      </c>
      <c r="AJ1049" s="9">
        <f>C1049</f>
        <v>0</v>
      </c>
      <c r="AK1049" s="9">
        <f>IF(P1049="completed",((V1049-K1049)*24*60),0)</f>
        <v>0</v>
      </c>
      <c r="AL1049" s="9">
        <f>IF(P1049="completed",((U1049-K1049)*24*60),0)</f>
        <v>0</v>
      </c>
      <c r="AM1049" s="9" t="str">
        <f t="shared" si="23"/>
        <v>OTP Breached</v>
      </c>
      <c r="AN1049" s="9" t="str">
        <f t="shared" si="24"/>
        <v>OTP Achieved</v>
      </c>
    </row>
    <row r="1050" spans="2:40" ht="15.75" customHeight="1">
      <c r="B1050" s="25"/>
      <c r="I1050" s="25"/>
      <c r="K1050" s="25"/>
      <c r="O1050" s="25"/>
      <c r="U1050" s="25"/>
      <c r="V1050" s="25"/>
      <c r="AA1050" s="27"/>
      <c r="AD1050" s="9" t="str">
        <f t="shared" si="20"/>
        <v>Actual</v>
      </c>
      <c r="AE1050" s="9" t="str">
        <f t="shared" si="21"/>
        <v/>
      </c>
      <c r="AF1050" s="9">
        <f>HOUR(O1050)</f>
        <v>0</v>
      </c>
      <c r="AG1050" s="9">
        <f>DAY(O1050)</f>
        <v>0</v>
      </c>
      <c r="AH1050" s="9">
        <f>IFERROR((I1050-K1050)*24*60,0)</f>
        <v>0</v>
      </c>
      <c r="AI1050" s="9">
        <f t="shared" si="22"/>
        <v>0</v>
      </c>
      <c r="AJ1050" s="9">
        <f>C1050</f>
        <v>0</v>
      </c>
      <c r="AK1050" s="9">
        <f>IF(P1050="completed",((V1050-K1050)*24*60),0)</f>
        <v>0</v>
      </c>
      <c r="AL1050" s="9">
        <f>IF(P1050="completed",((U1050-K1050)*24*60),0)</f>
        <v>0</v>
      </c>
      <c r="AM1050" s="9" t="str">
        <f t="shared" si="23"/>
        <v>OTP Breached</v>
      </c>
      <c r="AN1050" s="9" t="str">
        <f t="shared" si="24"/>
        <v>OTP Achieved</v>
      </c>
    </row>
    <row r="1051" spans="2:40" ht="15.75" customHeight="1">
      <c r="B1051" s="25"/>
      <c r="I1051" s="25"/>
      <c r="K1051" s="25"/>
      <c r="O1051" s="25"/>
      <c r="U1051" s="25"/>
      <c r="V1051" s="25"/>
      <c r="AA1051" s="27"/>
      <c r="AD1051" s="9" t="str">
        <f t="shared" si="20"/>
        <v>Actual</v>
      </c>
      <c r="AE1051" s="9" t="str">
        <f t="shared" si="21"/>
        <v/>
      </c>
      <c r="AF1051" s="9">
        <f>HOUR(O1051)</f>
        <v>0</v>
      </c>
      <c r="AG1051" s="9">
        <f>DAY(O1051)</f>
        <v>0</v>
      </c>
      <c r="AH1051" s="9">
        <f>IFERROR((I1051-K1051)*24*60,0)</f>
        <v>0</v>
      </c>
      <c r="AI1051" s="9">
        <f t="shared" si="22"/>
        <v>0</v>
      </c>
      <c r="AJ1051" s="9">
        <f>C1051</f>
        <v>0</v>
      </c>
      <c r="AK1051" s="9">
        <f>IF(P1051="completed",((V1051-K1051)*24*60),0)</f>
        <v>0</v>
      </c>
      <c r="AL1051" s="9">
        <f>IF(P1051="completed",((U1051-K1051)*24*60),0)</f>
        <v>0</v>
      </c>
      <c r="AM1051" s="9" t="str">
        <f t="shared" si="23"/>
        <v>OTP Breached</v>
      </c>
      <c r="AN1051" s="9" t="str">
        <f t="shared" si="24"/>
        <v>OTP Achieved</v>
      </c>
    </row>
    <row r="1052" spans="2:40" ht="15.75" customHeight="1">
      <c r="B1052" s="25"/>
      <c r="I1052" s="25"/>
      <c r="K1052" s="25"/>
      <c r="O1052" s="25"/>
      <c r="U1052" s="25"/>
      <c r="V1052" s="25"/>
      <c r="AA1052" s="27"/>
      <c r="AD1052" s="9" t="str">
        <f t="shared" si="20"/>
        <v>Actual</v>
      </c>
      <c r="AE1052" s="9" t="str">
        <f t="shared" si="21"/>
        <v/>
      </c>
      <c r="AF1052" s="9">
        <f>HOUR(O1052)</f>
        <v>0</v>
      </c>
      <c r="AG1052" s="9">
        <f>DAY(O1052)</f>
        <v>0</v>
      </c>
      <c r="AH1052" s="9">
        <f>IFERROR((I1052-K1052)*24*60,0)</f>
        <v>0</v>
      </c>
      <c r="AI1052" s="9">
        <f t="shared" si="22"/>
        <v>0</v>
      </c>
      <c r="AJ1052" s="9">
        <f>C1052</f>
        <v>0</v>
      </c>
      <c r="AK1052" s="9">
        <f>IF(P1052="completed",((V1052-K1052)*24*60),0)</f>
        <v>0</v>
      </c>
      <c r="AL1052" s="9">
        <f>IF(P1052="completed",((U1052-K1052)*24*60),0)</f>
        <v>0</v>
      </c>
      <c r="AM1052" s="9" t="str">
        <f t="shared" si="23"/>
        <v>OTP Breached</v>
      </c>
      <c r="AN1052" s="9" t="str">
        <f t="shared" si="24"/>
        <v>OTP Achieved</v>
      </c>
    </row>
    <row r="1053" spans="2:40" ht="15.75" customHeight="1">
      <c r="B1053" s="25"/>
      <c r="I1053" s="25"/>
      <c r="K1053" s="25"/>
      <c r="O1053" s="25"/>
      <c r="U1053" s="25"/>
      <c r="V1053" s="25"/>
      <c r="AA1053" s="27"/>
      <c r="AD1053" s="9" t="str">
        <f t="shared" si="20"/>
        <v>Actual</v>
      </c>
      <c r="AE1053" s="9" t="str">
        <f t="shared" si="21"/>
        <v/>
      </c>
      <c r="AF1053" s="9">
        <f>HOUR(O1053)</f>
        <v>0</v>
      </c>
      <c r="AG1053" s="9">
        <f>DAY(O1053)</f>
        <v>0</v>
      </c>
      <c r="AH1053" s="9">
        <f>IFERROR((I1053-K1053)*24*60,0)</f>
        <v>0</v>
      </c>
      <c r="AI1053" s="9">
        <f t="shared" si="22"/>
        <v>0</v>
      </c>
      <c r="AJ1053" s="9">
        <f>C1053</f>
        <v>0</v>
      </c>
      <c r="AK1053" s="9">
        <f>IF(P1053="completed",((V1053-K1053)*24*60),0)</f>
        <v>0</v>
      </c>
      <c r="AL1053" s="9">
        <f>IF(P1053="completed",((U1053-K1053)*24*60),0)</f>
        <v>0</v>
      </c>
      <c r="AM1053" s="9" t="str">
        <f t="shared" si="23"/>
        <v>OTP Breached</v>
      </c>
      <c r="AN1053" s="9" t="str">
        <f t="shared" si="24"/>
        <v>OTP Achieved</v>
      </c>
    </row>
    <row r="1054" spans="2:40" ht="15.75" customHeight="1">
      <c r="B1054" s="25"/>
      <c r="I1054" s="25"/>
      <c r="K1054" s="25"/>
      <c r="O1054" s="25"/>
      <c r="U1054" s="25"/>
      <c r="V1054" s="25"/>
      <c r="AA1054" s="27"/>
      <c r="AD1054" s="9" t="str">
        <f t="shared" si="20"/>
        <v>Actual</v>
      </c>
      <c r="AE1054" s="9" t="str">
        <f t="shared" si="21"/>
        <v/>
      </c>
      <c r="AF1054" s="9">
        <f>HOUR(O1054)</f>
        <v>0</v>
      </c>
      <c r="AG1054" s="9">
        <f>DAY(O1054)</f>
        <v>0</v>
      </c>
      <c r="AH1054" s="9">
        <f>IFERROR((I1054-K1054)*24*60,0)</f>
        <v>0</v>
      </c>
      <c r="AI1054" s="9">
        <f t="shared" si="22"/>
        <v>0</v>
      </c>
      <c r="AJ1054" s="9">
        <f>C1054</f>
        <v>0</v>
      </c>
      <c r="AK1054" s="9">
        <f>IF(P1054="completed",((V1054-K1054)*24*60),0)</f>
        <v>0</v>
      </c>
      <c r="AL1054" s="9">
        <f>IF(P1054="completed",((U1054-K1054)*24*60),0)</f>
        <v>0</v>
      </c>
      <c r="AM1054" s="9" t="str">
        <f t="shared" si="23"/>
        <v>OTP Breached</v>
      </c>
      <c r="AN1054" s="9" t="str">
        <f t="shared" si="24"/>
        <v>OTP Achieved</v>
      </c>
    </row>
    <row r="1055" spans="2:40" ht="15.75" customHeight="1">
      <c r="B1055" s="25"/>
      <c r="I1055" s="25"/>
      <c r="K1055" s="25"/>
      <c r="O1055" s="25"/>
      <c r="U1055" s="25"/>
      <c r="V1055" s="25"/>
      <c r="AA1055" s="27"/>
      <c r="AD1055" s="9" t="str">
        <f t="shared" si="20"/>
        <v>Actual</v>
      </c>
      <c r="AE1055" s="9" t="str">
        <f t="shared" si="21"/>
        <v/>
      </c>
      <c r="AF1055" s="9">
        <f>HOUR(O1055)</f>
        <v>0</v>
      </c>
      <c r="AG1055" s="9">
        <f>DAY(O1055)</f>
        <v>0</v>
      </c>
      <c r="AH1055" s="9">
        <f>IFERROR((I1055-K1055)*24*60,0)</f>
        <v>0</v>
      </c>
      <c r="AI1055" s="9">
        <f t="shared" si="22"/>
        <v>0</v>
      </c>
      <c r="AJ1055" s="9">
        <f>C1055</f>
        <v>0</v>
      </c>
      <c r="AK1055" s="9">
        <f>IF(P1055="completed",((V1055-K1055)*24*60),0)</f>
        <v>0</v>
      </c>
      <c r="AL1055" s="9">
        <f>IF(P1055="completed",((U1055-K1055)*24*60),0)</f>
        <v>0</v>
      </c>
      <c r="AM1055" s="9" t="str">
        <f t="shared" si="23"/>
        <v>OTP Breached</v>
      </c>
      <c r="AN1055" s="9" t="str">
        <f t="shared" si="24"/>
        <v>OTP Achieved</v>
      </c>
    </row>
    <row r="1056" spans="2:40" ht="15.75" customHeight="1">
      <c r="B1056" s="25"/>
      <c r="I1056" s="25"/>
      <c r="K1056" s="25"/>
      <c r="O1056" s="25"/>
      <c r="U1056" s="25"/>
      <c r="V1056" s="25"/>
      <c r="AA1056" s="27"/>
      <c r="AD1056" s="9" t="str">
        <f t="shared" si="20"/>
        <v>Actual</v>
      </c>
      <c r="AE1056" s="9" t="str">
        <f t="shared" si="21"/>
        <v/>
      </c>
      <c r="AF1056" s="9">
        <f>HOUR(O1056)</f>
        <v>0</v>
      </c>
      <c r="AG1056" s="9">
        <f>DAY(O1056)</f>
        <v>0</v>
      </c>
      <c r="AH1056" s="9">
        <f>IFERROR((I1056-K1056)*24*60,0)</f>
        <v>0</v>
      </c>
      <c r="AI1056" s="9">
        <f t="shared" si="22"/>
        <v>0</v>
      </c>
      <c r="AJ1056" s="9">
        <f>C1056</f>
        <v>0</v>
      </c>
      <c r="AK1056" s="9">
        <f>IF(P1056="completed",((V1056-K1056)*24*60),0)</f>
        <v>0</v>
      </c>
      <c r="AL1056" s="9">
        <f>IF(P1056="completed",((U1056-K1056)*24*60),0)</f>
        <v>0</v>
      </c>
      <c r="AM1056" s="9" t="str">
        <f t="shared" si="23"/>
        <v>OTP Breached</v>
      </c>
      <c r="AN1056" s="9" t="str">
        <f t="shared" si="24"/>
        <v>OTP Achieved</v>
      </c>
    </row>
    <row r="1057" spans="2:40" ht="15.75" customHeight="1">
      <c r="B1057" s="25"/>
      <c r="I1057" s="25"/>
      <c r="K1057" s="25"/>
      <c r="O1057" s="25"/>
      <c r="U1057" s="25"/>
      <c r="V1057" s="25"/>
      <c r="AA1057" s="27"/>
      <c r="AD1057" s="9" t="str">
        <f t="shared" si="20"/>
        <v>Actual</v>
      </c>
      <c r="AE1057" s="9" t="str">
        <f t="shared" si="21"/>
        <v/>
      </c>
      <c r="AF1057" s="9">
        <f>HOUR(O1057)</f>
        <v>0</v>
      </c>
      <c r="AG1057" s="9">
        <f>DAY(O1057)</f>
        <v>0</v>
      </c>
      <c r="AH1057" s="9">
        <f>IFERROR((I1057-K1057)*24*60,0)</f>
        <v>0</v>
      </c>
      <c r="AI1057" s="9">
        <f t="shared" si="22"/>
        <v>0</v>
      </c>
      <c r="AJ1057" s="9">
        <f>C1057</f>
        <v>0</v>
      </c>
      <c r="AK1057" s="9">
        <f>IF(P1057="completed",((V1057-K1057)*24*60),0)</f>
        <v>0</v>
      </c>
      <c r="AL1057" s="9">
        <f>IF(P1057="completed",((U1057-K1057)*24*60),0)</f>
        <v>0</v>
      </c>
      <c r="AM1057" s="9" t="str">
        <f t="shared" si="23"/>
        <v>OTP Breached</v>
      </c>
      <c r="AN1057" s="9" t="str">
        <f t="shared" si="24"/>
        <v>OTP Achieved</v>
      </c>
    </row>
    <row r="1058" spans="2:40" ht="15.75" customHeight="1">
      <c r="B1058" s="25"/>
      <c r="I1058" s="25"/>
      <c r="K1058" s="25"/>
      <c r="O1058" s="25"/>
      <c r="U1058" s="25"/>
      <c r="V1058" s="25"/>
      <c r="AA1058" s="27"/>
      <c r="AD1058" s="9" t="str">
        <f t="shared" si="20"/>
        <v>Actual</v>
      </c>
      <c r="AE1058" s="9" t="str">
        <f t="shared" si="21"/>
        <v/>
      </c>
      <c r="AF1058" s="9">
        <f>HOUR(O1058)</f>
        <v>0</v>
      </c>
      <c r="AG1058" s="9">
        <f>DAY(O1058)</f>
        <v>0</v>
      </c>
      <c r="AH1058" s="9">
        <f>IFERROR((I1058-K1058)*24*60,0)</f>
        <v>0</v>
      </c>
      <c r="AI1058" s="9">
        <f t="shared" si="22"/>
        <v>0</v>
      </c>
      <c r="AJ1058" s="9">
        <f>C1058</f>
        <v>0</v>
      </c>
      <c r="AK1058" s="9">
        <f>IF(P1058="completed",((V1058-K1058)*24*60),0)</f>
        <v>0</v>
      </c>
      <c r="AL1058" s="9">
        <f>IF(P1058="completed",((U1058-K1058)*24*60),0)</f>
        <v>0</v>
      </c>
      <c r="AM1058" s="9" t="str">
        <f t="shared" si="23"/>
        <v>OTP Breached</v>
      </c>
      <c r="AN1058" s="9" t="str">
        <f t="shared" si="24"/>
        <v>OTP Achieved</v>
      </c>
    </row>
    <row r="1059" spans="2:40" ht="15.75" customHeight="1">
      <c r="B1059" s="25"/>
      <c r="I1059" s="25"/>
      <c r="K1059" s="25"/>
      <c r="O1059" s="25"/>
      <c r="U1059" s="25"/>
      <c r="V1059" s="25"/>
      <c r="AA1059" s="27"/>
      <c r="AD1059" s="9" t="str">
        <f t="shared" si="20"/>
        <v>Actual</v>
      </c>
      <c r="AE1059" s="9" t="str">
        <f t="shared" si="21"/>
        <v/>
      </c>
      <c r="AF1059" s="9">
        <f>HOUR(O1059)</f>
        <v>0</v>
      </c>
      <c r="AG1059" s="9">
        <f>DAY(O1059)</f>
        <v>0</v>
      </c>
      <c r="AH1059" s="9">
        <f>IFERROR((I1059-K1059)*24*60,0)</f>
        <v>0</v>
      </c>
      <c r="AI1059" s="9">
        <f t="shared" si="22"/>
        <v>0</v>
      </c>
      <c r="AJ1059" s="9">
        <f>C1059</f>
        <v>0</v>
      </c>
      <c r="AK1059" s="9">
        <f>IF(P1059="completed",((V1059-K1059)*24*60),0)</f>
        <v>0</v>
      </c>
      <c r="AL1059" s="9">
        <f>IF(P1059="completed",((U1059-K1059)*24*60),0)</f>
        <v>0</v>
      </c>
      <c r="AM1059" s="9" t="str">
        <f t="shared" si="23"/>
        <v>OTP Breached</v>
      </c>
      <c r="AN1059" s="9" t="str">
        <f t="shared" si="24"/>
        <v>OTP Achieved</v>
      </c>
    </row>
    <row r="1060" spans="2:40" ht="15.75" customHeight="1">
      <c r="B1060" s="25"/>
      <c r="I1060" s="25"/>
      <c r="K1060" s="25"/>
      <c r="O1060" s="25"/>
      <c r="U1060" s="25"/>
      <c r="V1060" s="25"/>
      <c r="AA1060" s="27"/>
      <c r="AD1060" s="9" t="str">
        <f t="shared" si="20"/>
        <v>Actual</v>
      </c>
      <c r="AE1060" s="9" t="str">
        <f t="shared" si="21"/>
        <v/>
      </c>
      <c r="AF1060" s="9">
        <f>HOUR(O1060)</f>
        <v>0</v>
      </c>
      <c r="AG1060" s="9">
        <f>DAY(O1060)</f>
        <v>0</v>
      </c>
      <c r="AH1060" s="9">
        <f>IFERROR((I1060-K1060)*24*60,0)</f>
        <v>0</v>
      </c>
      <c r="AI1060" s="9">
        <f t="shared" si="22"/>
        <v>0</v>
      </c>
      <c r="AJ1060" s="9">
        <f>C1060</f>
        <v>0</v>
      </c>
      <c r="AK1060" s="9">
        <f>IF(P1060="completed",((V1060-K1060)*24*60),0)</f>
        <v>0</v>
      </c>
      <c r="AL1060" s="9">
        <f>IF(P1060="completed",((U1060-K1060)*24*60),0)</f>
        <v>0</v>
      </c>
      <c r="AM1060" s="9" t="str">
        <f t="shared" si="23"/>
        <v>OTP Breached</v>
      </c>
      <c r="AN1060" s="9" t="str">
        <f t="shared" si="24"/>
        <v>OTP Achieved</v>
      </c>
    </row>
    <row r="1061" spans="2:40" ht="15.75" customHeight="1">
      <c r="B1061" s="25"/>
      <c r="I1061" s="25"/>
      <c r="K1061" s="25"/>
      <c r="O1061" s="25"/>
      <c r="U1061" s="25"/>
      <c r="V1061" s="25"/>
      <c r="AA1061" s="27"/>
      <c r="AD1061" s="9" t="str">
        <f t="shared" si="20"/>
        <v>Actual</v>
      </c>
      <c r="AE1061" s="9" t="str">
        <f t="shared" si="21"/>
        <v/>
      </c>
      <c r="AF1061" s="9">
        <f>HOUR(O1061)</f>
        <v>0</v>
      </c>
      <c r="AG1061" s="9">
        <f>DAY(O1061)</f>
        <v>0</v>
      </c>
      <c r="AH1061" s="9">
        <f>IFERROR((I1061-K1061)*24*60,0)</f>
        <v>0</v>
      </c>
      <c r="AI1061" s="9">
        <f t="shared" si="22"/>
        <v>0</v>
      </c>
      <c r="AJ1061" s="9">
        <f>C1061</f>
        <v>0</v>
      </c>
      <c r="AK1061" s="9">
        <f>IF(P1061="completed",((V1061-K1061)*24*60),0)</f>
        <v>0</v>
      </c>
      <c r="AL1061" s="9">
        <f>IF(P1061="completed",((U1061-K1061)*24*60),0)</f>
        <v>0</v>
      </c>
      <c r="AM1061" s="9" t="str">
        <f t="shared" si="23"/>
        <v>OTP Breached</v>
      </c>
      <c r="AN1061" s="9" t="str">
        <f t="shared" si="24"/>
        <v>OTP Achieved</v>
      </c>
    </row>
    <row r="1062" spans="2:40" ht="15.75" customHeight="1">
      <c r="B1062" s="25"/>
      <c r="I1062" s="25"/>
      <c r="K1062" s="25"/>
      <c r="O1062" s="25"/>
      <c r="U1062" s="25"/>
      <c r="V1062" s="25"/>
      <c r="AA1062" s="27"/>
      <c r="AD1062" s="9" t="str">
        <f t="shared" si="20"/>
        <v>Actual</v>
      </c>
      <c r="AE1062" s="9" t="str">
        <f t="shared" si="21"/>
        <v/>
      </c>
      <c r="AF1062" s="9">
        <f>HOUR(O1062)</f>
        <v>0</v>
      </c>
      <c r="AG1062" s="9">
        <f>DAY(O1062)</f>
        <v>0</v>
      </c>
      <c r="AH1062" s="9">
        <f>IFERROR((I1062-K1062)*24*60,0)</f>
        <v>0</v>
      </c>
      <c r="AI1062" s="9">
        <f t="shared" si="22"/>
        <v>0</v>
      </c>
      <c r="AJ1062" s="9">
        <f>C1062</f>
        <v>0</v>
      </c>
      <c r="AK1062" s="9">
        <f>IF(P1062="completed",((V1062-K1062)*24*60),0)</f>
        <v>0</v>
      </c>
      <c r="AL1062" s="9">
        <f>IF(P1062="completed",((U1062-K1062)*24*60),0)</f>
        <v>0</v>
      </c>
      <c r="AM1062" s="9" t="str">
        <f t="shared" si="23"/>
        <v>OTP Breached</v>
      </c>
      <c r="AN1062" s="9" t="str">
        <f t="shared" si="24"/>
        <v>OTP Achieved</v>
      </c>
    </row>
    <row r="1063" spans="2:40" ht="15.75" customHeight="1">
      <c r="B1063" s="25"/>
      <c r="I1063" s="25"/>
      <c r="K1063" s="25"/>
      <c r="O1063" s="25"/>
      <c r="U1063" s="25"/>
      <c r="V1063" s="25"/>
      <c r="AA1063" s="27"/>
      <c r="AD1063" s="9" t="str">
        <f t="shared" si="20"/>
        <v>Actual</v>
      </c>
      <c r="AE1063" s="9" t="str">
        <f t="shared" si="21"/>
        <v/>
      </c>
      <c r="AF1063" s="9">
        <f>HOUR(O1063)</f>
        <v>0</v>
      </c>
      <c r="AG1063" s="9">
        <f>DAY(O1063)</f>
        <v>0</v>
      </c>
      <c r="AH1063" s="9">
        <f>IFERROR((I1063-K1063)*24*60,0)</f>
        <v>0</v>
      </c>
      <c r="AI1063" s="9">
        <f t="shared" si="22"/>
        <v>0</v>
      </c>
      <c r="AJ1063" s="9">
        <f>C1063</f>
        <v>0</v>
      </c>
      <c r="AK1063" s="9">
        <f>IF(P1063="completed",((V1063-K1063)*24*60),0)</f>
        <v>0</v>
      </c>
      <c r="AL1063" s="9">
        <f>IF(P1063="completed",((U1063-K1063)*24*60),0)</f>
        <v>0</v>
      </c>
      <c r="AM1063" s="9" t="str">
        <f t="shared" si="23"/>
        <v>OTP Breached</v>
      </c>
      <c r="AN1063" s="9" t="str">
        <f t="shared" si="24"/>
        <v>OTP Achieved</v>
      </c>
    </row>
    <row r="1064" spans="2:40" ht="15.75" customHeight="1">
      <c r="B1064" s="25"/>
      <c r="I1064" s="25"/>
      <c r="K1064" s="25"/>
      <c r="O1064" s="25"/>
      <c r="U1064" s="25"/>
      <c r="V1064" s="25"/>
      <c r="AA1064" s="27"/>
      <c r="AD1064" s="9" t="str">
        <f t="shared" si="20"/>
        <v>Actual</v>
      </c>
      <c r="AE1064" s="9" t="str">
        <f t="shared" si="21"/>
        <v/>
      </c>
      <c r="AF1064" s="9">
        <f>HOUR(O1064)</f>
        <v>0</v>
      </c>
      <c r="AG1064" s="9">
        <f>DAY(O1064)</f>
        <v>0</v>
      </c>
      <c r="AH1064" s="9">
        <f>IFERROR((I1064-K1064)*24*60,0)</f>
        <v>0</v>
      </c>
      <c r="AI1064" s="9">
        <f t="shared" si="22"/>
        <v>0</v>
      </c>
      <c r="AJ1064" s="9">
        <f>C1064</f>
        <v>0</v>
      </c>
      <c r="AK1064" s="9">
        <f>IF(P1064="completed",((V1064-K1064)*24*60),0)</f>
        <v>0</v>
      </c>
      <c r="AL1064" s="9">
        <f>IF(P1064="completed",((U1064-K1064)*24*60),0)</f>
        <v>0</v>
      </c>
      <c r="AM1064" s="9" t="str">
        <f t="shared" si="23"/>
        <v>OTP Breached</v>
      </c>
      <c r="AN1064" s="9" t="str">
        <f t="shared" si="24"/>
        <v>OTP Achieved</v>
      </c>
    </row>
    <row r="1065" spans="2:40" ht="15.75" customHeight="1">
      <c r="B1065" s="25"/>
      <c r="I1065" s="25"/>
      <c r="K1065" s="25"/>
      <c r="O1065" s="25"/>
      <c r="U1065" s="25"/>
      <c r="V1065" s="25"/>
      <c r="AA1065" s="27"/>
      <c r="AD1065" s="9" t="str">
        <f t="shared" si="20"/>
        <v>Actual</v>
      </c>
      <c r="AE1065" s="9" t="str">
        <f t="shared" si="21"/>
        <v/>
      </c>
      <c r="AF1065" s="9">
        <f>HOUR(O1065)</f>
        <v>0</v>
      </c>
      <c r="AG1065" s="9">
        <f>DAY(O1065)</f>
        <v>0</v>
      </c>
      <c r="AH1065" s="9">
        <f>IFERROR((I1065-K1065)*24*60,0)</f>
        <v>0</v>
      </c>
      <c r="AI1065" s="9">
        <f t="shared" si="22"/>
        <v>0</v>
      </c>
      <c r="AJ1065" s="9">
        <f>C1065</f>
        <v>0</v>
      </c>
      <c r="AK1065" s="9">
        <f>IF(P1065="completed",((V1065-K1065)*24*60),0)</f>
        <v>0</v>
      </c>
      <c r="AL1065" s="9">
        <f>IF(P1065="completed",((U1065-K1065)*24*60),0)</f>
        <v>0</v>
      </c>
      <c r="AM1065" s="9" t="str">
        <f t="shared" si="23"/>
        <v>OTP Breached</v>
      </c>
      <c r="AN1065" s="9" t="str">
        <f t="shared" si="24"/>
        <v>OTP Achieved</v>
      </c>
    </row>
    <row r="1066" spans="2:40" ht="15.75" customHeight="1">
      <c r="B1066" s="25"/>
      <c r="I1066" s="25"/>
      <c r="K1066" s="25"/>
      <c r="O1066" s="25"/>
      <c r="U1066" s="25"/>
      <c r="V1066" s="25"/>
      <c r="AA1066" s="27"/>
      <c r="AD1066" s="9" t="str">
        <f t="shared" si="20"/>
        <v>Actual</v>
      </c>
      <c r="AE1066" s="9" t="str">
        <f t="shared" si="21"/>
        <v/>
      </c>
      <c r="AF1066" s="9">
        <f>HOUR(O1066)</f>
        <v>0</v>
      </c>
      <c r="AG1066" s="9">
        <f>DAY(O1066)</f>
        <v>0</v>
      </c>
      <c r="AH1066" s="9">
        <f>IFERROR((I1066-K1066)*24*60,0)</f>
        <v>0</v>
      </c>
      <c r="AI1066" s="9">
        <f t="shared" si="22"/>
        <v>0</v>
      </c>
      <c r="AJ1066" s="9">
        <f>C1066</f>
        <v>0</v>
      </c>
      <c r="AK1066" s="9">
        <f>IF(P1066="completed",((V1066-K1066)*24*60),0)</f>
        <v>0</v>
      </c>
      <c r="AL1066" s="9">
        <f>IF(P1066="completed",((U1066-K1066)*24*60),0)</f>
        <v>0</v>
      </c>
      <c r="AM1066" s="9" t="str">
        <f t="shared" si="23"/>
        <v>OTP Breached</v>
      </c>
      <c r="AN1066" s="9" t="str">
        <f t="shared" si="24"/>
        <v>OTP Achieved</v>
      </c>
    </row>
    <row r="1067" spans="2:40" ht="15.75" customHeight="1">
      <c r="B1067" s="25"/>
      <c r="I1067" s="25"/>
      <c r="K1067" s="25"/>
      <c r="O1067" s="25"/>
      <c r="U1067" s="25"/>
      <c r="V1067" s="25"/>
      <c r="AA1067" s="27"/>
      <c r="AD1067" s="9" t="str">
        <f t="shared" si="20"/>
        <v>Actual</v>
      </c>
      <c r="AE1067" s="9" t="str">
        <f t="shared" si="21"/>
        <v/>
      </c>
      <c r="AF1067" s="9">
        <f>HOUR(O1067)</f>
        <v>0</v>
      </c>
      <c r="AG1067" s="9">
        <f>DAY(O1067)</f>
        <v>0</v>
      </c>
      <c r="AH1067" s="9">
        <f>IFERROR((I1067-K1067)*24*60,0)</f>
        <v>0</v>
      </c>
      <c r="AI1067" s="9">
        <f t="shared" si="22"/>
        <v>0</v>
      </c>
      <c r="AJ1067" s="9">
        <f>C1067</f>
        <v>0</v>
      </c>
      <c r="AK1067" s="9">
        <f>IF(P1067="completed",((V1067-K1067)*24*60),0)</f>
        <v>0</v>
      </c>
      <c r="AL1067" s="9">
        <f>IF(P1067="completed",((U1067-K1067)*24*60),0)</f>
        <v>0</v>
      </c>
      <c r="AM1067" s="9" t="str">
        <f t="shared" si="23"/>
        <v>OTP Breached</v>
      </c>
      <c r="AN1067" s="9" t="str">
        <f t="shared" si="24"/>
        <v>OTP Achieved</v>
      </c>
    </row>
    <row r="1068" spans="2:40" ht="15.75" customHeight="1">
      <c r="B1068" s="25"/>
      <c r="I1068" s="25"/>
      <c r="K1068" s="25"/>
      <c r="O1068" s="25"/>
      <c r="U1068" s="25"/>
      <c r="V1068" s="25"/>
      <c r="AA1068" s="27"/>
      <c r="AD1068" s="9" t="str">
        <f t="shared" si="20"/>
        <v>Actual</v>
      </c>
      <c r="AE1068" s="9" t="str">
        <f t="shared" si="21"/>
        <v/>
      </c>
      <c r="AF1068" s="9">
        <f>HOUR(O1068)</f>
        <v>0</v>
      </c>
      <c r="AG1068" s="9">
        <f>DAY(O1068)</f>
        <v>0</v>
      </c>
      <c r="AH1068" s="9">
        <f>IFERROR((I1068-K1068)*24*60,0)</f>
        <v>0</v>
      </c>
      <c r="AI1068" s="9">
        <f t="shared" si="22"/>
        <v>0</v>
      </c>
      <c r="AJ1068" s="9">
        <f>C1068</f>
        <v>0</v>
      </c>
      <c r="AK1068" s="9">
        <f>IF(P1068="completed",((V1068-K1068)*24*60),0)</f>
        <v>0</v>
      </c>
      <c r="AL1068" s="9">
        <f>IF(P1068="completed",((U1068-K1068)*24*60),0)</f>
        <v>0</v>
      </c>
      <c r="AM1068" s="9" t="str">
        <f t="shared" si="23"/>
        <v>OTP Breached</v>
      </c>
      <c r="AN1068" s="9" t="str">
        <f t="shared" si="24"/>
        <v>OTP Achieved</v>
      </c>
    </row>
    <row r="1069" spans="2:40" ht="15.75" customHeight="1">
      <c r="B1069" s="25"/>
      <c r="I1069" s="25"/>
      <c r="K1069" s="25"/>
      <c r="O1069" s="25"/>
      <c r="U1069" s="25"/>
      <c r="V1069" s="25"/>
      <c r="AA1069" s="27"/>
      <c r="AD1069" s="9" t="str">
        <f t="shared" si="20"/>
        <v>Actual</v>
      </c>
      <c r="AE1069" s="9" t="str">
        <f t="shared" si="21"/>
        <v/>
      </c>
      <c r="AF1069" s="9">
        <f>HOUR(O1069)</f>
        <v>0</v>
      </c>
      <c r="AG1069" s="9">
        <f>DAY(O1069)</f>
        <v>0</v>
      </c>
      <c r="AH1069" s="9">
        <f>IFERROR((I1069-K1069)*24*60,0)</f>
        <v>0</v>
      </c>
      <c r="AI1069" s="9">
        <f t="shared" si="22"/>
        <v>0</v>
      </c>
      <c r="AJ1069" s="9">
        <f>C1069</f>
        <v>0</v>
      </c>
      <c r="AK1069" s="9">
        <f>IF(P1069="completed",((V1069-K1069)*24*60),0)</f>
        <v>0</v>
      </c>
      <c r="AL1069" s="9">
        <f>IF(P1069="completed",((U1069-K1069)*24*60),0)</f>
        <v>0</v>
      </c>
      <c r="AM1069" s="9" t="str">
        <f t="shared" si="23"/>
        <v>OTP Breached</v>
      </c>
      <c r="AN1069" s="9" t="str">
        <f t="shared" si="24"/>
        <v>OTP Achieved</v>
      </c>
    </row>
    <row r="1070" spans="2:40" ht="15.75" customHeight="1">
      <c r="B1070" s="25"/>
      <c r="I1070" s="25"/>
      <c r="K1070" s="25"/>
      <c r="O1070" s="25"/>
      <c r="U1070" s="25"/>
      <c r="V1070" s="25"/>
      <c r="AA1070" s="27"/>
      <c r="AD1070" s="9" t="str">
        <f t="shared" si="20"/>
        <v>Actual</v>
      </c>
      <c r="AE1070" s="9" t="str">
        <f t="shared" si="21"/>
        <v/>
      </c>
      <c r="AF1070" s="9">
        <f>HOUR(O1070)</f>
        <v>0</v>
      </c>
      <c r="AG1070" s="9">
        <f>DAY(O1070)</f>
        <v>0</v>
      </c>
      <c r="AH1070" s="9">
        <f>IFERROR((I1070-K1070)*24*60,0)</f>
        <v>0</v>
      </c>
      <c r="AI1070" s="9">
        <f t="shared" si="22"/>
        <v>0</v>
      </c>
      <c r="AJ1070" s="9">
        <f>C1070</f>
        <v>0</v>
      </c>
      <c r="AK1070" s="9">
        <f>IF(P1070="completed",((V1070-K1070)*24*60),0)</f>
        <v>0</v>
      </c>
      <c r="AL1070" s="9">
        <f>IF(P1070="completed",((U1070-K1070)*24*60),0)</f>
        <v>0</v>
      </c>
      <c r="AM1070" s="9" t="str">
        <f t="shared" si="23"/>
        <v>OTP Breached</v>
      </c>
      <c r="AN1070" s="9" t="str">
        <f t="shared" si="24"/>
        <v>OTP Achieved</v>
      </c>
    </row>
    <row r="1071" spans="2:40" ht="15.75" customHeight="1">
      <c r="B1071" s="25"/>
      <c r="I1071" s="25"/>
      <c r="K1071" s="25"/>
      <c r="O1071" s="25"/>
      <c r="U1071" s="25"/>
      <c r="V1071" s="25"/>
      <c r="AA1071" s="27"/>
      <c r="AD1071" s="9" t="str">
        <f t="shared" si="20"/>
        <v>Actual</v>
      </c>
      <c r="AE1071" s="9" t="str">
        <f t="shared" si="21"/>
        <v/>
      </c>
      <c r="AF1071" s="9">
        <f>HOUR(O1071)</f>
        <v>0</v>
      </c>
      <c r="AG1071" s="9">
        <f>DAY(O1071)</f>
        <v>0</v>
      </c>
      <c r="AH1071" s="9">
        <f>IFERROR((I1071-K1071)*24*60,0)</f>
        <v>0</v>
      </c>
      <c r="AI1071" s="9">
        <f t="shared" si="22"/>
        <v>0</v>
      </c>
      <c r="AJ1071" s="9">
        <f>C1071</f>
        <v>0</v>
      </c>
      <c r="AK1071" s="9">
        <f>IF(P1071="completed",((V1071-K1071)*24*60),0)</f>
        <v>0</v>
      </c>
      <c r="AL1071" s="9">
        <f>IF(P1071="completed",((U1071-K1071)*24*60),0)</f>
        <v>0</v>
      </c>
      <c r="AM1071" s="9" t="str">
        <f t="shared" si="23"/>
        <v>OTP Breached</v>
      </c>
      <c r="AN1071" s="9" t="str">
        <f t="shared" si="24"/>
        <v>OTP Achieved</v>
      </c>
    </row>
    <row r="1072" spans="2:40" ht="15.75" customHeight="1">
      <c r="B1072" s="25"/>
      <c r="I1072" s="25"/>
      <c r="K1072" s="25"/>
      <c r="O1072" s="25"/>
      <c r="U1072" s="25"/>
      <c r="V1072" s="25"/>
      <c r="AA1072" s="27"/>
      <c r="AD1072" s="9" t="str">
        <f t="shared" si="20"/>
        <v>Actual</v>
      </c>
      <c r="AE1072" s="9" t="str">
        <f t="shared" si="21"/>
        <v/>
      </c>
      <c r="AF1072" s="9">
        <f>HOUR(O1072)</f>
        <v>0</v>
      </c>
      <c r="AG1072" s="9">
        <f>DAY(O1072)</f>
        <v>0</v>
      </c>
      <c r="AH1072" s="9">
        <f>IFERROR((I1072-K1072)*24*60,0)</f>
        <v>0</v>
      </c>
      <c r="AI1072" s="9">
        <f t="shared" si="22"/>
        <v>0</v>
      </c>
      <c r="AJ1072" s="9">
        <f>C1072</f>
        <v>0</v>
      </c>
      <c r="AK1072" s="9">
        <f>IF(P1072="completed",((V1072-K1072)*24*60),0)</f>
        <v>0</v>
      </c>
      <c r="AL1072" s="9">
        <f>IF(P1072="completed",((U1072-K1072)*24*60),0)</f>
        <v>0</v>
      </c>
      <c r="AM1072" s="9" t="str">
        <f t="shared" si="23"/>
        <v>OTP Breached</v>
      </c>
      <c r="AN1072" s="9" t="str">
        <f t="shared" si="24"/>
        <v>OTP Achieved</v>
      </c>
    </row>
    <row r="1073" spans="2:40" ht="15.75" customHeight="1">
      <c r="B1073" s="25"/>
      <c r="I1073" s="25"/>
      <c r="K1073" s="25"/>
      <c r="O1073" s="25"/>
      <c r="U1073" s="25"/>
      <c r="V1073" s="25"/>
      <c r="AA1073" s="27"/>
      <c r="AD1073" s="9" t="str">
        <f t="shared" si="20"/>
        <v>Actual</v>
      </c>
      <c r="AE1073" s="9" t="str">
        <f t="shared" si="21"/>
        <v/>
      </c>
      <c r="AF1073" s="9">
        <f>HOUR(O1073)</f>
        <v>0</v>
      </c>
      <c r="AG1073" s="9">
        <f>DAY(O1073)</f>
        <v>0</v>
      </c>
      <c r="AH1073" s="9">
        <f>IFERROR((I1073-K1073)*24*60,0)</f>
        <v>0</v>
      </c>
      <c r="AI1073" s="9">
        <f t="shared" si="22"/>
        <v>0</v>
      </c>
      <c r="AJ1073" s="9">
        <f>C1073</f>
        <v>0</v>
      </c>
      <c r="AK1073" s="9">
        <f>IF(P1073="completed",((V1073-K1073)*24*60),0)</f>
        <v>0</v>
      </c>
      <c r="AL1073" s="9">
        <f>IF(P1073="completed",((U1073-K1073)*24*60),0)</f>
        <v>0</v>
      </c>
      <c r="AM1073" s="9" t="str">
        <f t="shared" si="23"/>
        <v>OTP Breached</v>
      </c>
      <c r="AN1073" s="9" t="str">
        <f t="shared" si="24"/>
        <v>OTP Achieved</v>
      </c>
    </row>
    <row r="1074" spans="2:40" ht="15.75" customHeight="1">
      <c r="B1074" s="25"/>
      <c r="I1074" s="25"/>
      <c r="K1074" s="25"/>
      <c r="O1074" s="25"/>
      <c r="U1074" s="25"/>
      <c r="V1074" s="25"/>
      <c r="AA1074" s="27"/>
      <c r="AD1074" s="9" t="str">
        <f t="shared" si="20"/>
        <v>Actual</v>
      </c>
      <c r="AE1074" s="9" t="str">
        <f t="shared" si="21"/>
        <v/>
      </c>
      <c r="AF1074" s="9">
        <f>HOUR(O1074)</f>
        <v>0</v>
      </c>
      <c r="AG1074" s="9">
        <f>DAY(O1074)</f>
        <v>0</v>
      </c>
      <c r="AH1074" s="9">
        <f>IFERROR((I1074-K1074)*24*60,0)</f>
        <v>0</v>
      </c>
      <c r="AI1074" s="9">
        <f t="shared" si="22"/>
        <v>0</v>
      </c>
      <c r="AJ1074" s="9">
        <f>C1074</f>
        <v>0</v>
      </c>
      <c r="AK1074" s="9">
        <f>IF(P1074="completed",((V1074-K1074)*24*60),0)</f>
        <v>0</v>
      </c>
      <c r="AL1074" s="9">
        <f>IF(P1074="completed",((U1074-K1074)*24*60),0)</f>
        <v>0</v>
      </c>
      <c r="AM1074" s="9" t="str">
        <f t="shared" si="23"/>
        <v>OTP Breached</v>
      </c>
      <c r="AN1074" s="9" t="str">
        <f t="shared" si="24"/>
        <v>OTP Achieved</v>
      </c>
    </row>
    <row r="1075" spans="2:40" ht="15.75" customHeight="1">
      <c r="B1075" s="25"/>
      <c r="I1075" s="25"/>
      <c r="K1075" s="25"/>
      <c r="O1075" s="25"/>
      <c r="U1075" s="25"/>
      <c r="V1075" s="25"/>
      <c r="AA1075" s="27"/>
      <c r="AD1075" s="9" t="str">
        <f t="shared" si="20"/>
        <v>Actual</v>
      </c>
      <c r="AE1075" s="9" t="str">
        <f t="shared" si="21"/>
        <v/>
      </c>
      <c r="AF1075" s="9">
        <f>HOUR(O1075)</f>
        <v>0</v>
      </c>
      <c r="AG1075" s="9">
        <f>DAY(O1075)</f>
        <v>0</v>
      </c>
      <c r="AH1075" s="9">
        <f>IFERROR((I1075-K1075)*24*60,0)</f>
        <v>0</v>
      </c>
      <c r="AI1075" s="9">
        <f t="shared" si="22"/>
        <v>0</v>
      </c>
      <c r="AJ1075" s="9">
        <f>C1075</f>
        <v>0</v>
      </c>
      <c r="AK1075" s="9">
        <f>IF(P1075="completed",((V1075-K1075)*24*60),0)</f>
        <v>0</v>
      </c>
      <c r="AL1075" s="9">
        <f>IF(P1075="completed",((U1075-K1075)*24*60),0)</f>
        <v>0</v>
      </c>
      <c r="AM1075" s="9" t="str">
        <f t="shared" si="23"/>
        <v>OTP Breached</v>
      </c>
      <c r="AN1075" s="9" t="str">
        <f t="shared" si="24"/>
        <v>OTP Achieved</v>
      </c>
    </row>
    <row r="1076" spans="2:40" ht="15.75" customHeight="1">
      <c r="B1076" s="25"/>
      <c r="I1076" s="25"/>
      <c r="K1076" s="25"/>
      <c r="O1076" s="25"/>
      <c r="U1076" s="25"/>
      <c r="V1076" s="25"/>
      <c r="AA1076" s="27"/>
      <c r="AD1076" s="9" t="str">
        <f t="shared" si="20"/>
        <v>Actual</v>
      </c>
      <c r="AE1076" s="9" t="str">
        <f t="shared" si="21"/>
        <v/>
      </c>
      <c r="AF1076" s="9">
        <f>HOUR(O1076)</f>
        <v>0</v>
      </c>
      <c r="AG1076" s="9">
        <f>DAY(O1076)</f>
        <v>0</v>
      </c>
      <c r="AH1076" s="9">
        <f>IFERROR((I1076-K1076)*24*60,0)</f>
        <v>0</v>
      </c>
      <c r="AI1076" s="9">
        <f t="shared" si="22"/>
        <v>0</v>
      </c>
      <c r="AJ1076" s="9">
        <f>C1076</f>
        <v>0</v>
      </c>
      <c r="AK1076" s="9">
        <f>IF(P1076="completed",((V1076-K1076)*24*60),0)</f>
        <v>0</v>
      </c>
      <c r="AL1076" s="9">
        <f>IF(P1076="completed",((U1076-K1076)*24*60),0)</f>
        <v>0</v>
      </c>
      <c r="AM1076" s="9" t="str">
        <f t="shared" si="23"/>
        <v>OTP Breached</v>
      </c>
      <c r="AN1076" s="9" t="str">
        <f t="shared" si="24"/>
        <v>OTP Achieved</v>
      </c>
    </row>
    <row r="1077" spans="2:40" ht="15.75" customHeight="1">
      <c r="B1077" s="25"/>
      <c r="I1077" s="25"/>
      <c r="K1077" s="25"/>
      <c r="O1077" s="25"/>
      <c r="U1077" s="25"/>
      <c r="V1077" s="25"/>
      <c r="AA1077" s="27"/>
      <c r="AD1077" s="9" t="str">
        <f t="shared" si="20"/>
        <v>Actual</v>
      </c>
      <c r="AE1077" s="9" t="str">
        <f t="shared" si="21"/>
        <v/>
      </c>
      <c r="AF1077" s="9">
        <f>HOUR(O1077)</f>
        <v>0</v>
      </c>
      <c r="AG1077" s="9">
        <f>DAY(O1077)</f>
        <v>0</v>
      </c>
      <c r="AH1077" s="9">
        <f>IFERROR((I1077-K1077)*24*60,0)</f>
        <v>0</v>
      </c>
      <c r="AI1077" s="9">
        <f t="shared" si="22"/>
        <v>0</v>
      </c>
      <c r="AJ1077" s="9">
        <f>C1077</f>
        <v>0</v>
      </c>
      <c r="AK1077" s="9">
        <f>IF(P1077="completed",((V1077-K1077)*24*60),0)</f>
        <v>0</v>
      </c>
      <c r="AL1077" s="9">
        <f>IF(P1077="completed",((U1077-K1077)*24*60),0)</f>
        <v>0</v>
      </c>
      <c r="AM1077" s="9" t="str">
        <f t="shared" si="23"/>
        <v>OTP Breached</v>
      </c>
      <c r="AN1077" s="9" t="str">
        <f t="shared" si="24"/>
        <v>OTP Achieved</v>
      </c>
    </row>
    <row r="1078" spans="2:40" ht="15.75" customHeight="1">
      <c r="B1078" s="25"/>
      <c r="I1078" s="25"/>
      <c r="K1078" s="25"/>
      <c r="O1078" s="25"/>
      <c r="U1078" s="25"/>
      <c r="V1078" s="25"/>
      <c r="AA1078" s="27"/>
      <c r="AD1078" s="9" t="str">
        <f t="shared" si="20"/>
        <v>Actual</v>
      </c>
      <c r="AE1078" s="9" t="str">
        <f t="shared" si="21"/>
        <v/>
      </c>
      <c r="AF1078" s="9">
        <f>HOUR(O1078)</f>
        <v>0</v>
      </c>
      <c r="AG1078" s="9">
        <f>DAY(O1078)</f>
        <v>0</v>
      </c>
      <c r="AH1078" s="9">
        <f>IFERROR((I1078-K1078)*24*60,0)</f>
        <v>0</v>
      </c>
      <c r="AI1078" s="9">
        <f t="shared" si="22"/>
        <v>0</v>
      </c>
      <c r="AJ1078" s="9">
        <f>C1078</f>
        <v>0</v>
      </c>
      <c r="AK1078" s="9">
        <f>IF(P1078="completed",((V1078-K1078)*24*60),0)</f>
        <v>0</v>
      </c>
      <c r="AL1078" s="9">
        <f>IF(P1078="completed",((U1078-K1078)*24*60),0)</f>
        <v>0</v>
      </c>
      <c r="AM1078" s="9" t="str">
        <f t="shared" si="23"/>
        <v>OTP Breached</v>
      </c>
      <c r="AN1078" s="9" t="str">
        <f t="shared" si="24"/>
        <v>OTP Achieved</v>
      </c>
    </row>
    <row r="1079" spans="2:40" ht="15.75" customHeight="1">
      <c r="B1079" s="25"/>
      <c r="I1079" s="25"/>
      <c r="K1079" s="25"/>
      <c r="O1079" s="25"/>
      <c r="U1079" s="25"/>
      <c r="V1079" s="25"/>
      <c r="AA1079" s="27"/>
      <c r="AD1079" s="9" t="str">
        <f t="shared" si="20"/>
        <v>Actual</v>
      </c>
      <c r="AE1079" s="9" t="str">
        <f t="shared" si="21"/>
        <v/>
      </c>
      <c r="AF1079" s="9">
        <f>HOUR(O1079)</f>
        <v>0</v>
      </c>
      <c r="AG1079" s="9">
        <f>DAY(O1079)</f>
        <v>0</v>
      </c>
      <c r="AH1079" s="9">
        <f>IFERROR((I1079-K1079)*24*60,0)</f>
        <v>0</v>
      </c>
      <c r="AI1079" s="9">
        <f t="shared" si="22"/>
        <v>0</v>
      </c>
      <c r="AJ1079" s="9">
        <f>C1079</f>
        <v>0</v>
      </c>
      <c r="AK1079" s="9">
        <f>IF(P1079="completed",((V1079-K1079)*24*60),0)</f>
        <v>0</v>
      </c>
      <c r="AL1079" s="9">
        <f>IF(P1079="completed",((U1079-K1079)*24*60),0)</f>
        <v>0</v>
      </c>
      <c r="AM1079" s="9" t="str">
        <f t="shared" si="23"/>
        <v>OTP Breached</v>
      </c>
      <c r="AN1079" s="9" t="str">
        <f t="shared" si="24"/>
        <v>OTP Achieved</v>
      </c>
    </row>
    <row r="1080" spans="2:40" ht="15.75" customHeight="1">
      <c r="B1080" s="25"/>
      <c r="I1080" s="25"/>
      <c r="K1080" s="25"/>
      <c r="O1080" s="25"/>
      <c r="U1080" s="25"/>
      <c r="V1080" s="25"/>
      <c r="AA1080" s="27"/>
      <c r="AD1080" s="9" t="str">
        <f t="shared" si="20"/>
        <v>Actual</v>
      </c>
      <c r="AE1080" s="9" t="str">
        <f t="shared" si="21"/>
        <v/>
      </c>
      <c r="AF1080" s="9">
        <f>HOUR(O1080)</f>
        <v>0</v>
      </c>
      <c r="AG1080" s="9">
        <f>DAY(O1080)</f>
        <v>0</v>
      </c>
      <c r="AH1080" s="9">
        <f>IFERROR((I1080-K1080)*24*60,0)</f>
        <v>0</v>
      </c>
      <c r="AI1080" s="9">
        <f t="shared" si="22"/>
        <v>0</v>
      </c>
      <c r="AJ1080" s="9">
        <f>C1080</f>
        <v>0</v>
      </c>
      <c r="AK1080" s="9">
        <f>IF(P1080="completed",((V1080-K1080)*24*60),0)</f>
        <v>0</v>
      </c>
      <c r="AL1080" s="9">
        <f>IF(P1080="completed",((U1080-K1080)*24*60),0)</f>
        <v>0</v>
      </c>
      <c r="AM1080" s="9" t="str">
        <f t="shared" si="23"/>
        <v>OTP Breached</v>
      </c>
      <c r="AN1080" s="9" t="str">
        <f t="shared" si="24"/>
        <v>OTP Achieved</v>
      </c>
    </row>
    <row r="1081" spans="2:40" ht="15.75" customHeight="1">
      <c r="B1081" s="25"/>
      <c r="I1081" s="25"/>
      <c r="K1081" s="25"/>
      <c r="O1081" s="25"/>
      <c r="U1081" s="25"/>
      <c r="V1081" s="25"/>
      <c r="AA1081" s="27"/>
      <c r="AD1081" s="9" t="str">
        <f t="shared" si="20"/>
        <v>Actual</v>
      </c>
      <c r="AE1081" s="9" t="str">
        <f t="shared" si="21"/>
        <v/>
      </c>
      <c r="AF1081" s="9">
        <f>HOUR(O1081)</f>
        <v>0</v>
      </c>
      <c r="AG1081" s="9">
        <f>DAY(O1081)</f>
        <v>0</v>
      </c>
      <c r="AH1081" s="9">
        <f>IFERROR((I1081-K1081)*24*60,0)</f>
        <v>0</v>
      </c>
      <c r="AI1081" s="9">
        <f t="shared" si="22"/>
        <v>0</v>
      </c>
      <c r="AJ1081" s="9">
        <f>C1081</f>
        <v>0</v>
      </c>
      <c r="AK1081" s="9">
        <f>IF(P1081="completed",((V1081-K1081)*24*60),0)</f>
        <v>0</v>
      </c>
      <c r="AL1081" s="9">
        <f>IF(P1081="completed",((U1081-K1081)*24*60),0)</f>
        <v>0</v>
      </c>
      <c r="AM1081" s="9" t="str">
        <f t="shared" si="23"/>
        <v>OTP Breached</v>
      </c>
      <c r="AN1081" s="9" t="str">
        <f t="shared" si="24"/>
        <v>OTP Achieved</v>
      </c>
    </row>
    <row r="1082" spans="2:40" ht="15.75" customHeight="1">
      <c r="B1082" s="25"/>
      <c r="I1082" s="25"/>
      <c r="K1082" s="25"/>
      <c r="O1082" s="25"/>
      <c r="U1082" s="25"/>
      <c r="V1082" s="25"/>
      <c r="AA1082" s="27"/>
      <c r="AD1082" s="9" t="str">
        <f t="shared" si="20"/>
        <v>Actual</v>
      </c>
      <c r="AE1082" s="9" t="str">
        <f t="shared" si="21"/>
        <v/>
      </c>
      <c r="AF1082" s="9">
        <f>HOUR(O1082)</f>
        <v>0</v>
      </c>
      <c r="AG1082" s="9">
        <f>DAY(O1082)</f>
        <v>0</v>
      </c>
      <c r="AH1082" s="9">
        <f>IFERROR((I1082-K1082)*24*60,0)</f>
        <v>0</v>
      </c>
      <c r="AI1082" s="9">
        <f t="shared" si="22"/>
        <v>0</v>
      </c>
      <c r="AJ1082" s="9">
        <f>C1082</f>
        <v>0</v>
      </c>
      <c r="AK1082" s="9">
        <f>IF(P1082="completed",((V1082-K1082)*24*60),0)</f>
        <v>0</v>
      </c>
      <c r="AL1082" s="9">
        <f>IF(P1082="completed",((U1082-K1082)*24*60),0)</f>
        <v>0</v>
      </c>
      <c r="AM1082" s="9" t="str">
        <f t="shared" si="23"/>
        <v>OTP Breached</v>
      </c>
      <c r="AN1082" s="9" t="str">
        <f t="shared" si="24"/>
        <v>OTP Achieved</v>
      </c>
    </row>
    <row r="1083" spans="2:40" ht="15.75" customHeight="1">
      <c r="B1083" s="25"/>
      <c r="I1083" s="25"/>
      <c r="K1083" s="25"/>
      <c r="O1083" s="25"/>
      <c r="U1083" s="25"/>
      <c r="V1083" s="25"/>
      <c r="AA1083" s="27"/>
      <c r="AD1083" s="9" t="str">
        <f t="shared" si="20"/>
        <v>Actual</v>
      </c>
      <c r="AE1083" s="9" t="str">
        <f t="shared" si="21"/>
        <v/>
      </c>
      <c r="AF1083" s="9">
        <f>HOUR(O1083)</f>
        <v>0</v>
      </c>
      <c r="AG1083" s="9">
        <f>DAY(O1083)</f>
        <v>0</v>
      </c>
      <c r="AH1083" s="9">
        <f>IFERROR((I1083-K1083)*24*60,0)</f>
        <v>0</v>
      </c>
      <c r="AI1083" s="9">
        <f t="shared" si="22"/>
        <v>0</v>
      </c>
      <c r="AJ1083" s="9">
        <f>C1083</f>
        <v>0</v>
      </c>
      <c r="AK1083" s="9">
        <f>IF(P1083="completed",((V1083-K1083)*24*60),0)</f>
        <v>0</v>
      </c>
      <c r="AL1083" s="9">
        <f>IF(P1083="completed",((U1083-K1083)*24*60),0)</f>
        <v>0</v>
      </c>
      <c r="AM1083" s="9" t="str">
        <f t="shared" si="23"/>
        <v>OTP Breached</v>
      </c>
      <c r="AN1083" s="9" t="str">
        <f t="shared" si="24"/>
        <v>OTP Achieved</v>
      </c>
    </row>
    <row r="1084" spans="2:40" ht="15.75" customHeight="1">
      <c r="B1084" s="25"/>
      <c r="I1084" s="25"/>
      <c r="K1084" s="25"/>
      <c r="O1084" s="25"/>
      <c r="U1084" s="25"/>
      <c r="V1084" s="25"/>
      <c r="AA1084" s="27"/>
      <c r="AD1084" s="9" t="str">
        <f t="shared" si="20"/>
        <v>Actual</v>
      </c>
      <c r="AE1084" s="9" t="str">
        <f t="shared" si="21"/>
        <v/>
      </c>
      <c r="AF1084" s="9">
        <f>HOUR(O1084)</f>
        <v>0</v>
      </c>
      <c r="AG1084" s="9">
        <f>DAY(O1084)</f>
        <v>0</v>
      </c>
      <c r="AH1084" s="9">
        <f>IFERROR((I1084-K1084)*24*60,0)</f>
        <v>0</v>
      </c>
      <c r="AI1084" s="9">
        <f t="shared" si="22"/>
        <v>0</v>
      </c>
      <c r="AJ1084" s="9">
        <f>C1084</f>
        <v>0</v>
      </c>
      <c r="AK1084" s="9">
        <f>IF(P1084="completed",((V1084-K1084)*24*60),0)</f>
        <v>0</v>
      </c>
      <c r="AL1084" s="9">
        <f>IF(P1084="completed",((U1084-K1084)*24*60),0)</f>
        <v>0</v>
      </c>
      <c r="AM1084" s="9" t="str">
        <f t="shared" si="23"/>
        <v>OTP Breached</v>
      </c>
      <c r="AN1084" s="9" t="str">
        <f t="shared" si="24"/>
        <v>OTP Achieved</v>
      </c>
    </row>
    <row r="1085" spans="2:40" ht="15.75" customHeight="1">
      <c r="B1085" s="25"/>
      <c r="I1085" s="25"/>
      <c r="K1085" s="25"/>
      <c r="O1085" s="25"/>
      <c r="U1085" s="25"/>
      <c r="V1085" s="25"/>
      <c r="AA1085" s="27"/>
      <c r="AD1085" s="9" t="str">
        <f t="shared" si="20"/>
        <v>Actual</v>
      </c>
      <c r="AE1085" s="9" t="str">
        <f t="shared" si="21"/>
        <v/>
      </c>
      <c r="AF1085" s="9">
        <f>HOUR(O1085)</f>
        <v>0</v>
      </c>
      <c r="AG1085" s="9">
        <f>DAY(O1085)</f>
        <v>0</v>
      </c>
      <c r="AH1085" s="9">
        <f>IFERROR((I1085-K1085)*24*60,0)</f>
        <v>0</v>
      </c>
      <c r="AI1085" s="9">
        <f t="shared" si="22"/>
        <v>0</v>
      </c>
      <c r="AJ1085" s="9">
        <f>C1085</f>
        <v>0</v>
      </c>
      <c r="AK1085" s="9">
        <f>IF(P1085="completed",((V1085-K1085)*24*60),0)</f>
        <v>0</v>
      </c>
      <c r="AL1085" s="9">
        <f>IF(P1085="completed",((U1085-K1085)*24*60),0)</f>
        <v>0</v>
      </c>
      <c r="AM1085" s="9" t="str">
        <f t="shared" si="23"/>
        <v>OTP Breached</v>
      </c>
      <c r="AN1085" s="9" t="str">
        <f t="shared" si="24"/>
        <v>OTP Achieved</v>
      </c>
    </row>
    <row r="1086" spans="2:40" ht="15.75" customHeight="1">
      <c r="B1086" s="25"/>
      <c r="I1086" s="25"/>
      <c r="K1086" s="25"/>
      <c r="O1086" s="25"/>
      <c r="U1086" s="25"/>
      <c r="V1086" s="25"/>
      <c r="AA1086" s="27"/>
      <c r="AD1086" s="9" t="str">
        <f t="shared" si="20"/>
        <v>Actual</v>
      </c>
      <c r="AE1086" s="9" t="str">
        <f t="shared" si="21"/>
        <v/>
      </c>
      <c r="AF1086" s="9">
        <f>HOUR(O1086)</f>
        <v>0</v>
      </c>
      <c r="AG1086" s="9">
        <f>DAY(O1086)</f>
        <v>0</v>
      </c>
      <c r="AH1086" s="9">
        <f>IFERROR((I1086-K1086)*24*60,0)</f>
        <v>0</v>
      </c>
      <c r="AI1086" s="9">
        <f t="shared" si="22"/>
        <v>0</v>
      </c>
      <c r="AJ1086" s="9">
        <f>C1086</f>
        <v>0</v>
      </c>
      <c r="AK1086" s="9">
        <f>IF(P1086="completed",((V1086-K1086)*24*60),0)</f>
        <v>0</v>
      </c>
      <c r="AL1086" s="9">
        <f>IF(P1086="completed",((U1086-K1086)*24*60),0)</f>
        <v>0</v>
      </c>
      <c r="AM1086" s="9" t="str">
        <f t="shared" si="23"/>
        <v>OTP Breached</v>
      </c>
      <c r="AN1086" s="9" t="str">
        <f t="shared" si="24"/>
        <v>OTP Achieved</v>
      </c>
    </row>
    <row r="1087" spans="2:40" ht="15.75" customHeight="1">
      <c r="B1087" s="25"/>
      <c r="I1087" s="25"/>
      <c r="K1087" s="25"/>
      <c r="O1087" s="25"/>
      <c r="U1087" s="25"/>
      <c r="V1087" s="25"/>
      <c r="AA1087" s="27"/>
      <c r="AD1087" s="9" t="str">
        <f t="shared" si="20"/>
        <v>Actual</v>
      </c>
      <c r="AE1087" s="9" t="str">
        <f t="shared" si="21"/>
        <v/>
      </c>
      <c r="AF1087" s="9">
        <f>HOUR(O1087)</f>
        <v>0</v>
      </c>
      <c r="AG1087" s="9">
        <f>DAY(O1087)</f>
        <v>0</v>
      </c>
      <c r="AH1087" s="9">
        <f>IFERROR((I1087-K1087)*24*60,0)</f>
        <v>0</v>
      </c>
      <c r="AI1087" s="9">
        <f t="shared" si="22"/>
        <v>0</v>
      </c>
      <c r="AJ1087" s="9">
        <f>C1087</f>
        <v>0</v>
      </c>
      <c r="AK1087" s="9">
        <f>IF(P1087="completed",((V1087-K1087)*24*60),0)</f>
        <v>0</v>
      </c>
      <c r="AL1087" s="9">
        <f>IF(P1087="completed",((U1087-K1087)*24*60),0)</f>
        <v>0</v>
      </c>
      <c r="AM1087" s="9" t="str">
        <f t="shared" si="23"/>
        <v>OTP Breached</v>
      </c>
      <c r="AN1087" s="9" t="str">
        <f t="shared" si="24"/>
        <v>OTP Achieved</v>
      </c>
    </row>
    <row r="1088" spans="2:40" ht="15.75" customHeight="1">
      <c r="B1088" s="25"/>
      <c r="I1088" s="25"/>
      <c r="K1088" s="25"/>
      <c r="O1088" s="25"/>
      <c r="U1088" s="25"/>
      <c r="V1088" s="25"/>
      <c r="AA1088" s="27"/>
      <c r="AD1088" s="9" t="str">
        <f t="shared" si="20"/>
        <v>Actual</v>
      </c>
      <c r="AE1088" s="9" t="str">
        <f t="shared" si="21"/>
        <v/>
      </c>
      <c r="AF1088" s="9">
        <f>HOUR(O1088)</f>
        <v>0</v>
      </c>
      <c r="AG1088" s="9">
        <f>DAY(O1088)</f>
        <v>0</v>
      </c>
      <c r="AH1088" s="9">
        <f>IFERROR((I1088-K1088)*24*60,0)</f>
        <v>0</v>
      </c>
      <c r="AI1088" s="9">
        <f t="shared" si="22"/>
        <v>0</v>
      </c>
      <c r="AJ1088" s="9">
        <f>C1088</f>
        <v>0</v>
      </c>
      <c r="AK1088" s="9">
        <f>IF(P1088="completed",((V1088-K1088)*24*60),0)</f>
        <v>0</v>
      </c>
      <c r="AL1088" s="9">
        <f>IF(P1088="completed",((U1088-K1088)*24*60),0)</f>
        <v>0</v>
      </c>
      <c r="AM1088" s="9" t="str">
        <f t="shared" si="23"/>
        <v>OTP Breached</v>
      </c>
      <c r="AN1088" s="9" t="str">
        <f t="shared" si="24"/>
        <v>OTP Achieved</v>
      </c>
    </row>
    <row r="1089" spans="2:40" ht="15.75" customHeight="1">
      <c r="B1089" s="25"/>
      <c r="I1089" s="25"/>
      <c r="K1089" s="25"/>
      <c r="O1089" s="25"/>
      <c r="U1089" s="25"/>
      <c r="V1089" s="25"/>
      <c r="AA1089" s="27"/>
      <c r="AD1089" s="9" t="str">
        <f t="shared" si="20"/>
        <v>Actual</v>
      </c>
      <c r="AE1089" s="9" t="str">
        <f t="shared" si="21"/>
        <v/>
      </c>
      <c r="AF1089" s="9">
        <f>HOUR(O1089)</f>
        <v>0</v>
      </c>
      <c r="AG1089" s="9">
        <f>DAY(O1089)</f>
        <v>0</v>
      </c>
      <c r="AH1089" s="9">
        <f>IFERROR((I1089-K1089)*24*60,0)</f>
        <v>0</v>
      </c>
      <c r="AI1089" s="9">
        <f t="shared" si="22"/>
        <v>0</v>
      </c>
      <c r="AJ1089" s="9">
        <f>C1089</f>
        <v>0</v>
      </c>
      <c r="AK1089" s="9">
        <f>IF(P1089="completed",((V1089-K1089)*24*60),0)</f>
        <v>0</v>
      </c>
      <c r="AL1089" s="9">
        <f>IF(P1089="completed",((U1089-K1089)*24*60),0)</f>
        <v>0</v>
      </c>
      <c r="AM1089" s="9" t="str">
        <f t="shared" si="23"/>
        <v>OTP Breached</v>
      </c>
      <c r="AN1089" s="9" t="str">
        <f t="shared" si="24"/>
        <v>OTP Achieved</v>
      </c>
    </row>
    <row r="1090" spans="2:40" ht="15.75" customHeight="1">
      <c r="B1090" s="25"/>
      <c r="I1090" s="25"/>
      <c r="K1090" s="25"/>
      <c r="O1090" s="25"/>
      <c r="U1090" s="25"/>
      <c r="V1090" s="25"/>
      <c r="AA1090" s="27"/>
      <c r="AD1090" s="9" t="str">
        <f t="shared" si="20"/>
        <v>Actual</v>
      </c>
      <c r="AE1090" s="9" t="str">
        <f t="shared" si="21"/>
        <v/>
      </c>
      <c r="AF1090" s="9">
        <f>HOUR(O1090)</f>
        <v>0</v>
      </c>
      <c r="AG1090" s="9">
        <f>DAY(O1090)</f>
        <v>0</v>
      </c>
      <c r="AH1090" s="9">
        <f>IFERROR((I1090-K1090)*24*60,0)</f>
        <v>0</v>
      </c>
      <c r="AI1090" s="9">
        <f t="shared" si="22"/>
        <v>0</v>
      </c>
      <c r="AJ1090" s="9">
        <f>C1090</f>
        <v>0</v>
      </c>
      <c r="AK1090" s="9">
        <f>IF(P1090="completed",((V1090-K1090)*24*60),0)</f>
        <v>0</v>
      </c>
      <c r="AL1090" s="9">
        <f>IF(P1090="completed",((U1090-K1090)*24*60),0)</f>
        <v>0</v>
      </c>
      <c r="AM1090" s="9" t="str">
        <f t="shared" si="23"/>
        <v>OTP Breached</v>
      </c>
      <c r="AN1090" s="9" t="str">
        <f t="shared" si="24"/>
        <v>OTP Achieved</v>
      </c>
    </row>
    <row r="1091" spans="2:40" ht="15.75" customHeight="1">
      <c r="B1091" s="25"/>
      <c r="I1091" s="25"/>
      <c r="K1091" s="25"/>
      <c r="O1091" s="25"/>
      <c r="U1091" s="25"/>
      <c r="V1091" s="25"/>
      <c r="AA1091" s="27"/>
      <c r="AD1091" s="9" t="str">
        <f t="shared" si="20"/>
        <v>Actual</v>
      </c>
      <c r="AE1091" s="9" t="str">
        <f t="shared" si="21"/>
        <v/>
      </c>
      <c r="AF1091" s="9">
        <f>HOUR(O1091)</f>
        <v>0</v>
      </c>
      <c r="AG1091" s="9">
        <f>DAY(O1091)</f>
        <v>0</v>
      </c>
      <c r="AH1091" s="9">
        <f>IFERROR((I1091-K1091)*24*60,0)</f>
        <v>0</v>
      </c>
      <c r="AI1091" s="9">
        <f t="shared" si="22"/>
        <v>0</v>
      </c>
      <c r="AJ1091" s="9">
        <f>C1091</f>
        <v>0</v>
      </c>
      <c r="AK1091" s="9">
        <f>IF(P1091="completed",((V1091-K1091)*24*60),0)</f>
        <v>0</v>
      </c>
      <c r="AL1091" s="9">
        <f>IF(P1091="completed",((U1091-K1091)*24*60),0)</f>
        <v>0</v>
      </c>
      <c r="AM1091" s="9" t="str">
        <f t="shared" si="23"/>
        <v>OTP Breached</v>
      </c>
      <c r="AN1091" s="9" t="str">
        <f t="shared" si="24"/>
        <v>OTP Achieved</v>
      </c>
    </row>
    <row r="1092" spans="2:40" ht="15.75" customHeight="1">
      <c r="B1092" s="25"/>
      <c r="I1092" s="25"/>
      <c r="K1092" s="25"/>
      <c r="O1092" s="25"/>
      <c r="U1092" s="25"/>
      <c r="V1092" s="25"/>
      <c r="AA1092" s="27"/>
      <c r="AD1092" s="9" t="str">
        <f t="shared" si="20"/>
        <v>Actual</v>
      </c>
      <c r="AE1092" s="9" t="str">
        <f t="shared" si="21"/>
        <v/>
      </c>
      <c r="AF1092" s="9">
        <f>HOUR(O1092)</f>
        <v>0</v>
      </c>
      <c r="AG1092" s="9">
        <f>DAY(O1092)</f>
        <v>0</v>
      </c>
      <c r="AH1092" s="9">
        <f>IFERROR((I1092-K1092)*24*60,0)</f>
        <v>0</v>
      </c>
      <c r="AI1092" s="9">
        <f t="shared" si="22"/>
        <v>0</v>
      </c>
      <c r="AJ1092" s="9">
        <f>C1092</f>
        <v>0</v>
      </c>
      <c r="AK1092" s="9">
        <f>IF(P1092="completed",((V1092-K1092)*24*60),0)</f>
        <v>0</v>
      </c>
      <c r="AL1092" s="9">
        <f>IF(P1092="completed",((U1092-K1092)*24*60),0)</f>
        <v>0</v>
      </c>
      <c r="AM1092" s="9" t="str">
        <f t="shared" si="23"/>
        <v>OTP Breached</v>
      </c>
      <c r="AN1092" s="9" t="str">
        <f t="shared" si="24"/>
        <v>OTP Achieved</v>
      </c>
    </row>
    <row r="1093" spans="2:40" ht="15.75" customHeight="1">
      <c r="B1093" s="25"/>
      <c r="I1093" s="25"/>
      <c r="K1093" s="25"/>
      <c r="O1093" s="25"/>
      <c r="U1093" s="25"/>
      <c r="V1093" s="25"/>
      <c r="AA1093" s="27"/>
      <c r="AD1093" s="9" t="str">
        <f t="shared" si="20"/>
        <v>Actual</v>
      </c>
      <c r="AE1093" s="9" t="str">
        <f t="shared" si="21"/>
        <v/>
      </c>
      <c r="AF1093" s="9">
        <f>HOUR(O1093)</f>
        <v>0</v>
      </c>
      <c r="AG1093" s="9">
        <f>DAY(O1093)</f>
        <v>0</v>
      </c>
      <c r="AH1093" s="9">
        <f>IFERROR((I1093-K1093)*24*60,0)</f>
        <v>0</v>
      </c>
      <c r="AI1093" s="9">
        <f t="shared" si="22"/>
        <v>0</v>
      </c>
      <c r="AJ1093" s="9">
        <f>C1093</f>
        <v>0</v>
      </c>
      <c r="AK1093" s="9">
        <f>IF(P1093="completed",((V1093-K1093)*24*60),0)</f>
        <v>0</v>
      </c>
      <c r="AL1093" s="9">
        <f>IF(P1093="completed",((U1093-K1093)*24*60),0)</f>
        <v>0</v>
      </c>
      <c r="AM1093" s="9" t="str">
        <f t="shared" si="23"/>
        <v>OTP Breached</v>
      </c>
      <c r="AN1093" s="9" t="str">
        <f t="shared" si="24"/>
        <v>OTP Achieved</v>
      </c>
    </row>
    <row r="1094" spans="2:40" ht="15.75" customHeight="1">
      <c r="B1094" s="25"/>
      <c r="I1094" s="25"/>
      <c r="K1094" s="25"/>
      <c r="O1094" s="25"/>
      <c r="U1094" s="25"/>
      <c r="V1094" s="25"/>
      <c r="AA1094" s="27"/>
      <c r="AD1094" s="9" t="str">
        <f t="shared" si="20"/>
        <v>Actual</v>
      </c>
      <c r="AE1094" s="9" t="str">
        <f t="shared" si="21"/>
        <v/>
      </c>
      <c r="AF1094" s="9">
        <f>HOUR(O1094)</f>
        <v>0</v>
      </c>
      <c r="AG1094" s="9">
        <f>DAY(O1094)</f>
        <v>0</v>
      </c>
      <c r="AH1094" s="9">
        <f>IFERROR((I1094-K1094)*24*60,0)</f>
        <v>0</v>
      </c>
      <c r="AI1094" s="9">
        <f t="shared" si="22"/>
        <v>0</v>
      </c>
      <c r="AJ1094" s="9">
        <f>C1094</f>
        <v>0</v>
      </c>
      <c r="AK1094" s="9">
        <f>IF(P1094="completed",((V1094-K1094)*24*60),0)</f>
        <v>0</v>
      </c>
      <c r="AL1094" s="9">
        <f>IF(P1094="completed",((U1094-K1094)*24*60),0)</f>
        <v>0</v>
      </c>
      <c r="AM1094" s="9" t="str">
        <f t="shared" si="23"/>
        <v>OTP Breached</v>
      </c>
      <c r="AN1094" s="9" t="str">
        <f t="shared" si="24"/>
        <v>OTP Achieved</v>
      </c>
    </row>
    <row r="1095" spans="2:40" ht="15.75" customHeight="1">
      <c r="B1095" s="25"/>
      <c r="I1095" s="25"/>
      <c r="K1095" s="25"/>
      <c r="O1095" s="25"/>
      <c r="U1095" s="25"/>
      <c r="V1095" s="25"/>
      <c r="AA1095" s="27"/>
      <c r="AD1095" s="9" t="str">
        <f t="shared" si="20"/>
        <v>Actual</v>
      </c>
      <c r="AE1095" s="9" t="str">
        <f t="shared" si="21"/>
        <v/>
      </c>
      <c r="AF1095" s="9">
        <f>HOUR(O1095)</f>
        <v>0</v>
      </c>
      <c r="AG1095" s="9">
        <f>DAY(O1095)</f>
        <v>0</v>
      </c>
      <c r="AH1095" s="9">
        <f>IFERROR((I1095-K1095)*24*60,0)</f>
        <v>0</v>
      </c>
      <c r="AI1095" s="9">
        <f t="shared" si="22"/>
        <v>0</v>
      </c>
      <c r="AJ1095" s="9">
        <f>C1095</f>
        <v>0</v>
      </c>
      <c r="AK1095" s="9">
        <f>IF(P1095="completed",((V1095-K1095)*24*60),0)</f>
        <v>0</v>
      </c>
      <c r="AL1095" s="9">
        <f>IF(P1095="completed",((U1095-K1095)*24*60),0)</f>
        <v>0</v>
      </c>
      <c r="AM1095" s="9" t="str">
        <f t="shared" si="23"/>
        <v>OTP Breached</v>
      </c>
      <c r="AN1095" s="9" t="str">
        <f t="shared" si="24"/>
        <v>OTP Achieved</v>
      </c>
    </row>
    <row r="1096" spans="2:40" ht="15.75" customHeight="1">
      <c r="B1096" s="25"/>
      <c r="I1096" s="25"/>
      <c r="K1096" s="25"/>
      <c r="O1096" s="25"/>
      <c r="U1096" s="25"/>
      <c r="V1096" s="25"/>
      <c r="AA1096" s="27"/>
      <c r="AD1096" s="9" t="str">
        <f t="shared" si="20"/>
        <v>Actual</v>
      </c>
      <c r="AE1096" s="9" t="str">
        <f t="shared" si="21"/>
        <v/>
      </c>
      <c r="AF1096" s="9">
        <f>HOUR(O1096)</f>
        <v>0</v>
      </c>
      <c r="AG1096" s="9">
        <f>DAY(O1096)</f>
        <v>0</v>
      </c>
      <c r="AH1096" s="9">
        <f>IFERROR((I1096-K1096)*24*60,0)</f>
        <v>0</v>
      </c>
      <c r="AI1096" s="9">
        <f t="shared" si="22"/>
        <v>0</v>
      </c>
      <c r="AJ1096" s="9">
        <f>C1096</f>
        <v>0</v>
      </c>
      <c r="AK1096" s="9">
        <f>IF(P1096="completed",((V1096-K1096)*24*60),0)</f>
        <v>0</v>
      </c>
      <c r="AL1096" s="9">
        <f>IF(P1096="completed",((U1096-K1096)*24*60),0)</f>
        <v>0</v>
      </c>
      <c r="AM1096" s="9" t="str">
        <f t="shared" si="23"/>
        <v>OTP Breached</v>
      </c>
      <c r="AN1096" s="9" t="str">
        <f t="shared" si="24"/>
        <v>OTP Achieved</v>
      </c>
    </row>
    <row r="1097" spans="2:40" ht="15.75" customHeight="1">
      <c r="B1097" s="25"/>
      <c r="I1097" s="25"/>
      <c r="K1097" s="25"/>
      <c r="O1097" s="25"/>
      <c r="U1097" s="25"/>
      <c r="V1097" s="25"/>
      <c r="Y1097" s="25"/>
      <c r="AA1097" s="27"/>
      <c r="AD1097" s="9" t="str">
        <f t="shared" si="20"/>
        <v>Actual</v>
      </c>
      <c r="AE1097" s="9" t="str">
        <f t="shared" si="21"/>
        <v/>
      </c>
      <c r="AF1097" s="9">
        <f>HOUR(O1097)</f>
        <v>0</v>
      </c>
      <c r="AG1097" s="9">
        <f>DAY(O1097)</f>
        <v>0</v>
      </c>
      <c r="AH1097" s="9">
        <f>IFERROR((I1097-K1097)*24*60,0)</f>
        <v>0</v>
      </c>
      <c r="AI1097" s="9">
        <f t="shared" si="22"/>
        <v>0</v>
      </c>
      <c r="AJ1097" s="9">
        <f>C1097</f>
        <v>0</v>
      </c>
      <c r="AK1097" s="9">
        <f>IF(P1097="completed",((V1097-K1097)*24*60),0)</f>
        <v>0</v>
      </c>
      <c r="AL1097" s="9">
        <f>IF(P1097="completed",((U1097-K1097)*24*60),0)</f>
        <v>0</v>
      </c>
      <c r="AM1097" s="9" t="str">
        <f t="shared" si="23"/>
        <v>OTP Breached</v>
      </c>
      <c r="AN1097" s="9" t="str">
        <f t="shared" si="24"/>
        <v>OTP Achieved</v>
      </c>
    </row>
    <row r="1098" spans="2:40" ht="15.75" customHeight="1">
      <c r="B1098" s="25"/>
      <c r="I1098" s="25"/>
      <c r="K1098" s="25"/>
      <c r="O1098" s="25"/>
      <c r="U1098" s="25"/>
      <c r="V1098" s="25"/>
      <c r="AA1098" s="27"/>
      <c r="AD1098" s="9" t="str">
        <f t="shared" si="20"/>
        <v>Actual</v>
      </c>
      <c r="AE1098" s="9" t="str">
        <f t="shared" si="21"/>
        <v/>
      </c>
      <c r="AF1098" s="9">
        <f>HOUR(O1098)</f>
        <v>0</v>
      </c>
      <c r="AG1098" s="9">
        <f>DAY(O1098)</f>
        <v>0</v>
      </c>
      <c r="AH1098" s="9">
        <f>IFERROR((I1098-K1098)*24*60,0)</f>
        <v>0</v>
      </c>
      <c r="AI1098" s="9">
        <f t="shared" si="22"/>
        <v>0</v>
      </c>
      <c r="AJ1098" s="9">
        <f>C1098</f>
        <v>0</v>
      </c>
      <c r="AK1098" s="9">
        <f>IF(P1098="completed",((V1098-K1098)*24*60),0)</f>
        <v>0</v>
      </c>
      <c r="AL1098" s="9">
        <f>IF(P1098="completed",((U1098-K1098)*24*60),0)</f>
        <v>0</v>
      </c>
      <c r="AM1098" s="9" t="str">
        <f t="shared" si="23"/>
        <v>OTP Breached</v>
      </c>
      <c r="AN1098" s="9" t="str">
        <f t="shared" si="24"/>
        <v>OTP Achieved</v>
      </c>
    </row>
    <row r="1099" spans="2:40" ht="15.75" customHeight="1">
      <c r="B1099" s="25"/>
      <c r="I1099" s="25"/>
      <c r="K1099" s="25"/>
      <c r="O1099" s="25"/>
      <c r="U1099" s="25"/>
      <c r="V1099" s="25"/>
      <c r="AA1099" s="27"/>
      <c r="AD1099" s="9" t="str">
        <f t="shared" si="20"/>
        <v>Actual</v>
      </c>
      <c r="AE1099" s="9" t="str">
        <f t="shared" si="21"/>
        <v/>
      </c>
      <c r="AF1099" s="9">
        <f>HOUR(O1099)</f>
        <v>0</v>
      </c>
      <c r="AG1099" s="9">
        <f>DAY(O1099)</f>
        <v>0</v>
      </c>
      <c r="AH1099" s="9">
        <f>IFERROR((I1099-K1099)*24*60,0)</f>
        <v>0</v>
      </c>
      <c r="AI1099" s="9">
        <f t="shared" si="22"/>
        <v>0</v>
      </c>
      <c r="AJ1099" s="9">
        <f>C1099</f>
        <v>0</v>
      </c>
      <c r="AK1099" s="9">
        <f>IF(P1099="completed",((V1099-K1099)*24*60),0)</f>
        <v>0</v>
      </c>
      <c r="AL1099" s="9">
        <f>IF(P1099="completed",((U1099-K1099)*24*60),0)</f>
        <v>0</v>
      </c>
      <c r="AM1099" s="9" t="str">
        <f t="shared" si="23"/>
        <v>OTP Breached</v>
      </c>
      <c r="AN1099" s="9" t="str">
        <f t="shared" si="24"/>
        <v>OTP Achieved</v>
      </c>
    </row>
    <row r="1100" spans="2:40" ht="15.75" customHeight="1">
      <c r="B1100" s="25"/>
      <c r="I1100" s="25"/>
      <c r="K1100" s="25"/>
      <c r="O1100" s="25"/>
      <c r="U1100" s="25"/>
      <c r="V1100" s="25"/>
      <c r="AA1100" s="27"/>
      <c r="AD1100" s="9" t="str">
        <f t="shared" si="20"/>
        <v>Actual</v>
      </c>
      <c r="AE1100" s="9" t="str">
        <f t="shared" si="21"/>
        <v/>
      </c>
      <c r="AF1100" s="9">
        <f>HOUR(O1100)</f>
        <v>0</v>
      </c>
      <c r="AG1100" s="9">
        <f>DAY(O1100)</f>
        <v>0</v>
      </c>
      <c r="AH1100" s="9">
        <f>IFERROR((I1100-K1100)*24*60,0)</f>
        <v>0</v>
      </c>
      <c r="AI1100" s="9">
        <f t="shared" si="22"/>
        <v>0</v>
      </c>
      <c r="AJ1100" s="9">
        <f>C1100</f>
        <v>0</v>
      </c>
      <c r="AK1100" s="9">
        <f>IF(P1100="completed",((V1100-K1100)*24*60),0)</f>
        <v>0</v>
      </c>
      <c r="AL1100" s="9">
        <f>IF(P1100="completed",((U1100-K1100)*24*60),0)</f>
        <v>0</v>
      </c>
      <c r="AM1100" s="9" t="str">
        <f t="shared" si="23"/>
        <v>OTP Breached</v>
      </c>
      <c r="AN1100" s="9" t="str">
        <f t="shared" si="24"/>
        <v>OTP Achieved</v>
      </c>
    </row>
    <row r="1101" spans="2:40" ht="15.75" customHeight="1">
      <c r="B1101" s="25"/>
      <c r="I1101" s="25"/>
      <c r="K1101" s="25"/>
      <c r="O1101" s="25"/>
      <c r="U1101" s="25"/>
      <c r="V1101" s="25"/>
      <c r="AA1101" s="27"/>
      <c r="AD1101" s="9" t="str">
        <f t="shared" si="20"/>
        <v>Actual</v>
      </c>
      <c r="AE1101" s="9" t="str">
        <f t="shared" si="21"/>
        <v/>
      </c>
      <c r="AF1101" s="9">
        <f>HOUR(O1101)</f>
        <v>0</v>
      </c>
      <c r="AG1101" s="9">
        <f>DAY(O1101)</f>
        <v>0</v>
      </c>
      <c r="AH1101" s="9">
        <f>IFERROR((I1101-K1101)*24*60,0)</f>
        <v>0</v>
      </c>
      <c r="AI1101" s="9">
        <f t="shared" si="22"/>
        <v>0</v>
      </c>
      <c r="AJ1101" s="9">
        <f>C1101</f>
        <v>0</v>
      </c>
      <c r="AK1101" s="9">
        <f>IF(P1101="completed",((V1101-K1101)*24*60),0)</f>
        <v>0</v>
      </c>
      <c r="AL1101" s="9">
        <f>IF(P1101="completed",((U1101-K1101)*24*60),0)</f>
        <v>0</v>
      </c>
      <c r="AM1101" s="9" t="str">
        <f t="shared" si="23"/>
        <v>OTP Breached</v>
      </c>
      <c r="AN1101" s="9" t="str">
        <f t="shared" si="24"/>
        <v>OTP Achieved</v>
      </c>
    </row>
    <row r="1102" spans="2:40" ht="15.75" customHeight="1">
      <c r="B1102" s="25"/>
      <c r="I1102" s="25"/>
      <c r="K1102" s="25"/>
      <c r="O1102" s="25"/>
      <c r="U1102" s="25"/>
      <c r="V1102" s="25"/>
      <c r="AA1102" s="27"/>
      <c r="AD1102" s="9" t="str">
        <f t="shared" si="20"/>
        <v>Actual</v>
      </c>
      <c r="AE1102" s="9" t="str">
        <f t="shared" si="21"/>
        <v/>
      </c>
      <c r="AF1102" s="9">
        <f>HOUR(O1102)</f>
        <v>0</v>
      </c>
      <c r="AG1102" s="9">
        <f>DAY(O1102)</f>
        <v>0</v>
      </c>
      <c r="AH1102" s="9">
        <f>IFERROR((I1102-K1102)*24*60,0)</f>
        <v>0</v>
      </c>
      <c r="AI1102" s="9">
        <f t="shared" si="22"/>
        <v>0</v>
      </c>
      <c r="AJ1102" s="9">
        <f>C1102</f>
        <v>0</v>
      </c>
      <c r="AK1102" s="9">
        <f>IF(P1102="completed",((V1102-K1102)*24*60),0)</f>
        <v>0</v>
      </c>
      <c r="AL1102" s="9">
        <f>IF(P1102="completed",((U1102-K1102)*24*60),0)</f>
        <v>0</v>
      </c>
      <c r="AM1102" s="9" t="str">
        <f t="shared" si="23"/>
        <v>OTP Breached</v>
      </c>
      <c r="AN1102" s="9" t="str">
        <f t="shared" si="24"/>
        <v>OTP Achieved</v>
      </c>
    </row>
    <row r="1103" spans="2:40" ht="15.75" customHeight="1">
      <c r="B1103" s="25"/>
      <c r="I1103" s="25"/>
      <c r="K1103" s="25"/>
      <c r="O1103" s="25"/>
      <c r="U1103" s="25"/>
      <c r="V1103" s="25"/>
      <c r="AA1103" s="27"/>
      <c r="AD1103" s="9" t="str">
        <f t="shared" si="20"/>
        <v>Actual</v>
      </c>
      <c r="AE1103" s="9" t="str">
        <f t="shared" si="21"/>
        <v/>
      </c>
      <c r="AF1103" s="9">
        <f>HOUR(O1103)</f>
        <v>0</v>
      </c>
      <c r="AG1103" s="9">
        <f>DAY(O1103)</f>
        <v>0</v>
      </c>
      <c r="AH1103" s="9">
        <f>IFERROR((I1103-K1103)*24*60,0)</f>
        <v>0</v>
      </c>
      <c r="AI1103" s="9">
        <f t="shared" si="22"/>
        <v>0</v>
      </c>
      <c r="AJ1103" s="9">
        <f>C1103</f>
        <v>0</v>
      </c>
      <c r="AK1103" s="9">
        <f>IF(P1103="completed",((V1103-K1103)*24*60),0)</f>
        <v>0</v>
      </c>
      <c r="AL1103" s="9">
        <f>IF(P1103="completed",((U1103-K1103)*24*60),0)</f>
        <v>0</v>
      </c>
      <c r="AM1103" s="9" t="str">
        <f t="shared" si="23"/>
        <v>OTP Breached</v>
      </c>
      <c r="AN1103" s="9" t="str">
        <f t="shared" si="24"/>
        <v>OTP Achieved</v>
      </c>
    </row>
    <row r="1104" spans="2:40" ht="15.75" customHeight="1">
      <c r="B1104" s="25"/>
      <c r="I1104" s="25"/>
      <c r="K1104" s="25"/>
      <c r="O1104" s="25"/>
      <c r="U1104" s="25"/>
      <c r="V1104" s="25"/>
      <c r="AA1104" s="27"/>
      <c r="AD1104" s="9" t="str">
        <f t="shared" si="20"/>
        <v>Actual</v>
      </c>
      <c r="AE1104" s="9" t="str">
        <f t="shared" si="21"/>
        <v/>
      </c>
      <c r="AF1104" s="9">
        <f>HOUR(O1104)</f>
        <v>0</v>
      </c>
      <c r="AG1104" s="9">
        <f>DAY(O1104)</f>
        <v>0</v>
      </c>
      <c r="AH1104" s="9">
        <f>IFERROR((I1104-K1104)*24*60,0)</f>
        <v>0</v>
      </c>
      <c r="AI1104" s="9">
        <f t="shared" si="22"/>
        <v>0</v>
      </c>
      <c r="AJ1104" s="9">
        <f>C1104</f>
        <v>0</v>
      </c>
      <c r="AK1104" s="9">
        <f>IF(P1104="completed",((V1104-K1104)*24*60),0)</f>
        <v>0</v>
      </c>
      <c r="AL1104" s="9">
        <f>IF(P1104="completed",((U1104-K1104)*24*60),0)</f>
        <v>0</v>
      </c>
      <c r="AM1104" s="9" t="str">
        <f t="shared" si="23"/>
        <v>OTP Breached</v>
      </c>
      <c r="AN1104" s="9" t="str">
        <f t="shared" si="24"/>
        <v>OTP Achieved</v>
      </c>
    </row>
    <row r="1105" spans="2:40" ht="15.75" customHeight="1">
      <c r="B1105" s="25"/>
      <c r="I1105" s="25"/>
      <c r="K1105" s="25"/>
      <c r="O1105" s="25"/>
      <c r="U1105" s="25"/>
      <c r="V1105" s="25"/>
      <c r="AA1105" s="27"/>
      <c r="AD1105" s="9" t="str">
        <f t="shared" si="20"/>
        <v>Actual</v>
      </c>
      <c r="AE1105" s="9" t="str">
        <f t="shared" si="21"/>
        <v/>
      </c>
      <c r="AF1105" s="9">
        <f>HOUR(O1105)</f>
        <v>0</v>
      </c>
      <c r="AG1105" s="9">
        <f>DAY(O1105)</f>
        <v>0</v>
      </c>
      <c r="AH1105" s="9">
        <f>IFERROR((I1105-K1105)*24*60,0)</f>
        <v>0</v>
      </c>
      <c r="AI1105" s="9">
        <f t="shared" si="22"/>
        <v>0</v>
      </c>
      <c r="AJ1105" s="9">
        <f>C1105</f>
        <v>0</v>
      </c>
      <c r="AK1105" s="9">
        <f>IF(P1105="completed",((V1105-K1105)*24*60),0)</f>
        <v>0</v>
      </c>
      <c r="AL1105" s="9">
        <f>IF(P1105="completed",((U1105-K1105)*24*60),0)</f>
        <v>0</v>
      </c>
      <c r="AM1105" s="9" t="str">
        <f t="shared" si="23"/>
        <v>OTP Breached</v>
      </c>
      <c r="AN1105" s="9" t="str">
        <f t="shared" si="24"/>
        <v>OTP Achieved</v>
      </c>
    </row>
    <row r="1106" spans="2:40" ht="15.75" customHeight="1">
      <c r="B1106" s="25"/>
      <c r="I1106" s="25"/>
      <c r="K1106" s="25"/>
      <c r="O1106" s="25"/>
      <c r="U1106" s="25"/>
      <c r="V1106" s="25"/>
      <c r="AA1106" s="27"/>
      <c r="AD1106" s="9" t="str">
        <f t="shared" si="20"/>
        <v>Actual</v>
      </c>
      <c r="AE1106" s="9" t="str">
        <f t="shared" si="21"/>
        <v/>
      </c>
      <c r="AF1106" s="9">
        <f>HOUR(O1106)</f>
        <v>0</v>
      </c>
      <c r="AG1106" s="9">
        <f>DAY(O1106)</f>
        <v>0</v>
      </c>
      <c r="AH1106" s="9">
        <f>IFERROR((I1106-K1106)*24*60,0)</f>
        <v>0</v>
      </c>
      <c r="AI1106" s="9">
        <f t="shared" si="22"/>
        <v>0</v>
      </c>
      <c r="AJ1106" s="9">
        <f>C1106</f>
        <v>0</v>
      </c>
      <c r="AK1106" s="9">
        <f>IF(P1106="completed",((V1106-K1106)*24*60),0)</f>
        <v>0</v>
      </c>
      <c r="AL1106" s="9">
        <f>IF(P1106="completed",((U1106-K1106)*24*60),0)</f>
        <v>0</v>
      </c>
      <c r="AM1106" s="9" t="str">
        <f t="shared" si="23"/>
        <v>OTP Breached</v>
      </c>
      <c r="AN1106" s="9" t="str">
        <f t="shared" si="24"/>
        <v>OTP Achieved</v>
      </c>
    </row>
    <row r="1107" spans="2:40" ht="15.75" customHeight="1">
      <c r="B1107" s="25"/>
      <c r="I1107" s="25"/>
      <c r="K1107" s="25"/>
      <c r="O1107" s="25"/>
      <c r="U1107" s="25"/>
      <c r="V1107" s="25"/>
      <c r="AA1107" s="27"/>
      <c r="AD1107" s="9" t="str">
        <f t="shared" si="20"/>
        <v>Actual</v>
      </c>
      <c r="AE1107" s="9" t="str">
        <f t="shared" si="21"/>
        <v/>
      </c>
      <c r="AF1107" s="9">
        <f>HOUR(O1107)</f>
        <v>0</v>
      </c>
      <c r="AG1107" s="9">
        <f>DAY(O1107)</f>
        <v>0</v>
      </c>
      <c r="AH1107" s="9">
        <f>IFERROR((I1107-K1107)*24*60,0)</f>
        <v>0</v>
      </c>
      <c r="AI1107" s="9">
        <f t="shared" si="22"/>
        <v>0</v>
      </c>
      <c r="AJ1107" s="9">
        <f>C1107</f>
        <v>0</v>
      </c>
      <c r="AK1107" s="9">
        <f>IF(P1107="completed",((V1107-K1107)*24*60),0)</f>
        <v>0</v>
      </c>
      <c r="AL1107" s="9">
        <f>IF(P1107="completed",((U1107-K1107)*24*60),0)</f>
        <v>0</v>
      </c>
      <c r="AM1107" s="9" t="str">
        <f t="shared" si="23"/>
        <v>OTP Breached</v>
      </c>
      <c r="AN1107" s="9" t="str">
        <f t="shared" si="24"/>
        <v>OTP Achieved</v>
      </c>
    </row>
    <row r="1108" spans="2:40" ht="15.75" customHeight="1">
      <c r="B1108" s="25"/>
      <c r="I1108" s="25"/>
      <c r="K1108" s="25"/>
      <c r="O1108" s="25"/>
      <c r="U1108" s="25"/>
      <c r="V1108" s="25"/>
      <c r="AA1108" s="27"/>
      <c r="AD1108" s="9" t="str">
        <f t="shared" si="20"/>
        <v>Actual</v>
      </c>
      <c r="AE1108" s="9" t="str">
        <f t="shared" si="21"/>
        <v/>
      </c>
      <c r="AF1108" s="9">
        <f>HOUR(O1108)</f>
        <v>0</v>
      </c>
      <c r="AG1108" s="9">
        <f>DAY(O1108)</f>
        <v>0</v>
      </c>
      <c r="AH1108" s="9">
        <f>IFERROR((I1108-K1108)*24*60,0)</f>
        <v>0</v>
      </c>
      <c r="AI1108" s="9">
        <f t="shared" si="22"/>
        <v>0</v>
      </c>
      <c r="AJ1108" s="9">
        <f>C1108</f>
        <v>0</v>
      </c>
      <c r="AK1108" s="9">
        <f>IF(P1108="completed",((V1108-K1108)*24*60),0)</f>
        <v>0</v>
      </c>
      <c r="AL1108" s="9">
        <f>IF(P1108="completed",((U1108-K1108)*24*60),0)</f>
        <v>0</v>
      </c>
      <c r="AM1108" s="9" t="str">
        <f t="shared" si="23"/>
        <v>OTP Breached</v>
      </c>
      <c r="AN1108" s="9" t="str">
        <f t="shared" si="24"/>
        <v>OTP Achieved</v>
      </c>
    </row>
    <row r="1109" spans="2:40" ht="15.75" customHeight="1">
      <c r="B1109" s="25"/>
      <c r="I1109" s="25"/>
      <c r="K1109" s="25"/>
      <c r="O1109" s="25"/>
      <c r="U1109" s="25"/>
      <c r="V1109" s="25"/>
      <c r="AA1109" s="27"/>
      <c r="AD1109" s="9" t="str">
        <f t="shared" si="20"/>
        <v>Actual</v>
      </c>
      <c r="AE1109" s="9" t="str">
        <f t="shared" si="21"/>
        <v/>
      </c>
      <c r="AF1109" s="9">
        <f>HOUR(O1109)</f>
        <v>0</v>
      </c>
      <c r="AG1109" s="9">
        <f>DAY(O1109)</f>
        <v>0</v>
      </c>
      <c r="AH1109" s="9">
        <f>IFERROR((I1109-K1109)*24*60,0)</f>
        <v>0</v>
      </c>
      <c r="AI1109" s="9">
        <f t="shared" si="22"/>
        <v>0</v>
      </c>
      <c r="AJ1109" s="9">
        <f>C1109</f>
        <v>0</v>
      </c>
      <c r="AK1109" s="9">
        <f>IF(P1109="completed",((V1109-K1109)*24*60),0)</f>
        <v>0</v>
      </c>
      <c r="AL1109" s="9">
        <f>IF(P1109="completed",((U1109-K1109)*24*60),0)</f>
        <v>0</v>
      </c>
      <c r="AM1109" s="9" t="str">
        <f t="shared" si="23"/>
        <v>OTP Breached</v>
      </c>
      <c r="AN1109" s="9" t="str">
        <f t="shared" si="24"/>
        <v>OTP Achieved</v>
      </c>
    </row>
    <row r="1110" spans="2:40" ht="15.75" customHeight="1">
      <c r="B1110" s="25"/>
      <c r="I1110" s="25"/>
      <c r="K1110" s="25"/>
      <c r="O1110" s="25"/>
      <c r="U1110" s="25"/>
      <c r="V1110" s="25"/>
      <c r="AA1110" s="27"/>
      <c r="AD1110" s="9" t="str">
        <f t="shared" si="20"/>
        <v>Actual</v>
      </c>
      <c r="AE1110" s="9" t="str">
        <f t="shared" si="21"/>
        <v/>
      </c>
      <c r="AF1110" s="9">
        <f>HOUR(O1110)</f>
        <v>0</v>
      </c>
      <c r="AG1110" s="9">
        <f>DAY(O1110)</f>
        <v>0</v>
      </c>
      <c r="AH1110" s="9">
        <f>IFERROR((I1110-K1110)*24*60,0)</f>
        <v>0</v>
      </c>
      <c r="AI1110" s="9">
        <f t="shared" si="22"/>
        <v>0</v>
      </c>
      <c r="AJ1110" s="9">
        <f>C1110</f>
        <v>0</v>
      </c>
      <c r="AK1110" s="9">
        <f>IF(P1110="completed",((V1110-K1110)*24*60),0)</f>
        <v>0</v>
      </c>
      <c r="AL1110" s="9">
        <f>IF(P1110="completed",((U1110-K1110)*24*60),0)</f>
        <v>0</v>
      </c>
      <c r="AM1110" s="9" t="str">
        <f t="shared" si="23"/>
        <v>OTP Breached</v>
      </c>
      <c r="AN1110" s="9" t="str">
        <f t="shared" si="24"/>
        <v>OTP Achieved</v>
      </c>
    </row>
    <row r="1111" spans="2:40" ht="15.75" customHeight="1">
      <c r="B1111" s="25"/>
      <c r="I1111" s="25"/>
      <c r="K1111" s="25"/>
      <c r="O1111" s="25"/>
      <c r="U1111" s="25"/>
      <c r="V1111" s="25"/>
      <c r="AA1111" s="27"/>
      <c r="AD1111" s="9" t="str">
        <f t="shared" si="20"/>
        <v>Actual</v>
      </c>
      <c r="AE1111" s="9" t="str">
        <f t="shared" si="21"/>
        <v/>
      </c>
      <c r="AF1111" s="9">
        <f>HOUR(O1111)</f>
        <v>0</v>
      </c>
      <c r="AG1111" s="9">
        <f>DAY(O1111)</f>
        <v>0</v>
      </c>
      <c r="AH1111" s="9">
        <f>IFERROR((I1111-K1111)*24*60,0)</f>
        <v>0</v>
      </c>
      <c r="AI1111" s="9">
        <f t="shared" si="22"/>
        <v>0</v>
      </c>
      <c r="AJ1111" s="9">
        <f>C1111</f>
        <v>0</v>
      </c>
      <c r="AK1111" s="9">
        <f>IF(P1111="completed",((V1111-K1111)*24*60),0)</f>
        <v>0</v>
      </c>
      <c r="AL1111" s="9">
        <f>IF(P1111="completed",((U1111-K1111)*24*60),0)</f>
        <v>0</v>
      </c>
      <c r="AM1111" s="9" t="str">
        <f t="shared" si="23"/>
        <v>OTP Breached</v>
      </c>
      <c r="AN1111" s="9" t="str">
        <f t="shared" si="24"/>
        <v>OTP Achieved</v>
      </c>
    </row>
    <row r="1112" spans="2:40" ht="15.75" customHeight="1">
      <c r="B1112" s="25"/>
      <c r="I1112" s="25"/>
      <c r="K1112" s="25"/>
      <c r="O1112" s="25"/>
      <c r="U1112" s="25"/>
      <c r="V1112" s="25"/>
      <c r="AA1112" s="27"/>
      <c r="AD1112" s="9" t="str">
        <f t="shared" si="20"/>
        <v>Actual</v>
      </c>
      <c r="AE1112" s="9" t="str">
        <f t="shared" si="21"/>
        <v/>
      </c>
      <c r="AF1112" s="9">
        <f>HOUR(O1112)</f>
        <v>0</v>
      </c>
      <c r="AG1112" s="9">
        <f>DAY(O1112)</f>
        <v>0</v>
      </c>
      <c r="AH1112" s="9">
        <f>IFERROR((I1112-K1112)*24*60,0)</f>
        <v>0</v>
      </c>
      <c r="AI1112" s="9">
        <f t="shared" si="22"/>
        <v>0</v>
      </c>
      <c r="AJ1112" s="9">
        <f>C1112</f>
        <v>0</v>
      </c>
      <c r="AK1112" s="9">
        <f>IF(P1112="completed",((V1112-K1112)*24*60),0)</f>
        <v>0</v>
      </c>
      <c r="AL1112" s="9">
        <f>IF(P1112="completed",((U1112-K1112)*24*60),0)</f>
        <v>0</v>
      </c>
      <c r="AM1112" s="9" t="str">
        <f t="shared" si="23"/>
        <v>OTP Breached</v>
      </c>
      <c r="AN1112" s="9" t="str">
        <f t="shared" si="24"/>
        <v>OTP Achieved</v>
      </c>
    </row>
    <row r="1113" spans="2:40" ht="15.75" customHeight="1">
      <c r="B1113" s="25"/>
      <c r="I1113" s="25"/>
      <c r="K1113" s="25"/>
      <c r="O1113" s="25"/>
      <c r="U1113" s="25"/>
      <c r="V1113" s="25"/>
      <c r="AA1113" s="27"/>
      <c r="AD1113" s="9" t="str">
        <f t="shared" si="20"/>
        <v>Actual</v>
      </c>
      <c r="AE1113" s="9" t="str">
        <f t="shared" si="21"/>
        <v/>
      </c>
      <c r="AF1113" s="9">
        <f>HOUR(O1113)</f>
        <v>0</v>
      </c>
      <c r="AG1113" s="9">
        <f>DAY(O1113)</f>
        <v>0</v>
      </c>
      <c r="AH1113" s="9">
        <f>IFERROR((I1113-K1113)*24*60,0)</f>
        <v>0</v>
      </c>
      <c r="AI1113" s="9">
        <f t="shared" si="22"/>
        <v>0</v>
      </c>
      <c r="AJ1113" s="9">
        <f>C1113</f>
        <v>0</v>
      </c>
      <c r="AK1113" s="9">
        <f>IF(P1113="completed",((V1113-K1113)*24*60),0)</f>
        <v>0</v>
      </c>
      <c r="AL1113" s="9">
        <f>IF(P1113="completed",((U1113-K1113)*24*60),0)</f>
        <v>0</v>
      </c>
      <c r="AM1113" s="9" t="str">
        <f t="shared" si="23"/>
        <v>OTP Breached</v>
      </c>
      <c r="AN1113" s="9" t="str">
        <f t="shared" si="24"/>
        <v>OTP Achieved</v>
      </c>
    </row>
    <row r="1114" spans="2:40" ht="15.75" customHeight="1">
      <c r="B1114" s="25"/>
      <c r="I1114" s="25"/>
      <c r="K1114" s="25"/>
      <c r="O1114" s="25"/>
      <c r="U1114" s="25"/>
      <c r="V1114" s="25"/>
      <c r="AA1114" s="27"/>
      <c r="AD1114" s="9" t="str">
        <f t="shared" si="20"/>
        <v>Actual</v>
      </c>
      <c r="AE1114" s="9" t="str">
        <f t="shared" si="21"/>
        <v/>
      </c>
      <c r="AF1114" s="9">
        <f>HOUR(O1114)</f>
        <v>0</v>
      </c>
      <c r="AG1114" s="9">
        <f>DAY(O1114)</f>
        <v>0</v>
      </c>
      <c r="AH1114" s="9">
        <f>IFERROR((I1114-K1114)*24*60,0)</f>
        <v>0</v>
      </c>
      <c r="AI1114" s="9">
        <f t="shared" si="22"/>
        <v>0</v>
      </c>
      <c r="AJ1114" s="9">
        <f>C1114</f>
        <v>0</v>
      </c>
      <c r="AK1114" s="9">
        <f>IF(P1114="completed",((V1114-K1114)*24*60),0)</f>
        <v>0</v>
      </c>
      <c r="AL1114" s="9">
        <f>IF(P1114="completed",((U1114-K1114)*24*60),0)</f>
        <v>0</v>
      </c>
      <c r="AM1114" s="9" t="str">
        <f t="shared" si="23"/>
        <v>OTP Breached</v>
      </c>
      <c r="AN1114" s="9" t="str">
        <f t="shared" si="24"/>
        <v>OTP Achieved</v>
      </c>
    </row>
    <row r="1115" spans="2:40" ht="15.75" customHeight="1">
      <c r="B1115" s="25"/>
      <c r="I1115" s="25"/>
      <c r="K1115" s="25"/>
      <c r="O1115" s="25"/>
      <c r="U1115" s="25"/>
      <c r="V1115" s="25"/>
      <c r="AA1115" s="27"/>
      <c r="AD1115" s="9" t="str">
        <f t="shared" si="20"/>
        <v>Actual</v>
      </c>
      <c r="AE1115" s="9" t="str">
        <f t="shared" si="21"/>
        <v/>
      </c>
      <c r="AF1115" s="9">
        <f>HOUR(O1115)</f>
        <v>0</v>
      </c>
      <c r="AG1115" s="9">
        <f>DAY(O1115)</f>
        <v>0</v>
      </c>
      <c r="AH1115" s="9">
        <f>IFERROR((I1115-K1115)*24*60,0)</f>
        <v>0</v>
      </c>
      <c r="AI1115" s="9">
        <f t="shared" si="22"/>
        <v>0</v>
      </c>
      <c r="AJ1115" s="9">
        <f>C1115</f>
        <v>0</v>
      </c>
      <c r="AK1115" s="9">
        <f>IF(P1115="completed",((V1115-K1115)*24*60),0)</f>
        <v>0</v>
      </c>
      <c r="AL1115" s="9">
        <f>IF(P1115="completed",((U1115-K1115)*24*60),0)</f>
        <v>0</v>
      </c>
      <c r="AM1115" s="9" t="str">
        <f t="shared" si="23"/>
        <v>OTP Breached</v>
      </c>
      <c r="AN1115" s="9" t="str">
        <f t="shared" si="24"/>
        <v>OTP Achieved</v>
      </c>
    </row>
    <row r="1116" spans="2:40" ht="15.75" customHeight="1">
      <c r="B1116" s="25"/>
      <c r="I1116" s="25"/>
      <c r="K1116" s="25"/>
      <c r="O1116" s="25"/>
      <c r="U1116" s="25"/>
      <c r="V1116" s="25"/>
      <c r="AA1116" s="27"/>
      <c r="AD1116" s="9" t="str">
        <f t="shared" si="20"/>
        <v>Actual</v>
      </c>
      <c r="AE1116" s="9" t="str">
        <f t="shared" si="21"/>
        <v/>
      </c>
      <c r="AF1116" s="9">
        <f>HOUR(O1116)</f>
        <v>0</v>
      </c>
      <c r="AG1116" s="9">
        <f>DAY(O1116)</f>
        <v>0</v>
      </c>
      <c r="AH1116" s="9">
        <f>IFERROR((I1116-K1116)*24*60,0)</f>
        <v>0</v>
      </c>
      <c r="AI1116" s="9">
        <f t="shared" si="22"/>
        <v>0</v>
      </c>
      <c r="AJ1116" s="9">
        <f>C1116</f>
        <v>0</v>
      </c>
      <c r="AK1116" s="9">
        <f>IF(P1116="completed",((V1116-K1116)*24*60),0)</f>
        <v>0</v>
      </c>
      <c r="AL1116" s="9">
        <f>IF(P1116="completed",((U1116-K1116)*24*60),0)</f>
        <v>0</v>
      </c>
      <c r="AM1116" s="9" t="str">
        <f t="shared" si="23"/>
        <v>OTP Breached</v>
      </c>
      <c r="AN1116" s="9" t="str">
        <f t="shared" si="24"/>
        <v>OTP Achieved</v>
      </c>
    </row>
    <row r="1117" spans="2:40" ht="15.75" customHeight="1">
      <c r="B1117" s="25"/>
      <c r="I1117" s="25"/>
      <c r="K1117" s="25"/>
      <c r="O1117" s="25"/>
      <c r="U1117" s="25"/>
      <c r="V1117" s="25"/>
      <c r="AA1117" s="27"/>
      <c r="AD1117" s="9" t="str">
        <f t="shared" si="20"/>
        <v>Actual</v>
      </c>
      <c r="AE1117" s="9" t="str">
        <f t="shared" si="21"/>
        <v/>
      </c>
      <c r="AF1117" s="9">
        <f>HOUR(O1117)</f>
        <v>0</v>
      </c>
      <c r="AG1117" s="9">
        <f>DAY(O1117)</f>
        <v>0</v>
      </c>
      <c r="AH1117" s="9">
        <f>IFERROR((I1117-K1117)*24*60,0)</f>
        <v>0</v>
      </c>
      <c r="AI1117" s="9">
        <f t="shared" si="22"/>
        <v>0</v>
      </c>
      <c r="AJ1117" s="9">
        <f>C1117</f>
        <v>0</v>
      </c>
      <c r="AK1117" s="9">
        <f>IF(P1117="completed",((V1117-K1117)*24*60),0)</f>
        <v>0</v>
      </c>
      <c r="AL1117" s="9">
        <f>IF(P1117="completed",((U1117-K1117)*24*60),0)</f>
        <v>0</v>
      </c>
      <c r="AM1117" s="9" t="str">
        <f t="shared" si="23"/>
        <v>OTP Breached</v>
      </c>
      <c r="AN1117" s="9" t="str">
        <f t="shared" si="24"/>
        <v>OTP Achieved</v>
      </c>
    </row>
    <row r="1118" spans="2:40" ht="15.75" customHeight="1">
      <c r="B1118" s="25"/>
      <c r="I1118" s="25"/>
      <c r="K1118" s="25"/>
      <c r="O1118" s="25"/>
      <c r="U1118" s="25"/>
      <c r="V1118" s="25"/>
      <c r="AA1118" s="27"/>
      <c r="AD1118" s="9" t="str">
        <f t="shared" si="20"/>
        <v>Actual</v>
      </c>
      <c r="AE1118" s="9" t="str">
        <f t="shared" si="21"/>
        <v/>
      </c>
      <c r="AF1118" s="9">
        <f>HOUR(O1118)</f>
        <v>0</v>
      </c>
      <c r="AG1118" s="9">
        <f>DAY(O1118)</f>
        <v>0</v>
      </c>
      <c r="AH1118" s="9">
        <f>IFERROR((I1118-K1118)*24*60,0)</f>
        <v>0</v>
      </c>
      <c r="AI1118" s="9">
        <f t="shared" si="22"/>
        <v>0</v>
      </c>
      <c r="AJ1118" s="9">
        <f>C1118</f>
        <v>0</v>
      </c>
      <c r="AK1118" s="9">
        <f>IF(P1118="completed",((V1118-K1118)*24*60),0)</f>
        <v>0</v>
      </c>
      <c r="AL1118" s="9">
        <f>IF(P1118="completed",((U1118-K1118)*24*60),0)</f>
        <v>0</v>
      </c>
      <c r="AM1118" s="9" t="str">
        <f t="shared" si="23"/>
        <v>OTP Breached</v>
      </c>
      <c r="AN1118" s="9" t="str">
        <f t="shared" si="24"/>
        <v>OTP Achieved</v>
      </c>
    </row>
    <row r="1119" spans="2:40" ht="15.75" customHeight="1">
      <c r="B1119" s="25"/>
      <c r="I1119" s="25"/>
      <c r="K1119" s="25"/>
      <c r="O1119" s="25"/>
      <c r="U1119" s="25"/>
      <c r="V1119" s="25"/>
      <c r="AA1119" s="27"/>
      <c r="AD1119" s="9" t="str">
        <f t="shared" si="20"/>
        <v>Actual</v>
      </c>
      <c r="AE1119" s="9" t="str">
        <f t="shared" si="21"/>
        <v/>
      </c>
      <c r="AF1119" s="9">
        <f>HOUR(O1119)</f>
        <v>0</v>
      </c>
      <c r="AG1119" s="9">
        <f>DAY(O1119)</f>
        <v>0</v>
      </c>
      <c r="AH1119" s="9">
        <f>IFERROR((I1119-K1119)*24*60,0)</f>
        <v>0</v>
      </c>
      <c r="AI1119" s="9">
        <f t="shared" si="22"/>
        <v>0</v>
      </c>
      <c r="AJ1119" s="9">
        <f>C1119</f>
        <v>0</v>
      </c>
      <c r="AK1119" s="9">
        <f>IF(P1119="completed",((V1119-K1119)*24*60),0)</f>
        <v>0</v>
      </c>
      <c r="AL1119" s="9">
        <f>IF(P1119="completed",((U1119-K1119)*24*60),0)</f>
        <v>0</v>
      </c>
      <c r="AM1119" s="9" t="str">
        <f t="shared" si="23"/>
        <v>OTP Breached</v>
      </c>
      <c r="AN1119" s="9" t="str">
        <f t="shared" si="24"/>
        <v>OTP Achieved</v>
      </c>
    </row>
    <row r="1120" spans="2:40" ht="15.75" customHeight="1">
      <c r="B1120" s="25"/>
      <c r="I1120" s="25"/>
      <c r="K1120" s="25"/>
      <c r="O1120" s="25"/>
      <c r="U1120" s="25"/>
      <c r="V1120" s="25"/>
      <c r="AA1120" s="27"/>
      <c r="AD1120" s="9" t="str">
        <f t="shared" si="20"/>
        <v>Actual</v>
      </c>
      <c r="AE1120" s="9" t="str">
        <f t="shared" si="21"/>
        <v/>
      </c>
      <c r="AF1120" s="9">
        <f>HOUR(O1120)</f>
        <v>0</v>
      </c>
      <c r="AG1120" s="9">
        <f>DAY(O1120)</f>
        <v>0</v>
      </c>
      <c r="AH1120" s="9">
        <f>IFERROR((I1120-K1120)*24*60,0)</f>
        <v>0</v>
      </c>
      <c r="AI1120" s="9">
        <f t="shared" si="22"/>
        <v>0</v>
      </c>
      <c r="AJ1120" s="9">
        <f>C1120</f>
        <v>0</v>
      </c>
      <c r="AK1120" s="9">
        <f>IF(P1120="completed",((V1120-K1120)*24*60),0)</f>
        <v>0</v>
      </c>
      <c r="AL1120" s="9">
        <f>IF(P1120="completed",((U1120-K1120)*24*60),0)</f>
        <v>0</v>
      </c>
      <c r="AM1120" s="9" t="str">
        <f t="shared" si="23"/>
        <v>OTP Breached</v>
      </c>
      <c r="AN1120" s="9" t="str">
        <f t="shared" si="24"/>
        <v>OTP Achieved</v>
      </c>
    </row>
    <row r="1121" spans="2:40" ht="15.75" customHeight="1">
      <c r="B1121" s="25"/>
      <c r="I1121" s="25"/>
      <c r="K1121" s="25"/>
      <c r="O1121" s="25"/>
      <c r="U1121" s="25"/>
      <c r="V1121" s="25"/>
      <c r="AA1121" s="27"/>
      <c r="AD1121" s="9" t="str">
        <f t="shared" si="20"/>
        <v>Actual</v>
      </c>
      <c r="AE1121" s="9" t="str">
        <f t="shared" si="21"/>
        <v/>
      </c>
      <c r="AF1121" s="9">
        <f>HOUR(O1121)</f>
        <v>0</v>
      </c>
      <c r="AG1121" s="9">
        <f>DAY(O1121)</f>
        <v>0</v>
      </c>
      <c r="AH1121" s="9">
        <f>IFERROR((I1121-K1121)*24*60,0)</f>
        <v>0</v>
      </c>
      <c r="AI1121" s="9">
        <f t="shared" si="22"/>
        <v>0</v>
      </c>
      <c r="AJ1121" s="9">
        <f>C1121</f>
        <v>0</v>
      </c>
      <c r="AK1121" s="9">
        <f>IF(P1121="completed",((V1121-K1121)*24*60),0)</f>
        <v>0</v>
      </c>
      <c r="AL1121" s="9">
        <f>IF(P1121="completed",((U1121-K1121)*24*60),0)</f>
        <v>0</v>
      </c>
      <c r="AM1121" s="9" t="str">
        <f t="shared" si="23"/>
        <v>OTP Breached</v>
      </c>
      <c r="AN1121" s="9" t="str">
        <f t="shared" si="24"/>
        <v>OTP Achieved</v>
      </c>
    </row>
    <row r="1122" spans="2:40" ht="15.75" customHeight="1">
      <c r="B1122" s="25"/>
      <c r="I1122" s="25"/>
      <c r="K1122" s="25"/>
      <c r="O1122" s="25"/>
      <c r="U1122" s="25"/>
      <c r="V1122" s="25"/>
      <c r="AA1122" s="27"/>
      <c r="AD1122" s="9" t="str">
        <f t="shared" si="20"/>
        <v>Actual</v>
      </c>
      <c r="AE1122" s="9" t="str">
        <f t="shared" si="21"/>
        <v/>
      </c>
      <c r="AF1122" s="9">
        <f>HOUR(O1122)</f>
        <v>0</v>
      </c>
      <c r="AG1122" s="9">
        <f>DAY(O1122)</f>
        <v>0</v>
      </c>
      <c r="AH1122" s="9">
        <f>IFERROR((I1122-K1122)*24*60,0)</f>
        <v>0</v>
      </c>
      <c r="AI1122" s="9">
        <f t="shared" si="22"/>
        <v>0</v>
      </c>
      <c r="AJ1122" s="9">
        <f>C1122</f>
        <v>0</v>
      </c>
      <c r="AK1122" s="9">
        <f>IF(P1122="completed",((V1122-K1122)*24*60),0)</f>
        <v>0</v>
      </c>
      <c r="AL1122" s="9">
        <f>IF(P1122="completed",((U1122-K1122)*24*60),0)</f>
        <v>0</v>
      </c>
      <c r="AM1122" s="9" t="str">
        <f t="shared" si="23"/>
        <v>OTP Breached</v>
      </c>
      <c r="AN1122" s="9" t="str">
        <f t="shared" si="24"/>
        <v>OTP Achieved</v>
      </c>
    </row>
    <row r="1123" spans="2:40" ht="15.75" customHeight="1">
      <c r="B1123" s="25"/>
      <c r="I1123" s="25"/>
      <c r="K1123" s="25"/>
      <c r="O1123" s="25"/>
      <c r="U1123" s="25"/>
      <c r="V1123" s="25"/>
      <c r="AA1123" s="27"/>
      <c r="AD1123" s="9" t="str">
        <f t="shared" si="20"/>
        <v>Actual</v>
      </c>
      <c r="AE1123" s="9" t="str">
        <f t="shared" si="21"/>
        <v/>
      </c>
      <c r="AF1123" s="9">
        <f>HOUR(O1123)</f>
        <v>0</v>
      </c>
      <c r="AG1123" s="9">
        <f>DAY(O1123)</f>
        <v>0</v>
      </c>
      <c r="AH1123" s="9">
        <f>IFERROR((I1123-K1123)*24*60,0)</f>
        <v>0</v>
      </c>
      <c r="AI1123" s="9">
        <f t="shared" si="22"/>
        <v>0</v>
      </c>
      <c r="AJ1123" s="9">
        <f>C1123</f>
        <v>0</v>
      </c>
      <c r="AK1123" s="9">
        <f>IF(P1123="completed",((V1123-K1123)*24*60),0)</f>
        <v>0</v>
      </c>
      <c r="AL1123" s="9">
        <f>IF(P1123="completed",((U1123-K1123)*24*60),0)</f>
        <v>0</v>
      </c>
      <c r="AM1123" s="9" t="str">
        <f t="shared" si="23"/>
        <v>OTP Breached</v>
      </c>
      <c r="AN1123" s="9" t="str">
        <f t="shared" si="24"/>
        <v>OTP Achieved</v>
      </c>
    </row>
    <row r="1124" spans="2:40" ht="15.75" customHeight="1">
      <c r="B1124" s="25"/>
      <c r="I1124" s="25"/>
      <c r="K1124" s="25"/>
      <c r="O1124" s="25"/>
      <c r="U1124" s="25"/>
      <c r="V1124" s="25"/>
      <c r="AA1124" s="27"/>
      <c r="AD1124" s="9" t="str">
        <f t="shared" si="20"/>
        <v>Actual</v>
      </c>
      <c r="AE1124" s="9" t="str">
        <f t="shared" si="21"/>
        <v/>
      </c>
      <c r="AF1124" s="9">
        <f>HOUR(O1124)</f>
        <v>0</v>
      </c>
      <c r="AG1124" s="9">
        <f>DAY(O1124)</f>
        <v>0</v>
      </c>
      <c r="AH1124" s="9">
        <f>IFERROR((I1124-K1124)*24*60,0)</f>
        <v>0</v>
      </c>
      <c r="AI1124" s="9">
        <f t="shared" si="22"/>
        <v>0</v>
      </c>
      <c r="AJ1124" s="9">
        <f>C1124</f>
        <v>0</v>
      </c>
      <c r="AK1124" s="9">
        <f>IF(P1124="completed",((V1124-K1124)*24*60),0)</f>
        <v>0</v>
      </c>
      <c r="AL1124" s="9">
        <f>IF(P1124="completed",((U1124-K1124)*24*60),0)</f>
        <v>0</v>
      </c>
      <c r="AM1124" s="9" t="str">
        <f t="shared" si="23"/>
        <v>OTP Breached</v>
      </c>
      <c r="AN1124" s="9" t="str">
        <f t="shared" si="24"/>
        <v>OTP Achieved</v>
      </c>
    </row>
    <row r="1125" spans="2:40" ht="15.75" customHeight="1">
      <c r="B1125" s="25"/>
      <c r="I1125" s="25"/>
      <c r="K1125" s="25"/>
      <c r="O1125" s="25"/>
      <c r="U1125" s="25"/>
      <c r="V1125" s="25"/>
      <c r="AA1125" s="27"/>
      <c r="AD1125" s="9" t="str">
        <f t="shared" si="20"/>
        <v>Actual</v>
      </c>
      <c r="AE1125" s="9" t="str">
        <f t="shared" si="21"/>
        <v/>
      </c>
      <c r="AF1125" s="9">
        <f>HOUR(O1125)</f>
        <v>0</v>
      </c>
      <c r="AG1125" s="9">
        <f>DAY(O1125)</f>
        <v>0</v>
      </c>
      <c r="AH1125" s="9">
        <f>IFERROR((I1125-K1125)*24*60,0)</f>
        <v>0</v>
      </c>
      <c r="AI1125" s="9">
        <f t="shared" si="22"/>
        <v>0</v>
      </c>
      <c r="AJ1125" s="9">
        <f>C1125</f>
        <v>0</v>
      </c>
      <c r="AK1125" s="9">
        <f>IF(P1125="completed",((V1125-K1125)*24*60),0)</f>
        <v>0</v>
      </c>
      <c r="AL1125" s="9">
        <f>IF(P1125="completed",((U1125-K1125)*24*60),0)</f>
        <v>0</v>
      </c>
      <c r="AM1125" s="9" t="str">
        <f t="shared" si="23"/>
        <v>OTP Breached</v>
      </c>
      <c r="AN1125" s="9" t="str">
        <f t="shared" si="24"/>
        <v>OTP Achieved</v>
      </c>
    </row>
    <row r="1126" spans="2:40" ht="15.75" customHeight="1">
      <c r="B1126" s="25"/>
      <c r="I1126" s="25"/>
      <c r="K1126" s="25"/>
      <c r="O1126" s="25"/>
      <c r="U1126" s="25"/>
      <c r="V1126" s="25"/>
      <c r="AA1126" s="27"/>
      <c r="AD1126" s="9" t="str">
        <f t="shared" si="20"/>
        <v>Actual</v>
      </c>
      <c r="AE1126" s="9" t="str">
        <f t="shared" si="21"/>
        <v/>
      </c>
      <c r="AF1126" s="9">
        <f>HOUR(O1126)</f>
        <v>0</v>
      </c>
      <c r="AG1126" s="9">
        <f>DAY(O1126)</f>
        <v>0</v>
      </c>
      <c r="AH1126" s="9">
        <f>IFERROR((I1126-K1126)*24*60,0)</f>
        <v>0</v>
      </c>
      <c r="AI1126" s="9">
        <f t="shared" si="22"/>
        <v>0</v>
      </c>
      <c r="AJ1126" s="9">
        <f>C1126</f>
        <v>0</v>
      </c>
      <c r="AK1126" s="9">
        <f>IF(P1126="completed",((V1126-K1126)*24*60),0)</f>
        <v>0</v>
      </c>
      <c r="AL1126" s="9">
        <f>IF(P1126="completed",((U1126-K1126)*24*60),0)</f>
        <v>0</v>
      </c>
      <c r="AM1126" s="9" t="str">
        <f t="shared" si="23"/>
        <v>OTP Breached</v>
      </c>
      <c r="AN1126" s="9" t="str">
        <f t="shared" si="24"/>
        <v>OTP Achieved</v>
      </c>
    </row>
    <row r="1127" spans="2:40" ht="15.75" customHeight="1">
      <c r="B1127" s="25"/>
      <c r="I1127" s="25"/>
      <c r="K1127" s="25"/>
      <c r="O1127" s="25"/>
      <c r="U1127" s="25"/>
      <c r="V1127" s="25"/>
      <c r="AA1127" s="27"/>
      <c r="AD1127" s="9" t="str">
        <f t="shared" si="20"/>
        <v>Actual</v>
      </c>
      <c r="AE1127" s="9" t="str">
        <f t="shared" si="21"/>
        <v/>
      </c>
      <c r="AF1127" s="9">
        <f>HOUR(O1127)</f>
        <v>0</v>
      </c>
      <c r="AG1127" s="9">
        <f>DAY(O1127)</f>
        <v>0</v>
      </c>
      <c r="AH1127" s="9">
        <f>IFERROR((I1127-K1127)*24*60,0)</f>
        <v>0</v>
      </c>
      <c r="AI1127" s="9">
        <f t="shared" si="22"/>
        <v>0</v>
      </c>
      <c r="AJ1127" s="9">
        <f>C1127</f>
        <v>0</v>
      </c>
      <c r="AK1127" s="9">
        <f>IF(P1127="completed",((V1127-K1127)*24*60),0)</f>
        <v>0</v>
      </c>
      <c r="AL1127" s="9">
        <f>IF(P1127="completed",((U1127-K1127)*24*60),0)</f>
        <v>0</v>
      </c>
      <c r="AM1127" s="9" t="str">
        <f t="shared" si="23"/>
        <v>OTP Breached</v>
      </c>
      <c r="AN1127" s="9" t="str">
        <f t="shared" si="24"/>
        <v>OTP Achieved</v>
      </c>
    </row>
    <row r="1128" spans="2:40" ht="15.75" customHeight="1">
      <c r="B1128" s="25"/>
      <c r="I1128" s="25"/>
      <c r="K1128" s="25"/>
      <c r="O1128" s="25"/>
      <c r="U1128" s="25"/>
      <c r="V1128" s="25"/>
      <c r="AA1128" s="27"/>
      <c r="AD1128" s="9" t="str">
        <f t="shared" si="20"/>
        <v>Actual</v>
      </c>
      <c r="AE1128" s="9" t="str">
        <f t="shared" si="21"/>
        <v/>
      </c>
      <c r="AF1128" s="9">
        <f>HOUR(O1128)</f>
        <v>0</v>
      </c>
      <c r="AG1128" s="9">
        <f>DAY(O1128)</f>
        <v>0</v>
      </c>
      <c r="AH1128" s="9">
        <f>IFERROR((I1128-K1128)*24*60,0)</f>
        <v>0</v>
      </c>
      <c r="AI1128" s="9">
        <f t="shared" si="22"/>
        <v>0</v>
      </c>
      <c r="AJ1128" s="9">
        <f>C1128</f>
        <v>0</v>
      </c>
      <c r="AK1128" s="9">
        <f>IF(P1128="completed",((V1128-K1128)*24*60),0)</f>
        <v>0</v>
      </c>
      <c r="AL1128" s="9">
        <f>IF(P1128="completed",((U1128-K1128)*24*60),0)</f>
        <v>0</v>
      </c>
      <c r="AM1128" s="9" t="str">
        <f t="shared" si="23"/>
        <v>OTP Breached</v>
      </c>
      <c r="AN1128" s="9" t="str">
        <f t="shared" si="24"/>
        <v>OTP Achieved</v>
      </c>
    </row>
    <row r="1129" spans="2:40" ht="15.75" customHeight="1">
      <c r="B1129" s="25"/>
      <c r="I1129" s="25"/>
      <c r="K1129" s="25"/>
      <c r="O1129" s="25"/>
      <c r="U1129" s="25"/>
      <c r="V1129" s="25"/>
      <c r="AA1129" s="27"/>
      <c r="AD1129" s="9" t="str">
        <f t="shared" si="20"/>
        <v>Actual</v>
      </c>
      <c r="AE1129" s="9" t="str">
        <f t="shared" si="21"/>
        <v/>
      </c>
      <c r="AF1129" s="9">
        <f>HOUR(O1129)</f>
        <v>0</v>
      </c>
      <c r="AG1129" s="9">
        <f>DAY(O1129)</f>
        <v>0</v>
      </c>
      <c r="AH1129" s="9">
        <f>IFERROR((I1129-K1129)*24*60,0)</f>
        <v>0</v>
      </c>
      <c r="AI1129" s="9">
        <f t="shared" si="22"/>
        <v>0</v>
      </c>
      <c r="AJ1129" s="9">
        <f>C1129</f>
        <v>0</v>
      </c>
      <c r="AK1129" s="9">
        <f>IF(P1129="completed",((V1129-K1129)*24*60),0)</f>
        <v>0</v>
      </c>
      <c r="AL1129" s="9">
        <f>IF(P1129="completed",((U1129-K1129)*24*60),0)</f>
        <v>0</v>
      </c>
      <c r="AM1129" s="9" t="str">
        <f t="shared" si="23"/>
        <v>OTP Breached</v>
      </c>
      <c r="AN1129" s="9" t="str">
        <f t="shared" si="24"/>
        <v>OTP Achieved</v>
      </c>
    </row>
    <row r="1130" spans="2:40" ht="15.75" customHeight="1">
      <c r="B1130" s="25"/>
      <c r="I1130" s="25"/>
      <c r="K1130" s="25"/>
      <c r="O1130" s="25"/>
      <c r="U1130" s="25"/>
      <c r="V1130" s="25"/>
      <c r="AA1130" s="27"/>
      <c r="AD1130" s="9" t="str">
        <f t="shared" si="20"/>
        <v>Actual</v>
      </c>
      <c r="AE1130" s="9" t="str">
        <f t="shared" si="21"/>
        <v/>
      </c>
      <c r="AF1130" s="9">
        <f>HOUR(O1130)</f>
        <v>0</v>
      </c>
      <c r="AG1130" s="9">
        <f>DAY(O1130)</f>
        <v>0</v>
      </c>
      <c r="AH1130" s="9">
        <f>IFERROR((I1130-K1130)*24*60,0)</f>
        <v>0</v>
      </c>
      <c r="AI1130" s="9">
        <f t="shared" si="22"/>
        <v>0</v>
      </c>
      <c r="AJ1130" s="9">
        <f>C1130</f>
        <v>0</v>
      </c>
      <c r="AK1130" s="9">
        <f>IF(P1130="completed",((V1130-K1130)*24*60),0)</f>
        <v>0</v>
      </c>
      <c r="AL1130" s="9">
        <f>IF(P1130="completed",((U1130-K1130)*24*60),0)</f>
        <v>0</v>
      </c>
      <c r="AM1130" s="9" t="str">
        <f t="shared" si="23"/>
        <v>OTP Breached</v>
      </c>
      <c r="AN1130" s="9" t="str">
        <f t="shared" si="24"/>
        <v>OTP Achieved</v>
      </c>
    </row>
    <row r="1131" spans="2:40" ht="15.75" customHeight="1">
      <c r="B1131" s="25"/>
      <c r="I1131" s="25"/>
      <c r="K1131" s="25"/>
      <c r="O1131" s="25"/>
      <c r="U1131" s="25"/>
      <c r="V1131" s="25"/>
      <c r="AA1131" s="27"/>
      <c r="AD1131" s="9" t="str">
        <f t="shared" si="20"/>
        <v>Actual</v>
      </c>
      <c r="AE1131" s="9" t="str">
        <f t="shared" si="21"/>
        <v/>
      </c>
      <c r="AF1131" s="9">
        <f>HOUR(O1131)</f>
        <v>0</v>
      </c>
      <c r="AG1131" s="9">
        <f>DAY(O1131)</f>
        <v>0</v>
      </c>
      <c r="AH1131" s="9">
        <f>IFERROR((I1131-K1131)*24*60,0)</f>
        <v>0</v>
      </c>
      <c r="AI1131" s="9">
        <f t="shared" si="22"/>
        <v>0</v>
      </c>
      <c r="AJ1131" s="9">
        <f>C1131</f>
        <v>0</v>
      </c>
      <c r="AK1131" s="9">
        <f>IF(P1131="completed",((V1131-K1131)*24*60),0)</f>
        <v>0</v>
      </c>
      <c r="AL1131" s="9">
        <f>IF(P1131="completed",((U1131-K1131)*24*60),0)</f>
        <v>0</v>
      </c>
      <c r="AM1131" s="9" t="str">
        <f t="shared" si="23"/>
        <v>OTP Breached</v>
      </c>
      <c r="AN1131" s="9" t="str">
        <f t="shared" si="24"/>
        <v>OTP Achieved</v>
      </c>
    </row>
    <row r="1132" spans="2:40" ht="15.75" customHeight="1">
      <c r="B1132" s="25"/>
      <c r="I1132" s="25"/>
      <c r="K1132" s="25"/>
      <c r="O1132" s="25"/>
      <c r="U1132" s="25"/>
      <c r="V1132" s="25"/>
      <c r="AA1132" s="27"/>
      <c r="AD1132" s="9" t="str">
        <f t="shared" si="20"/>
        <v>Actual</v>
      </c>
      <c r="AE1132" s="9" t="str">
        <f t="shared" si="21"/>
        <v/>
      </c>
      <c r="AF1132" s="9">
        <f>HOUR(O1132)</f>
        <v>0</v>
      </c>
      <c r="AG1132" s="9">
        <f>DAY(O1132)</f>
        <v>0</v>
      </c>
      <c r="AH1132" s="9">
        <f>IFERROR((I1132-K1132)*24*60,0)</f>
        <v>0</v>
      </c>
      <c r="AI1132" s="9">
        <f t="shared" si="22"/>
        <v>0</v>
      </c>
      <c r="AJ1132" s="9">
        <f>C1132</f>
        <v>0</v>
      </c>
      <c r="AK1132" s="9">
        <f>IF(P1132="completed",((V1132-K1132)*24*60),0)</f>
        <v>0</v>
      </c>
      <c r="AL1132" s="9">
        <f>IF(P1132="completed",((U1132-K1132)*24*60),0)</f>
        <v>0</v>
      </c>
      <c r="AM1132" s="9" t="str">
        <f t="shared" si="23"/>
        <v>OTP Breached</v>
      </c>
      <c r="AN1132" s="9" t="str">
        <f t="shared" si="24"/>
        <v>OTP Achieved</v>
      </c>
    </row>
    <row r="1133" spans="2:40" ht="15.75" customHeight="1">
      <c r="B1133" s="25"/>
      <c r="I1133" s="25"/>
      <c r="K1133" s="25"/>
      <c r="O1133" s="25"/>
      <c r="U1133" s="25"/>
      <c r="V1133" s="25"/>
      <c r="AA1133" s="27"/>
      <c r="AD1133" s="9" t="str">
        <f t="shared" si="20"/>
        <v>Actual</v>
      </c>
      <c r="AE1133" s="9" t="str">
        <f t="shared" si="21"/>
        <v/>
      </c>
      <c r="AF1133" s="9">
        <f>HOUR(O1133)</f>
        <v>0</v>
      </c>
      <c r="AG1133" s="9">
        <f>DAY(O1133)</f>
        <v>0</v>
      </c>
      <c r="AH1133" s="9">
        <f>IFERROR((I1133-K1133)*24*60,0)</f>
        <v>0</v>
      </c>
      <c r="AI1133" s="9">
        <f t="shared" si="22"/>
        <v>0</v>
      </c>
      <c r="AJ1133" s="9">
        <f>C1133</f>
        <v>0</v>
      </c>
      <c r="AK1133" s="9">
        <f>IF(P1133="completed",((V1133-K1133)*24*60),0)</f>
        <v>0</v>
      </c>
      <c r="AL1133" s="9">
        <f>IF(P1133="completed",((U1133-K1133)*24*60),0)</f>
        <v>0</v>
      </c>
      <c r="AM1133" s="9" t="str">
        <f t="shared" si="23"/>
        <v>OTP Breached</v>
      </c>
      <c r="AN1133" s="9" t="str">
        <f t="shared" si="24"/>
        <v>OTP Achieved</v>
      </c>
    </row>
    <row r="1134" spans="2:40" ht="15.75" customHeight="1">
      <c r="B1134" s="25"/>
      <c r="I1134" s="25"/>
      <c r="K1134" s="25"/>
      <c r="O1134" s="25"/>
      <c r="U1134" s="25"/>
      <c r="V1134" s="25"/>
      <c r="AA1134" s="27"/>
      <c r="AD1134" s="9" t="str">
        <f t="shared" si="20"/>
        <v>Actual</v>
      </c>
      <c r="AE1134" s="9" t="str">
        <f t="shared" si="21"/>
        <v/>
      </c>
      <c r="AF1134" s="9">
        <f>HOUR(O1134)</f>
        <v>0</v>
      </c>
      <c r="AG1134" s="9">
        <f>DAY(O1134)</f>
        <v>0</v>
      </c>
      <c r="AH1134" s="9">
        <f>IFERROR((I1134-K1134)*24*60,0)</f>
        <v>0</v>
      </c>
      <c r="AI1134" s="9">
        <f t="shared" si="22"/>
        <v>0</v>
      </c>
      <c r="AJ1134" s="9">
        <f>C1134</f>
        <v>0</v>
      </c>
      <c r="AK1134" s="9">
        <f>IF(P1134="completed",((V1134-K1134)*24*60),0)</f>
        <v>0</v>
      </c>
      <c r="AL1134" s="9">
        <f>IF(P1134="completed",((U1134-K1134)*24*60),0)</f>
        <v>0</v>
      </c>
      <c r="AM1134" s="9" t="str">
        <f t="shared" si="23"/>
        <v>OTP Breached</v>
      </c>
      <c r="AN1134" s="9" t="str">
        <f t="shared" si="24"/>
        <v>OTP Achieved</v>
      </c>
    </row>
    <row r="1135" spans="2:40" ht="15.75" customHeight="1">
      <c r="B1135" s="25"/>
      <c r="I1135" s="25"/>
      <c r="K1135" s="25"/>
      <c r="O1135" s="25"/>
      <c r="U1135" s="25"/>
      <c r="V1135" s="25"/>
      <c r="AA1135" s="27"/>
      <c r="AD1135" s="9" t="str">
        <f t="shared" si="20"/>
        <v>Actual</v>
      </c>
      <c r="AE1135" s="9" t="str">
        <f t="shared" si="21"/>
        <v/>
      </c>
      <c r="AF1135" s="9">
        <f>HOUR(O1135)</f>
        <v>0</v>
      </c>
      <c r="AG1135" s="9">
        <f>DAY(O1135)</f>
        <v>0</v>
      </c>
      <c r="AH1135" s="9">
        <f>IFERROR((I1135-K1135)*24*60,0)</f>
        <v>0</v>
      </c>
      <c r="AI1135" s="9">
        <f t="shared" si="22"/>
        <v>0</v>
      </c>
      <c r="AJ1135" s="9">
        <f>C1135</f>
        <v>0</v>
      </c>
      <c r="AK1135" s="9">
        <f>IF(P1135="completed",((V1135-K1135)*24*60),0)</f>
        <v>0</v>
      </c>
      <c r="AL1135" s="9">
        <f>IF(P1135="completed",((U1135-K1135)*24*60),0)</f>
        <v>0</v>
      </c>
      <c r="AM1135" s="9" t="str">
        <f t="shared" si="23"/>
        <v>OTP Breached</v>
      </c>
      <c r="AN1135" s="9" t="str">
        <f t="shared" si="24"/>
        <v>OTP Achieved</v>
      </c>
    </row>
    <row r="1136" spans="2:40" ht="15.75" customHeight="1">
      <c r="B1136" s="25"/>
      <c r="I1136" s="25"/>
      <c r="K1136" s="25"/>
      <c r="O1136" s="25"/>
      <c r="U1136" s="25"/>
      <c r="V1136" s="25"/>
      <c r="AA1136" s="27"/>
      <c r="AD1136" s="9" t="str">
        <f t="shared" si="20"/>
        <v>Actual</v>
      </c>
      <c r="AE1136" s="9" t="str">
        <f t="shared" si="21"/>
        <v/>
      </c>
      <c r="AF1136" s="9">
        <f>HOUR(O1136)</f>
        <v>0</v>
      </c>
      <c r="AG1136" s="9">
        <f>DAY(O1136)</f>
        <v>0</v>
      </c>
      <c r="AH1136" s="9">
        <f>IFERROR((I1136-K1136)*24*60,0)</f>
        <v>0</v>
      </c>
      <c r="AI1136" s="9">
        <f t="shared" si="22"/>
        <v>0</v>
      </c>
      <c r="AJ1136" s="9">
        <f>C1136</f>
        <v>0</v>
      </c>
      <c r="AK1136" s="9">
        <f>IF(P1136="completed",((V1136-K1136)*24*60),0)</f>
        <v>0</v>
      </c>
      <c r="AL1136" s="9">
        <f>IF(P1136="completed",((U1136-K1136)*24*60),0)</f>
        <v>0</v>
      </c>
      <c r="AM1136" s="9" t="str">
        <f t="shared" si="23"/>
        <v>OTP Breached</v>
      </c>
      <c r="AN1136" s="9" t="str">
        <f t="shared" si="24"/>
        <v>OTP Achieved</v>
      </c>
    </row>
    <row r="1137" spans="2:40" ht="15.75" customHeight="1">
      <c r="B1137" s="25"/>
      <c r="I1137" s="25"/>
      <c r="K1137" s="25"/>
      <c r="O1137" s="25"/>
      <c r="U1137" s="25"/>
      <c r="V1137" s="25"/>
      <c r="AA1137" s="27"/>
      <c r="AD1137" s="9" t="str">
        <f t="shared" si="20"/>
        <v>Actual</v>
      </c>
      <c r="AE1137" s="9" t="str">
        <f t="shared" si="21"/>
        <v/>
      </c>
      <c r="AF1137" s="9">
        <f>HOUR(O1137)</f>
        <v>0</v>
      </c>
      <c r="AG1137" s="9">
        <f>DAY(O1137)</f>
        <v>0</v>
      </c>
      <c r="AH1137" s="9">
        <f>IFERROR((I1137-K1137)*24*60,0)</f>
        <v>0</v>
      </c>
      <c r="AI1137" s="9">
        <f t="shared" si="22"/>
        <v>0</v>
      </c>
      <c r="AJ1137" s="9">
        <f>C1137</f>
        <v>0</v>
      </c>
      <c r="AK1137" s="9">
        <f>IF(P1137="completed",((V1137-K1137)*24*60),0)</f>
        <v>0</v>
      </c>
      <c r="AL1137" s="9">
        <f>IF(P1137="completed",((U1137-K1137)*24*60),0)</f>
        <v>0</v>
      </c>
      <c r="AM1137" s="9" t="str">
        <f t="shared" si="23"/>
        <v>OTP Breached</v>
      </c>
      <c r="AN1137" s="9" t="str">
        <f t="shared" si="24"/>
        <v>OTP Achieved</v>
      </c>
    </row>
    <row r="1138" spans="2:40" ht="15.75" customHeight="1">
      <c r="B1138" s="25"/>
      <c r="I1138" s="25"/>
      <c r="K1138" s="25"/>
      <c r="O1138" s="25"/>
      <c r="U1138" s="25"/>
      <c r="V1138" s="25"/>
      <c r="AA1138" s="27"/>
      <c r="AD1138" s="9" t="str">
        <f t="shared" si="20"/>
        <v>Actual</v>
      </c>
      <c r="AE1138" s="9" t="str">
        <f t="shared" si="21"/>
        <v/>
      </c>
      <c r="AF1138" s="9">
        <f>HOUR(O1138)</f>
        <v>0</v>
      </c>
      <c r="AG1138" s="9">
        <f>DAY(O1138)</f>
        <v>0</v>
      </c>
      <c r="AH1138" s="9">
        <f>IFERROR((I1138-K1138)*24*60,0)</f>
        <v>0</v>
      </c>
      <c r="AI1138" s="9">
        <f t="shared" si="22"/>
        <v>0</v>
      </c>
      <c r="AJ1138" s="9">
        <f>C1138</f>
        <v>0</v>
      </c>
      <c r="AK1138" s="9">
        <f>IF(P1138="completed",((V1138-K1138)*24*60),0)</f>
        <v>0</v>
      </c>
      <c r="AL1138" s="9">
        <f>IF(P1138="completed",((U1138-K1138)*24*60),0)</f>
        <v>0</v>
      </c>
      <c r="AM1138" s="9" t="str">
        <f t="shared" si="23"/>
        <v>OTP Breached</v>
      </c>
      <c r="AN1138" s="9" t="str">
        <f t="shared" si="24"/>
        <v>OTP Achieved</v>
      </c>
    </row>
    <row r="1139" spans="2:40" ht="15.75" customHeight="1">
      <c r="B1139" s="25"/>
      <c r="I1139" s="25"/>
      <c r="K1139" s="25"/>
      <c r="O1139" s="25"/>
      <c r="U1139" s="25"/>
      <c r="V1139" s="25"/>
      <c r="AA1139" s="27"/>
      <c r="AD1139" s="9" t="str">
        <f t="shared" si="20"/>
        <v>Actual</v>
      </c>
      <c r="AE1139" s="9" t="str">
        <f t="shared" si="21"/>
        <v/>
      </c>
      <c r="AF1139" s="9">
        <f>HOUR(O1139)</f>
        <v>0</v>
      </c>
      <c r="AG1139" s="9">
        <f>DAY(O1139)</f>
        <v>0</v>
      </c>
      <c r="AH1139" s="9">
        <f>IFERROR((I1139-K1139)*24*60,0)</f>
        <v>0</v>
      </c>
      <c r="AI1139" s="9">
        <f t="shared" si="22"/>
        <v>0</v>
      </c>
      <c r="AJ1139" s="9">
        <f>C1139</f>
        <v>0</v>
      </c>
      <c r="AK1139" s="9">
        <f>IF(P1139="completed",((V1139-K1139)*24*60),0)</f>
        <v>0</v>
      </c>
      <c r="AL1139" s="9">
        <f>IF(P1139="completed",((U1139-K1139)*24*60),0)</f>
        <v>0</v>
      </c>
      <c r="AM1139" s="9" t="str">
        <f t="shared" si="23"/>
        <v>OTP Breached</v>
      </c>
      <c r="AN1139" s="9" t="str">
        <f t="shared" si="24"/>
        <v>OTP Achieved</v>
      </c>
    </row>
    <row r="1140" spans="2:40" ht="15.75" customHeight="1">
      <c r="B1140" s="25"/>
      <c r="I1140" s="25"/>
      <c r="K1140" s="25"/>
      <c r="O1140" s="25"/>
      <c r="U1140" s="25"/>
      <c r="V1140" s="25"/>
      <c r="AA1140" s="27"/>
      <c r="AD1140" s="9" t="str">
        <f t="shared" si="20"/>
        <v>Actual</v>
      </c>
      <c r="AE1140" s="9" t="str">
        <f t="shared" si="21"/>
        <v/>
      </c>
      <c r="AF1140" s="9">
        <f>HOUR(O1140)</f>
        <v>0</v>
      </c>
      <c r="AG1140" s="9">
        <f>DAY(O1140)</f>
        <v>0</v>
      </c>
      <c r="AH1140" s="9">
        <f>IFERROR((I1140-K1140)*24*60,0)</f>
        <v>0</v>
      </c>
      <c r="AI1140" s="9">
        <f t="shared" si="22"/>
        <v>0</v>
      </c>
      <c r="AJ1140" s="9">
        <f>C1140</f>
        <v>0</v>
      </c>
      <c r="AK1140" s="9">
        <f>IF(P1140="completed",((V1140-K1140)*24*60),0)</f>
        <v>0</v>
      </c>
      <c r="AL1140" s="9">
        <f>IF(P1140="completed",((U1140-K1140)*24*60),0)</f>
        <v>0</v>
      </c>
      <c r="AM1140" s="9" t="str">
        <f t="shared" si="23"/>
        <v>OTP Breached</v>
      </c>
      <c r="AN1140" s="9" t="str">
        <f t="shared" si="24"/>
        <v>OTP Achieved</v>
      </c>
    </row>
    <row r="1141" spans="2:40" ht="15.75" customHeight="1">
      <c r="B1141" s="25"/>
      <c r="I1141" s="25"/>
      <c r="K1141" s="25"/>
      <c r="O1141" s="25"/>
      <c r="U1141" s="25"/>
      <c r="V1141" s="25"/>
      <c r="AA1141" s="27"/>
      <c r="AD1141" s="9" t="str">
        <f t="shared" si="20"/>
        <v>Actual</v>
      </c>
      <c r="AE1141" s="9" t="str">
        <f t="shared" si="21"/>
        <v/>
      </c>
      <c r="AF1141" s="9">
        <f>HOUR(O1141)</f>
        <v>0</v>
      </c>
      <c r="AG1141" s="9">
        <f>DAY(O1141)</f>
        <v>0</v>
      </c>
      <c r="AH1141" s="9">
        <f>IFERROR((I1141-K1141)*24*60,0)</f>
        <v>0</v>
      </c>
      <c r="AI1141" s="9">
        <f t="shared" si="22"/>
        <v>0</v>
      </c>
      <c r="AJ1141" s="9">
        <f>C1141</f>
        <v>0</v>
      </c>
      <c r="AK1141" s="9">
        <f>IF(P1141="completed",((V1141-K1141)*24*60),0)</f>
        <v>0</v>
      </c>
      <c r="AL1141" s="9">
        <f>IF(P1141="completed",((U1141-K1141)*24*60),0)</f>
        <v>0</v>
      </c>
      <c r="AM1141" s="9" t="str">
        <f t="shared" si="23"/>
        <v>OTP Breached</v>
      </c>
      <c r="AN1141" s="9" t="str">
        <f t="shared" si="24"/>
        <v>OTP Achieved</v>
      </c>
    </row>
    <row r="1142" spans="2:40" ht="15.75" customHeight="1">
      <c r="B1142" s="25"/>
      <c r="I1142" s="25"/>
      <c r="K1142" s="25"/>
      <c r="O1142" s="25"/>
      <c r="U1142" s="25"/>
      <c r="V1142" s="25"/>
      <c r="AA1142" s="27"/>
      <c r="AD1142" s="9" t="str">
        <f t="shared" si="20"/>
        <v>Actual</v>
      </c>
      <c r="AE1142" s="9" t="str">
        <f t="shared" si="21"/>
        <v/>
      </c>
      <c r="AF1142" s="9">
        <f>HOUR(O1142)</f>
        <v>0</v>
      </c>
      <c r="AG1142" s="9">
        <f>DAY(O1142)</f>
        <v>0</v>
      </c>
      <c r="AH1142" s="9">
        <f>IFERROR((I1142-K1142)*24*60,0)</f>
        <v>0</v>
      </c>
      <c r="AI1142" s="9">
        <f t="shared" si="22"/>
        <v>0</v>
      </c>
      <c r="AJ1142" s="9">
        <f>C1142</f>
        <v>0</v>
      </c>
      <c r="AK1142" s="9">
        <f>IF(P1142="completed",((V1142-K1142)*24*60),0)</f>
        <v>0</v>
      </c>
      <c r="AL1142" s="9">
        <f>IF(P1142="completed",((U1142-K1142)*24*60),0)</f>
        <v>0</v>
      </c>
      <c r="AM1142" s="9" t="str">
        <f t="shared" si="23"/>
        <v>OTP Breached</v>
      </c>
      <c r="AN1142" s="9" t="str">
        <f t="shared" si="24"/>
        <v>OTP Achieved</v>
      </c>
    </row>
    <row r="1143" spans="2:40" ht="15.75" customHeight="1">
      <c r="B1143" s="25"/>
      <c r="I1143" s="25"/>
      <c r="K1143" s="25"/>
      <c r="O1143" s="25"/>
      <c r="U1143" s="25"/>
      <c r="V1143" s="25"/>
      <c r="AA1143" s="27"/>
      <c r="AD1143" s="9" t="str">
        <f t="shared" si="20"/>
        <v>Actual</v>
      </c>
      <c r="AE1143" s="9" t="str">
        <f t="shared" si="21"/>
        <v/>
      </c>
      <c r="AF1143" s="9">
        <f>HOUR(O1143)</f>
        <v>0</v>
      </c>
      <c r="AG1143" s="9">
        <f>DAY(O1143)</f>
        <v>0</v>
      </c>
      <c r="AH1143" s="9">
        <f>IFERROR((I1143-K1143)*24*60,0)</f>
        <v>0</v>
      </c>
      <c r="AI1143" s="9">
        <f t="shared" si="22"/>
        <v>0</v>
      </c>
      <c r="AJ1143" s="9">
        <f>C1143</f>
        <v>0</v>
      </c>
      <c r="AK1143" s="9">
        <f>IF(P1143="completed",((V1143-K1143)*24*60),0)</f>
        <v>0</v>
      </c>
      <c r="AL1143" s="9">
        <f>IF(P1143="completed",((U1143-K1143)*24*60),0)</f>
        <v>0</v>
      </c>
      <c r="AM1143" s="9" t="str">
        <f t="shared" si="23"/>
        <v>OTP Breached</v>
      </c>
      <c r="AN1143" s="9" t="str">
        <f t="shared" si="24"/>
        <v>OTP Achieved</v>
      </c>
    </row>
    <row r="1144" spans="2:40" ht="15.75" customHeight="1">
      <c r="B1144" s="25"/>
      <c r="I1144" s="25"/>
      <c r="K1144" s="25"/>
      <c r="O1144" s="25"/>
      <c r="U1144" s="25"/>
      <c r="V1144" s="25"/>
      <c r="AA1144" s="27"/>
      <c r="AD1144" s="9" t="str">
        <f t="shared" si="20"/>
        <v>Actual</v>
      </c>
      <c r="AE1144" s="9" t="str">
        <f t="shared" si="21"/>
        <v/>
      </c>
      <c r="AF1144" s="9">
        <f>HOUR(O1144)</f>
        <v>0</v>
      </c>
      <c r="AG1144" s="9">
        <f>DAY(O1144)</f>
        <v>0</v>
      </c>
      <c r="AH1144" s="9">
        <f>IFERROR((I1144-K1144)*24*60,0)</f>
        <v>0</v>
      </c>
      <c r="AI1144" s="9">
        <f t="shared" si="22"/>
        <v>0</v>
      </c>
      <c r="AJ1144" s="9">
        <f>C1144</f>
        <v>0</v>
      </c>
      <c r="AK1144" s="9">
        <f>IF(P1144="completed",((V1144-K1144)*24*60),0)</f>
        <v>0</v>
      </c>
      <c r="AL1144" s="9">
        <f>IF(P1144="completed",((U1144-K1144)*24*60),0)</f>
        <v>0</v>
      </c>
      <c r="AM1144" s="9" t="str">
        <f t="shared" si="23"/>
        <v>OTP Breached</v>
      </c>
      <c r="AN1144" s="9" t="str">
        <f t="shared" si="24"/>
        <v>OTP Achieved</v>
      </c>
    </row>
    <row r="1145" spans="2:40" ht="15.75" customHeight="1">
      <c r="B1145" s="25"/>
      <c r="I1145" s="25"/>
      <c r="K1145" s="25"/>
      <c r="O1145" s="25"/>
      <c r="U1145" s="25"/>
      <c r="V1145" s="25"/>
      <c r="AA1145" s="27"/>
      <c r="AD1145" s="9" t="str">
        <f t="shared" si="20"/>
        <v>Actual</v>
      </c>
      <c r="AE1145" s="9" t="str">
        <f t="shared" si="21"/>
        <v/>
      </c>
      <c r="AF1145" s="9">
        <f>HOUR(O1145)</f>
        <v>0</v>
      </c>
      <c r="AG1145" s="9">
        <f>DAY(O1145)</f>
        <v>0</v>
      </c>
      <c r="AH1145" s="9">
        <f>IFERROR((I1145-K1145)*24*60,0)</f>
        <v>0</v>
      </c>
      <c r="AI1145" s="9">
        <f t="shared" si="22"/>
        <v>0</v>
      </c>
      <c r="AJ1145" s="9">
        <f>C1145</f>
        <v>0</v>
      </c>
      <c r="AK1145" s="9">
        <f>IF(P1145="completed",((V1145-K1145)*24*60),0)</f>
        <v>0</v>
      </c>
      <c r="AL1145" s="9">
        <f>IF(P1145="completed",((U1145-K1145)*24*60),0)</f>
        <v>0</v>
      </c>
      <c r="AM1145" s="9" t="str">
        <f t="shared" si="23"/>
        <v>OTP Breached</v>
      </c>
      <c r="AN1145" s="9" t="str">
        <f t="shared" si="24"/>
        <v>OTP Achieved</v>
      </c>
    </row>
    <row r="1146" spans="2:40" ht="15.75" customHeight="1">
      <c r="B1146" s="25"/>
      <c r="I1146" s="25"/>
      <c r="K1146" s="25"/>
      <c r="O1146" s="25"/>
      <c r="U1146" s="25"/>
      <c r="V1146" s="25"/>
      <c r="AA1146" s="27"/>
      <c r="AD1146" s="9" t="str">
        <f t="shared" si="20"/>
        <v>Actual</v>
      </c>
      <c r="AE1146" s="9" t="str">
        <f t="shared" si="21"/>
        <v/>
      </c>
      <c r="AF1146" s="9">
        <f>HOUR(O1146)</f>
        <v>0</v>
      </c>
      <c r="AG1146" s="9">
        <f>DAY(O1146)</f>
        <v>0</v>
      </c>
      <c r="AH1146" s="9">
        <f>IFERROR((I1146-K1146)*24*60,0)</f>
        <v>0</v>
      </c>
      <c r="AI1146" s="9">
        <f t="shared" si="22"/>
        <v>0</v>
      </c>
      <c r="AJ1146" s="9">
        <f>C1146</f>
        <v>0</v>
      </c>
      <c r="AK1146" s="9">
        <f>IF(P1146="completed",((V1146-K1146)*24*60),0)</f>
        <v>0</v>
      </c>
      <c r="AL1146" s="9">
        <f>IF(P1146="completed",((U1146-K1146)*24*60),0)</f>
        <v>0</v>
      </c>
      <c r="AM1146" s="9" t="str">
        <f t="shared" si="23"/>
        <v>OTP Breached</v>
      </c>
      <c r="AN1146" s="9" t="str">
        <f t="shared" si="24"/>
        <v>OTP Achieved</v>
      </c>
    </row>
    <row r="1147" spans="2:40" ht="15.75" customHeight="1">
      <c r="B1147" s="25"/>
      <c r="I1147" s="25"/>
      <c r="K1147" s="25"/>
      <c r="O1147" s="25"/>
      <c r="U1147" s="25"/>
      <c r="V1147" s="25"/>
      <c r="AA1147" s="27"/>
      <c r="AD1147" s="9" t="str">
        <f t="shared" si="20"/>
        <v>Actual</v>
      </c>
      <c r="AE1147" s="9" t="str">
        <f t="shared" si="21"/>
        <v/>
      </c>
      <c r="AF1147" s="9">
        <f>HOUR(O1147)</f>
        <v>0</v>
      </c>
      <c r="AG1147" s="9">
        <f>DAY(O1147)</f>
        <v>0</v>
      </c>
      <c r="AH1147" s="9">
        <f>IFERROR((I1147-K1147)*24*60,0)</f>
        <v>0</v>
      </c>
      <c r="AI1147" s="9">
        <f t="shared" si="22"/>
        <v>0</v>
      </c>
      <c r="AJ1147" s="9">
        <f>C1147</f>
        <v>0</v>
      </c>
      <c r="AK1147" s="9">
        <f>IF(P1147="completed",((V1147-K1147)*24*60),0)</f>
        <v>0</v>
      </c>
      <c r="AL1147" s="9">
        <f>IF(P1147="completed",((U1147-K1147)*24*60),0)</f>
        <v>0</v>
      </c>
      <c r="AM1147" s="9" t="str">
        <f t="shared" si="23"/>
        <v>OTP Breached</v>
      </c>
      <c r="AN1147" s="9" t="str">
        <f t="shared" si="24"/>
        <v>OTP Achieved</v>
      </c>
    </row>
    <row r="1148" spans="2:40" ht="15.75" customHeight="1">
      <c r="B1148" s="25"/>
      <c r="I1148" s="25"/>
      <c r="K1148" s="25"/>
      <c r="O1148" s="25"/>
      <c r="U1148" s="25"/>
      <c r="V1148" s="25"/>
      <c r="AA1148" s="27"/>
      <c r="AD1148" s="9" t="str">
        <f t="shared" si="20"/>
        <v>Actual</v>
      </c>
      <c r="AE1148" s="9" t="str">
        <f t="shared" si="21"/>
        <v/>
      </c>
      <c r="AF1148" s="9">
        <f>HOUR(O1148)</f>
        <v>0</v>
      </c>
      <c r="AG1148" s="9">
        <f>DAY(O1148)</f>
        <v>0</v>
      </c>
      <c r="AH1148" s="9">
        <f>IFERROR((I1148-K1148)*24*60,0)</f>
        <v>0</v>
      </c>
      <c r="AI1148" s="9">
        <f t="shared" si="22"/>
        <v>0</v>
      </c>
      <c r="AJ1148" s="9">
        <f>C1148</f>
        <v>0</v>
      </c>
      <c r="AK1148" s="9">
        <f>IF(P1148="completed",((V1148-K1148)*24*60),0)</f>
        <v>0</v>
      </c>
      <c r="AL1148" s="9">
        <f>IF(P1148="completed",((U1148-K1148)*24*60),0)</f>
        <v>0</v>
      </c>
      <c r="AM1148" s="9" t="str">
        <f t="shared" si="23"/>
        <v>OTP Breached</v>
      </c>
      <c r="AN1148" s="9" t="str">
        <f t="shared" si="24"/>
        <v>OTP Achieved</v>
      </c>
    </row>
    <row r="1149" spans="2:40" ht="15.75" customHeight="1">
      <c r="B1149" s="25"/>
      <c r="I1149" s="25"/>
      <c r="K1149" s="25"/>
      <c r="O1149" s="25"/>
      <c r="U1149" s="25"/>
      <c r="V1149" s="25"/>
      <c r="AA1149" s="27"/>
      <c r="AD1149" s="9" t="str">
        <f t="shared" si="20"/>
        <v>Actual</v>
      </c>
      <c r="AE1149" s="9" t="str">
        <f t="shared" si="21"/>
        <v/>
      </c>
      <c r="AF1149" s="9">
        <f>HOUR(O1149)</f>
        <v>0</v>
      </c>
      <c r="AG1149" s="9">
        <f>DAY(O1149)</f>
        <v>0</v>
      </c>
      <c r="AH1149" s="9">
        <f>IFERROR((I1149-K1149)*24*60,0)</f>
        <v>0</v>
      </c>
      <c r="AI1149" s="9">
        <f t="shared" si="22"/>
        <v>0</v>
      </c>
      <c r="AJ1149" s="9">
        <f>C1149</f>
        <v>0</v>
      </c>
      <c r="AK1149" s="9">
        <f>IF(P1149="completed",((V1149-K1149)*24*60),0)</f>
        <v>0</v>
      </c>
      <c r="AL1149" s="9">
        <f>IF(P1149="completed",((U1149-K1149)*24*60),0)</f>
        <v>0</v>
      </c>
      <c r="AM1149" s="9" t="str">
        <f t="shared" si="23"/>
        <v>OTP Breached</v>
      </c>
      <c r="AN1149" s="9" t="str">
        <f t="shared" si="24"/>
        <v>OTP Achieved</v>
      </c>
    </row>
    <row r="1150" spans="2:40" ht="15.75" customHeight="1">
      <c r="B1150" s="25"/>
      <c r="I1150" s="25"/>
      <c r="K1150" s="25"/>
      <c r="O1150" s="25"/>
      <c r="U1150" s="25"/>
      <c r="V1150" s="25"/>
      <c r="AA1150" s="27"/>
      <c r="AD1150" s="9" t="str">
        <f t="shared" si="20"/>
        <v>Actual</v>
      </c>
      <c r="AE1150" s="9" t="str">
        <f t="shared" si="21"/>
        <v/>
      </c>
      <c r="AF1150" s="9">
        <f>HOUR(O1150)</f>
        <v>0</v>
      </c>
      <c r="AG1150" s="9">
        <f>DAY(O1150)</f>
        <v>0</v>
      </c>
      <c r="AH1150" s="9">
        <f>IFERROR((I1150-K1150)*24*60,0)</f>
        <v>0</v>
      </c>
      <c r="AI1150" s="9">
        <f t="shared" si="22"/>
        <v>0</v>
      </c>
      <c r="AJ1150" s="9">
        <f>C1150</f>
        <v>0</v>
      </c>
      <c r="AK1150" s="9">
        <f>IF(P1150="completed",((V1150-K1150)*24*60),0)</f>
        <v>0</v>
      </c>
      <c r="AL1150" s="9">
        <f>IF(P1150="completed",((U1150-K1150)*24*60),0)</f>
        <v>0</v>
      </c>
      <c r="AM1150" s="9" t="str">
        <f t="shared" si="23"/>
        <v>OTP Breached</v>
      </c>
      <c r="AN1150" s="9" t="str">
        <f t="shared" si="24"/>
        <v>OTP Achieved</v>
      </c>
    </row>
    <row r="1151" spans="2:40" ht="15.75" customHeight="1">
      <c r="B1151" s="25"/>
      <c r="I1151" s="25"/>
      <c r="K1151" s="25"/>
      <c r="O1151" s="25"/>
      <c r="U1151" s="25"/>
      <c r="V1151" s="25"/>
      <c r="AA1151" s="27"/>
      <c r="AD1151" s="9" t="str">
        <f t="shared" si="20"/>
        <v>Actual</v>
      </c>
      <c r="AE1151" s="9" t="str">
        <f t="shared" si="21"/>
        <v/>
      </c>
      <c r="AF1151" s="9">
        <f>HOUR(O1151)</f>
        <v>0</v>
      </c>
      <c r="AG1151" s="9">
        <f>DAY(O1151)</f>
        <v>0</v>
      </c>
      <c r="AH1151" s="9">
        <f>IFERROR((I1151-K1151)*24*60,0)</f>
        <v>0</v>
      </c>
      <c r="AI1151" s="9">
        <f t="shared" si="22"/>
        <v>0</v>
      </c>
      <c r="AJ1151" s="9">
        <f>C1151</f>
        <v>0</v>
      </c>
      <c r="AK1151" s="9">
        <f>IF(P1151="completed",((V1151-K1151)*24*60),0)</f>
        <v>0</v>
      </c>
      <c r="AL1151" s="9">
        <f>IF(P1151="completed",((U1151-K1151)*24*60),0)</f>
        <v>0</v>
      </c>
      <c r="AM1151" s="9" t="str">
        <f t="shared" si="23"/>
        <v>OTP Breached</v>
      </c>
      <c r="AN1151" s="9" t="str">
        <f t="shared" si="24"/>
        <v>OTP Achieved</v>
      </c>
    </row>
    <row r="1152" spans="2:40" ht="15.75" customHeight="1">
      <c r="B1152" s="25"/>
      <c r="I1152" s="25"/>
      <c r="K1152" s="25"/>
      <c r="O1152" s="25"/>
      <c r="U1152" s="25"/>
      <c r="V1152" s="25"/>
      <c r="AA1152" s="27"/>
      <c r="AD1152" s="9" t="str">
        <f t="shared" si="20"/>
        <v>Actual</v>
      </c>
      <c r="AE1152" s="9" t="str">
        <f t="shared" si="21"/>
        <v/>
      </c>
      <c r="AF1152" s="9">
        <f>HOUR(O1152)</f>
        <v>0</v>
      </c>
      <c r="AG1152" s="9">
        <f>DAY(O1152)</f>
        <v>0</v>
      </c>
      <c r="AH1152" s="9">
        <f>IFERROR((I1152-K1152)*24*60,0)</f>
        <v>0</v>
      </c>
      <c r="AI1152" s="9">
        <f t="shared" si="22"/>
        <v>0</v>
      </c>
      <c r="AJ1152" s="9">
        <f>C1152</f>
        <v>0</v>
      </c>
      <c r="AK1152" s="9">
        <f>IF(P1152="completed",((V1152-K1152)*24*60),0)</f>
        <v>0</v>
      </c>
      <c r="AL1152" s="9">
        <f>IF(P1152="completed",((U1152-K1152)*24*60),0)</f>
        <v>0</v>
      </c>
      <c r="AM1152" s="9" t="str">
        <f t="shared" si="23"/>
        <v>OTP Breached</v>
      </c>
      <c r="AN1152" s="9" t="str">
        <f t="shared" si="24"/>
        <v>OTP Achieved</v>
      </c>
    </row>
    <row r="1153" spans="2:40" ht="15.75" customHeight="1">
      <c r="B1153" s="25"/>
      <c r="I1153" s="25"/>
      <c r="K1153" s="25"/>
      <c r="O1153" s="25"/>
      <c r="U1153" s="25"/>
      <c r="V1153" s="25"/>
      <c r="AA1153" s="27"/>
      <c r="AD1153" s="9" t="str">
        <f t="shared" si="20"/>
        <v>Actual</v>
      </c>
      <c r="AE1153" s="9" t="str">
        <f t="shared" si="21"/>
        <v/>
      </c>
      <c r="AF1153" s="9">
        <f>HOUR(O1153)</f>
        <v>0</v>
      </c>
      <c r="AG1153" s="9">
        <f>DAY(O1153)</f>
        <v>0</v>
      </c>
      <c r="AH1153" s="9">
        <f>IFERROR((I1153-K1153)*24*60,0)</f>
        <v>0</v>
      </c>
      <c r="AI1153" s="9">
        <f t="shared" si="22"/>
        <v>0</v>
      </c>
      <c r="AJ1153" s="9">
        <f>C1153</f>
        <v>0</v>
      </c>
      <c r="AK1153" s="9">
        <f>IF(P1153="completed",((V1153-K1153)*24*60),0)</f>
        <v>0</v>
      </c>
      <c r="AL1153" s="9">
        <f>IF(P1153="completed",((U1153-K1153)*24*60),0)</f>
        <v>0</v>
      </c>
      <c r="AM1153" s="9" t="str">
        <f t="shared" si="23"/>
        <v>OTP Breached</v>
      </c>
      <c r="AN1153" s="9" t="str">
        <f t="shared" si="24"/>
        <v>OTP Achieved</v>
      </c>
    </row>
    <row r="1154" spans="2:40" ht="15.75" customHeight="1">
      <c r="B1154" s="25"/>
      <c r="I1154" s="25"/>
      <c r="K1154" s="25"/>
      <c r="O1154" s="25"/>
      <c r="U1154" s="25"/>
      <c r="V1154" s="25"/>
      <c r="AA1154" s="27"/>
      <c r="AD1154" s="9" t="str">
        <f t="shared" si="20"/>
        <v>Actual</v>
      </c>
      <c r="AE1154" s="9" t="str">
        <f t="shared" si="21"/>
        <v/>
      </c>
      <c r="AF1154" s="9">
        <f>HOUR(O1154)</f>
        <v>0</v>
      </c>
      <c r="AG1154" s="9">
        <f>DAY(O1154)</f>
        <v>0</v>
      </c>
      <c r="AH1154" s="9">
        <f>IFERROR((I1154-K1154)*24*60,0)</f>
        <v>0</v>
      </c>
      <c r="AI1154" s="9">
        <f t="shared" si="22"/>
        <v>0</v>
      </c>
      <c r="AJ1154" s="9">
        <f>C1154</f>
        <v>0</v>
      </c>
      <c r="AK1154" s="9">
        <f>IF(P1154="completed",((V1154-K1154)*24*60),0)</f>
        <v>0</v>
      </c>
      <c r="AL1154" s="9">
        <f>IF(P1154="completed",((U1154-K1154)*24*60),0)</f>
        <v>0</v>
      </c>
      <c r="AM1154" s="9" t="str">
        <f t="shared" si="23"/>
        <v>OTP Breached</v>
      </c>
      <c r="AN1154" s="9" t="str">
        <f t="shared" si="24"/>
        <v>OTP Achieved</v>
      </c>
    </row>
    <row r="1155" spans="2:40" ht="15.75" customHeight="1">
      <c r="B1155" s="25"/>
      <c r="I1155" s="25"/>
      <c r="K1155" s="25"/>
      <c r="O1155" s="25"/>
      <c r="U1155" s="25"/>
      <c r="V1155" s="25"/>
      <c r="AA1155" s="27"/>
      <c r="AD1155" s="9" t="str">
        <f t="shared" si="20"/>
        <v>Actual</v>
      </c>
      <c r="AE1155" s="9" t="str">
        <f t="shared" si="21"/>
        <v/>
      </c>
      <c r="AF1155" s="9">
        <f>HOUR(O1155)</f>
        <v>0</v>
      </c>
      <c r="AG1155" s="9">
        <f>DAY(O1155)</f>
        <v>0</v>
      </c>
      <c r="AH1155" s="9">
        <f>IFERROR((I1155-K1155)*24*60,0)</f>
        <v>0</v>
      </c>
      <c r="AI1155" s="9">
        <f t="shared" si="22"/>
        <v>0</v>
      </c>
      <c r="AJ1155" s="9">
        <f>C1155</f>
        <v>0</v>
      </c>
      <c r="AK1155" s="9">
        <f>IF(P1155="completed",((V1155-K1155)*24*60),0)</f>
        <v>0</v>
      </c>
      <c r="AL1155" s="9">
        <f>IF(P1155="completed",((U1155-K1155)*24*60),0)</f>
        <v>0</v>
      </c>
      <c r="AM1155" s="9" t="str">
        <f t="shared" si="23"/>
        <v>OTP Breached</v>
      </c>
      <c r="AN1155" s="9" t="str">
        <f t="shared" si="24"/>
        <v>OTP Achieved</v>
      </c>
    </row>
    <row r="1156" spans="2:40" ht="15.75" customHeight="1">
      <c r="B1156" s="25"/>
      <c r="I1156" s="25"/>
      <c r="K1156" s="25"/>
      <c r="O1156" s="25"/>
      <c r="U1156" s="25"/>
      <c r="V1156" s="25"/>
      <c r="AA1156" s="27"/>
      <c r="AD1156" s="9" t="str">
        <f t="shared" si="20"/>
        <v>Actual</v>
      </c>
      <c r="AE1156" s="9" t="str">
        <f t="shared" si="21"/>
        <v/>
      </c>
      <c r="AF1156" s="9">
        <f>HOUR(O1156)</f>
        <v>0</v>
      </c>
      <c r="AG1156" s="9">
        <f>DAY(O1156)</f>
        <v>0</v>
      </c>
      <c r="AH1156" s="9">
        <f>IFERROR((I1156-K1156)*24*60,0)</f>
        <v>0</v>
      </c>
      <c r="AI1156" s="9">
        <f t="shared" si="22"/>
        <v>0</v>
      </c>
      <c r="AJ1156" s="9">
        <f>C1156</f>
        <v>0</v>
      </c>
      <c r="AK1156" s="9">
        <f>IF(P1156="completed",((V1156-K1156)*24*60),0)</f>
        <v>0</v>
      </c>
      <c r="AL1156" s="9">
        <f>IF(P1156="completed",((U1156-K1156)*24*60),0)</f>
        <v>0</v>
      </c>
      <c r="AM1156" s="9" t="str">
        <f t="shared" si="23"/>
        <v>OTP Breached</v>
      </c>
      <c r="AN1156" s="9" t="str">
        <f t="shared" si="24"/>
        <v>OTP Achieved</v>
      </c>
    </row>
    <row r="1157" spans="2:40" ht="15.75" customHeight="1">
      <c r="B1157" s="25"/>
      <c r="I1157" s="25"/>
      <c r="K1157" s="25"/>
      <c r="O1157" s="25"/>
      <c r="U1157" s="25"/>
      <c r="V1157" s="25"/>
      <c r="AA1157" s="27"/>
      <c r="AD1157" s="9" t="str">
        <f t="shared" si="20"/>
        <v>Actual</v>
      </c>
      <c r="AE1157" s="9" t="str">
        <f t="shared" si="21"/>
        <v/>
      </c>
      <c r="AF1157" s="9">
        <f>HOUR(O1157)</f>
        <v>0</v>
      </c>
      <c r="AG1157" s="9">
        <f>DAY(O1157)</f>
        <v>0</v>
      </c>
      <c r="AH1157" s="9">
        <f>IFERROR((I1157-K1157)*24*60,0)</f>
        <v>0</v>
      </c>
      <c r="AI1157" s="9">
        <f t="shared" si="22"/>
        <v>0</v>
      </c>
      <c r="AJ1157" s="9">
        <f>C1157</f>
        <v>0</v>
      </c>
      <c r="AK1157" s="9">
        <f>IF(P1157="completed",((V1157-K1157)*24*60),0)</f>
        <v>0</v>
      </c>
      <c r="AL1157" s="9">
        <f>IF(P1157="completed",((U1157-K1157)*24*60),0)</f>
        <v>0</v>
      </c>
      <c r="AM1157" s="9" t="str">
        <f t="shared" si="23"/>
        <v>OTP Breached</v>
      </c>
      <c r="AN1157" s="9" t="str">
        <f t="shared" si="24"/>
        <v>OTP Achieved</v>
      </c>
    </row>
    <row r="1158" spans="2:40" ht="15.75" customHeight="1">
      <c r="B1158" s="25"/>
      <c r="I1158" s="25"/>
      <c r="K1158" s="25"/>
      <c r="O1158" s="25"/>
      <c r="U1158" s="25"/>
      <c r="V1158" s="25"/>
      <c r="AA1158" s="27"/>
      <c r="AD1158" s="9" t="str">
        <f t="shared" si="20"/>
        <v>Actual</v>
      </c>
      <c r="AE1158" s="9" t="str">
        <f t="shared" si="21"/>
        <v/>
      </c>
      <c r="AF1158" s="9">
        <f>HOUR(O1158)</f>
        <v>0</v>
      </c>
      <c r="AG1158" s="9">
        <f>DAY(O1158)</f>
        <v>0</v>
      </c>
      <c r="AH1158" s="9">
        <f>IFERROR((I1158-K1158)*24*60,0)</f>
        <v>0</v>
      </c>
      <c r="AI1158" s="9">
        <f t="shared" si="22"/>
        <v>0</v>
      </c>
      <c r="AJ1158" s="9">
        <f>C1158</f>
        <v>0</v>
      </c>
      <c r="AK1158" s="9">
        <f>IF(P1158="completed",((V1158-K1158)*24*60),0)</f>
        <v>0</v>
      </c>
      <c r="AL1158" s="9">
        <f>IF(P1158="completed",((U1158-K1158)*24*60),0)</f>
        <v>0</v>
      </c>
      <c r="AM1158" s="9" t="str">
        <f t="shared" si="23"/>
        <v>OTP Breached</v>
      </c>
      <c r="AN1158" s="9" t="str">
        <f t="shared" si="24"/>
        <v>OTP Achieved</v>
      </c>
    </row>
    <row r="1159" spans="2:40" ht="15.75" customHeight="1">
      <c r="B1159" s="25"/>
      <c r="I1159" s="25"/>
      <c r="K1159" s="25"/>
      <c r="O1159" s="25"/>
      <c r="U1159" s="25"/>
      <c r="V1159" s="25"/>
      <c r="AA1159" s="27"/>
      <c r="AD1159" s="9" t="str">
        <f t="shared" si="20"/>
        <v>Actual</v>
      </c>
      <c r="AE1159" s="9" t="str">
        <f t="shared" si="21"/>
        <v/>
      </c>
      <c r="AF1159" s="9">
        <f>HOUR(O1159)</f>
        <v>0</v>
      </c>
      <c r="AG1159" s="9">
        <f>DAY(O1159)</f>
        <v>0</v>
      </c>
      <c r="AH1159" s="9">
        <f>IFERROR((I1159-K1159)*24*60,0)</f>
        <v>0</v>
      </c>
      <c r="AI1159" s="9">
        <f t="shared" si="22"/>
        <v>0</v>
      </c>
      <c r="AJ1159" s="9">
        <f>C1159</f>
        <v>0</v>
      </c>
      <c r="AK1159" s="9">
        <f>IF(P1159="completed",((V1159-K1159)*24*60),0)</f>
        <v>0</v>
      </c>
      <c r="AL1159" s="9">
        <f>IF(P1159="completed",((U1159-K1159)*24*60),0)</f>
        <v>0</v>
      </c>
      <c r="AM1159" s="9" t="str">
        <f t="shared" si="23"/>
        <v>OTP Breached</v>
      </c>
      <c r="AN1159" s="9" t="str">
        <f t="shared" si="24"/>
        <v>OTP Achieved</v>
      </c>
    </row>
    <row r="1160" spans="2:40" ht="15.75" customHeight="1">
      <c r="B1160" s="25"/>
      <c r="I1160" s="25"/>
      <c r="K1160" s="25"/>
      <c r="O1160" s="25"/>
      <c r="U1160" s="25"/>
      <c r="V1160" s="25"/>
      <c r="AA1160" s="27"/>
      <c r="AD1160" s="9" t="str">
        <f t="shared" si="20"/>
        <v>Actual</v>
      </c>
      <c r="AE1160" s="9" t="str">
        <f t="shared" si="21"/>
        <v/>
      </c>
      <c r="AF1160" s="9">
        <f>HOUR(O1160)</f>
        <v>0</v>
      </c>
      <c r="AG1160" s="9">
        <f>DAY(O1160)</f>
        <v>0</v>
      </c>
      <c r="AH1160" s="9">
        <f>IFERROR((I1160-K1160)*24*60,0)</f>
        <v>0</v>
      </c>
      <c r="AI1160" s="9">
        <f t="shared" si="22"/>
        <v>0</v>
      </c>
      <c r="AJ1160" s="9">
        <f>C1160</f>
        <v>0</v>
      </c>
      <c r="AK1160" s="9">
        <f>IF(P1160="completed",((V1160-K1160)*24*60),0)</f>
        <v>0</v>
      </c>
      <c r="AL1160" s="9">
        <f>IF(P1160="completed",((U1160-K1160)*24*60),0)</f>
        <v>0</v>
      </c>
      <c r="AM1160" s="9" t="str">
        <f t="shared" si="23"/>
        <v>OTP Breached</v>
      </c>
      <c r="AN1160" s="9" t="str">
        <f t="shared" si="24"/>
        <v>OTP Achieved</v>
      </c>
    </row>
    <row r="1161" spans="2:40" ht="15.75" customHeight="1">
      <c r="B1161" s="25"/>
      <c r="I1161" s="25"/>
      <c r="K1161" s="25"/>
      <c r="O1161" s="25"/>
      <c r="U1161" s="25"/>
      <c r="V1161" s="25"/>
      <c r="AA1161" s="27"/>
      <c r="AD1161" s="9" t="str">
        <f t="shared" si="20"/>
        <v>Actual</v>
      </c>
      <c r="AE1161" s="9" t="str">
        <f t="shared" si="21"/>
        <v/>
      </c>
      <c r="AF1161" s="9">
        <f>HOUR(O1161)</f>
        <v>0</v>
      </c>
      <c r="AG1161" s="9">
        <f>DAY(O1161)</f>
        <v>0</v>
      </c>
      <c r="AH1161" s="9">
        <f>IFERROR((I1161-K1161)*24*60,0)</f>
        <v>0</v>
      </c>
      <c r="AI1161" s="9">
        <f t="shared" si="22"/>
        <v>0</v>
      </c>
      <c r="AJ1161" s="9">
        <f>C1161</f>
        <v>0</v>
      </c>
      <c r="AK1161" s="9">
        <f>IF(P1161="completed",((V1161-K1161)*24*60),0)</f>
        <v>0</v>
      </c>
      <c r="AL1161" s="9">
        <f>IF(P1161="completed",((U1161-K1161)*24*60),0)</f>
        <v>0</v>
      </c>
      <c r="AM1161" s="9" t="str">
        <f t="shared" si="23"/>
        <v>OTP Breached</v>
      </c>
      <c r="AN1161" s="9" t="str">
        <f t="shared" si="24"/>
        <v>OTP Achieved</v>
      </c>
    </row>
    <row r="1162" spans="2:40" ht="15.75" customHeight="1">
      <c r="B1162" s="25"/>
      <c r="I1162" s="25"/>
      <c r="K1162" s="25"/>
      <c r="O1162" s="25"/>
      <c r="U1162" s="25"/>
      <c r="V1162" s="25"/>
      <c r="AA1162" s="27"/>
      <c r="AD1162" s="9" t="str">
        <f t="shared" si="20"/>
        <v>Actual</v>
      </c>
      <c r="AE1162" s="9" t="str">
        <f t="shared" si="21"/>
        <v/>
      </c>
      <c r="AF1162" s="9">
        <f>HOUR(O1162)</f>
        <v>0</v>
      </c>
      <c r="AG1162" s="9">
        <f>DAY(O1162)</f>
        <v>0</v>
      </c>
      <c r="AH1162" s="9">
        <f>IFERROR((I1162-K1162)*24*60,0)</f>
        <v>0</v>
      </c>
      <c r="AI1162" s="9">
        <f t="shared" si="22"/>
        <v>0</v>
      </c>
      <c r="AJ1162" s="9">
        <f>C1162</f>
        <v>0</v>
      </c>
      <c r="AK1162" s="9">
        <f>IF(P1162="completed",((V1162-K1162)*24*60),0)</f>
        <v>0</v>
      </c>
      <c r="AL1162" s="9">
        <f>IF(P1162="completed",((U1162-K1162)*24*60),0)</f>
        <v>0</v>
      </c>
      <c r="AM1162" s="9" t="str">
        <f t="shared" si="23"/>
        <v>OTP Breached</v>
      </c>
      <c r="AN1162" s="9" t="str">
        <f t="shared" si="24"/>
        <v>OTP Achieved</v>
      </c>
    </row>
    <row r="1163" spans="2:40" ht="15.75" customHeight="1">
      <c r="B1163" s="25"/>
      <c r="I1163" s="25"/>
      <c r="K1163" s="25"/>
      <c r="O1163" s="25"/>
      <c r="U1163" s="25"/>
      <c r="V1163" s="25"/>
      <c r="AA1163" s="27"/>
      <c r="AD1163" s="9" t="str">
        <f t="shared" si="20"/>
        <v>Actual</v>
      </c>
      <c r="AE1163" s="9" t="str">
        <f t="shared" si="21"/>
        <v/>
      </c>
      <c r="AF1163" s="9">
        <f>HOUR(O1163)</f>
        <v>0</v>
      </c>
      <c r="AG1163" s="9">
        <f>DAY(O1163)</f>
        <v>0</v>
      </c>
      <c r="AH1163" s="9">
        <f>IFERROR((I1163-K1163)*24*60,0)</f>
        <v>0</v>
      </c>
      <c r="AI1163" s="9">
        <f t="shared" si="22"/>
        <v>0</v>
      </c>
      <c r="AJ1163" s="9">
        <f>C1163</f>
        <v>0</v>
      </c>
      <c r="AK1163" s="9">
        <f>IF(P1163="completed",((V1163-K1163)*24*60),0)</f>
        <v>0</v>
      </c>
      <c r="AL1163" s="9">
        <f>IF(P1163="completed",((U1163-K1163)*24*60),0)</f>
        <v>0</v>
      </c>
      <c r="AM1163" s="9" t="str">
        <f t="shared" si="23"/>
        <v>OTP Breached</v>
      </c>
      <c r="AN1163" s="9" t="str">
        <f t="shared" si="24"/>
        <v>OTP Achieved</v>
      </c>
    </row>
    <row r="1164" spans="2:40" ht="15.75" customHeight="1">
      <c r="B1164" s="25"/>
      <c r="I1164" s="25"/>
      <c r="K1164" s="25"/>
      <c r="O1164" s="25"/>
      <c r="U1164" s="25"/>
      <c r="V1164" s="25"/>
      <c r="AA1164" s="27"/>
      <c r="AD1164" s="9" t="str">
        <f t="shared" si="20"/>
        <v>Actual</v>
      </c>
      <c r="AE1164" s="9" t="str">
        <f t="shared" si="21"/>
        <v/>
      </c>
      <c r="AF1164" s="9">
        <f>HOUR(O1164)</f>
        <v>0</v>
      </c>
      <c r="AG1164" s="9">
        <f>DAY(O1164)</f>
        <v>0</v>
      </c>
      <c r="AH1164" s="9">
        <f>IFERROR((I1164-K1164)*24*60,0)</f>
        <v>0</v>
      </c>
      <c r="AI1164" s="9">
        <f t="shared" si="22"/>
        <v>0</v>
      </c>
      <c r="AJ1164" s="9">
        <f>C1164</f>
        <v>0</v>
      </c>
      <c r="AK1164" s="9">
        <f>IF(P1164="completed",((V1164-K1164)*24*60),0)</f>
        <v>0</v>
      </c>
      <c r="AL1164" s="9">
        <f>IF(P1164="completed",((U1164-K1164)*24*60),0)</f>
        <v>0</v>
      </c>
      <c r="AM1164" s="9" t="str">
        <f t="shared" si="23"/>
        <v>OTP Breached</v>
      </c>
      <c r="AN1164" s="9" t="str">
        <f t="shared" si="24"/>
        <v>OTP Achieved</v>
      </c>
    </row>
    <row r="1165" spans="2:40" ht="15.75" customHeight="1">
      <c r="B1165" s="25"/>
      <c r="I1165" s="25"/>
      <c r="K1165" s="25"/>
      <c r="O1165" s="25"/>
      <c r="U1165" s="25"/>
      <c r="V1165" s="25"/>
      <c r="AA1165" s="27"/>
      <c r="AD1165" s="9" t="str">
        <f t="shared" si="20"/>
        <v>Actual</v>
      </c>
      <c r="AE1165" s="9" t="str">
        <f t="shared" si="21"/>
        <v/>
      </c>
      <c r="AF1165" s="9">
        <f>HOUR(O1165)</f>
        <v>0</v>
      </c>
      <c r="AG1165" s="9">
        <f>DAY(O1165)</f>
        <v>0</v>
      </c>
      <c r="AH1165" s="9">
        <f>IFERROR((I1165-K1165)*24*60,0)</f>
        <v>0</v>
      </c>
      <c r="AI1165" s="9">
        <f t="shared" si="22"/>
        <v>0</v>
      </c>
      <c r="AJ1165" s="9">
        <f>C1165</f>
        <v>0</v>
      </c>
      <c r="AK1165" s="9">
        <f>IF(P1165="completed",((V1165-K1165)*24*60),0)</f>
        <v>0</v>
      </c>
      <c r="AL1165" s="9">
        <f>IF(P1165="completed",((U1165-K1165)*24*60),0)</f>
        <v>0</v>
      </c>
      <c r="AM1165" s="9" t="str">
        <f t="shared" si="23"/>
        <v>OTP Breached</v>
      </c>
      <c r="AN1165" s="9" t="str">
        <f t="shared" si="24"/>
        <v>OTP Achieved</v>
      </c>
    </row>
    <row r="1166" spans="2:40" ht="15.75" customHeight="1">
      <c r="B1166" s="25"/>
      <c r="I1166" s="25"/>
      <c r="K1166" s="25"/>
      <c r="O1166" s="25"/>
      <c r="U1166" s="25"/>
      <c r="V1166" s="25"/>
      <c r="AA1166" s="27"/>
      <c r="AD1166" s="9" t="str">
        <f t="shared" si="20"/>
        <v>Actual</v>
      </c>
      <c r="AE1166" s="9" t="str">
        <f t="shared" si="21"/>
        <v/>
      </c>
      <c r="AF1166" s="9">
        <f>HOUR(O1166)</f>
        <v>0</v>
      </c>
      <c r="AG1166" s="9">
        <f>DAY(O1166)</f>
        <v>0</v>
      </c>
      <c r="AH1166" s="9">
        <f>IFERROR((I1166-K1166)*24*60,0)</f>
        <v>0</v>
      </c>
      <c r="AI1166" s="9">
        <f t="shared" si="22"/>
        <v>0</v>
      </c>
      <c r="AJ1166" s="9">
        <f>C1166</f>
        <v>0</v>
      </c>
      <c r="AK1166" s="9">
        <f>IF(P1166="completed",((V1166-K1166)*24*60),0)</f>
        <v>0</v>
      </c>
      <c r="AL1166" s="9">
        <f>IF(P1166="completed",((U1166-K1166)*24*60),0)</f>
        <v>0</v>
      </c>
      <c r="AM1166" s="9" t="str">
        <f t="shared" si="23"/>
        <v>OTP Breached</v>
      </c>
      <c r="AN1166" s="9" t="str">
        <f t="shared" si="24"/>
        <v>OTP Achieved</v>
      </c>
    </row>
    <row r="1167" spans="2:40" ht="15.75" customHeight="1">
      <c r="B1167" s="25"/>
      <c r="I1167" s="25"/>
      <c r="K1167" s="25"/>
      <c r="O1167" s="25"/>
      <c r="U1167" s="25"/>
      <c r="V1167" s="25"/>
      <c r="AA1167" s="27"/>
      <c r="AD1167" s="9" t="str">
        <f t="shared" si="20"/>
        <v>Actual</v>
      </c>
      <c r="AE1167" s="9" t="str">
        <f t="shared" si="21"/>
        <v/>
      </c>
      <c r="AF1167" s="9">
        <f>HOUR(O1167)</f>
        <v>0</v>
      </c>
      <c r="AG1167" s="9">
        <f>DAY(O1167)</f>
        <v>0</v>
      </c>
      <c r="AH1167" s="9">
        <f>IFERROR((I1167-K1167)*24*60,0)</f>
        <v>0</v>
      </c>
      <c r="AI1167" s="9">
        <f t="shared" si="22"/>
        <v>0</v>
      </c>
      <c r="AJ1167" s="9">
        <f>C1167</f>
        <v>0</v>
      </c>
      <c r="AK1167" s="9">
        <f>IF(P1167="completed",((V1167-K1167)*24*60),0)</f>
        <v>0</v>
      </c>
      <c r="AL1167" s="9">
        <f>IF(P1167="completed",((U1167-K1167)*24*60),0)</f>
        <v>0</v>
      </c>
      <c r="AM1167" s="9" t="str">
        <f t="shared" si="23"/>
        <v>OTP Breached</v>
      </c>
      <c r="AN1167" s="9" t="str">
        <f t="shared" si="24"/>
        <v>OTP Achieved</v>
      </c>
    </row>
    <row r="1168" spans="2:40" ht="15.75" customHeight="1">
      <c r="B1168" s="25"/>
      <c r="I1168" s="25"/>
      <c r="K1168" s="25"/>
      <c r="O1168" s="25"/>
      <c r="U1168" s="25"/>
      <c r="V1168" s="25"/>
      <c r="AA1168" s="27"/>
      <c r="AD1168" s="9" t="str">
        <f t="shared" si="20"/>
        <v>Actual</v>
      </c>
      <c r="AE1168" s="9" t="str">
        <f t="shared" si="21"/>
        <v/>
      </c>
      <c r="AF1168" s="9">
        <f>HOUR(O1168)</f>
        <v>0</v>
      </c>
      <c r="AG1168" s="9">
        <f>DAY(O1168)</f>
        <v>0</v>
      </c>
      <c r="AH1168" s="9">
        <f>IFERROR((I1168-K1168)*24*60,0)</f>
        <v>0</v>
      </c>
      <c r="AI1168" s="9">
        <f t="shared" si="22"/>
        <v>0</v>
      </c>
      <c r="AJ1168" s="9">
        <f>C1168</f>
        <v>0</v>
      </c>
      <c r="AK1168" s="9">
        <f>IF(P1168="completed",((V1168-K1168)*24*60),0)</f>
        <v>0</v>
      </c>
      <c r="AL1168" s="9">
        <f>IF(P1168="completed",((U1168-K1168)*24*60),0)</f>
        <v>0</v>
      </c>
      <c r="AM1168" s="9" t="str">
        <f t="shared" si="23"/>
        <v>OTP Breached</v>
      </c>
      <c r="AN1168" s="9" t="str">
        <f t="shared" si="24"/>
        <v>OTP Achieved</v>
      </c>
    </row>
    <row r="1169" spans="2:40" ht="15.75" customHeight="1">
      <c r="B1169" s="25"/>
      <c r="I1169" s="25"/>
      <c r="K1169" s="25"/>
      <c r="O1169" s="25"/>
      <c r="U1169" s="25"/>
      <c r="V1169" s="25"/>
      <c r="AA1169" s="27"/>
      <c r="AD1169" s="9" t="str">
        <f t="shared" si="20"/>
        <v>Actual</v>
      </c>
      <c r="AE1169" s="9" t="str">
        <f t="shared" si="21"/>
        <v/>
      </c>
      <c r="AF1169" s="9">
        <f>HOUR(O1169)</f>
        <v>0</v>
      </c>
      <c r="AG1169" s="9">
        <f>DAY(O1169)</f>
        <v>0</v>
      </c>
      <c r="AH1169" s="9">
        <f>IFERROR((I1169-K1169)*24*60,0)</f>
        <v>0</v>
      </c>
      <c r="AI1169" s="9">
        <f t="shared" si="22"/>
        <v>0</v>
      </c>
      <c r="AJ1169" s="9">
        <f>C1169</f>
        <v>0</v>
      </c>
      <c r="AK1169" s="9">
        <f>IF(P1169="completed",((V1169-K1169)*24*60),0)</f>
        <v>0</v>
      </c>
      <c r="AL1169" s="9">
        <f>IF(P1169="completed",((U1169-K1169)*24*60),0)</f>
        <v>0</v>
      </c>
      <c r="AM1169" s="9" t="str">
        <f t="shared" si="23"/>
        <v>OTP Breached</v>
      </c>
      <c r="AN1169" s="9" t="str">
        <f t="shared" si="24"/>
        <v>OTP Achieved</v>
      </c>
    </row>
    <row r="1170" spans="2:40" ht="15.75" customHeight="1">
      <c r="B1170" s="25"/>
      <c r="I1170" s="25"/>
      <c r="K1170" s="25"/>
      <c r="O1170" s="25"/>
      <c r="U1170" s="25"/>
      <c r="V1170" s="25"/>
      <c r="AA1170" s="27"/>
      <c r="AD1170" s="9" t="str">
        <f t="shared" si="20"/>
        <v>Actual</v>
      </c>
      <c r="AE1170" s="9" t="str">
        <f t="shared" si="21"/>
        <v/>
      </c>
      <c r="AF1170" s="9">
        <f>HOUR(O1170)</f>
        <v>0</v>
      </c>
      <c r="AG1170" s="9">
        <f>DAY(O1170)</f>
        <v>0</v>
      </c>
      <c r="AH1170" s="9">
        <f>IFERROR((I1170-K1170)*24*60,0)</f>
        <v>0</v>
      </c>
      <c r="AI1170" s="9">
        <f t="shared" si="22"/>
        <v>0</v>
      </c>
      <c r="AJ1170" s="9">
        <f>C1170</f>
        <v>0</v>
      </c>
      <c r="AK1170" s="9">
        <f>IF(P1170="completed",((V1170-K1170)*24*60),0)</f>
        <v>0</v>
      </c>
      <c r="AL1170" s="9">
        <f>IF(P1170="completed",((U1170-K1170)*24*60),0)</f>
        <v>0</v>
      </c>
      <c r="AM1170" s="9" t="str">
        <f t="shared" si="23"/>
        <v>OTP Breached</v>
      </c>
      <c r="AN1170" s="9" t="str">
        <f t="shared" si="24"/>
        <v>OTP Achieved</v>
      </c>
    </row>
    <row r="1171" spans="2:40" ht="15.75" customHeight="1">
      <c r="B1171" s="25"/>
      <c r="I1171" s="25"/>
      <c r="K1171" s="25"/>
      <c r="O1171" s="25"/>
      <c r="U1171" s="25"/>
      <c r="V1171" s="25"/>
      <c r="AA1171" s="27"/>
      <c r="AD1171" s="9" t="str">
        <f t="shared" si="20"/>
        <v>Actual</v>
      </c>
      <c r="AE1171" s="9" t="str">
        <f t="shared" si="21"/>
        <v/>
      </c>
      <c r="AF1171" s="9">
        <f>HOUR(O1171)</f>
        <v>0</v>
      </c>
      <c r="AG1171" s="9">
        <f>DAY(O1171)</f>
        <v>0</v>
      </c>
      <c r="AH1171" s="9">
        <f>IFERROR((I1171-K1171)*24*60,0)</f>
        <v>0</v>
      </c>
      <c r="AI1171" s="9">
        <f t="shared" si="22"/>
        <v>0</v>
      </c>
      <c r="AJ1171" s="9">
        <f>C1171</f>
        <v>0</v>
      </c>
      <c r="AK1171" s="9">
        <f>IF(P1171="completed",((V1171-K1171)*24*60),0)</f>
        <v>0</v>
      </c>
      <c r="AL1171" s="9">
        <f>IF(P1171="completed",((U1171-K1171)*24*60),0)</f>
        <v>0</v>
      </c>
      <c r="AM1171" s="9" t="str">
        <f t="shared" si="23"/>
        <v>OTP Breached</v>
      </c>
      <c r="AN1171" s="9" t="str">
        <f t="shared" si="24"/>
        <v>OTP Achieved</v>
      </c>
    </row>
    <row r="1172" spans="2:40" ht="15.75" customHeight="1">
      <c r="B1172" s="25"/>
      <c r="I1172" s="25"/>
      <c r="K1172" s="25"/>
      <c r="O1172" s="25"/>
      <c r="U1172" s="25"/>
      <c r="V1172" s="25"/>
      <c r="AA1172" s="27"/>
      <c r="AD1172" s="9" t="str">
        <f t="shared" si="20"/>
        <v>Actual</v>
      </c>
      <c r="AE1172" s="9" t="str">
        <f t="shared" si="21"/>
        <v/>
      </c>
      <c r="AF1172" s="9">
        <f>HOUR(O1172)</f>
        <v>0</v>
      </c>
      <c r="AG1172" s="9">
        <f>DAY(O1172)</f>
        <v>0</v>
      </c>
      <c r="AH1172" s="9">
        <f>IFERROR((I1172-K1172)*24*60,0)</f>
        <v>0</v>
      </c>
      <c r="AI1172" s="9">
        <f t="shared" si="22"/>
        <v>0</v>
      </c>
      <c r="AJ1172" s="9">
        <f>C1172</f>
        <v>0</v>
      </c>
      <c r="AK1172" s="9">
        <f>IF(P1172="completed",((V1172-K1172)*24*60),0)</f>
        <v>0</v>
      </c>
      <c r="AL1172" s="9">
        <f>IF(P1172="completed",((U1172-K1172)*24*60),0)</f>
        <v>0</v>
      </c>
      <c r="AM1172" s="9" t="str">
        <f t="shared" si="23"/>
        <v>OTP Breached</v>
      </c>
      <c r="AN1172" s="9" t="str">
        <f t="shared" si="24"/>
        <v>OTP Achieved</v>
      </c>
    </row>
    <row r="1173" spans="2:40" ht="15.75" customHeight="1">
      <c r="I1173" s="28"/>
      <c r="AD1173" s="9" t="str">
        <f t="shared" si="20"/>
        <v>Actual</v>
      </c>
      <c r="AE1173" s="9" t="str">
        <f t="shared" si="21"/>
        <v/>
      </c>
      <c r="AF1173" s="9">
        <f>HOUR(O1173)</f>
        <v>0</v>
      </c>
      <c r="AG1173" s="9">
        <f>DAY(O1173)</f>
        <v>0</v>
      </c>
      <c r="AH1173" s="9">
        <f>IFERROR((I1173-K1173)*24*60,0)</f>
        <v>0</v>
      </c>
      <c r="AI1173" s="9">
        <f t="shared" si="22"/>
        <v>0</v>
      </c>
      <c r="AJ1173" s="9">
        <f>C1173</f>
        <v>0</v>
      </c>
      <c r="AK1173" s="9">
        <f>IF(P1173="completed",((V1173-K1173)*24*60),0)</f>
        <v>0</v>
      </c>
      <c r="AL1173" s="9">
        <f>IF(P1173="completed",((U1173-K1173)*24*60),0)</f>
        <v>0</v>
      </c>
      <c r="AM1173" s="9" t="str">
        <f t="shared" si="23"/>
        <v>OTP Breached</v>
      </c>
      <c r="AN1173" s="9" t="str">
        <f t="shared" si="24"/>
        <v>OTP Achieved</v>
      </c>
    </row>
    <row r="1174" spans="2:40" ht="15.75" customHeight="1">
      <c r="I1174" s="28"/>
      <c r="AD1174" s="9" t="str">
        <f t="shared" si="20"/>
        <v>Actual</v>
      </c>
      <c r="AE1174" s="9" t="str">
        <f t="shared" si="21"/>
        <v/>
      </c>
      <c r="AF1174" s="9">
        <f>HOUR(O1174)</f>
        <v>0</v>
      </c>
      <c r="AG1174" s="9">
        <f>DAY(O1174)</f>
        <v>0</v>
      </c>
      <c r="AH1174" s="9">
        <f>IFERROR((I1174-K1174)*24*60,0)</f>
        <v>0</v>
      </c>
      <c r="AI1174" s="9">
        <f t="shared" si="22"/>
        <v>0</v>
      </c>
      <c r="AJ1174" s="9">
        <f>C1174</f>
        <v>0</v>
      </c>
      <c r="AK1174" s="9">
        <f>IF(P1174="completed",((V1174-K1174)*24*60),0)</f>
        <v>0</v>
      </c>
      <c r="AL1174" s="9">
        <f>IF(P1174="completed",((U1174-K1174)*24*60),0)</f>
        <v>0</v>
      </c>
      <c r="AM1174" s="9" t="str">
        <f t="shared" si="23"/>
        <v>OTP Breached</v>
      </c>
      <c r="AN1174" s="9" t="str">
        <f t="shared" si="24"/>
        <v>OTP Achieved</v>
      </c>
    </row>
    <row r="1175" spans="2:40" ht="15.75" customHeight="1">
      <c r="I1175" s="28"/>
      <c r="AD1175" s="9" t="str">
        <f t="shared" si="20"/>
        <v>Actual</v>
      </c>
      <c r="AE1175" s="9" t="str">
        <f t="shared" si="21"/>
        <v/>
      </c>
      <c r="AF1175" s="9">
        <f>HOUR(O1175)</f>
        <v>0</v>
      </c>
      <c r="AG1175" s="9">
        <f>DAY(O1175)</f>
        <v>0</v>
      </c>
      <c r="AH1175" s="9">
        <f>IFERROR((I1175-K1175)*24*60,0)</f>
        <v>0</v>
      </c>
      <c r="AI1175" s="9">
        <f t="shared" si="22"/>
        <v>0</v>
      </c>
      <c r="AJ1175" s="9">
        <f>C1175</f>
        <v>0</v>
      </c>
      <c r="AK1175" s="9">
        <f>IF(P1175="completed",((V1175-K1175)*24*60),0)</f>
        <v>0</v>
      </c>
      <c r="AL1175" s="9">
        <f>IF(P1175="completed",((U1175-K1175)*24*60),0)</f>
        <v>0</v>
      </c>
      <c r="AM1175" s="9" t="str">
        <f t="shared" si="23"/>
        <v>OTP Breached</v>
      </c>
      <c r="AN1175" s="9" t="str">
        <f t="shared" si="24"/>
        <v>OTP Achieved</v>
      </c>
    </row>
    <row r="1176" spans="2:40" ht="15.75" customHeight="1">
      <c r="I1176" s="28"/>
      <c r="AD1176" s="9" t="str">
        <f t="shared" si="20"/>
        <v>Actual</v>
      </c>
      <c r="AE1176" s="9" t="str">
        <f t="shared" si="21"/>
        <v/>
      </c>
      <c r="AF1176" s="9">
        <f>HOUR(O1176)</f>
        <v>0</v>
      </c>
      <c r="AG1176" s="9">
        <f>DAY(O1176)</f>
        <v>0</v>
      </c>
      <c r="AH1176" s="9">
        <f>IFERROR((I1176-K1176)*24*60,0)</f>
        <v>0</v>
      </c>
      <c r="AI1176" s="9">
        <f t="shared" si="22"/>
        <v>0</v>
      </c>
      <c r="AJ1176" s="9">
        <f>C1176</f>
        <v>0</v>
      </c>
      <c r="AK1176" s="9">
        <f>IF(P1176="completed",((V1176-K1176)*24*60),0)</f>
        <v>0</v>
      </c>
      <c r="AL1176" s="9">
        <f>IF(P1176="completed",((U1176-K1176)*24*60),0)</f>
        <v>0</v>
      </c>
      <c r="AM1176" s="9" t="str">
        <f t="shared" si="23"/>
        <v>OTP Breached</v>
      </c>
      <c r="AN1176" s="9" t="str">
        <f t="shared" si="24"/>
        <v>OTP Achieved</v>
      </c>
    </row>
    <row r="1177" spans="2:40" ht="15.75" customHeight="1">
      <c r="I1177" s="28"/>
      <c r="AD1177" s="9" t="str">
        <f t="shared" si="20"/>
        <v>Actual</v>
      </c>
      <c r="AE1177" s="9" t="str">
        <f t="shared" si="21"/>
        <v/>
      </c>
      <c r="AF1177" s="9">
        <f>HOUR(O1177)</f>
        <v>0</v>
      </c>
      <c r="AG1177" s="9">
        <f>DAY(O1177)</f>
        <v>0</v>
      </c>
      <c r="AH1177" s="9">
        <f>IFERROR((I1177-K1177)*24*60,0)</f>
        <v>0</v>
      </c>
      <c r="AI1177" s="9">
        <f t="shared" si="22"/>
        <v>0</v>
      </c>
      <c r="AJ1177" s="9">
        <f>C1177</f>
        <v>0</v>
      </c>
      <c r="AK1177" s="9">
        <f>IF(P1177="completed",((V1177-K1177)*24*60),0)</f>
        <v>0</v>
      </c>
      <c r="AL1177" s="9">
        <f>IF(P1177="completed",((U1177-K1177)*24*60),0)</f>
        <v>0</v>
      </c>
      <c r="AM1177" s="9" t="str">
        <f t="shared" si="23"/>
        <v>OTP Breached</v>
      </c>
      <c r="AN1177" s="9" t="str">
        <f t="shared" si="24"/>
        <v>OTP Achieved</v>
      </c>
    </row>
    <row r="1178" spans="2:40" ht="15.75" customHeight="1">
      <c r="I1178" s="28"/>
      <c r="AD1178" s="9" t="str">
        <f t="shared" si="20"/>
        <v>Actual</v>
      </c>
      <c r="AE1178" s="9" t="str">
        <f t="shared" si="21"/>
        <v/>
      </c>
      <c r="AF1178" s="9">
        <f>HOUR(O1178)</f>
        <v>0</v>
      </c>
      <c r="AG1178" s="9">
        <f>DAY(O1178)</f>
        <v>0</v>
      </c>
      <c r="AH1178" s="9">
        <f>IFERROR((I1178-K1178)*24*60,0)</f>
        <v>0</v>
      </c>
      <c r="AI1178" s="9">
        <f t="shared" si="22"/>
        <v>0</v>
      </c>
      <c r="AJ1178" s="9">
        <f>C1178</f>
        <v>0</v>
      </c>
      <c r="AK1178" s="9">
        <f>IF(P1178="completed",((V1178-K1178)*24*60),0)</f>
        <v>0</v>
      </c>
      <c r="AL1178" s="9">
        <f>IF(P1178="completed",((U1178-K1178)*24*60),0)</f>
        <v>0</v>
      </c>
      <c r="AM1178" s="9" t="str">
        <f t="shared" si="23"/>
        <v>OTP Breached</v>
      </c>
      <c r="AN1178" s="9" t="str">
        <f t="shared" si="24"/>
        <v>OTP Achieved</v>
      </c>
    </row>
    <row r="1179" spans="2:40" ht="15.75" customHeight="1">
      <c r="I1179" s="28"/>
      <c r="AD1179" s="9" t="str">
        <f t="shared" si="20"/>
        <v>Actual</v>
      </c>
      <c r="AE1179" s="9" t="str">
        <f t="shared" si="21"/>
        <v/>
      </c>
      <c r="AF1179" s="9">
        <f>HOUR(O1179)</f>
        <v>0</v>
      </c>
      <c r="AG1179" s="9">
        <f>DAY(O1179)</f>
        <v>0</v>
      </c>
      <c r="AH1179" s="9">
        <f>IFERROR((I1179-K1179)*24*60,0)</f>
        <v>0</v>
      </c>
      <c r="AI1179" s="9">
        <f t="shared" si="22"/>
        <v>0</v>
      </c>
      <c r="AJ1179" s="9">
        <f>C1179</f>
        <v>0</v>
      </c>
      <c r="AK1179" s="9">
        <f>IF(P1179="completed",((V1179-K1179)*24*60),0)</f>
        <v>0</v>
      </c>
      <c r="AL1179" s="9">
        <f>IF(P1179="completed",((U1179-K1179)*24*60),0)</f>
        <v>0</v>
      </c>
      <c r="AM1179" s="9" t="str">
        <f t="shared" si="23"/>
        <v>OTP Breached</v>
      </c>
      <c r="AN1179" s="9" t="str">
        <f t="shared" si="24"/>
        <v>OTP Achieved</v>
      </c>
    </row>
    <row r="1180" spans="2:40" ht="15.75" customHeight="1">
      <c r="I1180" s="28"/>
      <c r="AD1180" s="9" t="str">
        <f t="shared" si="20"/>
        <v>Actual</v>
      </c>
      <c r="AE1180" s="9" t="str">
        <f t="shared" si="21"/>
        <v/>
      </c>
      <c r="AF1180" s="9">
        <f>HOUR(O1180)</f>
        <v>0</v>
      </c>
      <c r="AG1180" s="9">
        <f>DAY(O1180)</f>
        <v>0</v>
      </c>
      <c r="AH1180" s="9">
        <f>IFERROR((I1180-K1180)*24*60,0)</f>
        <v>0</v>
      </c>
      <c r="AI1180" s="9">
        <f t="shared" si="22"/>
        <v>0</v>
      </c>
      <c r="AJ1180" s="9">
        <f>C1180</f>
        <v>0</v>
      </c>
      <c r="AK1180" s="9">
        <f>IF(P1180="completed",((V1180-K1180)*24*60),0)</f>
        <v>0</v>
      </c>
      <c r="AL1180" s="9">
        <f>IF(P1180="completed",((U1180-K1180)*24*60),0)</f>
        <v>0</v>
      </c>
      <c r="AM1180" s="9" t="str">
        <f t="shared" si="23"/>
        <v>OTP Breached</v>
      </c>
      <c r="AN1180" s="9" t="str">
        <f t="shared" si="24"/>
        <v>OTP Achieved</v>
      </c>
    </row>
    <row r="1181" spans="2:40" ht="15.75" customHeight="1">
      <c r="I1181" s="28"/>
      <c r="AD1181" s="9" t="str">
        <f t="shared" si="20"/>
        <v>Actual</v>
      </c>
      <c r="AE1181" s="9" t="str">
        <f t="shared" si="21"/>
        <v/>
      </c>
      <c r="AF1181" s="9">
        <f>HOUR(O1181)</f>
        <v>0</v>
      </c>
      <c r="AG1181" s="9">
        <f>DAY(O1181)</f>
        <v>0</v>
      </c>
      <c r="AH1181" s="9">
        <f>IFERROR((I1181-K1181)*24*60,0)</f>
        <v>0</v>
      </c>
      <c r="AI1181" s="9">
        <f t="shared" si="22"/>
        <v>0</v>
      </c>
      <c r="AJ1181" s="9">
        <f>C1181</f>
        <v>0</v>
      </c>
      <c r="AK1181" s="9">
        <f>IF(P1181="completed",((V1181-K1181)*24*60),0)</f>
        <v>0</v>
      </c>
      <c r="AL1181" s="9">
        <f>IF(P1181="completed",((U1181-K1181)*24*60),0)</f>
        <v>0</v>
      </c>
      <c r="AM1181" s="9" t="str">
        <f t="shared" si="23"/>
        <v>OTP Breached</v>
      </c>
      <c r="AN1181" s="9" t="str">
        <f t="shared" si="24"/>
        <v>OTP Achieved</v>
      </c>
    </row>
    <row r="1182" spans="2:40" ht="15.75" customHeight="1">
      <c r="I1182" s="28"/>
      <c r="AD1182" s="9" t="str">
        <f t="shared" si="20"/>
        <v>Actual</v>
      </c>
      <c r="AE1182" s="9" t="str">
        <f t="shared" si="21"/>
        <v/>
      </c>
      <c r="AF1182" s="9">
        <f>HOUR(O1182)</f>
        <v>0</v>
      </c>
      <c r="AG1182" s="9">
        <f>DAY(O1182)</f>
        <v>0</v>
      </c>
      <c r="AH1182" s="9">
        <f>IFERROR((I1182-K1182)*24*60,0)</f>
        <v>0</v>
      </c>
      <c r="AI1182" s="9">
        <f t="shared" si="22"/>
        <v>0</v>
      </c>
      <c r="AJ1182" s="9">
        <f>C1182</f>
        <v>0</v>
      </c>
      <c r="AK1182" s="9">
        <f>IF(P1182="completed",((V1182-K1182)*24*60),0)</f>
        <v>0</v>
      </c>
      <c r="AL1182" s="9">
        <f>IF(P1182="completed",((U1182-K1182)*24*60),0)</f>
        <v>0</v>
      </c>
      <c r="AM1182" s="9" t="str">
        <f t="shared" si="23"/>
        <v>OTP Breached</v>
      </c>
      <c r="AN1182" s="9" t="str">
        <f t="shared" si="24"/>
        <v>OTP Achieved</v>
      </c>
    </row>
    <row r="1183" spans="2:40" ht="15.75" customHeight="1">
      <c r="I1183" s="28"/>
      <c r="AD1183" s="9" t="str">
        <f t="shared" si="20"/>
        <v>Actual</v>
      </c>
      <c r="AE1183" s="9" t="str">
        <f t="shared" si="21"/>
        <v/>
      </c>
      <c r="AF1183" s="9">
        <f>HOUR(O1183)</f>
        <v>0</v>
      </c>
      <c r="AG1183" s="9">
        <f>DAY(O1183)</f>
        <v>0</v>
      </c>
      <c r="AH1183" s="9">
        <f>IFERROR((I1183-K1183)*24*60,0)</f>
        <v>0</v>
      </c>
      <c r="AI1183" s="9">
        <f t="shared" si="22"/>
        <v>0</v>
      </c>
      <c r="AJ1183" s="9">
        <f>C1183</f>
        <v>0</v>
      </c>
      <c r="AK1183" s="9">
        <f>IF(P1183="completed",((V1183-K1183)*24*60),0)</f>
        <v>0</v>
      </c>
      <c r="AL1183" s="9">
        <f>IF(P1183="completed",((U1183-K1183)*24*60),0)</f>
        <v>0</v>
      </c>
      <c r="AM1183" s="9" t="str">
        <f t="shared" si="23"/>
        <v>OTP Breached</v>
      </c>
      <c r="AN1183" s="9" t="str">
        <f t="shared" si="24"/>
        <v>OTP Achieved</v>
      </c>
    </row>
    <row r="1184" spans="2:40" ht="15.75" customHeight="1">
      <c r="I1184" s="28"/>
      <c r="AD1184" s="9" t="str">
        <f t="shared" si="20"/>
        <v>Actual</v>
      </c>
      <c r="AE1184" s="9" t="str">
        <f t="shared" si="21"/>
        <v/>
      </c>
      <c r="AF1184" s="9">
        <f>HOUR(O1184)</f>
        <v>0</v>
      </c>
      <c r="AG1184" s="9">
        <f>DAY(O1184)</f>
        <v>0</v>
      </c>
      <c r="AH1184" s="9">
        <f>IFERROR((I1184-K1184)*24*60,0)</f>
        <v>0</v>
      </c>
      <c r="AI1184" s="9">
        <f t="shared" si="22"/>
        <v>0</v>
      </c>
      <c r="AJ1184" s="9">
        <f>C1184</f>
        <v>0</v>
      </c>
      <c r="AK1184" s="9">
        <f>IF(P1184="completed",((V1184-K1184)*24*60),0)</f>
        <v>0</v>
      </c>
      <c r="AL1184" s="9">
        <f>IF(P1184="completed",((U1184-K1184)*24*60),0)</f>
        <v>0</v>
      </c>
      <c r="AM1184" s="9" t="str">
        <f t="shared" si="23"/>
        <v>OTP Breached</v>
      </c>
      <c r="AN1184" s="9" t="str">
        <f t="shared" si="24"/>
        <v>OTP Achieved</v>
      </c>
    </row>
    <row r="1185" spans="9:40" ht="15.75" customHeight="1">
      <c r="I1185" s="28"/>
      <c r="AD1185" s="9" t="str">
        <f t="shared" si="20"/>
        <v>Actual</v>
      </c>
      <c r="AE1185" s="9" t="str">
        <f t="shared" si="21"/>
        <v/>
      </c>
      <c r="AF1185" s="9">
        <f>HOUR(O1185)</f>
        <v>0</v>
      </c>
      <c r="AG1185" s="9">
        <f>DAY(O1185)</f>
        <v>0</v>
      </c>
      <c r="AH1185" s="9">
        <f>IFERROR((I1185-K1185)*24*60,0)</f>
        <v>0</v>
      </c>
      <c r="AI1185" s="9">
        <f t="shared" si="22"/>
        <v>0</v>
      </c>
      <c r="AJ1185" s="9">
        <f>C1185</f>
        <v>0</v>
      </c>
      <c r="AK1185" s="9">
        <f>IF(P1185="completed",((V1185-K1185)*24*60),0)</f>
        <v>0</v>
      </c>
      <c r="AL1185" s="9">
        <f>IF(P1185="completed",((U1185-K1185)*24*60),0)</f>
        <v>0</v>
      </c>
      <c r="AM1185" s="9" t="str">
        <f t="shared" si="23"/>
        <v>OTP Breached</v>
      </c>
      <c r="AN1185" s="9" t="str">
        <f t="shared" si="24"/>
        <v>OTP Achieved</v>
      </c>
    </row>
    <row r="1186" spans="9:40" ht="15.75" customHeight="1">
      <c r="I1186" s="28"/>
      <c r="AD1186" s="9" t="str">
        <f t="shared" si="20"/>
        <v>Actual</v>
      </c>
      <c r="AE1186" s="9" t="str">
        <f t="shared" si="21"/>
        <v/>
      </c>
      <c r="AF1186" s="9">
        <f>HOUR(O1186)</f>
        <v>0</v>
      </c>
      <c r="AG1186" s="9">
        <f>DAY(O1186)</f>
        <v>0</v>
      </c>
      <c r="AH1186" s="9">
        <f>IFERROR((I1186-K1186)*24*60,0)</f>
        <v>0</v>
      </c>
      <c r="AI1186" s="9">
        <f t="shared" si="22"/>
        <v>0</v>
      </c>
      <c r="AJ1186" s="9">
        <f>C1186</f>
        <v>0</v>
      </c>
      <c r="AK1186" s="9">
        <f>IF(P1186="completed",((V1186-K1186)*24*60),0)</f>
        <v>0</v>
      </c>
      <c r="AL1186" s="9">
        <f>IF(P1186="completed",((U1186-K1186)*24*60),0)</f>
        <v>0</v>
      </c>
      <c r="AM1186" s="9" t="str">
        <f t="shared" si="23"/>
        <v>OTP Breached</v>
      </c>
      <c r="AN1186" s="9" t="str">
        <f t="shared" si="24"/>
        <v>OTP Achieved</v>
      </c>
    </row>
    <row r="1187" spans="9:40" ht="15.75" customHeight="1">
      <c r="I1187" s="28"/>
      <c r="AD1187" s="9" t="str">
        <f t="shared" si="20"/>
        <v>Actual</v>
      </c>
      <c r="AE1187" s="9" t="str">
        <f t="shared" si="21"/>
        <v/>
      </c>
      <c r="AF1187" s="9">
        <f>HOUR(O1187)</f>
        <v>0</v>
      </c>
      <c r="AG1187" s="9">
        <f>DAY(O1187)</f>
        <v>0</v>
      </c>
      <c r="AH1187" s="9">
        <f>IFERROR((I1187-K1187)*24*60,0)</f>
        <v>0</v>
      </c>
      <c r="AI1187" s="9">
        <f t="shared" si="22"/>
        <v>0</v>
      </c>
      <c r="AJ1187" s="9">
        <f>C1187</f>
        <v>0</v>
      </c>
      <c r="AK1187" s="9">
        <f>IF(P1187="completed",((V1187-K1187)*24*60),0)</f>
        <v>0</v>
      </c>
      <c r="AL1187" s="9">
        <f>IF(P1187="completed",((U1187-K1187)*24*60),0)</f>
        <v>0</v>
      </c>
      <c r="AM1187" s="9" t="str">
        <f t="shared" si="23"/>
        <v>OTP Breached</v>
      </c>
      <c r="AN1187" s="9" t="str">
        <f t="shared" si="24"/>
        <v>OTP Achieved</v>
      </c>
    </row>
    <row r="1188" spans="9:40" ht="15.75" customHeight="1">
      <c r="I1188" s="28"/>
      <c r="AD1188" s="9" t="str">
        <f t="shared" si="20"/>
        <v>Actual</v>
      </c>
      <c r="AE1188" s="9" t="str">
        <f t="shared" si="21"/>
        <v/>
      </c>
      <c r="AF1188" s="9">
        <f>HOUR(O1188)</f>
        <v>0</v>
      </c>
      <c r="AG1188" s="9">
        <f>DAY(O1188)</f>
        <v>0</v>
      </c>
      <c r="AH1188" s="9">
        <f>IFERROR((I1188-K1188)*24*60,0)</f>
        <v>0</v>
      </c>
      <c r="AI1188" s="9">
        <f t="shared" si="22"/>
        <v>0</v>
      </c>
      <c r="AJ1188" s="9">
        <f>C1188</f>
        <v>0</v>
      </c>
      <c r="AK1188" s="9">
        <f>IF(P1188="completed",((V1188-K1188)*24*60),0)</f>
        <v>0</v>
      </c>
      <c r="AL1188" s="9">
        <f>IF(P1188="completed",((U1188-K1188)*24*60),0)</f>
        <v>0</v>
      </c>
      <c r="AM1188" s="9" t="str">
        <f t="shared" si="23"/>
        <v>OTP Breached</v>
      </c>
      <c r="AN1188" s="9" t="str">
        <f t="shared" si="24"/>
        <v>OTP Achieved</v>
      </c>
    </row>
    <row r="1189" spans="9:40" ht="15.75" customHeight="1">
      <c r="I1189" s="28"/>
      <c r="AD1189" s="9" t="str">
        <f t="shared" si="20"/>
        <v>Actual</v>
      </c>
      <c r="AE1189" s="9" t="str">
        <f t="shared" si="21"/>
        <v/>
      </c>
      <c r="AF1189" s="9">
        <f>HOUR(O1189)</f>
        <v>0</v>
      </c>
      <c r="AG1189" s="9">
        <f>DAY(O1189)</f>
        <v>0</v>
      </c>
      <c r="AH1189" s="9">
        <f>IFERROR((I1189-K1189)*24*60,0)</f>
        <v>0</v>
      </c>
      <c r="AI1189" s="9">
        <f t="shared" si="22"/>
        <v>0</v>
      </c>
      <c r="AJ1189" s="9">
        <f>C1189</f>
        <v>0</v>
      </c>
      <c r="AK1189" s="9">
        <f>IF(P1189="completed",((V1189-K1189)*24*60),0)</f>
        <v>0</v>
      </c>
      <c r="AL1189" s="9">
        <f>IF(P1189="completed",((U1189-K1189)*24*60),0)</f>
        <v>0</v>
      </c>
      <c r="AM1189" s="9" t="str">
        <f t="shared" si="23"/>
        <v>OTP Breached</v>
      </c>
      <c r="AN1189" s="9" t="str">
        <f t="shared" si="24"/>
        <v>OTP Achieved</v>
      </c>
    </row>
    <row r="1190" spans="9:40" ht="15.75" customHeight="1">
      <c r="I1190" s="28"/>
      <c r="AD1190" s="9" t="str">
        <f t="shared" si="20"/>
        <v>Actual</v>
      </c>
      <c r="AE1190" s="9" t="str">
        <f t="shared" si="21"/>
        <v/>
      </c>
      <c r="AF1190" s="9">
        <f>HOUR(O1190)</f>
        <v>0</v>
      </c>
      <c r="AG1190" s="9">
        <f>DAY(O1190)</f>
        <v>0</v>
      </c>
      <c r="AH1190" s="9">
        <f>IFERROR((I1190-K1190)*24*60,0)</f>
        <v>0</v>
      </c>
      <c r="AI1190" s="9">
        <f t="shared" si="22"/>
        <v>0</v>
      </c>
      <c r="AJ1190" s="9">
        <f>C1190</f>
        <v>0</v>
      </c>
      <c r="AK1190" s="9">
        <f>IF(P1190="completed",((V1190-K1190)*24*60),0)</f>
        <v>0</v>
      </c>
      <c r="AL1190" s="9">
        <f>IF(P1190="completed",((U1190-K1190)*24*60),0)</f>
        <v>0</v>
      </c>
      <c r="AM1190" s="9" t="str">
        <f t="shared" si="23"/>
        <v>OTP Breached</v>
      </c>
      <c r="AN1190" s="9" t="str">
        <f t="shared" si="24"/>
        <v>OTP Achieved</v>
      </c>
    </row>
    <row r="1191" spans="9:40" ht="15.75" customHeight="1">
      <c r="I1191" s="28"/>
      <c r="AD1191" s="9" t="str">
        <f t="shared" si="20"/>
        <v>Actual</v>
      </c>
      <c r="AE1191" s="9" t="str">
        <f t="shared" si="21"/>
        <v/>
      </c>
      <c r="AF1191" s="9">
        <f>HOUR(O1191)</f>
        <v>0</v>
      </c>
      <c r="AG1191" s="9">
        <f>DAY(O1191)</f>
        <v>0</v>
      </c>
      <c r="AH1191" s="9">
        <f>IFERROR((I1191-K1191)*24*60,0)</f>
        <v>0</v>
      </c>
      <c r="AI1191" s="9">
        <f t="shared" si="22"/>
        <v>0</v>
      </c>
      <c r="AJ1191" s="9">
        <f>C1191</f>
        <v>0</v>
      </c>
      <c r="AK1191" s="9">
        <f>IF(P1191="completed",((V1191-K1191)*24*60),0)</f>
        <v>0</v>
      </c>
      <c r="AL1191" s="9">
        <f>IF(P1191="completed",((U1191-K1191)*24*60),0)</f>
        <v>0</v>
      </c>
      <c r="AM1191" s="9" t="str">
        <f t="shared" si="23"/>
        <v>OTP Breached</v>
      </c>
      <c r="AN1191" s="9" t="str">
        <f t="shared" si="24"/>
        <v>OTP Achieved</v>
      </c>
    </row>
    <row r="1192" spans="9:40" ht="15.75" customHeight="1">
      <c r="I1192" s="28"/>
      <c r="AD1192" s="9" t="str">
        <f t="shared" si="20"/>
        <v>Actual</v>
      </c>
      <c r="AE1192" s="9" t="str">
        <f t="shared" si="21"/>
        <v/>
      </c>
      <c r="AF1192" s="9">
        <f>HOUR(O1192)</f>
        <v>0</v>
      </c>
      <c r="AG1192" s="9">
        <f>DAY(O1192)</f>
        <v>0</v>
      </c>
      <c r="AH1192" s="9">
        <f>IFERROR((I1192-K1192)*24*60,0)</f>
        <v>0</v>
      </c>
      <c r="AI1192" s="9">
        <f t="shared" si="22"/>
        <v>0</v>
      </c>
      <c r="AJ1192" s="9">
        <f>C1192</f>
        <v>0</v>
      </c>
      <c r="AK1192" s="9">
        <f>IF(P1192="completed",((V1192-K1192)*24*60),0)</f>
        <v>0</v>
      </c>
      <c r="AL1192" s="9">
        <f>IF(P1192="completed",((U1192-K1192)*24*60),0)</f>
        <v>0</v>
      </c>
      <c r="AM1192" s="9" t="str">
        <f t="shared" si="23"/>
        <v>OTP Breached</v>
      </c>
      <c r="AN1192" s="9" t="str">
        <f t="shared" si="24"/>
        <v>OTP Achieved</v>
      </c>
    </row>
    <row r="1193" spans="9:40" ht="15.75" customHeight="1">
      <c r="I1193" s="28"/>
      <c r="AD1193" s="9" t="str">
        <f t="shared" si="20"/>
        <v>Actual</v>
      </c>
      <c r="AE1193" s="9" t="str">
        <f t="shared" si="21"/>
        <v/>
      </c>
      <c r="AF1193" s="9">
        <f>HOUR(O1193)</f>
        <v>0</v>
      </c>
      <c r="AG1193" s="9">
        <f>DAY(O1193)</f>
        <v>0</v>
      </c>
      <c r="AH1193" s="9">
        <f>IFERROR((I1193-K1193)*24*60,0)</f>
        <v>0</v>
      </c>
      <c r="AI1193" s="9">
        <f t="shared" si="22"/>
        <v>0</v>
      </c>
      <c r="AJ1193" s="9">
        <f>C1193</f>
        <v>0</v>
      </c>
      <c r="AK1193" s="9">
        <f>IF(P1193="completed",((V1193-K1193)*24*60),0)</f>
        <v>0</v>
      </c>
      <c r="AL1193" s="9">
        <f>IF(P1193="completed",((U1193-K1193)*24*60),0)</f>
        <v>0</v>
      </c>
      <c r="AM1193" s="9" t="str">
        <f t="shared" si="23"/>
        <v>OTP Breached</v>
      </c>
      <c r="AN1193" s="9" t="str">
        <f t="shared" si="24"/>
        <v>OTP Achieved</v>
      </c>
    </row>
    <row r="1194" spans="9:40" ht="15.75" customHeight="1">
      <c r="I1194" s="28"/>
      <c r="AD1194" s="9" t="str">
        <f t="shared" si="20"/>
        <v>Actual</v>
      </c>
      <c r="AE1194" s="9" t="str">
        <f t="shared" si="21"/>
        <v/>
      </c>
      <c r="AF1194" s="9">
        <f>HOUR(O1194)</f>
        <v>0</v>
      </c>
      <c r="AG1194" s="9">
        <f>DAY(O1194)</f>
        <v>0</v>
      </c>
      <c r="AH1194" s="9">
        <f>IFERROR((I1194-K1194)*24*60,0)</f>
        <v>0</v>
      </c>
      <c r="AI1194" s="9">
        <f t="shared" si="22"/>
        <v>0</v>
      </c>
      <c r="AJ1194" s="9">
        <f>C1194</f>
        <v>0</v>
      </c>
      <c r="AK1194" s="9">
        <f>IF(P1194="completed",((V1194-K1194)*24*60),0)</f>
        <v>0</v>
      </c>
      <c r="AL1194" s="9">
        <f>IF(P1194="completed",((U1194-K1194)*24*60),0)</f>
        <v>0</v>
      </c>
      <c r="AM1194" s="9" t="str">
        <f t="shared" si="23"/>
        <v>OTP Breached</v>
      </c>
      <c r="AN1194" s="9" t="str">
        <f t="shared" si="24"/>
        <v>OTP Achieved</v>
      </c>
    </row>
    <row r="1195" spans="9:40" ht="15.75" customHeight="1">
      <c r="I1195" s="28"/>
      <c r="AD1195" s="9" t="str">
        <f t="shared" si="20"/>
        <v>Actual</v>
      </c>
      <c r="AE1195" s="9" t="str">
        <f t="shared" si="21"/>
        <v/>
      </c>
      <c r="AF1195" s="9">
        <f>HOUR(O1195)</f>
        <v>0</v>
      </c>
      <c r="AG1195" s="9">
        <f>DAY(O1195)</f>
        <v>0</v>
      </c>
      <c r="AH1195" s="9">
        <f>IFERROR((I1195-K1195)*24*60,0)</f>
        <v>0</v>
      </c>
      <c r="AI1195" s="9">
        <f t="shared" si="22"/>
        <v>0</v>
      </c>
      <c r="AJ1195" s="9">
        <f>C1195</f>
        <v>0</v>
      </c>
      <c r="AK1195" s="9">
        <f>IF(P1195="completed",((V1195-K1195)*24*60),0)</f>
        <v>0</v>
      </c>
      <c r="AL1195" s="9">
        <f>IF(P1195="completed",((U1195-K1195)*24*60),0)</f>
        <v>0</v>
      </c>
      <c r="AM1195" s="9" t="str">
        <f t="shared" si="23"/>
        <v>OTP Breached</v>
      </c>
      <c r="AN1195" s="9" t="str">
        <f t="shared" si="24"/>
        <v>OTP Achieved</v>
      </c>
    </row>
    <row r="1196" spans="9:40" ht="15.75" customHeight="1">
      <c r="I1196" s="28"/>
      <c r="AD1196" s="9" t="str">
        <f t="shared" si="20"/>
        <v>Actual</v>
      </c>
      <c r="AE1196" s="9" t="str">
        <f t="shared" si="21"/>
        <v/>
      </c>
      <c r="AF1196" s="9">
        <f>HOUR(O1196)</f>
        <v>0</v>
      </c>
      <c r="AG1196" s="9">
        <f>DAY(O1196)</f>
        <v>0</v>
      </c>
      <c r="AH1196" s="9">
        <f>IFERROR((I1196-K1196)*24*60,0)</f>
        <v>0</v>
      </c>
      <c r="AI1196" s="9">
        <f t="shared" si="22"/>
        <v>0</v>
      </c>
      <c r="AJ1196" s="9">
        <f>C1196</f>
        <v>0</v>
      </c>
      <c r="AK1196" s="9">
        <f>IF(P1196="completed",((V1196-K1196)*24*60),0)</f>
        <v>0</v>
      </c>
      <c r="AL1196" s="9">
        <f>IF(P1196="completed",((U1196-K1196)*24*60),0)</f>
        <v>0</v>
      </c>
      <c r="AM1196" s="9" t="str">
        <f t="shared" si="23"/>
        <v>OTP Breached</v>
      </c>
      <c r="AN1196" s="9" t="str">
        <f t="shared" si="24"/>
        <v>OTP Achieved</v>
      </c>
    </row>
    <row r="1197" spans="9:40" ht="15.75" customHeight="1">
      <c r="I1197" s="28"/>
      <c r="AD1197" s="9" t="str">
        <f t="shared" si="20"/>
        <v>Actual</v>
      </c>
      <c r="AE1197" s="9" t="str">
        <f t="shared" si="21"/>
        <v/>
      </c>
      <c r="AF1197" s="9">
        <f>HOUR(O1197)</f>
        <v>0</v>
      </c>
      <c r="AG1197" s="9">
        <f>DAY(O1197)</f>
        <v>0</v>
      </c>
      <c r="AH1197" s="9">
        <f>IFERROR((I1197-K1197)*24*60,0)</f>
        <v>0</v>
      </c>
      <c r="AI1197" s="9">
        <f t="shared" si="22"/>
        <v>0</v>
      </c>
      <c r="AJ1197" s="9">
        <f>C1197</f>
        <v>0</v>
      </c>
      <c r="AK1197" s="9">
        <f>IF(P1197="completed",((V1197-K1197)*24*60),0)</f>
        <v>0</v>
      </c>
      <c r="AL1197" s="9">
        <f>IF(P1197="completed",((U1197-K1197)*24*60),0)</f>
        <v>0</v>
      </c>
      <c r="AM1197" s="9" t="str">
        <f t="shared" si="23"/>
        <v>OTP Breached</v>
      </c>
      <c r="AN1197" s="9" t="str">
        <f t="shared" si="24"/>
        <v>OTP Achieved</v>
      </c>
    </row>
    <row r="1198" spans="9:40" ht="15.75" customHeight="1">
      <c r="I1198" s="28"/>
      <c r="AD1198" s="9" t="str">
        <f t="shared" si="20"/>
        <v>Actual</v>
      </c>
      <c r="AE1198" s="9" t="str">
        <f t="shared" si="21"/>
        <v/>
      </c>
      <c r="AF1198" s="9">
        <f>HOUR(O1198)</f>
        <v>0</v>
      </c>
      <c r="AG1198" s="9">
        <f>DAY(O1198)</f>
        <v>0</v>
      </c>
      <c r="AH1198" s="9">
        <f>IFERROR((I1198-K1198)*24*60,0)</f>
        <v>0</v>
      </c>
      <c r="AI1198" s="9">
        <f t="shared" si="22"/>
        <v>0</v>
      </c>
      <c r="AJ1198" s="9">
        <f>C1198</f>
        <v>0</v>
      </c>
      <c r="AK1198" s="9">
        <f>IF(P1198="completed",((V1198-K1198)*24*60),0)</f>
        <v>0</v>
      </c>
      <c r="AL1198" s="9">
        <f>IF(P1198="completed",((U1198-K1198)*24*60),0)</f>
        <v>0</v>
      </c>
      <c r="AM1198" s="9" t="str">
        <f t="shared" si="23"/>
        <v>OTP Breached</v>
      </c>
      <c r="AN1198" s="9" t="str">
        <f t="shared" si="24"/>
        <v>OTP Achieved</v>
      </c>
    </row>
    <row r="1199" spans="9:40" ht="15.75" customHeight="1">
      <c r="I1199" s="28"/>
      <c r="AD1199" s="9" t="str">
        <f t="shared" si="20"/>
        <v>Actual</v>
      </c>
      <c r="AE1199" s="9" t="str">
        <f t="shared" si="21"/>
        <v/>
      </c>
      <c r="AF1199" s="9">
        <f>HOUR(O1199)</f>
        <v>0</v>
      </c>
      <c r="AG1199" s="9">
        <f>DAY(O1199)</f>
        <v>0</v>
      </c>
      <c r="AH1199" s="9">
        <f>IFERROR((I1199-K1199)*24*60,0)</f>
        <v>0</v>
      </c>
      <c r="AI1199" s="9">
        <f t="shared" si="22"/>
        <v>0</v>
      </c>
      <c r="AJ1199" s="9">
        <f>C1199</f>
        <v>0</v>
      </c>
      <c r="AK1199" s="9">
        <f>IF(P1199="completed",((V1199-K1199)*24*60),0)</f>
        <v>0</v>
      </c>
      <c r="AL1199" s="9">
        <f>IF(P1199="completed",((U1199-K1199)*24*60),0)</f>
        <v>0</v>
      </c>
      <c r="AM1199" s="9" t="str">
        <f t="shared" si="23"/>
        <v>OTP Breached</v>
      </c>
      <c r="AN1199" s="9" t="str">
        <f t="shared" si="24"/>
        <v>OTP Achieved</v>
      </c>
    </row>
    <row r="1200" spans="9:40" ht="15.75" customHeight="1">
      <c r="I1200" s="28"/>
      <c r="AD1200" s="9" t="str">
        <f t="shared" si="20"/>
        <v>Actual</v>
      </c>
      <c r="AE1200" s="9" t="str">
        <f t="shared" si="21"/>
        <v/>
      </c>
      <c r="AF1200" s="9">
        <f>HOUR(O1200)</f>
        <v>0</v>
      </c>
      <c r="AG1200" s="9">
        <f>DAY(O1200)</f>
        <v>0</v>
      </c>
      <c r="AH1200" s="9">
        <f>IFERROR((I1200-K1200)*24*60,0)</f>
        <v>0</v>
      </c>
      <c r="AI1200" s="9">
        <f t="shared" si="22"/>
        <v>0</v>
      </c>
      <c r="AJ1200" s="9">
        <f>C1200</f>
        <v>0</v>
      </c>
      <c r="AK1200" s="9">
        <f>IF(P1200="completed",((V1200-K1200)*24*60),0)</f>
        <v>0</v>
      </c>
      <c r="AL1200" s="9">
        <f>IF(P1200="completed",((U1200-K1200)*24*60),0)</f>
        <v>0</v>
      </c>
      <c r="AM1200" s="9" t="str">
        <f t="shared" si="23"/>
        <v>OTP Breached</v>
      </c>
      <c r="AN1200" s="9" t="str">
        <f t="shared" si="24"/>
        <v>OTP Achieved</v>
      </c>
    </row>
    <row r="1201" spans="9:40" ht="15.75" customHeight="1">
      <c r="I1201" s="28"/>
      <c r="AD1201" s="9" t="str">
        <f t="shared" si="20"/>
        <v>Actual</v>
      </c>
      <c r="AE1201" s="9" t="str">
        <f t="shared" si="21"/>
        <v/>
      </c>
      <c r="AF1201" s="9">
        <f>HOUR(O1201)</f>
        <v>0</v>
      </c>
      <c r="AG1201" s="9">
        <f>DAY(O1201)</f>
        <v>0</v>
      </c>
      <c r="AH1201" s="9">
        <f>IFERROR((I1201-K1201)*24*60,0)</f>
        <v>0</v>
      </c>
      <c r="AI1201" s="9">
        <f t="shared" si="22"/>
        <v>0</v>
      </c>
      <c r="AJ1201" s="9">
        <f>C1201</f>
        <v>0</v>
      </c>
      <c r="AK1201" s="9">
        <f>IF(P1201="completed",((V1201-K1201)*24*60),0)</f>
        <v>0</v>
      </c>
      <c r="AL1201" s="9">
        <f>IF(P1201="completed",((U1201-K1201)*24*60),0)</f>
        <v>0</v>
      </c>
      <c r="AM1201" s="9" t="str">
        <f t="shared" si="23"/>
        <v>OTP Breached</v>
      </c>
      <c r="AN1201" s="9" t="str">
        <f t="shared" si="24"/>
        <v>OTP Achieved</v>
      </c>
    </row>
    <row r="1202" spans="9:40" ht="15.75" customHeight="1">
      <c r="I1202" s="28"/>
      <c r="AD1202" s="9" t="str">
        <f t="shared" si="20"/>
        <v>Actual</v>
      </c>
      <c r="AE1202" s="9" t="str">
        <f t="shared" si="21"/>
        <v/>
      </c>
      <c r="AF1202" s="9">
        <f>HOUR(O1202)</f>
        <v>0</v>
      </c>
      <c r="AG1202" s="9">
        <f>DAY(O1202)</f>
        <v>0</v>
      </c>
      <c r="AH1202" s="9">
        <f>IFERROR((I1202-K1202)*24*60,0)</f>
        <v>0</v>
      </c>
      <c r="AI1202" s="9">
        <f t="shared" si="22"/>
        <v>0</v>
      </c>
      <c r="AJ1202" s="9">
        <f>C1202</f>
        <v>0</v>
      </c>
      <c r="AK1202" s="9">
        <f>IF(P1202="completed",((V1202-K1202)*24*60),0)</f>
        <v>0</v>
      </c>
      <c r="AL1202" s="9">
        <f>IF(P1202="completed",((U1202-K1202)*24*60),0)</f>
        <v>0</v>
      </c>
      <c r="AM1202" s="9" t="str">
        <f t="shared" si="23"/>
        <v>OTP Breached</v>
      </c>
      <c r="AN1202" s="9" t="str">
        <f t="shared" si="24"/>
        <v>OTP Achieved</v>
      </c>
    </row>
    <row r="1203" spans="9:40" ht="15.75" customHeight="1">
      <c r="I1203" s="28"/>
      <c r="AD1203" s="9" t="str">
        <f t="shared" si="20"/>
        <v>Actual</v>
      </c>
      <c r="AE1203" s="9" t="str">
        <f t="shared" si="21"/>
        <v/>
      </c>
      <c r="AF1203" s="9">
        <f>HOUR(O1203)</f>
        <v>0</v>
      </c>
      <c r="AG1203" s="9">
        <f>DAY(O1203)</f>
        <v>0</v>
      </c>
      <c r="AH1203" s="9">
        <f>IFERROR((I1203-K1203)*24*60,0)</f>
        <v>0</v>
      </c>
      <c r="AI1203" s="9">
        <f t="shared" si="22"/>
        <v>0</v>
      </c>
      <c r="AJ1203" s="9">
        <f>C1203</f>
        <v>0</v>
      </c>
      <c r="AK1203" s="9">
        <f>IF(P1203="completed",((V1203-K1203)*24*60),0)</f>
        <v>0</v>
      </c>
      <c r="AL1203" s="9">
        <f>IF(P1203="completed",((U1203-K1203)*24*60),0)</f>
        <v>0</v>
      </c>
      <c r="AM1203" s="9" t="str">
        <f t="shared" si="23"/>
        <v>OTP Breached</v>
      </c>
      <c r="AN1203" s="9" t="str">
        <f t="shared" si="24"/>
        <v>OTP Achieved</v>
      </c>
    </row>
    <row r="1204" spans="9:40" ht="15.75" customHeight="1">
      <c r="I1204" s="28"/>
      <c r="AD1204" s="9" t="str">
        <f t="shared" si="20"/>
        <v>Actual</v>
      </c>
      <c r="AE1204" s="9" t="str">
        <f t="shared" si="21"/>
        <v/>
      </c>
      <c r="AF1204" s="9">
        <f>HOUR(O1204)</f>
        <v>0</v>
      </c>
      <c r="AG1204" s="9">
        <f>DAY(O1204)</f>
        <v>0</v>
      </c>
      <c r="AH1204" s="9">
        <f>IFERROR((I1204-K1204)*24*60,0)</f>
        <v>0</v>
      </c>
      <c r="AI1204" s="9">
        <f t="shared" si="22"/>
        <v>0</v>
      </c>
      <c r="AJ1204" s="9">
        <f>C1204</f>
        <v>0</v>
      </c>
      <c r="AK1204" s="9">
        <f>IF(P1204="completed",((V1204-K1204)*24*60),0)</f>
        <v>0</v>
      </c>
      <c r="AL1204" s="9">
        <f>IF(P1204="completed",((U1204-K1204)*24*60),0)</f>
        <v>0</v>
      </c>
      <c r="AM1204" s="9" t="str">
        <f t="shared" si="23"/>
        <v>OTP Breached</v>
      </c>
      <c r="AN1204" s="9" t="str">
        <f t="shared" si="24"/>
        <v>OTP Achieved</v>
      </c>
    </row>
    <row r="1205" spans="9:40" ht="15.75" customHeight="1">
      <c r="I1205" s="28"/>
      <c r="AD1205" s="9" t="str">
        <f t="shared" si="20"/>
        <v>Actual</v>
      </c>
      <c r="AE1205" s="9" t="str">
        <f t="shared" si="21"/>
        <v/>
      </c>
      <c r="AF1205" s="9">
        <f>HOUR(O1205)</f>
        <v>0</v>
      </c>
      <c r="AG1205" s="9">
        <f>DAY(O1205)</f>
        <v>0</v>
      </c>
      <c r="AH1205" s="9">
        <f>IFERROR((I1205-K1205)*24*60,0)</f>
        <v>0</v>
      </c>
      <c r="AI1205" s="9">
        <f t="shared" si="22"/>
        <v>0</v>
      </c>
      <c r="AJ1205" s="9">
        <f>C1205</f>
        <v>0</v>
      </c>
      <c r="AK1205" s="9">
        <f>IF(P1205="completed",((V1205-K1205)*24*60),0)</f>
        <v>0</v>
      </c>
      <c r="AL1205" s="9">
        <f>IF(P1205="completed",((U1205-K1205)*24*60),0)</f>
        <v>0</v>
      </c>
      <c r="AM1205" s="9" t="str">
        <f t="shared" si="23"/>
        <v>OTP Breached</v>
      </c>
      <c r="AN1205" s="9" t="str">
        <f t="shared" si="24"/>
        <v>OTP Achieved</v>
      </c>
    </row>
    <row r="1206" spans="9:40" ht="15.75" customHeight="1">
      <c r="I1206" s="28"/>
      <c r="AD1206" s="9" t="str">
        <f t="shared" si="20"/>
        <v>Actual</v>
      </c>
      <c r="AE1206" s="9" t="str">
        <f t="shared" si="21"/>
        <v/>
      </c>
      <c r="AF1206" s="9">
        <f>HOUR(O1206)</f>
        <v>0</v>
      </c>
      <c r="AG1206" s="9">
        <f>DAY(O1206)</f>
        <v>0</v>
      </c>
      <c r="AH1206" s="9">
        <f>IFERROR((I1206-K1206)*24*60,0)</f>
        <v>0</v>
      </c>
      <c r="AI1206" s="9">
        <f t="shared" si="22"/>
        <v>0</v>
      </c>
      <c r="AJ1206" s="9">
        <f>C1206</f>
        <v>0</v>
      </c>
      <c r="AK1206" s="9">
        <f>IF(P1206="completed",((V1206-K1206)*24*60),0)</f>
        <v>0</v>
      </c>
      <c r="AL1206" s="9">
        <f>IF(P1206="completed",((U1206-K1206)*24*60),0)</f>
        <v>0</v>
      </c>
      <c r="AM1206" s="9" t="str">
        <f t="shared" si="23"/>
        <v>OTP Breached</v>
      </c>
      <c r="AN1206" s="9" t="str">
        <f t="shared" si="24"/>
        <v>OTP Achieved</v>
      </c>
    </row>
    <row r="1207" spans="9:40" ht="15.75" customHeight="1">
      <c r="I1207" s="28"/>
      <c r="AD1207" s="9" t="str">
        <f t="shared" si="20"/>
        <v>Actual</v>
      </c>
      <c r="AE1207" s="9" t="str">
        <f t="shared" si="21"/>
        <v/>
      </c>
      <c r="AF1207" s="9">
        <f>HOUR(O1207)</f>
        <v>0</v>
      </c>
      <c r="AG1207" s="9">
        <f>DAY(O1207)</f>
        <v>0</v>
      </c>
      <c r="AH1207" s="9">
        <f>IFERROR((I1207-K1207)*24*60,0)</f>
        <v>0</v>
      </c>
      <c r="AI1207" s="9">
        <f t="shared" si="22"/>
        <v>0</v>
      </c>
      <c r="AJ1207" s="9">
        <f>C1207</f>
        <v>0</v>
      </c>
      <c r="AK1207" s="9">
        <f>IF(P1207="completed",((V1207-K1207)*24*60),0)</f>
        <v>0</v>
      </c>
      <c r="AL1207" s="9">
        <f>IF(P1207="completed",((U1207-K1207)*24*60),0)</f>
        <v>0</v>
      </c>
      <c r="AM1207" s="9" t="str">
        <f t="shared" si="23"/>
        <v>OTP Breached</v>
      </c>
      <c r="AN1207" s="9" t="str">
        <f t="shared" si="24"/>
        <v>OTP Achieved</v>
      </c>
    </row>
    <row r="1208" spans="9:40" ht="15.75" customHeight="1">
      <c r="I1208" s="28"/>
      <c r="AD1208" s="9" t="str">
        <f t="shared" si="20"/>
        <v>Actual</v>
      </c>
      <c r="AE1208" s="9" t="str">
        <f t="shared" si="21"/>
        <v/>
      </c>
      <c r="AF1208" s="9">
        <f>HOUR(O1208)</f>
        <v>0</v>
      </c>
      <c r="AG1208" s="9">
        <f>DAY(O1208)</f>
        <v>0</v>
      </c>
      <c r="AH1208" s="9">
        <f>IFERROR((I1208-K1208)*24*60,0)</f>
        <v>0</v>
      </c>
      <c r="AI1208" s="9">
        <f t="shared" si="22"/>
        <v>0</v>
      </c>
      <c r="AJ1208" s="9">
        <f>C1208</f>
        <v>0</v>
      </c>
      <c r="AK1208" s="9">
        <f>IF(P1208="completed",((V1208-K1208)*24*60),0)</f>
        <v>0</v>
      </c>
      <c r="AL1208" s="9">
        <f>IF(P1208="completed",((U1208-K1208)*24*60),0)</f>
        <v>0</v>
      </c>
      <c r="AM1208" s="9" t="str">
        <f t="shared" si="23"/>
        <v>OTP Breached</v>
      </c>
      <c r="AN1208" s="9" t="str">
        <f t="shared" si="24"/>
        <v>OTP Achieved</v>
      </c>
    </row>
    <row r="1209" spans="9:40" ht="15.75" customHeight="1">
      <c r="I1209" s="28"/>
      <c r="AD1209" s="9" t="str">
        <f t="shared" si="20"/>
        <v>Actual</v>
      </c>
      <c r="AE1209" s="9" t="str">
        <f t="shared" si="21"/>
        <v/>
      </c>
      <c r="AF1209" s="9">
        <f>HOUR(O1209)</f>
        <v>0</v>
      </c>
      <c r="AG1209" s="9">
        <f>DAY(O1209)</f>
        <v>0</v>
      </c>
      <c r="AH1209" s="9">
        <f>IFERROR((I1209-K1209)*24*60,0)</f>
        <v>0</v>
      </c>
      <c r="AI1209" s="9">
        <f t="shared" si="22"/>
        <v>0</v>
      </c>
      <c r="AJ1209" s="9">
        <f>C1209</f>
        <v>0</v>
      </c>
      <c r="AK1209" s="9">
        <f>IF(P1209="completed",((V1209-K1209)*24*60),0)</f>
        <v>0</v>
      </c>
      <c r="AL1209" s="9">
        <f>IF(P1209="completed",((U1209-K1209)*24*60),0)</f>
        <v>0</v>
      </c>
      <c r="AM1209" s="9" t="str">
        <f t="shared" si="23"/>
        <v>OTP Breached</v>
      </c>
      <c r="AN1209" s="9" t="str">
        <f t="shared" si="24"/>
        <v>OTP Achieved</v>
      </c>
    </row>
    <row r="1210" spans="9:40" ht="15.75" customHeight="1">
      <c r="I1210" s="28"/>
      <c r="AD1210" s="9" t="str">
        <f t="shared" si="20"/>
        <v>Actual</v>
      </c>
      <c r="AE1210" s="9" t="str">
        <f t="shared" si="21"/>
        <v/>
      </c>
      <c r="AF1210" s="9">
        <f>HOUR(O1210)</f>
        <v>0</v>
      </c>
      <c r="AG1210" s="9">
        <f>DAY(O1210)</f>
        <v>0</v>
      </c>
      <c r="AH1210" s="9">
        <f>IFERROR((I1210-K1210)*24*60,0)</f>
        <v>0</v>
      </c>
      <c r="AI1210" s="9">
        <f t="shared" si="22"/>
        <v>0</v>
      </c>
      <c r="AJ1210" s="9">
        <f>C1210</f>
        <v>0</v>
      </c>
      <c r="AK1210" s="9">
        <f>IF(P1210="completed",((V1210-K1210)*24*60),0)</f>
        <v>0</v>
      </c>
      <c r="AL1210" s="9">
        <f>IF(P1210="completed",((U1210-K1210)*24*60),0)</f>
        <v>0</v>
      </c>
      <c r="AM1210" s="9" t="str">
        <f t="shared" si="23"/>
        <v>OTP Breached</v>
      </c>
      <c r="AN1210" s="9" t="str">
        <f t="shared" si="24"/>
        <v>OTP Achieved</v>
      </c>
    </row>
    <row r="1211" spans="9:40" ht="15.75" customHeight="1">
      <c r="I1211" s="28"/>
      <c r="AD1211" s="9" t="str">
        <f t="shared" si="20"/>
        <v>Actual</v>
      </c>
      <c r="AE1211" s="9" t="str">
        <f t="shared" si="21"/>
        <v/>
      </c>
      <c r="AF1211" s="9">
        <f>HOUR(O1211)</f>
        <v>0</v>
      </c>
      <c r="AG1211" s="9">
        <f>DAY(O1211)</f>
        <v>0</v>
      </c>
      <c r="AH1211" s="9">
        <f>IFERROR((I1211-K1211)*24*60,0)</f>
        <v>0</v>
      </c>
      <c r="AI1211" s="9">
        <f t="shared" si="22"/>
        <v>0</v>
      </c>
      <c r="AJ1211" s="9">
        <f>C1211</f>
        <v>0</v>
      </c>
      <c r="AK1211" s="9">
        <f>IF(P1211="completed",((V1211-K1211)*24*60),0)</f>
        <v>0</v>
      </c>
      <c r="AL1211" s="9">
        <f>IF(P1211="completed",((U1211-K1211)*24*60),0)</f>
        <v>0</v>
      </c>
      <c r="AM1211" s="9" t="str">
        <f t="shared" si="23"/>
        <v>OTP Breached</v>
      </c>
      <c r="AN1211" s="9" t="str">
        <f t="shared" si="24"/>
        <v>OTP Achieved</v>
      </c>
    </row>
    <row r="1212" spans="9:40" ht="15.75" customHeight="1">
      <c r="I1212" s="28"/>
      <c r="AD1212" s="9" t="str">
        <f t="shared" si="20"/>
        <v>Actual</v>
      </c>
      <c r="AE1212" s="9" t="str">
        <f t="shared" si="21"/>
        <v/>
      </c>
      <c r="AF1212" s="9">
        <f>HOUR(O1212)</f>
        <v>0</v>
      </c>
      <c r="AG1212" s="9">
        <f>DAY(O1212)</f>
        <v>0</v>
      </c>
      <c r="AH1212" s="9">
        <f>IFERROR((I1212-K1212)*24*60,0)</f>
        <v>0</v>
      </c>
      <c r="AI1212" s="9">
        <f t="shared" si="22"/>
        <v>0</v>
      </c>
      <c r="AJ1212" s="9">
        <f>C1212</f>
        <v>0</v>
      </c>
      <c r="AK1212" s="9">
        <f>IF(P1212="completed",((V1212-K1212)*24*60),0)</f>
        <v>0</v>
      </c>
      <c r="AL1212" s="9">
        <f>IF(P1212="completed",((U1212-K1212)*24*60),0)</f>
        <v>0</v>
      </c>
      <c r="AM1212" s="9" t="str">
        <f t="shared" si="23"/>
        <v>OTP Breached</v>
      </c>
      <c r="AN1212" s="9" t="str">
        <f t="shared" si="24"/>
        <v>OTP Achieved</v>
      </c>
    </row>
    <row r="1213" spans="9:40" ht="15.75" customHeight="1">
      <c r="I1213" s="28"/>
      <c r="AD1213" s="9" t="str">
        <f t="shared" si="20"/>
        <v>Actual</v>
      </c>
      <c r="AE1213" s="9" t="str">
        <f t="shared" si="21"/>
        <v/>
      </c>
      <c r="AF1213" s="9">
        <f>HOUR(O1213)</f>
        <v>0</v>
      </c>
      <c r="AG1213" s="9">
        <f>DAY(O1213)</f>
        <v>0</v>
      </c>
      <c r="AH1213" s="9">
        <f>IFERROR((I1213-K1213)*24*60,0)</f>
        <v>0</v>
      </c>
      <c r="AI1213" s="9">
        <f t="shared" si="22"/>
        <v>0</v>
      </c>
      <c r="AJ1213" s="9">
        <f>C1213</f>
        <v>0</v>
      </c>
      <c r="AK1213" s="9">
        <f>IF(P1213="completed",((V1213-K1213)*24*60),0)</f>
        <v>0</v>
      </c>
      <c r="AL1213" s="9">
        <f>IF(P1213="completed",((U1213-K1213)*24*60),0)</f>
        <v>0</v>
      </c>
      <c r="AM1213" s="9" t="str">
        <f t="shared" si="23"/>
        <v>OTP Breached</v>
      </c>
      <c r="AN1213" s="9" t="str">
        <f t="shared" si="24"/>
        <v>OTP Achieved</v>
      </c>
    </row>
    <row r="1214" spans="9:40" ht="15.75" customHeight="1">
      <c r="I1214" s="28"/>
      <c r="AD1214" s="9" t="str">
        <f t="shared" si="20"/>
        <v>Actual</v>
      </c>
      <c r="AE1214" s="9" t="str">
        <f t="shared" si="21"/>
        <v/>
      </c>
      <c r="AF1214" s="9">
        <f>HOUR(O1214)</f>
        <v>0</v>
      </c>
      <c r="AG1214" s="9">
        <f>DAY(O1214)</f>
        <v>0</v>
      </c>
      <c r="AH1214" s="9">
        <f>IFERROR((I1214-K1214)*24*60,0)</f>
        <v>0</v>
      </c>
      <c r="AI1214" s="9">
        <f t="shared" si="22"/>
        <v>0</v>
      </c>
      <c r="AJ1214" s="9">
        <f>C1214</f>
        <v>0</v>
      </c>
      <c r="AK1214" s="9">
        <f>IF(P1214="completed",((V1214-K1214)*24*60),0)</f>
        <v>0</v>
      </c>
      <c r="AL1214" s="9">
        <f>IF(P1214="completed",((U1214-K1214)*24*60),0)</f>
        <v>0</v>
      </c>
      <c r="AM1214" s="9" t="str">
        <f t="shared" si="23"/>
        <v>OTP Breached</v>
      </c>
      <c r="AN1214" s="9" t="str">
        <f t="shared" si="24"/>
        <v>OTP Achieved</v>
      </c>
    </row>
    <row r="1215" spans="9:40" ht="15.75" customHeight="1">
      <c r="I1215" s="28"/>
      <c r="AD1215" s="9" t="str">
        <f t="shared" si="20"/>
        <v>Actual</v>
      </c>
      <c r="AE1215" s="9" t="str">
        <f t="shared" si="21"/>
        <v/>
      </c>
      <c r="AF1215" s="9">
        <f>HOUR(O1215)</f>
        <v>0</v>
      </c>
      <c r="AG1215" s="9">
        <f>DAY(O1215)</f>
        <v>0</v>
      </c>
      <c r="AH1215" s="9">
        <f>IFERROR((I1215-K1215)*24*60,0)</f>
        <v>0</v>
      </c>
      <c r="AI1215" s="9">
        <f t="shared" si="22"/>
        <v>0</v>
      </c>
      <c r="AJ1215" s="9">
        <f>C1215</f>
        <v>0</v>
      </c>
      <c r="AK1215" s="9">
        <f>IF(P1215="completed",((V1215-K1215)*24*60),0)</f>
        <v>0</v>
      </c>
      <c r="AL1215" s="9">
        <f>IF(P1215="completed",((U1215-K1215)*24*60),0)</f>
        <v>0</v>
      </c>
      <c r="AM1215" s="9" t="str">
        <f t="shared" si="23"/>
        <v>OTP Breached</v>
      </c>
      <c r="AN1215" s="9" t="str">
        <f t="shared" si="24"/>
        <v>OTP Achieved</v>
      </c>
    </row>
    <row r="1216" spans="9:40" ht="15.75" customHeight="1">
      <c r="I1216" s="28"/>
      <c r="AD1216" s="9" t="str">
        <f t="shared" si="20"/>
        <v>Actual</v>
      </c>
      <c r="AE1216" s="9" t="str">
        <f t="shared" si="21"/>
        <v/>
      </c>
      <c r="AF1216" s="9">
        <f>HOUR(O1216)</f>
        <v>0</v>
      </c>
      <c r="AG1216" s="9">
        <f>DAY(O1216)</f>
        <v>0</v>
      </c>
      <c r="AH1216" s="9">
        <f>IFERROR((I1216-K1216)*24*60,0)</f>
        <v>0</v>
      </c>
      <c r="AI1216" s="9">
        <f t="shared" si="22"/>
        <v>0</v>
      </c>
      <c r="AJ1216" s="9">
        <f>C1216</f>
        <v>0</v>
      </c>
      <c r="AK1216" s="9">
        <f>IF(P1216="completed",((V1216-K1216)*24*60),0)</f>
        <v>0</v>
      </c>
      <c r="AL1216" s="9">
        <f>IF(P1216="completed",((U1216-K1216)*24*60),0)</f>
        <v>0</v>
      </c>
      <c r="AM1216" s="9" t="str">
        <f t="shared" si="23"/>
        <v>OTP Breached</v>
      </c>
      <c r="AN1216" s="9" t="str">
        <f t="shared" si="24"/>
        <v>OTP Achieved</v>
      </c>
    </row>
    <row r="1217" spans="9:40" ht="15.75" customHeight="1">
      <c r="I1217" s="28"/>
      <c r="AD1217" s="9" t="str">
        <f t="shared" si="20"/>
        <v>Actual</v>
      </c>
      <c r="AE1217" s="9" t="str">
        <f t="shared" si="21"/>
        <v/>
      </c>
      <c r="AF1217" s="9">
        <f>HOUR(O1217)</f>
        <v>0</v>
      </c>
      <c r="AG1217" s="9">
        <f>DAY(O1217)</f>
        <v>0</v>
      </c>
      <c r="AH1217" s="9">
        <f>IFERROR((I1217-K1217)*24*60,0)</f>
        <v>0</v>
      </c>
      <c r="AI1217" s="9">
        <f t="shared" si="22"/>
        <v>0</v>
      </c>
      <c r="AJ1217" s="9">
        <f>C1217</f>
        <v>0</v>
      </c>
      <c r="AK1217" s="9">
        <f>IF(P1217="completed",((V1217-K1217)*24*60),0)</f>
        <v>0</v>
      </c>
      <c r="AL1217" s="9">
        <f>IF(P1217="completed",((U1217-K1217)*24*60),0)</f>
        <v>0</v>
      </c>
      <c r="AM1217" s="9" t="str">
        <f t="shared" si="23"/>
        <v>OTP Breached</v>
      </c>
      <c r="AN1217" s="9" t="str">
        <f t="shared" si="24"/>
        <v>OTP Achieved</v>
      </c>
    </row>
    <row r="1218" spans="9:40" ht="15.75" customHeight="1">
      <c r="I1218" s="28"/>
      <c r="AD1218" s="9" t="str">
        <f t="shared" si="20"/>
        <v>Actual</v>
      </c>
      <c r="AE1218" s="9" t="str">
        <f t="shared" si="21"/>
        <v/>
      </c>
      <c r="AF1218" s="9">
        <f>HOUR(O1218)</f>
        <v>0</v>
      </c>
      <c r="AG1218" s="9">
        <f>DAY(O1218)</f>
        <v>0</v>
      </c>
      <c r="AH1218" s="9">
        <f>IFERROR((I1218-K1218)*24*60,0)</f>
        <v>0</v>
      </c>
      <c r="AI1218" s="9">
        <f t="shared" si="22"/>
        <v>0</v>
      </c>
      <c r="AJ1218" s="9">
        <f>C1218</f>
        <v>0</v>
      </c>
      <c r="AK1218" s="9">
        <f>IF(P1218="completed",((V1218-K1218)*24*60),0)</f>
        <v>0</v>
      </c>
      <c r="AL1218" s="9">
        <f>IF(P1218="completed",((U1218-K1218)*24*60),0)</f>
        <v>0</v>
      </c>
      <c r="AM1218" s="9" t="str">
        <f t="shared" si="23"/>
        <v>OTP Breached</v>
      </c>
      <c r="AN1218" s="9" t="str">
        <f t="shared" si="24"/>
        <v>OTP Achieved</v>
      </c>
    </row>
    <row r="1219" spans="9:40" ht="15.75" customHeight="1">
      <c r="I1219" s="28"/>
      <c r="AD1219" s="9" t="str">
        <f t="shared" si="20"/>
        <v>Actual</v>
      </c>
      <c r="AE1219" s="9" t="str">
        <f t="shared" si="21"/>
        <v/>
      </c>
      <c r="AF1219" s="9">
        <f>HOUR(O1219)</f>
        <v>0</v>
      </c>
      <c r="AG1219" s="9">
        <f>DAY(O1219)</f>
        <v>0</v>
      </c>
      <c r="AH1219" s="9">
        <f>IFERROR((I1219-K1219)*24*60,0)</f>
        <v>0</v>
      </c>
      <c r="AI1219" s="9">
        <f t="shared" si="22"/>
        <v>0</v>
      </c>
      <c r="AJ1219" s="9">
        <f>C1219</f>
        <v>0</v>
      </c>
      <c r="AK1219" s="9">
        <f>IF(P1219="completed",((V1219-K1219)*24*60),0)</f>
        <v>0</v>
      </c>
      <c r="AL1219" s="9">
        <f>IF(P1219="completed",((U1219-K1219)*24*60),0)</f>
        <v>0</v>
      </c>
      <c r="AM1219" s="9" t="str">
        <f t="shared" si="23"/>
        <v>OTP Breached</v>
      </c>
      <c r="AN1219" s="9" t="str">
        <f t="shared" si="24"/>
        <v>OTP Achieved</v>
      </c>
    </row>
    <row r="1220" spans="9:40" ht="15.75" customHeight="1">
      <c r="I1220" s="28"/>
      <c r="AD1220" s="9" t="str">
        <f t="shared" si="20"/>
        <v>Actual</v>
      </c>
      <c r="AE1220" s="9" t="str">
        <f t="shared" si="21"/>
        <v/>
      </c>
      <c r="AF1220" s="9">
        <f>HOUR(O1220)</f>
        <v>0</v>
      </c>
      <c r="AG1220" s="9">
        <f>DAY(O1220)</f>
        <v>0</v>
      </c>
      <c r="AH1220" s="9">
        <f>IFERROR((I1220-K1220)*24*60,0)</f>
        <v>0</v>
      </c>
      <c r="AI1220" s="9">
        <f t="shared" si="22"/>
        <v>0</v>
      </c>
      <c r="AJ1220" s="9">
        <f>C1220</f>
        <v>0</v>
      </c>
      <c r="AK1220" s="9">
        <f>IF(P1220="completed",((V1220-K1220)*24*60),0)</f>
        <v>0</v>
      </c>
      <c r="AL1220" s="9">
        <f>IF(P1220="completed",((U1220-K1220)*24*60),0)</f>
        <v>0</v>
      </c>
      <c r="AM1220" s="9" t="str">
        <f t="shared" si="23"/>
        <v>OTP Breached</v>
      </c>
      <c r="AN1220" s="9" t="str">
        <f t="shared" si="24"/>
        <v>OTP Achieved</v>
      </c>
    </row>
    <row r="1221" spans="9:40" ht="15.75" customHeight="1">
      <c r="I1221" s="28"/>
      <c r="AD1221" s="9" t="str">
        <f t="shared" si="20"/>
        <v>Actual</v>
      </c>
      <c r="AE1221" s="9" t="str">
        <f t="shared" si="21"/>
        <v/>
      </c>
      <c r="AF1221" s="9">
        <f>HOUR(O1221)</f>
        <v>0</v>
      </c>
      <c r="AG1221" s="9">
        <f>DAY(O1221)</f>
        <v>0</v>
      </c>
      <c r="AH1221" s="9">
        <f>IFERROR((I1221-K1221)*24*60,0)</f>
        <v>0</v>
      </c>
      <c r="AI1221" s="9">
        <f t="shared" si="22"/>
        <v>0</v>
      </c>
      <c r="AJ1221" s="9">
        <f>C1221</f>
        <v>0</v>
      </c>
      <c r="AK1221" s="9">
        <f>IF(P1221="completed",((V1221-K1221)*24*60),0)</f>
        <v>0</v>
      </c>
      <c r="AL1221" s="9">
        <f>IF(P1221="completed",((U1221-K1221)*24*60),0)</f>
        <v>0</v>
      </c>
      <c r="AM1221" s="9" t="str">
        <f t="shared" si="23"/>
        <v>OTP Breached</v>
      </c>
      <c r="AN1221" s="9" t="str">
        <f t="shared" si="24"/>
        <v>OTP Achieved</v>
      </c>
    </row>
    <row r="1222" spans="9:40" ht="15.75" customHeight="1">
      <c r="I1222" s="28"/>
      <c r="AD1222" s="9" t="str">
        <f t="shared" si="20"/>
        <v>Actual</v>
      </c>
      <c r="AE1222" s="9" t="str">
        <f t="shared" si="21"/>
        <v/>
      </c>
      <c r="AF1222" s="9">
        <f>HOUR(O1222)</f>
        <v>0</v>
      </c>
      <c r="AG1222" s="9">
        <f>DAY(O1222)</f>
        <v>0</v>
      </c>
      <c r="AH1222" s="9">
        <f>IFERROR((I1222-K1222)*24*60,0)</f>
        <v>0</v>
      </c>
      <c r="AI1222" s="9">
        <f t="shared" si="22"/>
        <v>0</v>
      </c>
      <c r="AJ1222" s="9">
        <f>C1222</f>
        <v>0</v>
      </c>
      <c r="AK1222" s="9">
        <f>IF(P1222="completed",((V1222-K1222)*24*60),0)</f>
        <v>0</v>
      </c>
      <c r="AL1222" s="9">
        <f>IF(P1222="completed",((U1222-K1222)*24*60),0)</f>
        <v>0</v>
      </c>
      <c r="AM1222" s="9" t="str">
        <f t="shared" si="23"/>
        <v>OTP Breached</v>
      </c>
      <c r="AN1222" s="9" t="str">
        <f t="shared" si="24"/>
        <v>OTP Achieved</v>
      </c>
    </row>
    <row r="1223" spans="9:40" ht="15.75" customHeight="1">
      <c r="I1223" s="28"/>
      <c r="AD1223" s="9" t="str">
        <f t="shared" si="20"/>
        <v>Actual</v>
      </c>
      <c r="AE1223" s="9" t="str">
        <f t="shared" si="21"/>
        <v/>
      </c>
      <c r="AF1223" s="9">
        <f>HOUR(O1223)</f>
        <v>0</v>
      </c>
      <c r="AG1223" s="9">
        <f>DAY(O1223)</f>
        <v>0</v>
      </c>
      <c r="AH1223" s="9">
        <f>IFERROR((I1223-K1223)*24*60,0)</f>
        <v>0</v>
      </c>
      <c r="AI1223" s="9">
        <f t="shared" si="22"/>
        <v>0</v>
      </c>
      <c r="AJ1223" s="9">
        <f>C1223</f>
        <v>0</v>
      </c>
      <c r="AK1223" s="9">
        <f>IF(P1223="completed",((V1223-K1223)*24*60),0)</f>
        <v>0</v>
      </c>
      <c r="AL1223" s="9">
        <f>IF(P1223="completed",((U1223-K1223)*24*60),0)</f>
        <v>0</v>
      </c>
      <c r="AM1223" s="9" t="str">
        <f t="shared" si="23"/>
        <v>OTP Breached</v>
      </c>
      <c r="AN1223" s="9" t="str">
        <f t="shared" si="24"/>
        <v>OTP Achieved</v>
      </c>
    </row>
    <row r="1224" spans="9:40" ht="15.75" customHeight="1">
      <c r="I1224" s="28"/>
      <c r="AD1224" s="9" t="str">
        <f t="shared" si="20"/>
        <v>Actual</v>
      </c>
      <c r="AE1224" s="9" t="str">
        <f t="shared" si="21"/>
        <v/>
      </c>
      <c r="AF1224" s="9">
        <f>HOUR(O1224)</f>
        <v>0</v>
      </c>
      <c r="AG1224" s="9">
        <f>DAY(O1224)</f>
        <v>0</v>
      </c>
      <c r="AH1224" s="9">
        <f>IFERROR((I1224-K1224)*24*60,0)</f>
        <v>0</v>
      </c>
      <c r="AI1224" s="9">
        <f t="shared" si="22"/>
        <v>0</v>
      </c>
      <c r="AJ1224" s="9">
        <f>C1224</f>
        <v>0</v>
      </c>
      <c r="AK1224" s="9">
        <f>IF(P1224="completed",((V1224-K1224)*24*60),0)</f>
        <v>0</v>
      </c>
      <c r="AL1224" s="9">
        <f>IF(P1224="completed",((U1224-K1224)*24*60),0)</f>
        <v>0</v>
      </c>
      <c r="AM1224" s="9" t="str">
        <f t="shared" si="23"/>
        <v>OTP Breached</v>
      </c>
      <c r="AN1224" s="9" t="str">
        <f t="shared" si="24"/>
        <v>OTP Achieved</v>
      </c>
    </row>
    <row r="1225" spans="9:40" ht="15.75" customHeight="1">
      <c r="I1225" s="28"/>
      <c r="AD1225" s="9" t="str">
        <f t="shared" si="20"/>
        <v>Actual</v>
      </c>
      <c r="AE1225" s="9" t="str">
        <f t="shared" si="21"/>
        <v/>
      </c>
      <c r="AF1225" s="9">
        <f>HOUR(O1225)</f>
        <v>0</v>
      </c>
      <c r="AG1225" s="9">
        <f>DAY(O1225)</f>
        <v>0</v>
      </c>
      <c r="AH1225" s="9">
        <f>IFERROR((I1225-K1225)*24*60,0)</f>
        <v>0</v>
      </c>
      <c r="AI1225" s="9">
        <f t="shared" si="22"/>
        <v>0</v>
      </c>
      <c r="AJ1225" s="9">
        <f>C1225</f>
        <v>0</v>
      </c>
      <c r="AK1225" s="9">
        <f>IF(P1225="completed",((V1225-K1225)*24*60),0)</f>
        <v>0</v>
      </c>
      <c r="AL1225" s="9">
        <f>IF(P1225="completed",((U1225-K1225)*24*60),0)</f>
        <v>0</v>
      </c>
      <c r="AM1225" s="9" t="str">
        <f t="shared" si="23"/>
        <v>OTP Breached</v>
      </c>
      <c r="AN1225" s="9" t="str">
        <f t="shared" si="24"/>
        <v>OTP Achieved</v>
      </c>
    </row>
    <row r="1226" spans="9:40" ht="15.75" customHeight="1">
      <c r="I1226" s="28"/>
      <c r="AD1226" s="9" t="str">
        <f t="shared" si="20"/>
        <v>Actual</v>
      </c>
      <c r="AE1226" s="9" t="str">
        <f t="shared" si="21"/>
        <v/>
      </c>
      <c r="AF1226" s="9">
        <f>HOUR(O1226)</f>
        <v>0</v>
      </c>
      <c r="AG1226" s="9">
        <f>DAY(O1226)</f>
        <v>0</v>
      </c>
      <c r="AH1226" s="9">
        <f>IFERROR((I1226-K1226)*24*60,0)</f>
        <v>0</v>
      </c>
      <c r="AI1226" s="9">
        <f t="shared" si="22"/>
        <v>0</v>
      </c>
      <c r="AJ1226" s="9">
        <f>C1226</f>
        <v>0</v>
      </c>
      <c r="AK1226" s="9">
        <f>IF(P1226="completed",((V1226-K1226)*24*60),0)</f>
        <v>0</v>
      </c>
      <c r="AL1226" s="9">
        <f>IF(P1226="completed",((U1226-K1226)*24*60),0)</f>
        <v>0</v>
      </c>
      <c r="AM1226" s="9" t="str">
        <f t="shared" si="23"/>
        <v>OTP Breached</v>
      </c>
      <c r="AN1226" s="9" t="str">
        <f t="shared" si="24"/>
        <v>OTP Achieved</v>
      </c>
    </row>
    <row r="1227" spans="9:40" ht="15.75" customHeight="1">
      <c r="I1227" s="28"/>
      <c r="AD1227" s="9" t="str">
        <f t="shared" si="20"/>
        <v>Actual</v>
      </c>
      <c r="AE1227" s="9" t="str">
        <f t="shared" si="21"/>
        <v/>
      </c>
      <c r="AF1227" s="9">
        <f>HOUR(O1227)</f>
        <v>0</v>
      </c>
      <c r="AG1227" s="9">
        <f>DAY(O1227)</f>
        <v>0</v>
      </c>
      <c r="AH1227" s="9">
        <f>IFERROR((I1227-K1227)*24*60,0)</f>
        <v>0</v>
      </c>
      <c r="AI1227" s="9">
        <f t="shared" si="22"/>
        <v>0</v>
      </c>
      <c r="AJ1227" s="9">
        <f>C1227</f>
        <v>0</v>
      </c>
      <c r="AK1227" s="9">
        <f>IF(P1227="completed",((V1227-K1227)*24*60),0)</f>
        <v>0</v>
      </c>
      <c r="AL1227" s="9">
        <f>IF(P1227="completed",((U1227-K1227)*24*60),0)</f>
        <v>0</v>
      </c>
      <c r="AM1227" s="9" t="str">
        <f t="shared" si="23"/>
        <v>OTP Breached</v>
      </c>
      <c r="AN1227" s="9" t="str">
        <f t="shared" si="24"/>
        <v>OTP Achieved</v>
      </c>
    </row>
    <row r="1228" spans="9:40" ht="15.75" customHeight="1">
      <c r="I1228" s="28"/>
      <c r="AD1228" s="9" t="str">
        <f t="shared" si="20"/>
        <v>Actual</v>
      </c>
      <c r="AE1228" s="9" t="str">
        <f t="shared" si="21"/>
        <v/>
      </c>
      <c r="AF1228" s="9">
        <f>HOUR(O1228)</f>
        <v>0</v>
      </c>
      <c r="AG1228" s="9">
        <f>DAY(O1228)</f>
        <v>0</v>
      </c>
      <c r="AH1228" s="9">
        <f>IFERROR((I1228-K1228)*24*60,0)</f>
        <v>0</v>
      </c>
      <c r="AI1228" s="9">
        <f t="shared" si="22"/>
        <v>0</v>
      </c>
      <c r="AJ1228" s="9">
        <f>C1228</f>
        <v>0</v>
      </c>
      <c r="AK1228" s="9">
        <f>IF(P1228="completed",((V1228-K1228)*24*60),0)</f>
        <v>0</v>
      </c>
      <c r="AL1228" s="9">
        <f>IF(P1228="completed",((U1228-K1228)*24*60),0)</f>
        <v>0</v>
      </c>
      <c r="AM1228" s="9" t="str">
        <f t="shared" si="23"/>
        <v>OTP Breached</v>
      </c>
      <c r="AN1228" s="9" t="str">
        <f t="shared" si="24"/>
        <v>OTP Achieved</v>
      </c>
    </row>
    <row r="1229" spans="9:40" ht="15.75" customHeight="1">
      <c r="I1229" s="28"/>
      <c r="AD1229" s="9" t="str">
        <f t="shared" si="20"/>
        <v>Actual</v>
      </c>
      <c r="AE1229" s="9" t="str">
        <f t="shared" si="21"/>
        <v/>
      </c>
      <c r="AF1229" s="9">
        <f>HOUR(O1229)</f>
        <v>0</v>
      </c>
      <c r="AG1229" s="9">
        <f>DAY(O1229)</f>
        <v>0</v>
      </c>
      <c r="AH1229" s="9">
        <f>IFERROR((I1229-K1229)*24*60,0)</f>
        <v>0</v>
      </c>
      <c r="AI1229" s="9">
        <f t="shared" si="22"/>
        <v>0</v>
      </c>
      <c r="AJ1229" s="9">
        <f>C1229</f>
        <v>0</v>
      </c>
      <c r="AK1229" s="9">
        <f>IF(P1229="completed",((V1229-K1229)*24*60),0)</f>
        <v>0</v>
      </c>
      <c r="AL1229" s="9">
        <f>IF(P1229="completed",((U1229-K1229)*24*60),0)</f>
        <v>0</v>
      </c>
      <c r="AM1229" s="9" t="str">
        <f t="shared" si="23"/>
        <v>OTP Breached</v>
      </c>
      <c r="AN1229" s="9" t="str">
        <f t="shared" si="24"/>
        <v>OTP Achieved</v>
      </c>
    </row>
    <row r="1230" spans="9:40" ht="15.75" customHeight="1">
      <c r="I1230" s="28"/>
      <c r="AD1230" s="9" t="str">
        <f t="shared" si="20"/>
        <v>Actual</v>
      </c>
      <c r="AE1230" s="9" t="str">
        <f t="shared" si="21"/>
        <v/>
      </c>
      <c r="AF1230" s="9">
        <f>HOUR(O1230)</f>
        <v>0</v>
      </c>
      <c r="AG1230" s="9">
        <f>DAY(O1230)</f>
        <v>0</v>
      </c>
      <c r="AH1230" s="9">
        <f>IFERROR((I1230-K1230)*24*60,0)</f>
        <v>0</v>
      </c>
      <c r="AI1230" s="9">
        <f t="shared" si="22"/>
        <v>0</v>
      </c>
      <c r="AJ1230" s="9">
        <f>C1230</f>
        <v>0</v>
      </c>
      <c r="AK1230" s="9">
        <f>IF(P1230="completed",((V1230-K1230)*24*60),0)</f>
        <v>0</v>
      </c>
      <c r="AL1230" s="9">
        <f>IF(P1230="completed",((U1230-K1230)*24*60),0)</f>
        <v>0</v>
      </c>
      <c r="AM1230" s="9" t="str">
        <f t="shared" si="23"/>
        <v>OTP Breached</v>
      </c>
      <c r="AN1230" s="9" t="str">
        <f t="shared" si="24"/>
        <v>OTP Achieved</v>
      </c>
    </row>
    <row r="1231" spans="9:40" ht="15.75" customHeight="1">
      <c r="I1231" s="28"/>
      <c r="AD1231" s="9" t="str">
        <f t="shared" si="20"/>
        <v>Actual</v>
      </c>
      <c r="AE1231" s="9" t="str">
        <f t="shared" si="21"/>
        <v/>
      </c>
      <c r="AF1231" s="9">
        <f>HOUR(O1231)</f>
        <v>0</v>
      </c>
      <c r="AG1231" s="9">
        <f>DAY(O1231)</f>
        <v>0</v>
      </c>
      <c r="AH1231" s="9">
        <f>IFERROR((I1231-K1231)*24*60,0)</f>
        <v>0</v>
      </c>
      <c r="AI1231" s="9">
        <f t="shared" si="22"/>
        <v>0</v>
      </c>
      <c r="AJ1231" s="9">
        <f>C1231</f>
        <v>0</v>
      </c>
      <c r="AK1231" s="9">
        <f>IF(P1231="completed",((V1231-K1231)*24*60),0)</f>
        <v>0</v>
      </c>
      <c r="AL1231" s="9">
        <f>IF(P1231="completed",((U1231-K1231)*24*60),0)</f>
        <v>0</v>
      </c>
      <c r="AM1231" s="9" t="str">
        <f t="shared" si="23"/>
        <v>OTP Breached</v>
      </c>
      <c r="AN1231" s="9" t="str">
        <f t="shared" si="24"/>
        <v>OTP Achieved</v>
      </c>
    </row>
    <row r="1232" spans="9:40" ht="15.75" customHeight="1">
      <c r="I1232" s="28"/>
      <c r="AD1232" s="9" t="str">
        <f t="shared" si="20"/>
        <v>Actual</v>
      </c>
      <c r="AE1232" s="9" t="str">
        <f t="shared" si="21"/>
        <v/>
      </c>
      <c r="AF1232" s="9">
        <f>HOUR(O1232)</f>
        <v>0</v>
      </c>
      <c r="AG1232" s="9">
        <f>DAY(O1232)</f>
        <v>0</v>
      </c>
      <c r="AH1232" s="9">
        <f>IFERROR((I1232-K1232)*24*60,0)</f>
        <v>0</v>
      </c>
      <c r="AI1232" s="9">
        <f t="shared" si="22"/>
        <v>0</v>
      </c>
      <c r="AJ1232" s="9">
        <f>C1232</f>
        <v>0</v>
      </c>
      <c r="AK1232" s="9">
        <f>IF(P1232="completed",((V1232-K1232)*24*60),0)</f>
        <v>0</v>
      </c>
      <c r="AL1232" s="9">
        <f>IF(P1232="completed",((U1232-K1232)*24*60),0)</f>
        <v>0</v>
      </c>
      <c r="AM1232" s="9" t="str">
        <f t="shared" si="23"/>
        <v>OTP Breached</v>
      </c>
      <c r="AN1232" s="9" t="str">
        <f t="shared" si="24"/>
        <v>OTP Achieved</v>
      </c>
    </row>
    <row r="1233" spans="9:40" ht="15.75" customHeight="1">
      <c r="I1233" s="28"/>
      <c r="AD1233" s="9" t="str">
        <f t="shared" si="20"/>
        <v>Actual</v>
      </c>
      <c r="AE1233" s="9" t="str">
        <f t="shared" si="21"/>
        <v/>
      </c>
      <c r="AF1233" s="9">
        <f>HOUR(O1233)</f>
        <v>0</v>
      </c>
      <c r="AG1233" s="9">
        <f>DAY(O1233)</f>
        <v>0</v>
      </c>
      <c r="AH1233" s="9">
        <f>IFERROR((I1233-K1233)*24*60,0)</f>
        <v>0</v>
      </c>
      <c r="AI1233" s="9">
        <f t="shared" si="22"/>
        <v>0</v>
      </c>
      <c r="AJ1233" s="9">
        <f>C1233</f>
        <v>0</v>
      </c>
      <c r="AK1233" s="9">
        <f>IF(P1233="completed",((V1233-K1233)*24*60),0)</f>
        <v>0</v>
      </c>
      <c r="AL1233" s="9">
        <f>IF(P1233="completed",((U1233-K1233)*24*60),0)</f>
        <v>0</v>
      </c>
      <c r="AM1233" s="9" t="str">
        <f t="shared" si="23"/>
        <v>OTP Breached</v>
      </c>
      <c r="AN1233" s="9" t="str">
        <f t="shared" si="24"/>
        <v>OTP Achieved</v>
      </c>
    </row>
    <row r="1234" spans="9:40" ht="15.75" customHeight="1">
      <c r="I1234" s="28"/>
      <c r="AD1234" s="9" t="str">
        <f t="shared" si="20"/>
        <v>Actual</v>
      </c>
      <c r="AE1234" s="9" t="str">
        <f t="shared" si="21"/>
        <v/>
      </c>
      <c r="AF1234" s="9">
        <f>HOUR(O1234)</f>
        <v>0</v>
      </c>
      <c r="AG1234" s="9">
        <f>DAY(O1234)</f>
        <v>0</v>
      </c>
      <c r="AH1234" s="9">
        <f>IFERROR((I1234-K1234)*24*60,0)</f>
        <v>0</v>
      </c>
      <c r="AI1234" s="9">
        <f t="shared" si="22"/>
        <v>0</v>
      </c>
      <c r="AJ1234" s="9">
        <f>C1234</f>
        <v>0</v>
      </c>
      <c r="AK1234" s="9">
        <f>IF(P1234="completed",((V1234-K1234)*24*60),0)</f>
        <v>0</v>
      </c>
      <c r="AL1234" s="9">
        <f>IF(P1234="completed",((U1234-K1234)*24*60),0)</f>
        <v>0</v>
      </c>
      <c r="AM1234" s="9" t="str">
        <f t="shared" si="23"/>
        <v>OTP Breached</v>
      </c>
      <c r="AN1234" s="9" t="str">
        <f t="shared" si="24"/>
        <v>OTP Achieved</v>
      </c>
    </row>
    <row r="1235" spans="9:40" ht="15.75" customHeight="1">
      <c r="I1235" s="28"/>
      <c r="AD1235" s="9" t="str">
        <f t="shared" si="20"/>
        <v>Actual</v>
      </c>
      <c r="AE1235" s="9" t="str">
        <f t="shared" si="21"/>
        <v/>
      </c>
      <c r="AF1235" s="9">
        <f>HOUR(O1235)</f>
        <v>0</v>
      </c>
      <c r="AG1235" s="9">
        <f>DAY(O1235)</f>
        <v>0</v>
      </c>
      <c r="AH1235" s="9">
        <f>IFERROR((I1235-K1235)*24*60,0)</f>
        <v>0</v>
      </c>
      <c r="AI1235" s="9">
        <f t="shared" si="22"/>
        <v>0</v>
      </c>
      <c r="AJ1235" s="9">
        <f>C1235</f>
        <v>0</v>
      </c>
      <c r="AK1235" s="9">
        <f>IF(P1235="completed",((V1235-K1235)*24*60),0)</f>
        <v>0</v>
      </c>
      <c r="AL1235" s="9">
        <f>IF(P1235="completed",((U1235-K1235)*24*60),0)</f>
        <v>0</v>
      </c>
      <c r="AM1235" s="9" t="str">
        <f t="shared" si="23"/>
        <v>OTP Breached</v>
      </c>
      <c r="AN1235" s="9" t="str">
        <f t="shared" si="24"/>
        <v>OTP Achieved</v>
      </c>
    </row>
    <row r="1236" spans="9:40" ht="15.75" customHeight="1">
      <c r="I1236" s="28"/>
      <c r="AD1236" s="9" t="str">
        <f t="shared" si="20"/>
        <v>Actual</v>
      </c>
      <c r="AE1236" s="9" t="str">
        <f t="shared" si="21"/>
        <v/>
      </c>
      <c r="AF1236" s="9">
        <f>HOUR(O1236)</f>
        <v>0</v>
      </c>
      <c r="AG1236" s="9">
        <f>DAY(O1236)</f>
        <v>0</v>
      </c>
      <c r="AH1236" s="9">
        <f>IFERROR((I1236-K1236)*24*60,0)</f>
        <v>0</v>
      </c>
      <c r="AI1236" s="9">
        <f t="shared" si="22"/>
        <v>0</v>
      </c>
      <c r="AJ1236" s="9">
        <f>C1236</f>
        <v>0</v>
      </c>
      <c r="AK1236" s="9">
        <f>IF(P1236="completed",((V1236-K1236)*24*60),0)</f>
        <v>0</v>
      </c>
      <c r="AL1236" s="9">
        <f>IF(P1236="completed",((U1236-K1236)*24*60),0)</f>
        <v>0</v>
      </c>
      <c r="AM1236" s="9" t="str">
        <f t="shared" si="23"/>
        <v>OTP Breached</v>
      </c>
      <c r="AN1236" s="9" t="str">
        <f t="shared" si="24"/>
        <v>OTP Achieved</v>
      </c>
    </row>
    <row r="1237" spans="9:40" ht="15.75" customHeight="1">
      <c r="I1237" s="28"/>
      <c r="AD1237" s="9" t="str">
        <f t="shared" si="20"/>
        <v>Actual</v>
      </c>
      <c r="AE1237" s="9" t="str">
        <f t="shared" si="21"/>
        <v/>
      </c>
      <c r="AF1237" s="9">
        <f>HOUR(O1237)</f>
        <v>0</v>
      </c>
      <c r="AG1237" s="9">
        <f>DAY(O1237)</f>
        <v>0</v>
      </c>
      <c r="AH1237" s="9">
        <f>IFERROR((I1237-K1237)*24*60,0)</f>
        <v>0</v>
      </c>
      <c r="AI1237" s="9">
        <f t="shared" si="22"/>
        <v>0</v>
      </c>
      <c r="AJ1237" s="9">
        <f>C1237</f>
        <v>0</v>
      </c>
      <c r="AK1237" s="9">
        <f>IF(P1237="completed",((V1237-K1237)*24*60),0)</f>
        <v>0</v>
      </c>
      <c r="AL1237" s="9">
        <f>IF(P1237="completed",((U1237-K1237)*24*60),0)</f>
        <v>0</v>
      </c>
      <c r="AM1237" s="9" t="str">
        <f t="shared" si="23"/>
        <v>OTP Breached</v>
      </c>
      <c r="AN1237" s="9" t="str">
        <f t="shared" si="24"/>
        <v>OTP Achieved</v>
      </c>
    </row>
    <row r="1238" spans="9:40" ht="15.75" customHeight="1">
      <c r="I1238" s="28"/>
      <c r="AD1238" s="9" t="str">
        <f t="shared" si="20"/>
        <v>Actual</v>
      </c>
      <c r="AE1238" s="9" t="str">
        <f t="shared" si="21"/>
        <v/>
      </c>
      <c r="AF1238" s="9">
        <f>HOUR(O1238)</f>
        <v>0</v>
      </c>
      <c r="AG1238" s="9">
        <f>DAY(O1238)</f>
        <v>0</v>
      </c>
      <c r="AH1238" s="9">
        <f>IFERROR((I1238-K1238)*24*60,0)</f>
        <v>0</v>
      </c>
      <c r="AI1238" s="9">
        <f t="shared" si="22"/>
        <v>0</v>
      </c>
      <c r="AJ1238" s="9">
        <f>C1238</f>
        <v>0</v>
      </c>
      <c r="AK1238" s="9">
        <f>IF(P1238="completed",((V1238-K1238)*24*60),0)</f>
        <v>0</v>
      </c>
      <c r="AL1238" s="9">
        <f>IF(P1238="completed",((U1238-K1238)*24*60),0)</f>
        <v>0</v>
      </c>
      <c r="AM1238" s="9" t="str">
        <f t="shared" si="23"/>
        <v>OTP Breached</v>
      </c>
      <c r="AN1238" s="9" t="str">
        <f t="shared" si="24"/>
        <v>OTP Achieved</v>
      </c>
    </row>
    <row r="1239" spans="9:40" ht="15.75" customHeight="1">
      <c r="I1239" s="28"/>
      <c r="AD1239" s="9" t="str">
        <f t="shared" si="20"/>
        <v>Actual</v>
      </c>
      <c r="AE1239" s="9" t="str">
        <f t="shared" si="21"/>
        <v/>
      </c>
      <c r="AF1239" s="9">
        <f>HOUR(O1239)</f>
        <v>0</v>
      </c>
      <c r="AG1239" s="9">
        <f>DAY(O1239)</f>
        <v>0</v>
      </c>
      <c r="AH1239" s="9">
        <f>IFERROR((I1239-K1239)*24*60,0)</f>
        <v>0</v>
      </c>
      <c r="AI1239" s="9">
        <f t="shared" si="22"/>
        <v>0</v>
      </c>
      <c r="AJ1239" s="9">
        <f>C1239</f>
        <v>0</v>
      </c>
      <c r="AK1239" s="9">
        <f>IF(P1239="completed",((V1239-K1239)*24*60),0)</f>
        <v>0</v>
      </c>
      <c r="AL1239" s="9">
        <f>IF(P1239="completed",((U1239-K1239)*24*60),0)</f>
        <v>0</v>
      </c>
      <c r="AM1239" s="9" t="str">
        <f t="shared" si="23"/>
        <v>OTP Breached</v>
      </c>
      <c r="AN1239" s="9" t="str">
        <f t="shared" si="24"/>
        <v>OTP Achieved</v>
      </c>
    </row>
    <row r="1240" spans="9:40" ht="15.75" customHeight="1">
      <c r="I1240" s="28"/>
      <c r="AD1240" s="9" t="str">
        <f t="shared" si="20"/>
        <v>Actual</v>
      </c>
      <c r="AE1240" s="9" t="str">
        <f t="shared" si="21"/>
        <v/>
      </c>
      <c r="AF1240" s="9">
        <f>HOUR(O1240)</f>
        <v>0</v>
      </c>
      <c r="AG1240" s="9">
        <f>DAY(O1240)</f>
        <v>0</v>
      </c>
      <c r="AH1240" s="9">
        <f>IFERROR((I1240-K1240)*24*60,0)</f>
        <v>0</v>
      </c>
      <c r="AI1240" s="9">
        <f t="shared" si="22"/>
        <v>0</v>
      </c>
      <c r="AJ1240" s="9">
        <f>C1240</f>
        <v>0</v>
      </c>
      <c r="AK1240" s="9">
        <f>IF(P1240="completed",((V1240-K1240)*24*60),0)</f>
        <v>0</v>
      </c>
      <c r="AL1240" s="9">
        <f>IF(P1240="completed",((U1240-K1240)*24*60),0)</f>
        <v>0</v>
      </c>
      <c r="AM1240" s="9" t="str">
        <f t="shared" si="23"/>
        <v>OTP Breached</v>
      </c>
      <c r="AN1240" s="9" t="str">
        <f t="shared" si="24"/>
        <v>OTP Achieved</v>
      </c>
    </row>
    <row r="1241" spans="9:40" ht="15.75" customHeight="1">
      <c r="I1241" s="28"/>
      <c r="AD1241" s="9" t="str">
        <f t="shared" si="20"/>
        <v>Actual</v>
      </c>
      <c r="AE1241" s="9" t="str">
        <f t="shared" si="21"/>
        <v/>
      </c>
      <c r="AF1241" s="9">
        <f>HOUR(O1241)</f>
        <v>0</v>
      </c>
      <c r="AG1241" s="9">
        <f>DAY(O1241)</f>
        <v>0</v>
      </c>
      <c r="AH1241" s="9">
        <f>IFERROR((I1241-K1241)*24*60,0)</f>
        <v>0</v>
      </c>
      <c r="AI1241" s="9">
        <f t="shared" si="22"/>
        <v>0</v>
      </c>
      <c r="AJ1241" s="9">
        <f>C1241</f>
        <v>0</v>
      </c>
      <c r="AK1241" s="9">
        <f>IF(P1241="completed",((V1241-K1241)*24*60),0)</f>
        <v>0</v>
      </c>
      <c r="AL1241" s="9">
        <f>IF(P1241="completed",((U1241-K1241)*24*60),0)</f>
        <v>0</v>
      </c>
      <c r="AM1241" s="9" t="str">
        <f t="shared" si="23"/>
        <v>OTP Breached</v>
      </c>
      <c r="AN1241" s="9" t="str">
        <f t="shared" si="24"/>
        <v>OTP Achieved</v>
      </c>
    </row>
    <row r="1242" spans="9:40" ht="15.75" customHeight="1">
      <c r="I1242" s="28"/>
      <c r="AD1242" s="9" t="str">
        <f t="shared" si="20"/>
        <v>Actual</v>
      </c>
      <c r="AE1242" s="9" t="str">
        <f t="shared" si="21"/>
        <v/>
      </c>
      <c r="AF1242" s="9">
        <f>HOUR(O1242)</f>
        <v>0</v>
      </c>
      <c r="AG1242" s="9">
        <f>DAY(O1242)</f>
        <v>0</v>
      </c>
      <c r="AH1242" s="9">
        <f>IFERROR((I1242-K1242)*24*60,0)</f>
        <v>0</v>
      </c>
      <c r="AI1242" s="9">
        <f t="shared" si="22"/>
        <v>0</v>
      </c>
      <c r="AJ1242" s="9">
        <f>C1242</f>
        <v>0</v>
      </c>
      <c r="AK1242" s="9">
        <f>IF(P1242="completed",((V1242-K1242)*24*60),0)</f>
        <v>0</v>
      </c>
      <c r="AL1242" s="9">
        <f>IF(P1242="completed",((U1242-K1242)*24*60),0)</f>
        <v>0</v>
      </c>
      <c r="AM1242" s="9" t="str">
        <f t="shared" si="23"/>
        <v>OTP Breached</v>
      </c>
      <c r="AN1242" s="9" t="str">
        <f t="shared" si="24"/>
        <v>OTP Achieved</v>
      </c>
    </row>
    <row r="1243" spans="9:40" ht="15.75" customHeight="1">
      <c r="I1243" s="28"/>
      <c r="AD1243" s="9" t="str">
        <f t="shared" si="20"/>
        <v>Actual</v>
      </c>
      <c r="AE1243" s="9" t="str">
        <f t="shared" si="21"/>
        <v/>
      </c>
      <c r="AF1243" s="9">
        <f>HOUR(O1243)</f>
        <v>0</v>
      </c>
      <c r="AG1243" s="9">
        <f>DAY(O1243)</f>
        <v>0</v>
      </c>
      <c r="AH1243" s="9">
        <f>IFERROR((I1243-K1243)*24*60,0)</f>
        <v>0</v>
      </c>
      <c r="AI1243" s="9">
        <f t="shared" si="22"/>
        <v>0</v>
      </c>
      <c r="AJ1243" s="9">
        <f>C1243</f>
        <v>0</v>
      </c>
      <c r="AK1243" s="9">
        <f>IF(P1243="completed",((V1243-K1243)*24*60),0)</f>
        <v>0</v>
      </c>
      <c r="AL1243" s="9">
        <f>IF(P1243="completed",((U1243-K1243)*24*60),0)</f>
        <v>0</v>
      </c>
      <c r="AM1243" s="9" t="str">
        <f t="shared" si="23"/>
        <v>OTP Breached</v>
      </c>
      <c r="AN1243" s="9" t="str">
        <f t="shared" si="24"/>
        <v>OTP Achieved</v>
      </c>
    </row>
    <row r="1244" spans="9:40" ht="15.75" customHeight="1">
      <c r="I1244" s="28"/>
      <c r="AD1244" s="9" t="str">
        <f t="shared" si="20"/>
        <v>Actual</v>
      </c>
      <c r="AE1244" s="9" t="str">
        <f t="shared" si="21"/>
        <v/>
      </c>
      <c r="AF1244" s="9">
        <f>HOUR(O1244)</f>
        <v>0</v>
      </c>
      <c r="AG1244" s="9">
        <f>DAY(O1244)</f>
        <v>0</v>
      </c>
      <c r="AH1244" s="9">
        <f>IFERROR((I1244-K1244)*24*60,0)</f>
        <v>0</v>
      </c>
      <c r="AI1244" s="9">
        <f t="shared" si="22"/>
        <v>0</v>
      </c>
      <c r="AJ1244" s="9">
        <f>C1244</f>
        <v>0</v>
      </c>
      <c r="AK1244" s="9">
        <f>IF(P1244="completed",((V1244-K1244)*24*60),0)</f>
        <v>0</v>
      </c>
      <c r="AL1244" s="9">
        <f>IF(P1244="completed",((U1244-K1244)*24*60),0)</f>
        <v>0</v>
      </c>
      <c r="AM1244" s="9" t="str">
        <f t="shared" si="23"/>
        <v>OTP Breached</v>
      </c>
      <c r="AN1244" s="9" t="str">
        <f t="shared" si="24"/>
        <v>OTP Achieved</v>
      </c>
    </row>
    <row r="1245" spans="9:40" ht="15.75" customHeight="1">
      <c r="I1245" s="28"/>
      <c r="AD1245" s="9" t="str">
        <f t="shared" si="20"/>
        <v>Actual</v>
      </c>
      <c r="AE1245" s="9" t="str">
        <f t="shared" si="21"/>
        <v/>
      </c>
      <c r="AF1245" s="9">
        <f>HOUR(O1245)</f>
        <v>0</v>
      </c>
      <c r="AG1245" s="9">
        <f>DAY(O1245)</f>
        <v>0</v>
      </c>
      <c r="AH1245" s="9">
        <f>IFERROR((I1245-K1245)*24*60,0)</f>
        <v>0</v>
      </c>
      <c r="AI1245" s="9">
        <f t="shared" si="22"/>
        <v>0</v>
      </c>
      <c r="AJ1245" s="9">
        <f>C1245</f>
        <v>0</v>
      </c>
      <c r="AK1245" s="9">
        <f>IF(P1245="completed",((V1245-K1245)*24*60),0)</f>
        <v>0</v>
      </c>
      <c r="AL1245" s="9">
        <f>IF(P1245="completed",((U1245-K1245)*24*60),0)</f>
        <v>0</v>
      </c>
      <c r="AM1245" s="9" t="str">
        <f t="shared" si="23"/>
        <v>OTP Breached</v>
      </c>
      <c r="AN1245" s="9" t="str">
        <f t="shared" si="24"/>
        <v>OTP Achieved</v>
      </c>
    </row>
    <row r="1246" spans="9:40" ht="15.75" customHeight="1">
      <c r="I1246" s="28"/>
      <c r="AD1246" s="9" t="str">
        <f t="shared" si="20"/>
        <v>Actual</v>
      </c>
      <c r="AE1246" s="9" t="str">
        <f t="shared" si="21"/>
        <v/>
      </c>
      <c r="AF1246" s="9">
        <f>HOUR(O1246)</f>
        <v>0</v>
      </c>
      <c r="AG1246" s="9">
        <f>DAY(O1246)</f>
        <v>0</v>
      </c>
      <c r="AH1246" s="9">
        <f>IFERROR((I1246-K1246)*24*60,0)</f>
        <v>0</v>
      </c>
      <c r="AI1246" s="9">
        <f t="shared" si="22"/>
        <v>0</v>
      </c>
      <c r="AJ1246" s="9">
        <f>C1246</f>
        <v>0</v>
      </c>
      <c r="AK1246" s="9">
        <f>IF(P1246="completed",((V1246-K1246)*24*60),0)</f>
        <v>0</v>
      </c>
      <c r="AL1246" s="9">
        <f>IF(P1246="completed",((U1246-K1246)*24*60),0)</f>
        <v>0</v>
      </c>
      <c r="AM1246" s="9" t="str">
        <f t="shared" si="23"/>
        <v>OTP Breached</v>
      </c>
      <c r="AN1246" s="9" t="str">
        <f t="shared" si="24"/>
        <v>OTP Achieved</v>
      </c>
    </row>
    <row r="1247" spans="9:40" ht="15.75" customHeight="1">
      <c r="I1247" s="28"/>
      <c r="AD1247" s="9" t="str">
        <f t="shared" si="20"/>
        <v>Actual</v>
      </c>
      <c r="AE1247" s="9" t="str">
        <f t="shared" si="21"/>
        <v/>
      </c>
      <c r="AF1247" s="9">
        <f>HOUR(O1247)</f>
        <v>0</v>
      </c>
      <c r="AG1247" s="9">
        <f>DAY(O1247)</f>
        <v>0</v>
      </c>
      <c r="AH1247" s="9">
        <f>IFERROR((I1247-K1247)*24*60,0)</f>
        <v>0</v>
      </c>
      <c r="AI1247" s="9">
        <f t="shared" si="22"/>
        <v>0</v>
      </c>
      <c r="AJ1247" s="9">
        <f>C1247</f>
        <v>0</v>
      </c>
      <c r="AK1247" s="9">
        <f>IF(P1247="completed",((V1247-K1247)*24*60),0)</f>
        <v>0</v>
      </c>
      <c r="AL1247" s="9">
        <f>IF(P1247="completed",((U1247-K1247)*24*60),0)</f>
        <v>0</v>
      </c>
      <c r="AM1247" s="9" t="str">
        <f t="shared" si="23"/>
        <v>OTP Breached</v>
      </c>
      <c r="AN1247" s="9" t="str">
        <f t="shared" si="24"/>
        <v>OTP Achieved</v>
      </c>
    </row>
    <row r="1248" spans="9:40" ht="15.75" customHeight="1">
      <c r="I1248" s="28"/>
      <c r="AD1248" s="9" t="str">
        <f t="shared" si="20"/>
        <v>Actual</v>
      </c>
      <c r="AE1248" s="9" t="str">
        <f t="shared" si="21"/>
        <v/>
      </c>
      <c r="AF1248" s="9">
        <f>HOUR(O1248)</f>
        <v>0</v>
      </c>
      <c r="AG1248" s="9">
        <f>DAY(O1248)</f>
        <v>0</v>
      </c>
      <c r="AH1248" s="9">
        <f>IFERROR((I1248-K1248)*24*60,0)</f>
        <v>0</v>
      </c>
      <c r="AI1248" s="9">
        <f t="shared" si="22"/>
        <v>0</v>
      </c>
      <c r="AJ1248" s="9">
        <f>C1248</f>
        <v>0</v>
      </c>
      <c r="AK1248" s="9">
        <f>IF(P1248="completed",((V1248-K1248)*24*60),0)</f>
        <v>0</v>
      </c>
      <c r="AL1248" s="9">
        <f>IF(P1248="completed",((U1248-K1248)*24*60),0)</f>
        <v>0</v>
      </c>
      <c r="AM1248" s="9" t="str">
        <f t="shared" si="23"/>
        <v>OTP Breached</v>
      </c>
      <c r="AN1248" s="9" t="str">
        <f t="shared" si="24"/>
        <v>OTP Achieved</v>
      </c>
    </row>
    <row r="1249" spans="9:40" ht="15.75" customHeight="1">
      <c r="I1249" s="28"/>
      <c r="AD1249" s="9" t="str">
        <f t="shared" si="20"/>
        <v>Actual</v>
      </c>
      <c r="AE1249" s="9" t="str">
        <f t="shared" si="21"/>
        <v/>
      </c>
      <c r="AF1249" s="9">
        <f>HOUR(O1249)</f>
        <v>0</v>
      </c>
      <c r="AG1249" s="9">
        <f>DAY(O1249)</f>
        <v>0</v>
      </c>
      <c r="AH1249" s="9">
        <f>IFERROR((I1249-K1249)*24*60,0)</f>
        <v>0</v>
      </c>
      <c r="AI1249" s="9">
        <f t="shared" si="22"/>
        <v>0</v>
      </c>
      <c r="AJ1249" s="9">
        <f>C1249</f>
        <v>0</v>
      </c>
      <c r="AK1249" s="9">
        <f>IF(P1249="completed",((V1249-K1249)*24*60),0)</f>
        <v>0</v>
      </c>
      <c r="AL1249" s="9">
        <f>IF(P1249="completed",((U1249-K1249)*24*60),0)</f>
        <v>0</v>
      </c>
      <c r="AM1249" s="9" t="str">
        <f t="shared" si="23"/>
        <v>OTP Breached</v>
      </c>
      <c r="AN1249" s="9" t="str">
        <f t="shared" si="24"/>
        <v>OTP Achieved</v>
      </c>
    </row>
    <row r="1250" spans="9:40" ht="15.75" customHeight="1">
      <c r="I1250" s="28"/>
      <c r="AD1250" s="9" t="str">
        <f t="shared" si="20"/>
        <v>Actual</v>
      </c>
      <c r="AE1250" s="9" t="str">
        <f t="shared" si="21"/>
        <v/>
      </c>
      <c r="AF1250" s="9">
        <f>HOUR(O1250)</f>
        <v>0</v>
      </c>
      <c r="AG1250" s="9">
        <f>DAY(O1250)</f>
        <v>0</v>
      </c>
      <c r="AH1250" s="9">
        <f>IFERROR((I1250-K1250)*24*60,0)</f>
        <v>0</v>
      </c>
      <c r="AI1250" s="9">
        <f t="shared" si="22"/>
        <v>0</v>
      </c>
      <c r="AJ1250" s="9">
        <f>C1250</f>
        <v>0</v>
      </c>
      <c r="AK1250" s="9">
        <f>IF(P1250="completed",((V1250-K1250)*24*60),0)</f>
        <v>0</v>
      </c>
      <c r="AL1250" s="9">
        <f>IF(P1250="completed",((U1250-K1250)*24*60),0)</f>
        <v>0</v>
      </c>
      <c r="AM1250" s="9" t="str">
        <f t="shared" si="23"/>
        <v>OTP Breached</v>
      </c>
      <c r="AN1250" s="9" t="str">
        <f t="shared" si="24"/>
        <v>OTP Achieved</v>
      </c>
    </row>
    <row r="1251" spans="9:40" ht="15.75" customHeight="1">
      <c r="I1251" s="28"/>
      <c r="AD1251" s="9" t="str">
        <f t="shared" si="20"/>
        <v>Actual</v>
      </c>
      <c r="AE1251" s="9" t="str">
        <f t="shared" si="21"/>
        <v/>
      </c>
      <c r="AF1251" s="9">
        <f>HOUR(O1251)</f>
        <v>0</v>
      </c>
      <c r="AG1251" s="9">
        <f>DAY(O1251)</f>
        <v>0</v>
      </c>
      <c r="AH1251" s="9">
        <f>IFERROR((I1251-K1251)*24*60,0)</f>
        <v>0</v>
      </c>
      <c r="AI1251" s="9">
        <f t="shared" si="22"/>
        <v>0</v>
      </c>
      <c r="AJ1251" s="9">
        <f>C1251</f>
        <v>0</v>
      </c>
      <c r="AK1251" s="9">
        <f>IF(P1251="completed",((V1251-K1251)*24*60),0)</f>
        <v>0</v>
      </c>
      <c r="AL1251" s="9">
        <f>IF(P1251="completed",((U1251-K1251)*24*60),0)</f>
        <v>0</v>
      </c>
      <c r="AM1251" s="9" t="str">
        <f t="shared" si="23"/>
        <v>OTP Breached</v>
      </c>
      <c r="AN1251" s="9" t="str">
        <f t="shared" si="24"/>
        <v>OTP Achieved</v>
      </c>
    </row>
    <row r="1252" spans="9:40" ht="15.75" customHeight="1">
      <c r="I1252" s="28"/>
      <c r="AD1252" s="9" t="str">
        <f t="shared" si="20"/>
        <v>Actual</v>
      </c>
      <c r="AE1252" s="9" t="str">
        <f t="shared" si="21"/>
        <v/>
      </c>
      <c r="AF1252" s="9">
        <f>HOUR(O1252)</f>
        <v>0</v>
      </c>
      <c r="AG1252" s="9">
        <f>DAY(O1252)</f>
        <v>0</v>
      </c>
      <c r="AH1252" s="9">
        <f>IFERROR((I1252-K1252)*24*60,0)</f>
        <v>0</v>
      </c>
      <c r="AI1252" s="9">
        <f t="shared" si="22"/>
        <v>0</v>
      </c>
      <c r="AJ1252" s="9">
        <f>C1252</f>
        <v>0</v>
      </c>
      <c r="AK1252" s="9">
        <f>IF(P1252="completed",((V1252-K1252)*24*60),0)</f>
        <v>0</v>
      </c>
      <c r="AL1252" s="9">
        <f>IF(P1252="completed",((U1252-K1252)*24*60),0)</f>
        <v>0</v>
      </c>
      <c r="AM1252" s="9" t="str">
        <f t="shared" si="23"/>
        <v>OTP Breached</v>
      </c>
      <c r="AN1252" s="9" t="str">
        <f t="shared" si="24"/>
        <v>OTP Achieved</v>
      </c>
    </row>
    <row r="1253" spans="9:40" ht="15.75" customHeight="1">
      <c r="I1253" s="28"/>
      <c r="AD1253" s="9" t="str">
        <f t="shared" si="20"/>
        <v>Actual</v>
      </c>
      <c r="AE1253" s="9" t="str">
        <f t="shared" si="21"/>
        <v/>
      </c>
      <c r="AF1253" s="9">
        <f>HOUR(O1253)</f>
        <v>0</v>
      </c>
      <c r="AG1253" s="9">
        <f>DAY(O1253)</f>
        <v>0</v>
      </c>
      <c r="AH1253" s="9">
        <f>IFERROR((I1253-K1253)*24*60,0)</f>
        <v>0</v>
      </c>
      <c r="AI1253" s="9">
        <f t="shared" si="22"/>
        <v>0</v>
      </c>
      <c r="AJ1253" s="9">
        <f>C1253</f>
        <v>0</v>
      </c>
      <c r="AK1253" s="9">
        <f>IF(P1253="completed",((V1253-K1253)*24*60),0)</f>
        <v>0</v>
      </c>
      <c r="AL1253" s="9">
        <f>IF(P1253="completed",((U1253-K1253)*24*60),0)</f>
        <v>0</v>
      </c>
      <c r="AM1253" s="9" t="str">
        <f t="shared" si="23"/>
        <v>OTP Breached</v>
      </c>
      <c r="AN1253" s="9" t="str">
        <f t="shared" si="24"/>
        <v>OTP Achieved</v>
      </c>
    </row>
    <row r="1254" spans="9:40" ht="15.75" customHeight="1">
      <c r="I1254" s="28"/>
      <c r="AD1254" s="9" t="str">
        <f t="shared" si="20"/>
        <v>Actual</v>
      </c>
      <c r="AE1254" s="9" t="str">
        <f t="shared" si="21"/>
        <v/>
      </c>
      <c r="AF1254" s="9">
        <f>HOUR(O1254)</f>
        <v>0</v>
      </c>
      <c r="AG1254" s="9">
        <f>DAY(O1254)</f>
        <v>0</v>
      </c>
      <c r="AH1254" s="9">
        <f>IFERROR((I1254-K1254)*24*60,0)</f>
        <v>0</v>
      </c>
      <c r="AI1254" s="9">
        <f t="shared" si="22"/>
        <v>0</v>
      </c>
      <c r="AJ1254" s="9">
        <f>C1254</f>
        <v>0</v>
      </c>
      <c r="AK1254" s="9">
        <f>IF(P1254="completed",((V1254-K1254)*24*60),0)</f>
        <v>0</v>
      </c>
      <c r="AL1254" s="9">
        <f>IF(P1254="completed",((U1254-K1254)*24*60),0)</f>
        <v>0</v>
      </c>
      <c r="AM1254" s="9" t="str">
        <f t="shared" si="23"/>
        <v>OTP Breached</v>
      </c>
      <c r="AN1254" s="9" t="str">
        <f t="shared" si="24"/>
        <v>OTP Achieved</v>
      </c>
    </row>
    <row r="1255" spans="9:40" ht="15.75" customHeight="1">
      <c r="I1255" s="28"/>
      <c r="AD1255" s="9" t="str">
        <f t="shared" si="20"/>
        <v>Actual</v>
      </c>
      <c r="AE1255" s="9" t="str">
        <f t="shared" si="21"/>
        <v/>
      </c>
      <c r="AF1255" s="9">
        <f>HOUR(O1255)</f>
        <v>0</v>
      </c>
      <c r="AG1255" s="9">
        <f>DAY(O1255)</f>
        <v>0</v>
      </c>
      <c r="AH1255" s="9">
        <f>IFERROR((I1255-K1255)*24*60,0)</f>
        <v>0</v>
      </c>
      <c r="AI1255" s="9">
        <f t="shared" si="22"/>
        <v>0</v>
      </c>
      <c r="AJ1255" s="9">
        <f>C1255</f>
        <v>0</v>
      </c>
      <c r="AK1255" s="9">
        <f>IF(P1255="completed",((V1255-K1255)*24*60),0)</f>
        <v>0</v>
      </c>
      <c r="AL1255" s="9">
        <f>IF(P1255="completed",((U1255-K1255)*24*60),0)</f>
        <v>0</v>
      </c>
      <c r="AM1255" s="9" t="str">
        <f t="shared" si="23"/>
        <v>OTP Breached</v>
      </c>
      <c r="AN1255" s="9" t="str">
        <f t="shared" si="24"/>
        <v>OTP Achieved</v>
      </c>
    </row>
    <row r="1256" spans="9:40" ht="15.75" customHeight="1">
      <c r="I1256" s="28"/>
      <c r="AD1256" s="9" t="str">
        <f t="shared" si="20"/>
        <v>Actual</v>
      </c>
      <c r="AE1256" s="9" t="str">
        <f t="shared" si="21"/>
        <v/>
      </c>
      <c r="AF1256" s="9">
        <f>HOUR(O1256)</f>
        <v>0</v>
      </c>
      <c r="AG1256" s="9">
        <f>DAY(O1256)</f>
        <v>0</v>
      </c>
      <c r="AH1256" s="9">
        <f>IFERROR((I1256-K1256)*24*60,0)</f>
        <v>0</v>
      </c>
      <c r="AI1256" s="9">
        <f t="shared" si="22"/>
        <v>0</v>
      </c>
      <c r="AJ1256" s="9">
        <f>C1256</f>
        <v>0</v>
      </c>
      <c r="AK1256" s="9">
        <f>IF(P1256="completed",((V1256-K1256)*24*60),0)</f>
        <v>0</v>
      </c>
      <c r="AL1256" s="9">
        <f>IF(P1256="completed",((U1256-K1256)*24*60),0)</f>
        <v>0</v>
      </c>
      <c r="AM1256" s="9" t="str">
        <f t="shared" si="23"/>
        <v>OTP Breached</v>
      </c>
      <c r="AN1256" s="9" t="str">
        <f t="shared" si="24"/>
        <v>OTP Achieved</v>
      </c>
    </row>
    <row r="1257" spans="9:40" ht="15.75" customHeight="1">
      <c r="I1257" s="28"/>
      <c r="AD1257" s="9" t="str">
        <f t="shared" si="20"/>
        <v>Actual</v>
      </c>
      <c r="AE1257" s="9" t="str">
        <f t="shared" si="21"/>
        <v/>
      </c>
      <c r="AF1257" s="9">
        <f>HOUR(O1257)</f>
        <v>0</v>
      </c>
      <c r="AG1257" s="9">
        <f>DAY(O1257)</f>
        <v>0</v>
      </c>
      <c r="AH1257" s="9">
        <f>IFERROR((I1257-K1257)*24*60,0)</f>
        <v>0</v>
      </c>
      <c r="AI1257" s="9">
        <f t="shared" si="22"/>
        <v>0</v>
      </c>
      <c r="AJ1257" s="9">
        <f>C1257</f>
        <v>0</v>
      </c>
      <c r="AK1257" s="9">
        <f>IF(P1257="completed",((V1257-K1257)*24*60),0)</f>
        <v>0</v>
      </c>
      <c r="AL1257" s="9">
        <f>IF(P1257="completed",((U1257-K1257)*24*60),0)</f>
        <v>0</v>
      </c>
      <c r="AM1257" s="9" t="str">
        <f t="shared" si="23"/>
        <v>OTP Breached</v>
      </c>
      <c r="AN1257" s="9" t="str">
        <f t="shared" si="24"/>
        <v>OTP Achieved</v>
      </c>
    </row>
    <row r="1258" spans="9:40" ht="15.75" customHeight="1">
      <c r="I1258" s="28"/>
      <c r="AD1258" s="9" t="str">
        <f t="shared" si="20"/>
        <v>Actual</v>
      </c>
      <c r="AE1258" s="9" t="str">
        <f t="shared" si="21"/>
        <v/>
      </c>
      <c r="AF1258" s="9">
        <f>HOUR(O1258)</f>
        <v>0</v>
      </c>
      <c r="AG1258" s="9">
        <f>DAY(O1258)</f>
        <v>0</v>
      </c>
      <c r="AH1258" s="9">
        <f>IFERROR((I1258-K1258)*24*60,0)</f>
        <v>0</v>
      </c>
      <c r="AI1258" s="9">
        <f t="shared" si="22"/>
        <v>0</v>
      </c>
      <c r="AJ1258" s="9">
        <f>C1258</f>
        <v>0</v>
      </c>
      <c r="AK1258" s="9">
        <f>IF(P1258="completed",((V1258-K1258)*24*60),0)</f>
        <v>0</v>
      </c>
      <c r="AL1258" s="9">
        <f>IF(P1258="completed",((U1258-K1258)*24*60),0)</f>
        <v>0</v>
      </c>
      <c r="AM1258" s="9" t="str">
        <f t="shared" si="23"/>
        <v>OTP Breached</v>
      </c>
      <c r="AN1258" s="9" t="str">
        <f t="shared" si="24"/>
        <v>OTP Achieved</v>
      </c>
    </row>
    <row r="1259" spans="9:40" ht="15.75" customHeight="1">
      <c r="I1259" s="28"/>
      <c r="AD1259" s="9" t="str">
        <f t="shared" si="20"/>
        <v>Actual</v>
      </c>
      <c r="AE1259" s="9" t="str">
        <f t="shared" si="21"/>
        <v/>
      </c>
      <c r="AF1259" s="9">
        <f>HOUR(O1259)</f>
        <v>0</v>
      </c>
      <c r="AG1259" s="9">
        <f>DAY(O1259)</f>
        <v>0</v>
      </c>
      <c r="AH1259" s="9">
        <f>IFERROR((I1259-K1259)*24*60,0)</f>
        <v>0</v>
      </c>
      <c r="AI1259" s="9">
        <f t="shared" si="22"/>
        <v>0</v>
      </c>
      <c r="AJ1259" s="9">
        <f>C1259</f>
        <v>0</v>
      </c>
      <c r="AK1259" s="9">
        <f>IF(P1259="completed",((V1259-K1259)*24*60),0)</f>
        <v>0</v>
      </c>
      <c r="AL1259" s="9">
        <f>IF(P1259="completed",((U1259-K1259)*24*60),0)</f>
        <v>0</v>
      </c>
      <c r="AM1259" s="9" t="str">
        <f t="shared" si="23"/>
        <v>OTP Breached</v>
      </c>
      <c r="AN1259" s="9" t="str">
        <f t="shared" si="24"/>
        <v>OTP Achieved</v>
      </c>
    </row>
    <row r="1260" spans="9:40" ht="15.75" customHeight="1">
      <c r="I1260" s="28"/>
      <c r="AD1260" s="9" t="str">
        <f t="shared" si="20"/>
        <v>Actual</v>
      </c>
      <c r="AE1260" s="9" t="str">
        <f t="shared" si="21"/>
        <v/>
      </c>
      <c r="AF1260" s="9">
        <f>HOUR(O1260)</f>
        <v>0</v>
      </c>
      <c r="AG1260" s="9">
        <f>DAY(O1260)</f>
        <v>0</v>
      </c>
      <c r="AH1260" s="9">
        <f>IFERROR((I1260-K1260)*24*60,0)</f>
        <v>0</v>
      </c>
      <c r="AI1260" s="9">
        <f t="shared" si="22"/>
        <v>0</v>
      </c>
      <c r="AJ1260" s="9">
        <f>C1260</f>
        <v>0</v>
      </c>
      <c r="AK1260" s="9">
        <f>IF(P1260="completed",((V1260-K1260)*24*60),0)</f>
        <v>0</v>
      </c>
      <c r="AL1260" s="9">
        <f>IF(P1260="completed",((U1260-K1260)*24*60),0)</f>
        <v>0</v>
      </c>
      <c r="AM1260" s="9" t="str">
        <f t="shared" si="23"/>
        <v>OTP Breached</v>
      </c>
      <c r="AN1260" s="9" t="str">
        <f t="shared" si="24"/>
        <v>OTP Achieved</v>
      </c>
    </row>
    <row r="1261" spans="9:40" ht="15.75" customHeight="1">
      <c r="I1261" s="28"/>
      <c r="AD1261" s="9" t="str">
        <f t="shared" si="20"/>
        <v>Actual</v>
      </c>
      <c r="AE1261" s="9" t="str">
        <f t="shared" si="21"/>
        <v/>
      </c>
      <c r="AF1261" s="9">
        <f>HOUR(O1261)</f>
        <v>0</v>
      </c>
      <c r="AG1261" s="9">
        <f>DAY(O1261)</f>
        <v>0</v>
      </c>
      <c r="AH1261" s="9">
        <f>IFERROR((I1261-K1261)*24*60,0)</f>
        <v>0</v>
      </c>
      <c r="AI1261" s="9">
        <f t="shared" si="22"/>
        <v>0</v>
      </c>
      <c r="AJ1261" s="9">
        <f>C1261</f>
        <v>0</v>
      </c>
      <c r="AK1261" s="9">
        <f>IF(P1261="completed",((V1261-K1261)*24*60),0)</f>
        <v>0</v>
      </c>
      <c r="AL1261" s="9">
        <f>IF(P1261="completed",((U1261-K1261)*24*60),0)</f>
        <v>0</v>
      </c>
      <c r="AM1261" s="9" t="str">
        <f t="shared" si="23"/>
        <v>OTP Breached</v>
      </c>
      <c r="AN1261" s="9" t="str">
        <f t="shared" si="24"/>
        <v>OTP Achieved</v>
      </c>
    </row>
    <row r="1262" spans="9:40" ht="15.75" customHeight="1">
      <c r="I1262" s="28"/>
      <c r="AD1262" s="9" t="str">
        <f t="shared" si="20"/>
        <v>Actual</v>
      </c>
      <c r="AE1262" s="9" t="str">
        <f t="shared" si="21"/>
        <v/>
      </c>
      <c r="AF1262" s="9">
        <f>HOUR(O1262)</f>
        <v>0</v>
      </c>
      <c r="AG1262" s="9">
        <f>DAY(O1262)</f>
        <v>0</v>
      </c>
      <c r="AH1262" s="9">
        <f>IFERROR((I1262-K1262)*24*60,0)</f>
        <v>0</v>
      </c>
      <c r="AI1262" s="9">
        <f t="shared" si="22"/>
        <v>0</v>
      </c>
      <c r="AJ1262" s="9">
        <f>C1262</f>
        <v>0</v>
      </c>
      <c r="AK1262" s="9">
        <f>IF(P1262="completed",((V1262-K1262)*24*60),0)</f>
        <v>0</v>
      </c>
      <c r="AL1262" s="9">
        <f>IF(P1262="completed",((U1262-K1262)*24*60),0)</f>
        <v>0</v>
      </c>
      <c r="AM1262" s="9" t="str">
        <f t="shared" si="23"/>
        <v>OTP Breached</v>
      </c>
      <c r="AN1262" s="9" t="str">
        <f t="shared" si="24"/>
        <v>OTP Achieved</v>
      </c>
    </row>
    <row r="1263" spans="9:40" ht="15.75" customHeight="1">
      <c r="I1263" s="28"/>
      <c r="AD1263" s="9" t="str">
        <f t="shared" si="20"/>
        <v>Actual</v>
      </c>
      <c r="AE1263" s="9" t="str">
        <f t="shared" si="21"/>
        <v/>
      </c>
      <c r="AF1263" s="9">
        <f>HOUR(O1263)</f>
        <v>0</v>
      </c>
      <c r="AG1263" s="9">
        <f>DAY(O1263)</f>
        <v>0</v>
      </c>
      <c r="AH1263" s="9">
        <f>IFERROR((I1263-K1263)*24*60,0)</f>
        <v>0</v>
      </c>
      <c r="AI1263" s="9">
        <f t="shared" si="22"/>
        <v>0</v>
      </c>
      <c r="AJ1263" s="9">
        <f>C1263</f>
        <v>0</v>
      </c>
      <c r="AK1263" s="9">
        <f>IF(P1263="completed",((V1263-K1263)*24*60),0)</f>
        <v>0</v>
      </c>
      <c r="AL1263" s="9">
        <f>IF(P1263="completed",((U1263-K1263)*24*60),0)</f>
        <v>0</v>
      </c>
      <c r="AM1263" s="9" t="str">
        <f t="shared" si="23"/>
        <v>OTP Breached</v>
      </c>
      <c r="AN1263" s="9" t="str">
        <f t="shared" si="24"/>
        <v>OTP Achieved</v>
      </c>
    </row>
    <row r="1264" spans="9:40" ht="15.75" customHeight="1">
      <c r="I1264" s="28"/>
      <c r="AD1264" s="9" t="str">
        <f t="shared" si="20"/>
        <v>Actual</v>
      </c>
      <c r="AE1264" s="9" t="str">
        <f t="shared" si="21"/>
        <v/>
      </c>
      <c r="AF1264" s="9">
        <f>HOUR(O1264)</f>
        <v>0</v>
      </c>
      <c r="AG1264" s="9">
        <f>DAY(O1264)</f>
        <v>0</v>
      </c>
      <c r="AH1264" s="9">
        <f>IFERROR((I1264-K1264)*24*60,0)</f>
        <v>0</v>
      </c>
      <c r="AI1264" s="9">
        <f t="shared" si="22"/>
        <v>0</v>
      </c>
      <c r="AJ1264" s="9">
        <f>C1264</f>
        <v>0</v>
      </c>
      <c r="AK1264" s="9">
        <f>IF(P1264="completed",((V1264-K1264)*24*60),0)</f>
        <v>0</v>
      </c>
      <c r="AL1264" s="9">
        <f>IF(P1264="completed",((U1264-K1264)*24*60),0)</f>
        <v>0</v>
      </c>
      <c r="AM1264" s="9" t="str">
        <f t="shared" si="23"/>
        <v>OTP Breached</v>
      </c>
      <c r="AN1264" s="9" t="str">
        <f t="shared" si="24"/>
        <v>OTP Achieved</v>
      </c>
    </row>
    <row r="1265" spans="9:40" ht="15.75" customHeight="1">
      <c r="I1265" s="28"/>
      <c r="AD1265" s="9" t="str">
        <f t="shared" si="20"/>
        <v>Actual</v>
      </c>
      <c r="AE1265" s="9" t="str">
        <f t="shared" si="21"/>
        <v/>
      </c>
      <c r="AF1265" s="9">
        <f>HOUR(O1265)</f>
        <v>0</v>
      </c>
      <c r="AG1265" s="9">
        <f>DAY(O1265)</f>
        <v>0</v>
      </c>
      <c r="AH1265" s="9">
        <f>IFERROR((I1265-K1265)*24*60,0)</f>
        <v>0</v>
      </c>
      <c r="AI1265" s="9">
        <f t="shared" si="22"/>
        <v>0</v>
      </c>
      <c r="AJ1265" s="9">
        <f>C1265</f>
        <v>0</v>
      </c>
      <c r="AK1265" s="9">
        <f>IF(P1265="completed",((V1265-K1265)*24*60),0)</f>
        <v>0</v>
      </c>
      <c r="AL1265" s="9">
        <f>IF(P1265="completed",((U1265-K1265)*24*60),0)</f>
        <v>0</v>
      </c>
      <c r="AM1265" s="9" t="str">
        <f t="shared" si="23"/>
        <v>OTP Breached</v>
      </c>
      <c r="AN1265" s="9" t="str">
        <f t="shared" si="24"/>
        <v>OTP Achieved</v>
      </c>
    </row>
    <row r="1266" spans="9:40" ht="15.75" customHeight="1">
      <c r="I1266" s="28"/>
      <c r="AD1266" s="9" t="str">
        <f t="shared" si="20"/>
        <v>Actual</v>
      </c>
      <c r="AE1266" s="9" t="str">
        <f t="shared" si="21"/>
        <v/>
      </c>
      <c r="AF1266" s="9">
        <f>HOUR(O1266)</f>
        <v>0</v>
      </c>
      <c r="AG1266" s="9">
        <f>DAY(O1266)</f>
        <v>0</v>
      </c>
      <c r="AH1266" s="9">
        <f>IFERROR((I1266-K1266)*24*60,0)</f>
        <v>0</v>
      </c>
      <c r="AI1266" s="9">
        <f t="shared" si="22"/>
        <v>0</v>
      </c>
      <c r="AJ1266" s="9">
        <f>C1266</f>
        <v>0</v>
      </c>
      <c r="AK1266" s="9">
        <f>IF(P1266="completed",((V1266-K1266)*24*60),0)</f>
        <v>0</v>
      </c>
      <c r="AL1266" s="9">
        <f>IF(P1266="completed",((U1266-K1266)*24*60),0)</f>
        <v>0</v>
      </c>
      <c r="AM1266" s="9" t="str">
        <f t="shared" si="23"/>
        <v>OTP Breached</v>
      </c>
      <c r="AN1266" s="9" t="str">
        <f t="shared" si="24"/>
        <v>OTP Achieved</v>
      </c>
    </row>
    <row r="1267" spans="9:40" ht="15.75" customHeight="1">
      <c r="I1267" s="28"/>
      <c r="AD1267" s="9" t="str">
        <f t="shared" si="20"/>
        <v>Actual</v>
      </c>
      <c r="AE1267" s="9" t="str">
        <f t="shared" si="21"/>
        <v/>
      </c>
      <c r="AF1267" s="9">
        <f>HOUR(O1267)</f>
        <v>0</v>
      </c>
      <c r="AG1267" s="9">
        <f>DAY(O1267)</f>
        <v>0</v>
      </c>
      <c r="AH1267" s="9">
        <f>IFERROR((I1267-K1267)*24*60,0)</f>
        <v>0</v>
      </c>
      <c r="AI1267" s="9">
        <f t="shared" si="22"/>
        <v>0</v>
      </c>
      <c r="AJ1267" s="9">
        <f>C1267</f>
        <v>0</v>
      </c>
      <c r="AK1267" s="9">
        <f>IF(P1267="completed",((V1267-K1267)*24*60),0)</f>
        <v>0</v>
      </c>
      <c r="AL1267" s="9">
        <f>IF(P1267="completed",((U1267-K1267)*24*60),0)</f>
        <v>0</v>
      </c>
      <c r="AM1267" s="9" t="str">
        <f t="shared" si="23"/>
        <v>OTP Breached</v>
      </c>
      <c r="AN1267" s="9" t="str">
        <f t="shared" si="24"/>
        <v>OTP Achieved</v>
      </c>
    </row>
    <row r="1268" spans="9:40" ht="15.75" customHeight="1">
      <c r="I1268" s="28"/>
      <c r="AD1268" s="9" t="str">
        <f t="shared" si="20"/>
        <v>Actual</v>
      </c>
      <c r="AE1268" s="9" t="str">
        <f t="shared" si="21"/>
        <v/>
      </c>
      <c r="AF1268" s="9">
        <f>HOUR(O1268)</f>
        <v>0</v>
      </c>
      <c r="AG1268" s="9">
        <f>DAY(O1268)</f>
        <v>0</v>
      </c>
      <c r="AH1268" s="9">
        <f>IFERROR((I1268-K1268)*24*60,0)</f>
        <v>0</v>
      </c>
      <c r="AI1268" s="9">
        <f t="shared" si="22"/>
        <v>0</v>
      </c>
      <c r="AJ1268" s="9">
        <f>C1268</f>
        <v>0</v>
      </c>
      <c r="AK1268" s="9">
        <f>IF(P1268="completed",((V1268-K1268)*24*60),0)</f>
        <v>0</v>
      </c>
      <c r="AL1268" s="9">
        <f>IF(P1268="completed",((U1268-K1268)*24*60),0)</f>
        <v>0</v>
      </c>
      <c r="AM1268" s="9" t="str">
        <f t="shared" si="23"/>
        <v>OTP Breached</v>
      </c>
      <c r="AN1268" s="9" t="str">
        <f t="shared" si="24"/>
        <v>OTP Achieved</v>
      </c>
    </row>
    <row r="1269" spans="9:40" ht="15.75" customHeight="1">
      <c r="I1269" s="28"/>
      <c r="AD1269" s="9" t="str">
        <f t="shared" si="20"/>
        <v>Actual</v>
      </c>
      <c r="AE1269" s="9" t="str">
        <f t="shared" si="21"/>
        <v/>
      </c>
      <c r="AF1269" s="9">
        <f>HOUR(O1269)</f>
        <v>0</v>
      </c>
      <c r="AG1269" s="9">
        <f>DAY(O1269)</f>
        <v>0</v>
      </c>
      <c r="AH1269" s="9">
        <f>IFERROR((I1269-K1269)*24*60,0)</f>
        <v>0</v>
      </c>
      <c r="AI1269" s="9">
        <f t="shared" si="22"/>
        <v>0</v>
      </c>
      <c r="AJ1269" s="9">
        <f>C1269</f>
        <v>0</v>
      </c>
      <c r="AK1269" s="9">
        <f>IF(P1269="completed",((V1269-K1269)*24*60),0)</f>
        <v>0</v>
      </c>
      <c r="AL1269" s="9">
        <f>IF(P1269="completed",((U1269-K1269)*24*60),0)</f>
        <v>0</v>
      </c>
      <c r="AM1269" s="9" t="str">
        <f t="shared" si="23"/>
        <v>OTP Breached</v>
      </c>
      <c r="AN1269" s="9" t="str">
        <f t="shared" si="24"/>
        <v>OTP Achieved</v>
      </c>
    </row>
    <row r="1270" spans="9:40" ht="15.75" customHeight="1">
      <c r="I1270" s="28"/>
      <c r="AD1270" s="9" t="str">
        <f t="shared" si="20"/>
        <v>Actual</v>
      </c>
      <c r="AE1270" s="9" t="str">
        <f t="shared" si="21"/>
        <v/>
      </c>
      <c r="AF1270" s="9">
        <f>HOUR(O1270)</f>
        <v>0</v>
      </c>
      <c r="AG1270" s="9">
        <f>DAY(O1270)</f>
        <v>0</v>
      </c>
      <c r="AH1270" s="9">
        <f>IFERROR((I1270-K1270)*24*60,0)</f>
        <v>0</v>
      </c>
      <c r="AI1270" s="9">
        <f t="shared" si="22"/>
        <v>0</v>
      </c>
      <c r="AJ1270" s="9">
        <f>C1270</f>
        <v>0</v>
      </c>
      <c r="AK1270" s="9">
        <f>IF(P1270="completed",((V1270-K1270)*24*60),0)</f>
        <v>0</v>
      </c>
      <c r="AL1270" s="9">
        <f>IF(P1270="completed",((U1270-K1270)*24*60),0)</f>
        <v>0</v>
      </c>
      <c r="AM1270" s="9" t="str">
        <f t="shared" si="23"/>
        <v>OTP Breached</v>
      </c>
      <c r="AN1270" s="9" t="str">
        <f t="shared" si="24"/>
        <v>OTP Achieved</v>
      </c>
    </row>
    <row r="1271" spans="9:40" ht="15.75" customHeight="1">
      <c r="I1271" s="28"/>
      <c r="AD1271" s="9" t="str">
        <f t="shared" si="20"/>
        <v>Actual</v>
      </c>
      <c r="AE1271" s="9" t="str">
        <f t="shared" si="21"/>
        <v/>
      </c>
      <c r="AF1271" s="9">
        <f>HOUR(O1271)</f>
        <v>0</v>
      </c>
      <c r="AG1271" s="9">
        <f>DAY(O1271)</f>
        <v>0</v>
      </c>
      <c r="AH1271" s="9">
        <f>IFERROR((I1271-K1271)*24*60,0)</f>
        <v>0</v>
      </c>
      <c r="AI1271" s="9">
        <f t="shared" si="22"/>
        <v>0</v>
      </c>
      <c r="AJ1271" s="9">
        <f>C1271</f>
        <v>0</v>
      </c>
      <c r="AK1271" s="9">
        <f>IF(P1271="completed",((V1271-K1271)*24*60),0)</f>
        <v>0</v>
      </c>
      <c r="AL1271" s="9">
        <f>IF(P1271="completed",((U1271-K1271)*24*60),0)</f>
        <v>0</v>
      </c>
      <c r="AM1271" s="9" t="str">
        <f t="shared" si="23"/>
        <v>OTP Breached</v>
      </c>
      <c r="AN1271" s="9" t="str">
        <f t="shared" si="24"/>
        <v>OTP Achieved</v>
      </c>
    </row>
    <row r="1272" spans="9:40" ht="15.75" customHeight="1">
      <c r="I1272" s="28"/>
      <c r="AD1272" s="9" t="str">
        <f t="shared" si="20"/>
        <v>Actual</v>
      </c>
      <c r="AE1272" s="9" t="str">
        <f t="shared" si="21"/>
        <v/>
      </c>
      <c r="AF1272" s="9">
        <f>HOUR(O1272)</f>
        <v>0</v>
      </c>
      <c r="AG1272" s="9">
        <f>DAY(O1272)</f>
        <v>0</v>
      </c>
      <c r="AH1272" s="9">
        <f>IFERROR((I1272-K1272)*24*60,0)</f>
        <v>0</v>
      </c>
      <c r="AI1272" s="9">
        <f t="shared" si="22"/>
        <v>0</v>
      </c>
      <c r="AJ1272" s="9">
        <f>C1272</f>
        <v>0</v>
      </c>
      <c r="AK1272" s="9">
        <f>IF(P1272="completed",((V1272-K1272)*24*60),0)</f>
        <v>0</v>
      </c>
      <c r="AL1272" s="9">
        <f>IF(P1272="completed",((U1272-K1272)*24*60),0)</f>
        <v>0</v>
      </c>
      <c r="AM1272" s="9" t="str">
        <f t="shared" si="23"/>
        <v>OTP Breached</v>
      </c>
      <c r="AN1272" s="9" t="str">
        <f t="shared" si="24"/>
        <v>OTP Achieved</v>
      </c>
    </row>
    <row r="1273" spans="9:40" ht="15.75" customHeight="1">
      <c r="I1273" s="28"/>
      <c r="AD1273" s="9" t="str">
        <f t="shared" si="20"/>
        <v>Actual</v>
      </c>
      <c r="AE1273" s="9" t="str">
        <f t="shared" si="21"/>
        <v/>
      </c>
      <c r="AF1273" s="9">
        <f>HOUR(O1273)</f>
        <v>0</v>
      </c>
      <c r="AG1273" s="9">
        <f>DAY(O1273)</f>
        <v>0</v>
      </c>
      <c r="AH1273" s="9">
        <f>IFERROR((I1273-K1273)*24*60,0)</f>
        <v>0</v>
      </c>
      <c r="AI1273" s="9">
        <f t="shared" si="22"/>
        <v>0</v>
      </c>
      <c r="AJ1273" s="9">
        <f>C1273</f>
        <v>0</v>
      </c>
      <c r="AK1273" s="9">
        <f>IF(P1273="completed",((V1273-K1273)*24*60),0)</f>
        <v>0</v>
      </c>
      <c r="AL1273" s="9">
        <f>IF(P1273="completed",((U1273-K1273)*24*60),0)</f>
        <v>0</v>
      </c>
      <c r="AM1273" s="9" t="str">
        <f t="shared" si="23"/>
        <v>OTP Breached</v>
      </c>
      <c r="AN1273" s="9" t="str">
        <f t="shared" si="24"/>
        <v>OTP Achieved</v>
      </c>
    </row>
    <row r="1274" spans="9:40" ht="15.75" customHeight="1">
      <c r="I1274" s="28"/>
      <c r="AD1274" s="9" t="str">
        <f t="shared" si="20"/>
        <v>Actual</v>
      </c>
      <c r="AE1274" s="9" t="str">
        <f t="shared" si="21"/>
        <v/>
      </c>
      <c r="AF1274" s="9">
        <f>HOUR(O1274)</f>
        <v>0</v>
      </c>
      <c r="AG1274" s="9">
        <f>DAY(O1274)</f>
        <v>0</v>
      </c>
      <c r="AH1274" s="9">
        <f>IFERROR((I1274-K1274)*24*60,0)</f>
        <v>0</v>
      </c>
      <c r="AI1274" s="9">
        <f t="shared" si="22"/>
        <v>0</v>
      </c>
      <c r="AJ1274" s="9">
        <f>C1274</f>
        <v>0</v>
      </c>
      <c r="AK1274" s="9">
        <f>IF(P1274="completed",((V1274-K1274)*24*60),0)</f>
        <v>0</v>
      </c>
      <c r="AL1274" s="9">
        <f>IF(P1274="completed",((U1274-K1274)*24*60),0)</f>
        <v>0</v>
      </c>
      <c r="AM1274" s="9" t="str">
        <f t="shared" si="23"/>
        <v>OTP Breached</v>
      </c>
      <c r="AN1274" s="9" t="str">
        <f t="shared" si="24"/>
        <v>OTP Achieved</v>
      </c>
    </row>
    <row r="1275" spans="9:40" ht="15.75" customHeight="1">
      <c r="I1275" s="28"/>
      <c r="AD1275" s="9" t="str">
        <f t="shared" si="20"/>
        <v>Actual</v>
      </c>
      <c r="AE1275" s="9" t="str">
        <f t="shared" si="21"/>
        <v/>
      </c>
      <c r="AF1275" s="9">
        <f>HOUR(O1275)</f>
        <v>0</v>
      </c>
      <c r="AG1275" s="9">
        <f>DAY(O1275)</f>
        <v>0</v>
      </c>
      <c r="AH1275" s="9">
        <f>IFERROR((I1275-K1275)*24*60,0)</f>
        <v>0</v>
      </c>
      <c r="AI1275" s="9">
        <f t="shared" si="22"/>
        <v>0</v>
      </c>
      <c r="AJ1275" s="9">
        <f>C1275</f>
        <v>0</v>
      </c>
      <c r="AK1275" s="9">
        <f>IF(P1275="completed",((V1275-K1275)*24*60),0)</f>
        <v>0</v>
      </c>
      <c r="AL1275" s="9">
        <f>IF(P1275="completed",((U1275-K1275)*24*60),0)</f>
        <v>0</v>
      </c>
      <c r="AM1275" s="9" t="str">
        <f t="shared" si="23"/>
        <v>OTP Breached</v>
      </c>
      <c r="AN1275" s="9" t="str">
        <f t="shared" si="24"/>
        <v>OTP Achieved</v>
      </c>
    </row>
    <row r="1276" spans="9:40" ht="15.75" customHeight="1">
      <c r="I1276" s="28"/>
      <c r="AD1276" s="9" t="str">
        <f t="shared" si="20"/>
        <v>Actual</v>
      </c>
      <c r="AE1276" s="9" t="str">
        <f t="shared" si="21"/>
        <v/>
      </c>
      <c r="AF1276" s="9">
        <f>HOUR(O1276)</f>
        <v>0</v>
      </c>
      <c r="AG1276" s="9">
        <f>DAY(O1276)</f>
        <v>0</v>
      </c>
      <c r="AH1276" s="9">
        <f>IFERROR((I1276-K1276)*24*60,0)</f>
        <v>0</v>
      </c>
      <c r="AI1276" s="9">
        <f t="shared" si="22"/>
        <v>0</v>
      </c>
      <c r="AJ1276" s="9">
        <f>C1276</f>
        <v>0</v>
      </c>
      <c r="AK1276" s="9">
        <f>IF(P1276="completed",((V1276-K1276)*24*60),0)</f>
        <v>0</v>
      </c>
      <c r="AL1276" s="9">
        <f>IF(P1276="completed",((U1276-K1276)*24*60),0)</f>
        <v>0</v>
      </c>
      <c r="AM1276" s="9" t="str">
        <f t="shared" si="23"/>
        <v>OTP Breached</v>
      </c>
      <c r="AN1276" s="9" t="str">
        <f t="shared" si="24"/>
        <v>OTP Achieved</v>
      </c>
    </row>
    <row r="1277" spans="9:40" ht="15.75" customHeight="1">
      <c r="I1277" s="28"/>
      <c r="AD1277" s="9" t="str">
        <f t="shared" ref="AD1277:AD1531" si="25">IF(LEFT(R1277,2)="AM","Dummy","Actual")</f>
        <v>Actual</v>
      </c>
      <c r="AE1277" s="9" t="str">
        <f t="shared" ref="AE1277:AE1531" si="26">LEFT(H1277,4)</f>
        <v/>
      </c>
      <c r="AF1277" s="9">
        <f>HOUR(O1277)</f>
        <v>0</v>
      </c>
      <c r="AG1277" s="9">
        <f>DAY(O1277)</f>
        <v>0</v>
      </c>
      <c r="AH1277" s="9">
        <f>IFERROR((I1277-K1277)*24*60,0)</f>
        <v>0</v>
      </c>
      <c r="AI1277" s="9">
        <f t="shared" ref="AI1277:AI1531" si="27">IF(AH1277&gt;0,AH1277,0)</f>
        <v>0</v>
      </c>
      <c r="AJ1277" s="9">
        <f>C1277</f>
        <v>0</v>
      </c>
      <c r="AK1277" s="9">
        <f>IF(P1277="completed",((V1277-K1277)*24*60),0)</f>
        <v>0</v>
      </c>
      <c r="AL1277" s="9">
        <f>IF(P1277="completed",((U1277-K1277)*24*60),0)</f>
        <v>0</v>
      </c>
      <c r="AM1277" s="9" t="str">
        <f t="shared" ref="AM1277:AM1531" si="28">IF(AK1277&lt;AL1277,"OTP Achieved","OTP Breached")</f>
        <v>OTP Breached</v>
      </c>
      <c r="AN1277" s="9" t="str">
        <f t="shared" ref="AN1277:AN1531" si="29">IF(AK1277&lt;(AL1277+3),"OTP Achieved","OTP Breached")</f>
        <v>OTP Achieved</v>
      </c>
    </row>
    <row r="1278" spans="9:40" ht="15.75" customHeight="1">
      <c r="I1278" s="28"/>
      <c r="AD1278" s="9" t="str">
        <f t="shared" si="25"/>
        <v>Actual</v>
      </c>
      <c r="AE1278" s="9" t="str">
        <f t="shared" si="26"/>
        <v/>
      </c>
      <c r="AF1278" s="9">
        <f>HOUR(O1278)</f>
        <v>0</v>
      </c>
      <c r="AG1278" s="9">
        <f>DAY(O1278)</f>
        <v>0</v>
      </c>
      <c r="AH1278" s="9">
        <f>IFERROR((I1278-K1278)*24*60,0)</f>
        <v>0</v>
      </c>
      <c r="AI1278" s="9">
        <f t="shared" si="27"/>
        <v>0</v>
      </c>
      <c r="AJ1278" s="9">
        <f>C1278</f>
        <v>0</v>
      </c>
      <c r="AK1278" s="9">
        <f>IF(P1278="completed",((V1278-K1278)*24*60),0)</f>
        <v>0</v>
      </c>
      <c r="AL1278" s="9">
        <f>IF(P1278="completed",((U1278-K1278)*24*60),0)</f>
        <v>0</v>
      </c>
      <c r="AM1278" s="9" t="str">
        <f t="shared" si="28"/>
        <v>OTP Breached</v>
      </c>
      <c r="AN1278" s="9" t="str">
        <f t="shared" si="29"/>
        <v>OTP Achieved</v>
      </c>
    </row>
    <row r="1279" spans="9:40" ht="15.75" customHeight="1">
      <c r="I1279" s="28"/>
      <c r="AD1279" s="9" t="str">
        <f t="shared" si="25"/>
        <v>Actual</v>
      </c>
      <c r="AE1279" s="9" t="str">
        <f t="shared" si="26"/>
        <v/>
      </c>
      <c r="AF1279" s="9">
        <f>HOUR(O1279)</f>
        <v>0</v>
      </c>
      <c r="AG1279" s="9">
        <f>DAY(O1279)</f>
        <v>0</v>
      </c>
      <c r="AH1279" s="9">
        <f>IFERROR((I1279-K1279)*24*60,0)</f>
        <v>0</v>
      </c>
      <c r="AI1279" s="9">
        <f t="shared" si="27"/>
        <v>0</v>
      </c>
      <c r="AJ1279" s="9">
        <f>C1279</f>
        <v>0</v>
      </c>
      <c r="AK1279" s="9">
        <f>IF(P1279="completed",((V1279-K1279)*24*60),0)</f>
        <v>0</v>
      </c>
      <c r="AL1279" s="9">
        <f>IF(P1279="completed",((U1279-K1279)*24*60),0)</f>
        <v>0</v>
      </c>
      <c r="AM1279" s="9" t="str">
        <f t="shared" si="28"/>
        <v>OTP Breached</v>
      </c>
      <c r="AN1279" s="9" t="str">
        <f t="shared" si="29"/>
        <v>OTP Achieved</v>
      </c>
    </row>
    <row r="1280" spans="9:40" ht="15.75" customHeight="1">
      <c r="I1280" s="28"/>
      <c r="AD1280" s="9" t="str">
        <f t="shared" si="25"/>
        <v>Actual</v>
      </c>
      <c r="AE1280" s="9" t="str">
        <f t="shared" si="26"/>
        <v/>
      </c>
      <c r="AF1280" s="9">
        <f>HOUR(O1280)</f>
        <v>0</v>
      </c>
      <c r="AG1280" s="9">
        <f>DAY(O1280)</f>
        <v>0</v>
      </c>
      <c r="AH1280" s="9">
        <f>IFERROR((I1280-K1280)*24*60,0)</f>
        <v>0</v>
      </c>
      <c r="AI1280" s="9">
        <f t="shared" si="27"/>
        <v>0</v>
      </c>
      <c r="AJ1280" s="9">
        <f>C1280</f>
        <v>0</v>
      </c>
      <c r="AK1280" s="9">
        <f>IF(P1280="completed",((V1280-K1280)*24*60),0)</f>
        <v>0</v>
      </c>
      <c r="AL1280" s="9">
        <f>IF(P1280="completed",((U1280-K1280)*24*60),0)</f>
        <v>0</v>
      </c>
      <c r="AM1280" s="9" t="str">
        <f t="shared" si="28"/>
        <v>OTP Breached</v>
      </c>
      <c r="AN1280" s="9" t="str">
        <f t="shared" si="29"/>
        <v>OTP Achieved</v>
      </c>
    </row>
    <row r="1281" spans="9:40" ht="15.75" customHeight="1">
      <c r="I1281" s="28"/>
      <c r="AD1281" s="9" t="str">
        <f t="shared" si="25"/>
        <v>Actual</v>
      </c>
      <c r="AE1281" s="9" t="str">
        <f t="shared" si="26"/>
        <v/>
      </c>
      <c r="AF1281" s="9">
        <f>HOUR(O1281)</f>
        <v>0</v>
      </c>
      <c r="AG1281" s="9">
        <f>DAY(O1281)</f>
        <v>0</v>
      </c>
      <c r="AH1281" s="9">
        <f>IFERROR((I1281-K1281)*24*60,0)</f>
        <v>0</v>
      </c>
      <c r="AI1281" s="9">
        <f t="shared" si="27"/>
        <v>0</v>
      </c>
      <c r="AJ1281" s="9">
        <f>C1281</f>
        <v>0</v>
      </c>
      <c r="AK1281" s="9">
        <f>IF(P1281="completed",((V1281-K1281)*24*60),0)</f>
        <v>0</v>
      </c>
      <c r="AL1281" s="9">
        <f>IF(P1281="completed",((U1281-K1281)*24*60),0)</f>
        <v>0</v>
      </c>
      <c r="AM1281" s="9" t="str">
        <f t="shared" si="28"/>
        <v>OTP Breached</v>
      </c>
      <c r="AN1281" s="9" t="str">
        <f t="shared" si="29"/>
        <v>OTP Achieved</v>
      </c>
    </row>
    <row r="1282" spans="9:40" ht="15.75" customHeight="1">
      <c r="I1282" s="28"/>
      <c r="AD1282" s="9" t="str">
        <f t="shared" si="25"/>
        <v>Actual</v>
      </c>
      <c r="AE1282" s="9" t="str">
        <f t="shared" si="26"/>
        <v/>
      </c>
      <c r="AF1282" s="9">
        <f>HOUR(O1282)</f>
        <v>0</v>
      </c>
      <c r="AG1282" s="9">
        <f>DAY(O1282)</f>
        <v>0</v>
      </c>
      <c r="AH1282" s="9">
        <f>IFERROR((I1282-K1282)*24*60,0)</f>
        <v>0</v>
      </c>
      <c r="AI1282" s="9">
        <f t="shared" si="27"/>
        <v>0</v>
      </c>
      <c r="AJ1282" s="9">
        <f>C1282</f>
        <v>0</v>
      </c>
      <c r="AK1282" s="9">
        <f>IF(P1282="completed",((V1282-K1282)*24*60),0)</f>
        <v>0</v>
      </c>
      <c r="AL1282" s="9">
        <f>IF(P1282="completed",((U1282-K1282)*24*60),0)</f>
        <v>0</v>
      </c>
      <c r="AM1282" s="9" t="str">
        <f t="shared" si="28"/>
        <v>OTP Breached</v>
      </c>
      <c r="AN1282" s="9" t="str">
        <f t="shared" si="29"/>
        <v>OTP Achieved</v>
      </c>
    </row>
    <row r="1283" spans="9:40" ht="15.75" customHeight="1">
      <c r="I1283" s="28"/>
      <c r="AD1283" s="9" t="str">
        <f t="shared" si="25"/>
        <v>Actual</v>
      </c>
      <c r="AE1283" s="9" t="str">
        <f t="shared" si="26"/>
        <v/>
      </c>
      <c r="AF1283" s="9">
        <f>HOUR(O1283)</f>
        <v>0</v>
      </c>
      <c r="AG1283" s="9">
        <f>DAY(O1283)</f>
        <v>0</v>
      </c>
      <c r="AH1283" s="9">
        <f>IFERROR((I1283-K1283)*24*60,0)</f>
        <v>0</v>
      </c>
      <c r="AI1283" s="9">
        <f t="shared" si="27"/>
        <v>0</v>
      </c>
      <c r="AJ1283" s="9">
        <f>C1283</f>
        <v>0</v>
      </c>
      <c r="AK1283" s="9">
        <f>IF(P1283="completed",((V1283-K1283)*24*60),0)</f>
        <v>0</v>
      </c>
      <c r="AL1283" s="9">
        <f>IF(P1283="completed",((U1283-K1283)*24*60),0)</f>
        <v>0</v>
      </c>
      <c r="AM1283" s="9" t="str">
        <f t="shared" si="28"/>
        <v>OTP Breached</v>
      </c>
      <c r="AN1283" s="9" t="str">
        <f t="shared" si="29"/>
        <v>OTP Achieved</v>
      </c>
    </row>
    <row r="1284" spans="9:40" ht="15.75" customHeight="1">
      <c r="I1284" s="28"/>
      <c r="AD1284" s="9" t="str">
        <f t="shared" si="25"/>
        <v>Actual</v>
      </c>
      <c r="AE1284" s="9" t="str">
        <f t="shared" si="26"/>
        <v/>
      </c>
      <c r="AF1284" s="9">
        <f>HOUR(O1284)</f>
        <v>0</v>
      </c>
      <c r="AG1284" s="9">
        <f>DAY(O1284)</f>
        <v>0</v>
      </c>
      <c r="AH1284" s="9">
        <f>IFERROR((I1284-K1284)*24*60,0)</f>
        <v>0</v>
      </c>
      <c r="AI1284" s="9">
        <f t="shared" si="27"/>
        <v>0</v>
      </c>
      <c r="AJ1284" s="9">
        <f>C1284</f>
        <v>0</v>
      </c>
      <c r="AK1284" s="9">
        <f>IF(P1284="completed",((V1284-K1284)*24*60),0)</f>
        <v>0</v>
      </c>
      <c r="AL1284" s="9">
        <f>IF(P1284="completed",((U1284-K1284)*24*60),0)</f>
        <v>0</v>
      </c>
      <c r="AM1284" s="9" t="str">
        <f t="shared" si="28"/>
        <v>OTP Breached</v>
      </c>
      <c r="AN1284" s="9" t="str">
        <f t="shared" si="29"/>
        <v>OTP Achieved</v>
      </c>
    </row>
    <row r="1285" spans="9:40" ht="15.75" customHeight="1">
      <c r="I1285" s="28"/>
      <c r="AD1285" s="9" t="str">
        <f t="shared" si="25"/>
        <v>Actual</v>
      </c>
      <c r="AE1285" s="9" t="str">
        <f t="shared" si="26"/>
        <v/>
      </c>
      <c r="AF1285" s="9">
        <f>HOUR(O1285)</f>
        <v>0</v>
      </c>
      <c r="AG1285" s="9">
        <f>DAY(O1285)</f>
        <v>0</v>
      </c>
      <c r="AH1285" s="9">
        <f>IFERROR((I1285-K1285)*24*60,0)</f>
        <v>0</v>
      </c>
      <c r="AI1285" s="9">
        <f t="shared" si="27"/>
        <v>0</v>
      </c>
      <c r="AJ1285" s="9">
        <f>C1285</f>
        <v>0</v>
      </c>
      <c r="AK1285" s="9">
        <f>IF(P1285="completed",((V1285-K1285)*24*60),0)</f>
        <v>0</v>
      </c>
      <c r="AL1285" s="9">
        <f>IF(P1285="completed",((U1285-K1285)*24*60),0)</f>
        <v>0</v>
      </c>
      <c r="AM1285" s="9" t="str">
        <f t="shared" si="28"/>
        <v>OTP Breached</v>
      </c>
      <c r="AN1285" s="9" t="str">
        <f t="shared" si="29"/>
        <v>OTP Achieved</v>
      </c>
    </row>
    <row r="1286" spans="9:40" ht="15.75" customHeight="1">
      <c r="I1286" s="28"/>
      <c r="AD1286" s="9" t="str">
        <f t="shared" si="25"/>
        <v>Actual</v>
      </c>
      <c r="AE1286" s="9" t="str">
        <f t="shared" si="26"/>
        <v/>
      </c>
      <c r="AF1286" s="9">
        <f>HOUR(O1286)</f>
        <v>0</v>
      </c>
      <c r="AG1286" s="9">
        <f>DAY(O1286)</f>
        <v>0</v>
      </c>
      <c r="AH1286" s="9">
        <f>IFERROR((I1286-K1286)*24*60,0)</f>
        <v>0</v>
      </c>
      <c r="AI1286" s="9">
        <f t="shared" si="27"/>
        <v>0</v>
      </c>
      <c r="AJ1286" s="9">
        <f>C1286</f>
        <v>0</v>
      </c>
      <c r="AK1286" s="9">
        <f>IF(P1286="completed",((V1286-K1286)*24*60),0)</f>
        <v>0</v>
      </c>
      <c r="AL1286" s="9">
        <f>IF(P1286="completed",((U1286-K1286)*24*60),0)</f>
        <v>0</v>
      </c>
      <c r="AM1286" s="9" t="str">
        <f t="shared" si="28"/>
        <v>OTP Breached</v>
      </c>
      <c r="AN1286" s="9" t="str">
        <f t="shared" si="29"/>
        <v>OTP Achieved</v>
      </c>
    </row>
    <row r="1287" spans="9:40" ht="15.75" customHeight="1">
      <c r="I1287" s="28"/>
      <c r="AD1287" s="9" t="str">
        <f t="shared" si="25"/>
        <v>Actual</v>
      </c>
      <c r="AE1287" s="9" t="str">
        <f t="shared" si="26"/>
        <v/>
      </c>
      <c r="AF1287" s="9">
        <f>HOUR(O1287)</f>
        <v>0</v>
      </c>
      <c r="AG1287" s="9">
        <f>DAY(O1287)</f>
        <v>0</v>
      </c>
      <c r="AH1287" s="9">
        <f>IFERROR((I1287-K1287)*24*60,0)</f>
        <v>0</v>
      </c>
      <c r="AI1287" s="9">
        <f t="shared" si="27"/>
        <v>0</v>
      </c>
      <c r="AJ1287" s="9">
        <f>C1287</f>
        <v>0</v>
      </c>
      <c r="AK1287" s="9">
        <f>IF(P1287="completed",((V1287-K1287)*24*60),0)</f>
        <v>0</v>
      </c>
      <c r="AL1287" s="9">
        <f>IF(P1287="completed",((U1287-K1287)*24*60),0)</f>
        <v>0</v>
      </c>
      <c r="AM1287" s="9" t="str">
        <f t="shared" si="28"/>
        <v>OTP Breached</v>
      </c>
      <c r="AN1287" s="9" t="str">
        <f t="shared" si="29"/>
        <v>OTP Achieved</v>
      </c>
    </row>
    <row r="1288" spans="9:40" ht="15.75" customHeight="1">
      <c r="I1288" s="28"/>
      <c r="AD1288" s="9" t="str">
        <f t="shared" si="25"/>
        <v>Actual</v>
      </c>
      <c r="AE1288" s="9" t="str">
        <f t="shared" si="26"/>
        <v/>
      </c>
      <c r="AF1288" s="9">
        <f>HOUR(O1288)</f>
        <v>0</v>
      </c>
      <c r="AG1288" s="9">
        <f>DAY(O1288)</f>
        <v>0</v>
      </c>
      <c r="AH1288" s="9">
        <f>IFERROR((I1288-K1288)*24*60,0)</f>
        <v>0</v>
      </c>
      <c r="AI1288" s="9">
        <f t="shared" si="27"/>
        <v>0</v>
      </c>
      <c r="AJ1288" s="9">
        <f>C1288</f>
        <v>0</v>
      </c>
      <c r="AK1288" s="9">
        <f>IF(P1288="completed",((V1288-K1288)*24*60),0)</f>
        <v>0</v>
      </c>
      <c r="AL1288" s="9">
        <f>IF(P1288="completed",((U1288-K1288)*24*60),0)</f>
        <v>0</v>
      </c>
      <c r="AM1288" s="9" t="str">
        <f t="shared" si="28"/>
        <v>OTP Breached</v>
      </c>
      <c r="AN1288" s="9" t="str">
        <f t="shared" si="29"/>
        <v>OTP Achieved</v>
      </c>
    </row>
    <row r="1289" spans="9:40" ht="15.75" customHeight="1">
      <c r="I1289" s="28"/>
      <c r="AD1289" s="9" t="str">
        <f t="shared" si="25"/>
        <v>Actual</v>
      </c>
      <c r="AE1289" s="9" t="str">
        <f t="shared" si="26"/>
        <v/>
      </c>
      <c r="AF1289" s="9">
        <f>HOUR(O1289)</f>
        <v>0</v>
      </c>
      <c r="AG1289" s="9">
        <f>DAY(O1289)</f>
        <v>0</v>
      </c>
      <c r="AH1289" s="9">
        <f>IFERROR((I1289-K1289)*24*60,0)</f>
        <v>0</v>
      </c>
      <c r="AI1289" s="9">
        <f t="shared" si="27"/>
        <v>0</v>
      </c>
      <c r="AJ1289" s="9">
        <f>C1289</f>
        <v>0</v>
      </c>
      <c r="AK1289" s="9">
        <f>IF(P1289="completed",((V1289-K1289)*24*60),0)</f>
        <v>0</v>
      </c>
      <c r="AL1289" s="9">
        <f>IF(P1289="completed",((U1289-K1289)*24*60),0)</f>
        <v>0</v>
      </c>
      <c r="AM1289" s="9" t="str">
        <f t="shared" si="28"/>
        <v>OTP Breached</v>
      </c>
      <c r="AN1289" s="9" t="str">
        <f t="shared" si="29"/>
        <v>OTP Achieved</v>
      </c>
    </row>
    <row r="1290" spans="9:40" ht="15.75" customHeight="1">
      <c r="I1290" s="28"/>
      <c r="AD1290" s="9" t="str">
        <f t="shared" si="25"/>
        <v>Actual</v>
      </c>
      <c r="AE1290" s="9" t="str">
        <f t="shared" si="26"/>
        <v/>
      </c>
      <c r="AF1290" s="9">
        <f>HOUR(O1290)</f>
        <v>0</v>
      </c>
      <c r="AG1290" s="9">
        <f>DAY(O1290)</f>
        <v>0</v>
      </c>
      <c r="AH1290" s="9">
        <f>IFERROR((I1290-K1290)*24*60,0)</f>
        <v>0</v>
      </c>
      <c r="AI1290" s="9">
        <f t="shared" si="27"/>
        <v>0</v>
      </c>
      <c r="AJ1290" s="9">
        <f>C1290</f>
        <v>0</v>
      </c>
      <c r="AK1290" s="9">
        <f>IF(P1290="completed",((V1290-K1290)*24*60),0)</f>
        <v>0</v>
      </c>
      <c r="AL1290" s="9">
        <f>IF(P1290="completed",((U1290-K1290)*24*60),0)</f>
        <v>0</v>
      </c>
      <c r="AM1290" s="9" t="str">
        <f t="shared" si="28"/>
        <v>OTP Breached</v>
      </c>
      <c r="AN1290" s="9" t="str">
        <f t="shared" si="29"/>
        <v>OTP Achieved</v>
      </c>
    </row>
    <row r="1291" spans="9:40" ht="15.75" customHeight="1">
      <c r="I1291" s="28"/>
      <c r="AD1291" s="9" t="str">
        <f t="shared" si="25"/>
        <v>Actual</v>
      </c>
      <c r="AE1291" s="9" t="str">
        <f t="shared" si="26"/>
        <v/>
      </c>
      <c r="AF1291" s="9">
        <f>HOUR(O1291)</f>
        <v>0</v>
      </c>
      <c r="AG1291" s="9">
        <f>DAY(O1291)</f>
        <v>0</v>
      </c>
      <c r="AH1291" s="9">
        <f>IFERROR((I1291-K1291)*24*60,0)</f>
        <v>0</v>
      </c>
      <c r="AI1291" s="9">
        <f t="shared" si="27"/>
        <v>0</v>
      </c>
      <c r="AJ1291" s="9">
        <f>C1291</f>
        <v>0</v>
      </c>
      <c r="AK1291" s="9">
        <f>IF(P1291="completed",((V1291-K1291)*24*60),0)</f>
        <v>0</v>
      </c>
      <c r="AL1291" s="9">
        <f>IF(P1291="completed",((U1291-K1291)*24*60),0)</f>
        <v>0</v>
      </c>
      <c r="AM1291" s="9" t="str">
        <f t="shared" si="28"/>
        <v>OTP Breached</v>
      </c>
      <c r="AN1291" s="9" t="str">
        <f t="shared" si="29"/>
        <v>OTP Achieved</v>
      </c>
    </row>
    <row r="1292" spans="9:40" ht="15.75" customHeight="1">
      <c r="I1292" s="28"/>
      <c r="AD1292" s="9" t="str">
        <f t="shared" si="25"/>
        <v>Actual</v>
      </c>
      <c r="AE1292" s="9" t="str">
        <f t="shared" si="26"/>
        <v/>
      </c>
      <c r="AF1292" s="9">
        <f>HOUR(O1292)</f>
        <v>0</v>
      </c>
      <c r="AG1292" s="9">
        <f>DAY(O1292)</f>
        <v>0</v>
      </c>
      <c r="AH1292" s="9">
        <f>IFERROR((I1292-K1292)*24*60,0)</f>
        <v>0</v>
      </c>
      <c r="AI1292" s="9">
        <f t="shared" si="27"/>
        <v>0</v>
      </c>
      <c r="AJ1292" s="9">
        <f>C1292</f>
        <v>0</v>
      </c>
      <c r="AK1292" s="9">
        <f>IF(P1292="completed",((V1292-K1292)*24*60),0)</f>
        <v>0</v>
      </c>
      <c r="AL1292" s="9">
        <f>IF(P1292="completed",((U1292-K1292)*24*60),0)</f>
        <v>0</v>
      </c>
      <c r="AM1292" s="9" t="str">
        <f t="shared" si="28"/>
        <v>OTP Breached</v>
      </c>
      <c r="AN1292" s="9" t="str">
        <f t="shared" si="29"/>
        <v>OTP Achieved</v>
      </c>
    </row>
    <row r="1293" spans="9:40" ht="15.75" customHeight="1">
      <c r="I1293" s="28"/>
      <c r="AD1293" s="9" t="str">
        <f t="shared" si="25"/>
        <v>Actual</v>
      </c>
      <c r="AE1293" s="9" t="str">
        <f t="shared" si="26"/>
        <v/>
      </c>
      <c r="AF1293" s="9">
        <f>HOUR(O1293)</f>
        <v>0</v>
      </c>
      <c r="AG1293" s="9">
        <f>DAY(O1293)</f>
        <v>0</v>
      </c>
      <c r="AH1293" s="9">
        <f>IFERROR((I1293-K1293)*24*60,0)</f>
        <v>0</v>
      </c>
      <c r="AI1293" s="9">
        <f t="shared" si="27"/>
        <v>0</v>
      </c>
      <c r="AJ1293" s="9">
        <f>C1293</f>
        <v>0</v>
      </c>
      <c r="AK1293" s="9">
        <f>IF(P1293="completed",((V1293-K1293)*24*60),0)</f>
        <v>0</v>
      </c>
      <c r="AL1293" s="9">
        <f>IF(P1293="completed",((U1293-K1293)*24*60),0)</f>
        <v>0</v>
      </c>
      <c r="AM1293" s="9" t="str">
        <f t="shared" si="28"/>
        <v>OTP Breached</v>
      </c>
      <c r="AN1293" s="9" t="str">
        <f t="shared" si="29"/>
        <v>OTP Achieved</v>
      </c>
    </row>
    <row r="1294" spans="9:40" ht="15.75" customHeight="1">
      <c r="I1294" s="28"/>
      <c r="AD1294" s="9" t="str">
        <f t="shared" si="25"/>
        <v>Actual</v>
      </c>
      <c r="AE1294" s="9" t="str">
        <f t="shared" si="26"/>
        <v/>
      </c>
      <c r="AF1294" s="9">
        <f>HOUR(O1294)</f>
        <v>0</v>
      </c>
      <c r="AG1294" s="9">
        <f>DAY(O1294)</f>
        <v>0</v>
      </c>
      <c r="AH1294" s="9">
        <f>IFERROR((I1294-K1294)*24*60,0)</f>
        <v>0</v>
      </c>
      <c r="AI1294" s="9">
        <f t="shared" si="27"/>
        <v>0</v>
      </c>
      <c r="AJ1294" s="9">
        <f>C1294</f>
        <v>0</v>
      </c>
      <c r="AK1294" s="9">
        <f>IF(P1294="completed",((V1294-K1294)*24*60),0)</f>
        <v>0</v>
      </c>
      <c r="AL1294" s="9">
        <f>IF(P1294="completed",((U1294-K1294)*24*60),0)</f>
        <v>0</v>
      </c>
      <c r="AM1294" s="9" t="str">
        <f t="shared" si="28"/>
        <v>OTP Breached</v>
      </c>
      <c r="AN1294" s="9" t="str">
        <f t="shared" si="29"/>
        <v>OTP Achieved</v>
      </c>
    </row>
    <row r="1295" spans="9:40" ht="15.75" customHeight="1">
      <c r="I1295" s="28"/>
      <c r="AD1295" s="9" t="str">
        <f t="shared" si="25"/>
        <v>Actual</v>
      </c>
      <c r="AE1295" s="9" t="str">
        <f t="shared" si="26"/>
        <v/>
      </c>
      <c r="AF1295" s="9">
        <f>HOUR(O1295)</f>
        <v>0</v>
      </c>
      <c r="AG1295" s="9">
        <f>DAY(O1295)</f>
        <v>0</v>
      </c>
      <c r="AH1295" s="9">
        <f>IFERROR((I1295-K1295)*24*60,0)</f>
        <v>0</v>
      </c>
      <c r="AI1295" s="9">
        <f t="shared" si="27"/>
        <v>0</v>
      </c>
      <c r="AJ1295" s="9">
        <f>C1295</f>
        <v>0</v>
      </c>
      <c r="AK1295" s="9">
        <f>IF(P1295="completed",((V1295-K1295)*24*60),0)</f>
        <v>0</v>
      </c>
      <c r="AL1295" s="9">
        <f>IF(P1295="completed",((U1295-K1295)*24*60),0)</f>
        <v>0</v>
      </c>
      <c r="AM1295" s="9" t="str">
        <f t="shared" si="28"/>
        <v>OTP Breached</v>
      </c>
      <c r="AN1295" s="9" t="str">
        <f t="shared" si="29"/>
        <v>OTP Achieved</v>
      </c>
    </row>
    <row r="1296" spans="9:40" ht="15.75" customHeight="1">
      <c r="I1296" s="28"/>
      <c r="AD1296" s="9" t="str">
        <f t="shared" si="25"/>
        <v>Actual</v>
      </c>
      <c r="AE1296" s="9" t="str">
        <f t="shared" si="26"/>
        <v/>
      </c>
      <c r="AF1296" s="9">
        <f>HOUR(O1296)</f>
        <v>0</v>
      </c>
      <c r="AG1296" s="9">
        <f>DAY(O1296)</f>
        <v>0</v>
      </c>
      <c r="AH1296" s="9">
        <f>IFERROR((I1296-K1296)*24*60,0)</f>
        <v>0</v>
      </c>
      <c r="AI1296" s="9">
        <f t="shared" si="27"/>
        <v>0</v>
      </c>
      <c r="AJ1296" s="9">
        <f>C1296</f>
        <v>0</v>
      </c>
      <c r="AK1296" s="9">
        <f>IF(P1296="completed",((V1296-K1296)*24*60),0)</f>
        <v>0</v>
      </c>
      <c r="AL1296" s="9">
        <f>IF(P1296="completed",((U1296-K1296)*24*60),0)</f>
        <v>0</v>
      </c>
      <c r="AM1296" s="9" t="str">
        <f t="shared" si="28"/>
        <v>OTP Breached</v>
      </c>
      <c r="AN1296" s="9" t="str">
        <f t="shared" si="29"/>
        <v>OTP Achieved</v>
      </c>
    </row>
    <row r="1297" spans="9:40" ht="15.75" customHeight="1">
      <c r="I1297" s="28"/>
      <c r="AD1297" s="9" t="str">
        <f t="shared" si="25"/>
        <v>Actual</v>
      </c>
      <c r="AE1297" s="9" t="str">
        <f t="shared" si="26"/>
        <v/>
      </c>
      <c r="AF1297" s="9">
        <f>HOUR(O1297)</f>
        <v>0</v>
      </c>
      <c r="AG1297" s="9">
        <f>DAY(O1297)</f>
        <v>0</v>
      </c>
      <c r="AH1297" s="9">
        <f>IFERROR((I1297-K1297)*24*60,0)</f>
        <v>0</v>
      </c>
      <c r="AI1297" s="9">
        <f t="shared" si="27"/>
        <v>0</v>
      </c>
      <c r="AJ1297" s="9">
        <f>C1297</f>
        <v>0</v>
      </c>
      <c r="AK1297" s="9">
        <f>IF(P1297="completed",((V1297-K1297)*24*60),0)</f>
        <v>0</v>
      </c>
      <c r="AL1297" s="9">
        <f>IF(P1297="completed",((U1297-K1297)*24*60),0)</f>
        <v>0</v>
      </c>
      <c r="AM1297" s="9" t="str">
        <f t="shared" si="28"/>
        <v>OTP Breached</v>
      </c>
      <c r="AN1297" s="9" t="str">
        <f t="shared" si="29"/>
        <v>OTP Achieved</v>
      </c>
    </row>
    <row r="1298" spans="9:40" ht="15.75" customHeight="1">
      <c r="I1298" s="28"/>
      <c r="AD1298" s="9" t="str">
        <f t="shared" si="25"/>
        <v>Actual</v>
      </c>
      <c r="AE1298" s="9" t="str">
        <f t="shared" si="26"/>
        <v/>
      </c>
      <c r="AF1298" s="9">
        <f>HOUR(O1298)</f>
        <v>0</v>
      </c>
      <c r="AG1298" s="9">
        <f>DAY(O1298)</f>
        <v>0</v>
      </c>
      <c r="AH1298" s="9">
        <f>IFERROR((I1298-K1298)*24*60,0)</f>
        <v>0</v>
      </c>
      <c r="AI1298" s="9">
        <f t="shared" si="27"/>
        <v>0</v>
      </c>
      <c r="AJ1298" s="9">
        <f>C1298</f>
        <v>0</v>
      </c>
      <c r="AK1298" s="9">
        <f>IF(P1298="completed",((V1298-K1298)*24*60),0)</f>
        <v>0</v>
      </c>
      <c r="AL1298" s="9">
        <f>IF(P1298="completed",((U1298-K1298)*24*60),0)</f>
        <v>0</v>
      </c>
      <c r="AM1298" s="9" t="str">
        <f t="shared" si="28"/>
        <v>OTP Breached</v>
      </c>
      <c r="AN1298" s="9" t="str">
        <f t="shared" si="29"/>
        <v>OTP Achieved</v>
      </c>
    </row>
    <row r="1299" spans="9:40" ht="15.75" customHeight="1">
      <c r="I1299" s="28"/>
      <c r="AD1299" s="9" t="str">
        <f t="shared" si="25"/>
        <v>Actual</v>
      </c>
      <c r="AE1299" s="9" t="str">
        <f t="shared" si="26"/>
        <v/>
      </c>
      <c r="AF1299" s="9">
        <f>HOUR(O1299)</f>
        <v>0</v>
      </c>
      <c r="AG1299" s="9">
        <f>DAY(O1299)</f>
        <v>0</v>
      </c>
      <c r="AH1299" s="9">
        <f>IFERROR((I1299-K1299)*24*60,0)</f>
        <v>0</v>
      </c>
      <c r="AI1299" s="9">
        <f t="shared" si="27"/>
        <v>0</v>
      </c>
      <c r="AJ1299" s="9">
        <f>C1299</f>
        <v>0</v>
      </c>
      <c r="AK1299" s="9">
        <f>IF(P1299="completed",((V1299-K1299)*24*60),0)</f>
        <v>0</v>
      </c>
      <c r="AL1299" s="9">
        <f>IF(P1299="completed",((U1299-K1299)*24*60),0)</f>
        <v>0</v>
      </c>
      <c r="AM1299" s="9" t="str">
        <f t="shared" si="28"/>
        <v>OTP Breached</v>
      </c>
      <c r="AN1299" s="9" t="str">
        <f t="shared" si="29"/>
        <v>OTP Achieved</v>
      </c>
    </row>
    <row r="1300" spans="9:40" ht="15.75" customHeight="1">
      <c r="I1300" s="28"/>
      <c r="AD1300" s="9" t="str">
        <f t="shared" si="25"/>
        <v>Actual</v>
      </c>
      <c r="AE1300" s="9" t="str">
        <f t="shared" si="26"/>
        <v/>
      </c>
      <c r="AF1300" s="9">
        <f>HOUR(O1300)</f>
        <v>0</v>
      </c>
      <c r="AG1300" s="9">
        <f>DAY(O1300)</f>
        <v>0</v>
      </c>
      <c r="AH1300" s="9">
        <f>IFERROR((I1300-K1300)*24*60,0)</f>
        <v>0</v>
      </c>
      <c r="AI1300" s="9">
        <f t="shared" si="27"/>
        <v>0</v>
      </c>
      <c r="AJ1300" s="9">
        <f>C1300</f>
        <v>0</v>
      </c>
      <c r="AK1300" s="9">
        <f>IF(P1300="completed",((V1300-K1300)*24*60),0)</f>
        <v>0</v>
      </c>
      <c r="AL1300" s="9">
        <f>IF(P1300="completed",((U1300-K1300)*24*60),0)</f>
        <v>0</v>
      </c>
      <c r="AM1300" s="9" t="str">
        <f t="shared" si="28"/>
        <v>OTP Breached</v>
      </c>
      <c r="AN1300" s="9" t="str">
        <f t="shared" si="29"/>
        <v>OTP Achieved</v>
      </c>
    </row>
    <row r="1301" spans="9:40" ht="15.75" customHeight="1">
      <c r="I1301" s="28"/>
      <c r="AD1301" s="9" t="str">
        <f t="shared" si="25"/>
        <v>Actual</v>
      </c>
      <c r="AE1301" s="9" t="str">
        <f t="shared" si="26"/>
        <v/>
      </c>
      <c r="AF1301" s="9">
        <f>HOUR(O1301)</f>
        <v>0</v>
      </c>
      <c r="AG1301" s="9">
        <f>DAY(O1301)</f>
        <v>0</v>
      </c>
      <c r="AH1301" s="9">
        <f>IFERROR((I1301-K1301)*24*60,0)</f>
        <v>0</v>
      </c>
      <c r="AI1301" s="9">
        <f t="shared" si="27"/>
        <v>0</v>
      </c>
      <c r="AJ1301" s="9">
        <f>C1301</f>
        <v>0</v>
      </c>
      <c r="AK1301" s="9">
        <f>IF(P1301="completed",((V1301-K1301)*24*60),0)</f>
        <v>0</v>
      </c>
      <c r="AL1301" s="9">
        <f>IF(P1301="completed",((U1301-K1301)*24*60),0)</f>
        <v>0</v>
      </c>
      <c r="AM1301" s="9" t="str">
        <f t="shared" si="28"/>
        <v>OTP Breached</v>
      </c>
      <c r="AN1301" s="9" t="str">
        <f t="shared" si="29"/>
        <v>OTP Achieved</v>
      </c>
    </row>
    <row r="1302" spans="9:40" ht="15.75" customHeight="1">
      <c r="I1302" s="28"/>
      <c r="AD1302" s="9" t="str">
        <f t="shared" si="25"/>
        <v>Actual</v>
      </c>
      <c r="AE1302" s="9" t="str">
        <f t="shared" si="26"/>
        <v/>
      </c>
      <c r="AF1302" s="9">
        <f>HOUR(O1302)</f>
        <v>0</v>
      </c>
      <c r="AG1302" s="9">
        <f>DAY(O1302)</f>
        <v>0</v>
      </c>
      <c r="AH1302" s="9">
        <f>IFERROR((I1302-K1302)*24*60,0)</f>
        <v>0</v>
      </c>
      <c r="AI1302" s="9">
        <f t="shared" si="27"/>
        <v>0</v>
      </c>
      <c r="AJ1302" s="9">
        <f>C1302</f>
        <v>0</v>
      </c>
      <c r="AK1302" s="9">
        <f>IF(P1302="completed",((V1302-K1302)*24*60),0)</f>
        <v>0</v>
      </c>
      <c r="AL1302" s="9">
        <f>IF(P1302="completed",((U1302-K1302)*24*60),0)</f>
        <v>0</v>
      </c>
      <c r="AM1302" s="9" t="str">
        <f t="shared" si="28"/>
        <v>OTP Breached</v>
      </c>
      <c r="AN1302" s="9" t="str">
        <f t="shared" si="29"/>
        <v>OTP Achieved</v>
      </c>
    </row>
    <row r="1303" spans="9:40" ht="15.75" customHeight="1">
      <c r="I1303" s="28"/>
      <c r="AD1303" s="9" t="str">
        <f t="shared" si="25"/>
        <v>Actual</v>
      </c>
      <c r="AE1303" s="9" t="str">
        <f t="shared" si="26"/>
        <v/>
      </c>
      <c r="AF1303" s="9">
        <f>HOUR(O1303)</f>
        <v>0</v>
      </c>
      <c r="AG1303" s="9">
        <f>DAY(O1303)</f>
        <v>0</v>
      </c>
      <c r="AH1303" s="9">
        <f>IFERROR((I1303-K1303)*24*60,0)</f>
        <v>0</v>
      </c>
      <c r="AI1303" s="9">
        <f t="shared" si="27"/>
        <v>0</v>
      </c>
      <c r="AJ1303" s="9">
        <f>C1303</f>
        <v>0</v>
      </c>
      <c r="AK1303" s="9">
        <f>IF(P1303="completed",((V1303-K1303)*24*60),0)</f>
        <v>0</v>
      </c>
      <c r="AL1303" s="9">
        <f>IF(P1303="completed",((U1303-K1303)*24*60),0)</f>
        <v>0</v>
      </c>
      <c r="AM1303" s="9" t="str">
        <f t="shared" si="28"/>
        <v>OTP Breached</v>
      </c>
      <c r="AN1303" s="9" t="str">
        <f t="shared" si="29"/>
        <v>OTP Achieved</v>
      </c>
    </row>
    <row r="1304" spans="9:40" ht="15.75" customHeight="1">
      <c r="I1304" s="28"/>
      <c r="AD1304" s="9" t="str">
        <f t="shared" si="25"/>
        <v>Actual</v>
      </c>
      <c r="AE1304" s="9" t="str">
        <f t="shared" si="26"/>
        <v/>
      </c>
      <c r="AF1304" s="9">
        <f>HOUR(O1304)</f>
        <v>0</v>
      </c>
      <c r="AG1304" s="9">
        <f>DAY(O1304)</f>
        <v>0</v>
      </c>
      <c r="AH1304" s="9">
        <f>IFERROR((I1304-K1304)*24*60,0)</f>
        <v>0</v>
      </c>
      <c r="AI1304" s="9">
        <f t="shared" si="27"/>
        <v>0</v>
      </c>
      <c r="AJ1304" s="9">
        <f>C1304</f>
        <v>0</v>
      </c>
      <c r="AK1304" s="9">
        <f>IF(P1304="completed",((V1304-K1304)*24*60),0)</f>
        <v>0</v>
      </c>
      <c r="AL1304" s="9">
        <f>IF(P1304="completed",((U1304-K1304)*24*60),0)</f>
        <v>0</v>
      </c>
      <c r="AM1304" s="9" t="str">
        <f t="shared" si="28"/>
        <v>OTP Breached</v>
      </c>
      <c r="AN1304" s="9" t="str">
        <f t="shared" si="29"/>
        <v>OTP Achieved</v>
      </c>
    </row>
    <row r="1305" spans="9:40" ht="15.75" customHeight="1">
      <c r="I1305" s="28"/>
      <c r="AD1305" s="9" t="str">
        <f t="shared" si="25"/>
        <v>Actual</v>
      </c>
      <c r="AE1305" s="9" t="str">
        <f t="shared" si="26"/>
        <v/>
      </c>
      <c r="AF1305" s="9">
        <f>HOUR(O1305)</f>
        <v>0</v>
      </c>
      <c r="AG1305" s="9">
        <f>DAY(O1305)</f>
        <v>0</v>
      </c>
      <c r="AH1305" s="9">
        <f>IFERROR((I1305-K1305)*24*60,0)</f>
        <v>0</v>
      </c>
      <c r="AI1305" s="9">
        <f t="shared" si="27"/>
        <v>0</v>
      </c>
      <c r="AJ1305" s="9">
        <f>C1305</f>
        <v>0</v>
      </c>
      <c r="AK1305" s="9">
        <f>IF(P1305="completed",((V1305-K1305)*24*60),0)</f>
        <v>0</v>
      </c>
      <c r="AL1305" s="9">
        <f>IF(P1305="completed",((U1305-K1305)*24*60),0)</f>
        <v>0</v>
      </c>
      <c r="AM1305" s="9" t="str">
        <f t="shared" si="28"/>
        <v>OTP Breached</v>
      </c>
      <c r="AN1305" s="9" t="str">
        <f t="shared" si="29"/>
        <v>OTP Achieved</v>
      </c>
    </row>
    <row r="1306" spans="9:40" ht="15.75" customHeight="1">
      <c r="I1306" s="28"/>
      <c r="AD1306" s="9" t="str">
        <f t="shared" si="25"/>
        <v>Actual</v>
      </c>
      <c r="AE1306" s="9" t="str">
        <f t="shared" si="26"/>
        <v/>
      </c>
      <c r="AF1306" s="9">
        <f>HOUR(O1306)</f>
        <v>0</v>
      </c>
      <c r="AG1306" s="9">
        <f>DAY(O1306)</f>
        <v>0</v>
      </c>
      <c r="AH1306" s="9">
        <f>IFERROR((I1306-K1306)*24*60,0)</f>
        <v>0</v>
      </c>
      <c r="AI1306" s="9">
        <f t="shared" si="27"/>
        <v>0</v>
      </c>
      <c r="AJ1306" s="9">
        <f>C1306</f>
        <v>0</v>
      </c>
      <c r="AK1306" s="9">
        <f>IF(P1306="completed",((V1306-K1306)*24*60),0)</f>
        <v>0</v>
      </c>
      <c r="AL1306" s="9">
        <f>IF(P1306="completed",((U1306-K1306)*24*60),0)</f>
        <v>0</v>
      </c>
      <c r="AM1306" s="9" t="str">
        <f t="shared" si="28"/>
        <v>OTP Breached</v>
      </c>
      <c r="AN1306" s="9" t="str">
        <f t="shared" si="29"/>
        <v>OTP Achieved</v>
      </c>
    </row>
    <row r="1307" spans="9:40" ht="15.75" customHeight="1">
      <c r="I1307" s="28"/>
      <c r="AD1307" s="9" t="str">
        <f t="shared" si="25"/>
        <v>Actual</v>
      </c>
      <c r="AE1307" s="9" t="str">
        <f t="shared" si="26"/>
        <v/>
      </c>
      <c r="AF1307" s="9">
        <f>HOUR(O1307)</f>
        <v>0</v>
      </c>
      <c r="AG1307" s="9">
        <f>DAY(O1307)</f>
        <v>0</v>
      </c>
      <c r="AH1307" s="9">
        <f>IFERROR((I1307-K1307)*24*60,0)</f>
        <v>0</v>
      </c>
      <c r="AI1307" s="9">
        <f t="shared" si="27"/>
        <v>0</v>
      </c>
      <c r="AJ1307" s="9">
        <f>C1307</f>
        <v>0</v>
      </c>
      <c r="AK1307" s="9">
        <f>IF(P1307="completed",((V1307-K1307)*24*60),0)</f>
        <v>0</v>
      </c>
      <c r="AL1307" s="9">
        <f>IF(P1307="completed",((U1307-K1307)*24*60),0)</f>
        <v>0</v>
      </c>
      <c r="AM1307" s="9" t="str">
        <f t="shared" si="28"/>
        <v>OTP Breached</v>
      </c>
      <c r="AN1307" s="9" t="str">
        <f t="shared" si="29"/>
        <v>OTP Achieved</v>
      </c>
    </row>
    <row r="1308" spans="9:40" ht="15.75" customHeight="1">
      <c r="I1308" s="28"/>
      <c r="AD1308" s="9" t="str">
        <f t="shared" si="25"/>
        <v>Actual</v>
      </c>
      <c r="AE1308" s="9" t="str">
        <f t="shared" si="26"/>
        <v/>
      </c>
      <c r="AF1308" s="9">
        <f>HOUR(O1308)</f>
        <v>0</v>
      </c>
      <c r="AG1308" s="9">
        <f>DAY(O1308)</f>
        <v>0</v>
      </c>
      <c r="AH1308" s="9">
        <f>IFERROR((I1308-K1308)*24*60,0)</f>
        <v>0</v>
      </c>
      <c r="AI1308" s="9">
        <f t="shared" si="27"/>
        <v>0</v>
      </c>
      <c r="AJ1308" s="9">
        <f>C1308</f>
        <v>0</v>
      </c>
      <c r="AK1308" s="9">
        <f>IF(P1308="completed",((V1308-K1308)*24*60),0)</f>
        <v>0</v>
      </c>
      <c r="AL1308" s="9">
        <f>IF(P1308="completed",((U1308-K1308)*24*60),0)</f>
        <v>0</v>
      </c>
      <c r="AM1308" s="9" t="str">
        <f t="shared" si="28"/>
        <v>OTP Breached</v>
      </c>
      <c r="AN1308" s="9" t="str">
        <f t="shared" si="29"/>
        <v>OTP Achieved</v>
      </c>
    </row>
    <row r="1309" spans="9:40" ht="15.75" customHeight="1">
      <c r="I1309" s="28"/>
      <c r="AD1309" s="9" t="str">
        <f t="shared" si="25"/>
        <v>Actual</v>
      </c>
      <c r="AE1309" s="9" t="str">
        <f t="shared" si="26"/>
        <v/>
      </c>
      <c r="AF1309" s="9">
        <f>HOUR(O1309)</f>
        <v>0</v>
      </c>
      <c r="AG1309" s="9">
        <f>DAY(O1309)</f>
        <v>0</v>
      </c>
      <c r="AH1309" s="9">
        <f>IFERROR((I1309-K1309)*24*60,0)</f>
        <v>0</v>
      </c>
      <c r="AI1309" s="9">
        <f t="shared" si="27"/>
        <v>0</v>
      </c>
      <c r="AJ1309" s="9">
        <f>C1309</f>
        <v>0</v>
      </c>
      <c r="AK1309" s="9">
        <f>IF(P1309="completed",((V1309-K1309)*24*60),0)</f>
        <v>0</v>
      </c>
      <c r="AL1309" s="9">
        <f>IF(P1309="completed",((U1309-K1309)*24*60),0)</f>
        <v>0</v>
      </c>
      <c r="AM1309" s="9" t="str">
        <f t="shared" si="28"/>
        <v>OTP Breached</v>
      </c>
      <c r="AN1309" s="9" t="str">
        <f t="shared" si="29"/>
        <v>OTP Achieved</v>
      </c>
    </row>
    <row r="1310" spans="9:40" ht="15.75" customHeight="1">
      <c r="I1310" s="28"/>
      <c r="AD1310" s="9" t="str">
        <f t="shared" si="25"/>
        <v>Actual</v>
      </c>
      <c r="AE1310" s="9" t="str">
        <f t="shared" si="26"/>
        <v/>
      </c>
      <c r="AF1310" s="9">
        <f>HOUR(O1310)</f>
        <v>0</v>
      </c>
      <c r="AG1310" s="9">
        <f>DAY(O1310)</f>
        <v>0</v>
      </c>
      <c r="AH1310" s="9">
        <f>IFERROR((I1310-K1310)*24*60,0)</f>
        <v>0</v>
      </c>
      <c r="AI1310" s="9">
        <f t="shared" si="27"/>
        <v>0</v>
      </c>
      <c r="AJ1310" s="9">
        <f>C1310</f>
        <v>0</v>
      </c>
      <c r="AK1310" s="9">
        <f>IF(P1310="completed",((V1310-K1310)*24*60),0)</f>
        <v>0</v>
      </c>
      <c r="AL1310" s="9">
        <f>IF(P1310="completed",((U1310-K1310)*24*60),0)</f>
        <v>0</v>
      </c>
      <c r="AM1310" s="9" t="str">
        <f t="shared" si="28"/>
        <v>OTP Breached</v>
      </c>
      <c r="AN1310" s="9" t="str">
        <f t="shared" si="29"/>
        <v>OTP Achieved</v>
      </c>
    </row>
    <row r="1311" spans="9:40" ht="15.75" customHeight="1">
      <c r="I1311" s="28"/>
      <c r="AD1311" s="9" t="str">
        <f t="shared" si="25"/>
        <v>Actual</v>
      </c>
      <c r="AE1311" s="9" t="str">
        <f t="shared" si="26"/>
        <v/>
      </c>
      <c r="AF1311" s="9">
        <f>HOUR(O1311)</f>
        <v>0</v>
      </c>
      <c r="AG1311" s="9">
        <f>DAY(O1311)</f>
        <v>0</v>
      </c>
      <c r="AH1311" s="9">
        <f>IFERROR((I1311-K1311)*24*60,0)</f>
        <v>0</v>
      </c>
      <c r="AI1311" s="9">
        <f t="shared" si="27"/>
        <v>0</v>
      </c>
      <c r="AJ1311" s="9">
        <f>C1311</f>
        <v>0</v>
      </c>
      <c r="AK1311" s="9">
        <f>IF(P1311="completed",((V1311-K1311)*24*60),0)</f>
        <v>0</v>
      </c>
      <c r="AL1311" s="9">
        <f>IF(P1311="completed",((U1311-K1311)*24*60),0)</f>
        <v>0</v>
      </c>
      <c r="AM1311" s="9" t="str">
        <f t="shared" si="28"/>
        <v>OTP Breached</v>
      </c>
      <c r="AN1311" s="9" t="str">
        <f t="shared" si="29"/>
        <v>OTP Achieved</v>
      </c>
    </row>
    <row r="1312" spans="9:40" ht="15.75" customHeight="1">
      <c r="I1312" s="28"/>
      <c r="AD1312" s="9" t="str">
        <f t="shared" si="25"/>
        <v>Actual</v>
      </c>
      <c r="AE1312" s="9" t="str">
        <f t="shared" si="26"/>
        <v/>
      </c>
      <c r="AF1312" s="9">
        <f>HOUR(O1312)</f>
        <v>0</v>
      </c>
      <c r="AG1312" s="9">
        <f>DAY(O1312)</f>
        <v>0</v>
      </c>
      <c r="AH1312" s="9">
        <f>IFERROR((I1312-K1312)*24*60,0)</f>
        <v>0</v>
      </c>
      <c r="AI1312" s="9">
        <f t="shared" si="27"/>
        <v>0</v>
      </c>
      <c r="AJ1312" s="9">
        <f>C1312</f>
        <v>0</v>
      </c>
      <c r="AK1312" s="9">
        <f>IF(P1312="completed",((V1312-K1312)*24*60),0)</f>
        <v>0</v>
      </c>
      <c r="AL1312" s="9">
        <f>IF(P1312="completed",((U1312-K1312)*24*60),0)</f>
        <v>0</v>
      </c>
      <c r="AM1312" s="9" t="str">
        <f t="shared" si="28"/>
        <v>OTP Breached</v>
      </c>
      <c r="AN1312" s="9" t="str">
        <f t="shared" si="29"/>
        <v>OTP Achieved</v>
      </c>
    </row>
    <row r="1313" spans="9:40" ht="15.75" customHeight="1">
      <c r="I1313" s="28"/>
      <c r="AD1313" s="9" t="str">
        <f t="shared" si="25"/>
        <v>Actual</v>
      </c>
      <c r="AE1313" s="9" t="str">
        <f t="shared" si="26"/>
        <v/>
      </c>
      <c r="AF1313" s="9">
        <f>HOUR(O1313)</f>
        <v>0</v>
      </c>
      <c r="AG1313" s="9">
        <f>DAY(O1313)</f>
        <v>0</v>
      </c>
      <c r="AH1313" s="9">
        <f>IFERROR((I1313-K1313)*24*60,0)</f>
        <v>0</v>
      </c>
      <c r="AI1313" s="9">
        <f t="shared" si="27"/>
        <v>0</v>
      </c>
      <c r="AJ1313" s="9">
        <f>C1313</f>
        <v>0</v>
      </c>
      <c r="AK1313" s="9">
        <f>IF(P1313="completed",((V1313-K1313)*24*60),0)</f>
        <v>0</v>
      </c>
      <c r="AL1313" s="9">
        <f>IF(P1313="completed",((U1313-K1313)*24*60),0)</f>
        <v>0</v>
      </c>
      <c r="AM1313" s="9" t="str">
        <f t="shared" si="28"/>
        <v>OTP Breached</v>
      </c>
      <c r="AN1313" s="9" t="str">
        <f t="shared" si="29"/>
        <v>OTP Achieved</v>
      </c>
    </row>
    <row r="1314" spans="9:40" ht="15.75" customHeight="1">
      <c r="I1314" s="28"/>
      <c r="AD1314" s="9" t="str">
        <f t="shared" si="25"/>
        <v>Actual</v>
      </c>
      <c r="AE1314" s="9" t="str">
        <f t="shared" si="26"/>
        <v/>
      </c>
      <c r="AF1314" s="9">
        <f>HOUR(O1314)</f>
        <v>0</v>
      </c>
      <c r="AG1314" s="9">
        <f>DAY(O1314)</f>
        <v>0</v>
      </c>
      <c r="AH1314" s="9">
        <f>IFERROR((I1314-K1314)*24*60,0)</f>
        <v>0</v>
      </c>
      <c r="AI1314" s="9">
        <f t="shared" si="27"/>
        <v>0</v>
      </c>
      <c r="AJ1314" s="9">
        <f>C1314</f>
        <v>0</v>
      </c>
      <c r="AK1314" s="9">
        <f>IF(P1314="completed",((V1314-K1314)*24*60),0)</f>
        <v>0</v>
      </c>
      <c r="AL1314" s="9">
        <f>IF(P1314="completed",((U1314-K1314)*24*60),0)</f>
        <v>0</v>
      </c>
      <c r="AM1314" s="9" t="str">
        <f t="shared" si="28"/>
        <v>OTP Breached</v>
      </c>
      <c r="AN1314" s="9" t="str">
        <f t="shared" si="29"/>
        <v>OTP Achieved</v>
      </c>
    </row>
    <row r="1315" spans="9:40" ht="15.75" customHeight="1">
      <c r="I1315" s="28"/>
      <c r="AD1315" s="9" t="str">
        <f t="shared" si="25"/>
        <v>Actual</v>
      </c>
      <c r="AE1315" s="9" t="str">
        <f t="shared" si="26"/>
        <v/>
      </c>
      <c r="AF1315" s="9">
        <f>HOUR(O1315)</f>
        <v>0</v>
      </c>
      <c r="AG1315" s="9">
        <f>DAY(O1315)</f>
        <v>0</v>
      </c>
      <c r="AH1315" s="9">
        <f>IFERROR((I1315-K1315)*24*60,0)</f>
        <v>0</v>
      </c>
      <c r="AI1315" s="9">
        <f t="shared" si="27"/>
        <v>0</v>
      </c>
      <c r="AJ1315" s="9">
        <f>C1315</f>
        <v>0</v>
      </c>
      <c r="AK1315" s="9">
        <f>IF(P1315="completed",((V1315-K1315)*24*60),0)</f>
        <v>0</v>
      </c>
      <c r="AL1315" s="9">
        <f>IF(P1315="completed",((U1315-K1315)*24*60),0)</f>
        <v>0</v>
      </c>
      <c r="AM1315" s="9" t="str">
        <f t="shared" si="28"/>
        <v>OTP Breached</v>
      </c>
      <c r="AN1315" s="9" t="str">
        <f t="shared" si="29"/>
        <v>OTP Achieved</v>
      </c>
    </row>
    <row r="1316" spans="9:40" ht="15.75" customHeight="1">
      <c r="I1316" s="28"/>
      <c r="AD1316" s="9" t="str">
        <f t="shared" si="25"/>
        <v>Actual</v>
      </c>
      <c r="AE1316" s="9" t="str">
        <f t="shared" si="26"/>
        <v/>
      </c>
      <c r="AF1316" s="9">
        <f>HOUR(O1316)</f>
        <v>0</v>
      </c>
      <c r="AG1316" s="9">
        <f>DAY(O1316)</f>
        <v>0</v>
      </c>
      <c r="AH1316" s="9">
        <f>IFERROR((I1316-K1316)*24*60,0)</f>
        <v>0</v>
      </c>
      <c r="AI1316" s="9">
        <f t="shared" si="27"/>
        <v>0</v>
      </c>
      <c r="AJ1316" s="9">
        <f>C1316</f>
        <v>0</v>
      </c>
      <c r="AK1316" s="9">
        <f>IF(P1316="completed",((V1316-K1316)*24*60),0)</f>
        <v>0</v>
      </c>
      <c r="AL1316" s="9">
        <f>IF(P1316="completed",((U1316-K1316)*24*60),0)</f>
        <v>0</v>
      </c>
      <c r="AM1316" s="9" t="str">
        <f t="shared" si="28"/>
        <v>OTP Breached</v>
      </c>
      <c r="AN1316" s="9" t="str">
        <f t="shared" si="29"/>
        <v>OTP Achieved</v>
      </c>
    </row>
    <row r="1317" spans="9:40" ht="15.75" customHeight="1">
      <c r="I1317" s="28"/>
      <c r="AD1317" s="9" t="str">
        <f t="shared" si="25"/>
        <v>Actual</v>
      </c>
      <c r="AE1317" s="9" t="str">
        <f t="shared" si="26"/>
        <v/>
      </c>
      <c r="AF1317" s="9">
        <f>HOUR(O1317)</f>
        <v>0</v>
      </c>
      <c r="AG1317" s="9">
        <f>DAY(O1317)</f>
        <v>0</v>
      </c>
      <c r="AH1317" s="9">
        <f>IFERROR((I1317-K1317)*24*60,0)</f>
        <v>0</v>
      </c>
      <c r="AI1317" s="9">
        <f t="shared" si="27"/>
        <v>0</v>
      </c>
      <c r="AJ1317" s="9">
        <f>C1317</f>
        <v>0</v>
      </c>
      <c r="AK1317" s="9">
        <f>IF(P1317="completed",((V1317-K1317)*24*60),0)</f>
        <v>0</v>
      </c>
      <c r="AL1317" s="9">
        <f>IF(P1317="completed",((U1317-K1317)*24*60),0)</f>
        <v>0</v>
      </c>
      <c r="AM1317" s="9" t="str">
        <f t="shared" si="28"/>
        <v>OTP Breached</v>
      </c>
      <c r="AN1317" s="9" t="str">
        <f t="shared" si="29"/>
        <v>OTP Achieved</v>
      </c>
    </row>
    <row r="1318" spans="9:40" ht="15.75" customHeight="1">
      <c r="I1318" s="28"/>
      <c r="AD1318" s="9" t="str">
        <f t="shared" si="25"/>
        <v>Actual</v>
      </c>
      <c r="AE1318" s="9" t="str">
        <f t="shared" si="26"/>
        <v/>
      </c>
      <c r="AF1318" s="9">
        <f>HOUR(O1318)</f>
        <v>0</v>
      </c>
      <c r="AG1318" s="9">
        <f>DAY(O1318)</f>
        <v>0</v>
      </c>
      <c r="AH1318" s="9">
        <f>IFERROR((I1318-K1318)*24*60,0)</f>
        <v>0</v>
      </c>
      <c r="AI1318" s="9">
        <f t="shared" si="27"/>
        <v>0</v>
      </c>
      <c r="AJ1318" s="9">
        <f>C1318</f>
        <v>0</v>
      </c>
      <c r="AK1318" s="9">
        <f>IF(P1318="completed",((V1318-K1318)*24*60),0)</f>
        <v>0</v>
      </c>
      <c r="AL1318" s="9">
        <f>IF(P1318="completed",((U1318-K1318)*24*60),0)</f>
        <v>0</v>
      </c>
      <c r="AM1318" s="9" t="str">
        <f t="shared" si="28"/>
        <v>OTP Breached</v>
      </c>
      <c r="AN1318" s="9" t="str">
        <f t="shared" si="29"/>
        <v>OTP Achieved</v>
      </c>
    </row>
    <row r="1319" spans="9:40" ht="15.75" customHeight="1">
      <c r="I1319" s="28"/>
      <c r="AD1319" s="9" t="str">
        <f t="shared" si="25"/>
        <v>Actual</v>
      </c>
      <c r="AE1319" s="9" t="str">
        <f t="shared" si="26"/>
        <v/>
      </c>
      <c r="AF1319" s="9">
        <f>HOUR(O1319)</f>
        <v>0</v>
      </c>
      <c r="AG1319" s="9">
        <f>DAY(O1319)</f>
        <v>0</v>
      </c>
      <c r="AH1319" s="9">
        <f>IFERROR((I1319-K1319)*24*60,0)</f>
        <v>0</v>
      </c>
      <c r="AI1319" s="9">
        <f t="shared" si="27"/>
        <v>0</v>
      </c>
      <c r="AJ1319" s="9">
        <f>C1319</f>
        <v>0</v>
      </c>
      <c r="AK1319" s="9">
        <f>IF(P1319="completed",((V1319-K1319)*24*60),0)</f>
        <v>0</v>
      </c>
      <c r="AL1319" s="9">
        <f>IF(P1319="completed",((U1319-K1319)*24*60),0)</f>
        <v>0</v>
      </c>
      <c r="AM1319" s="9" t="str">
        <f t="shared" si="28"/>
        <v>OTP Breached</v>
      </c>
      <c r="AN1319" s="9" t="str">
        <f t="shared" si="29"/>
        <v>OTP Achieved</v>
      </c>
    </row>
    <row r="1320" spans="9:40" ht="15.75" customHeight="1">
      <c r="I1320" s="28"/>
      <c r="AD1320" s="9" t="str">
        <f t="shared" si="25"/>
        <v>Actual</v>
      </c>
      <c r="AE1320" s="9" t="str">
        <f t="shared" si="26"/>
        <v/>
      </c>
      <c r="AF1320" s="9">
        <f>HOUR(O1320)</f>
        <v>0</v>
      </c>
      <c r="AG1320" s="9">
        <f>DAY(O1320)</f>
        <v>0</v>
      </c>
      <c r="AH1320" s="9">
        <f>IFERROR((I1320-K1320)*24*60,0)</f>
        <v>0</v>
      </c>
      <c r="AI1320" s="9">
        <f t="shared" si="27"/>
        <v>0</v>
      </c>
      <c r="AJ1320" s="9">
        <f>C1320</f>
        <v>0</v>
      </c>
      <c r="AK1320" s="9">
        <f>IF(P1320="completed",((V1320-K1320)*24*60),0)</f>
        <v>0</v>
      </c>
      <c r="AL1320" s="9">
        <f>IF(P1320="completed",((U1320-K1320)*24*60),0)</f>
        <v>0</v>
      </c>
      <c r="AM1320" s="9" t="str">
        <f t="shared" si="28"/>
        <v>OTP Breached</v>
      </c>
      <c r="AN1320" s="9" t="str">
        <f t="shared" si="29"/>
        <v>OTP Achieved</v>
      </c>
    </row>
    <row r="1321" spans="9:40" ht="15.75" customHeight="1">
      <c r="I1321" s="28"/>
      <c r="AD1321" s="9" t="str">
        <f t="shared" si="25"/>
        <v>Actual</v>
      </c>
      <c r="AE1321" s="9" t="str">
        <f t="shared" si="26"/>
        <v/>
      </c>
      <c r="AF1321" s="9">
        <f>HOUR(O1321)</f>
        <v>0</v>
      </c>
      <c r="AG1321" s="9">
        <f>DAY(O1321)</f>
        <v>0</v>
      </c>
      <c r="AH1321" s="9">
        <f>IFERROR((I1321-K1321)*24*60,0)</f>
        <v>0</v>
      </c>
      <c r="AI1321" s="9">
        <f t="shared" si="27"/>
        <v>0</v>
      </c>
      <c r="AJ1321" s="9">
        <f>C1321</f>
        <v>0</v>
      </c>
      <c r="AK1321" s="9">
        <f>IF(P1321="completed",((V1321-K1321)*24*60),0)</f>
        <v>0</v>
      </c>
      <c r="AL1321" s="9">
        <f>IF(P1321="completed",((U1321-K1321)*24*60),0)</f>
        <v>0</v>
      </c>
      <c r="AM1321" s="9" t="str">
        <f t="shared" si="28"/>
        <v>OTP Breached</v>
      </c>
      <c r="AN1321" s="9" t="str">
        <f t="shared" si="29"/>
        <v>OTP Achieved</v>
      </c>
    </row>
    <row r="1322" spans="9:40" ht="15.75" customHeight="1">
      <c r="I1322" s="28"/>
      <c r="AD1322" s="9" t="str">
        <f t="shared" si="25"/>
        <v>Actual</v>
      </c>
      <c r="AE1322" s="9" t="str">
        <f t="shared" si="26"/>
        <v/>
      </c>
      <c r="AF1322" s="9">
        <f>HOUR(O1322)</f>
        <v>0</v>
      </c>
      <c r="AG1322" s="9">
        <f>DAY(O1322)</f>
        <v>0</v>
      </c>
      <c r="AH1322" s="9">
        <f>IFERROR((I1322-K1322)*24*60,0)</f>
        <v>0</v>
      </c>
      <c r="AI1322" s="9">
        <f t="shared" si="27"/>
        <v>0</v>
      </c>
      <c r="AJ1322" s="9">
        <f>C1322</f>
        <v>0</v>
      </c>
      <c r="AK1322" s="9">
        <f>IF(P1322="completed",((V1322-K1322)*24*60),0)</f>
        <v>0</v>
      </c>
      <c r="AL1322" s="9">
        <f>IF(P1322="completed",((U1322-K1322)*24*60),0)</f>
        <v>0</v>
      </c>
      <c r="AM1322" s="9" t="str">
        <f t="shared" si="28"/>
        <v>OTP Breached</v>
      </c>
      <c r="AN1322" s="9" t="str">
        <f t="shared" si="29"/>
        <v>OTP Achieved</v>
      </c>
    </row>
    <row r="1323" spans="9:40" ht="15.75" customHeight="1">
      <c r="I1323" s="28"/>
      <c r="AD1323" s="9" t="str">
        <f t="shared" si="25"/>
        <v>Actual</v>
      </c>
      <c r="AE1323" s="9" t="str">
        <f t="shared" si="26"/>
        <v/>
      </c>
      <c r="AF1323" s="9">
        <f>HOUR(O1323)</f>
        <v>0</v>
      </c>
      <c r="AG1323" s="9">
        <f>DAY(O1323)</f>
        <v>0</v>
      </c>
      <c r="AH1323" s="9">
        <f>IFERROR((I1323-K1323)*24*60,0)</f>
        <v>0</v>
      </c>
      <c r="AI1323" s="9">
        <f t="shared" si="27"/>
        <v>0</v>
      </c>
      <c r="AJ1323" s="9">
        <f>C1323</f>
        <v>0</v>
      </c>
      <c r="AK1323" s="9">
        <f>IF(P1323="completed",((V1323-K1323)*24*60),0)</f>
        <v>0</v>
      </c>
      <c r="AL1323" s="9">
        <f>IF(P1323="completed",((U1323-K1323)*24*60),0)</f>
        <v>0</v>
      </c>
      <c r="AM1323" s="9" t="str">
        <f t="shared" si="28"/>
        <v>OTP Breached</v>
      </c>
      <c r="AN1323" s="9" t="str">
        <f t="shared" si="29"/>
        <v>OTP Achieved</v>
      </c>
    </row>
    <row r="1324" spans="9:40" ht="15.75" customHeight="1">
      <c r="I1324" s="28"/>
      <c r="AD1324" s="9" t="str">
        <f t="shared" si="25"/>
        <v>Actual</v>
      </c>
      <c r="AE1324" s="9" t="str">
        <f t="shared" si="26"/>
        <v/>
      </c>
      <c r="AF1324" s="9">
        <f>HOUR(O1324)</f>
        <v>0</v>
      </c>
      <c r="AG1324" s="9">
        <f>DAY(O1324)</f>
        <v>0</v>
      </c>
      <c r="AH1324" s="9">
        <f>IFERROR((I1324-K1324)*24*60,0)</f>
        <v>0</v>
      </c>
      <c r="AI1324" s="9">
        <f t="shared" si="27"/>
        <v>0</v>
      </c>
      <c r="AJ1324" s="9">
        <f>C1324</f>
        <v>0</v>
      </c>
      <c r="AK1324" s="9">
        <f>IF(P1324="completed",((V1324-K1324)*24*60),0)</f>
        <v>0</v>
      </c>
      <c r="AL1324" s="9">
        <f>IF(P1324="completed",((U1324-K1324)*24*60),0)</f>
        <v>0</v>
      </c>
      <c r="AM1324" s="9" t="str">
        <f t="shared" si="28"/>
        <v>OTP Breached</v>
      </c>
      <c r="AN1324" s="9" t="str">
        <f t="shared" si="29"/>
        <v>OTP Achieved</v>
      </c>
    </row>
    <row r="1325" spans="9:40" ht="15.75" customHeight="1">
      <c r="I1325" s="28"/>
      <c r="AD1325" s="9" t="str">
        <f t="shared" si="25"/>
        <v>Actual</v>
      </c>
      <c r="AE1325" s="9" t="str">
        <f t="shared" si="26"/>
        <v/>
      </c>
      <c r="AF1325" s="9">
        <f>HOUR(O1325)</f>
        <v>0</v>
      </c>
      <c r="AG1325" s="9">
        <f>DAY(O1325)</f>
        <v>0</v>
      </c>
      <c r="AH1325" s="9">
        <f>IFERROR((I1325-K1325)*24*60,0)</f>
        <v>0</v>
      </c>
      <c r="AI1325" s="9">
        <f t="shared" si="27"/>
        <v>0</v>
      </c>
      <c r="AJ1325" s="9">
        <f>C1325</f>
        <v>0</v>
      </c>
      <c r="AK1325" s="9">
        <f>IF(P1325="completed",((V1325-K1325)*24*60),0)</f>
        <v>0</v>
      </c>
      <c r="AL1325" s="9">
        <f>IF(P1325="completed",((U1325-K1325)*24*60),0)</f>
        <v>0</v>
      </c>
      <c r="AM1325" s="9" t="str">
        <f t="shared" si="28"/>
        <v>OTP Breached</v>
      </c>
      <c r="AN1325" s="9" t="str">
        <f t="shared" si="29"/>
        <v>OTP Achieved</v>
      </c>
    </row>
    <row r="1326" spans="9:40" ht="15.75" customHeight="1">
      <c r="I1326" s="28"/>
      <c r="AD1326" s="9" t="str">
        <f t="shared" si="25"/>
        <v>Actual</v>
      </c>
      <c r="AE1326" s="9" t="str">
        <f t="shared" si="26"/>
        <v/>
      </c>
      <c r="AF1326" s="9">
        <f>HOUR(O1326)</f>
        <v>0</v>
      </c>
      <c r="AG1326" s="9">
        <f>DAY(O1326)</f>
        <v>0</v>
      </c>
      <c r="AH1326" s="9">
        <f>IFERROR((I1326-K1326)*24*60,0)</f>
        <v>0</v>
      </c>
      <c r="AI1326" s="9">
        <f t="shared" si="27"/>
        <v>0</v>
      </c>
      <c r="AJ1326" s="9">
        <f>C1326</f>
        <v>0</v>
      </c>
      <c r="AK1326" s="9">
        <f>IF(P1326="completed",((V1326-K1326)*24*60),0)</f>
        <v>0</v>
      </c>
      <c r="AL1326" s="9">
        <f>IF(P1326="completed",((U1326-K1326)*24*60),0)</f>
        <v>0</v>
      </c>
      <c r="AM1326" s="9" t="str">
        <f t="shared" si="28"/>
        <v>OTP Breached</v>
      </c>
      <c r="AN1326" s="9" t="str">
        <f t="shared" si="29"/>
        <v>OTP Achieved</v>
      </c>
    </row>
    <row r="1327" spans="9:40" ht="15.75" customHeight="1">
      <c r="I1327" s="28"/>
      <c r="AD1327" s="9" t="str">
        <f t="shared" si="25"/>
        <v>Actual</v>
      </c>
      <c r="AE1327" s="9" t="str">
        <f t="shared" si="26"/>
        <v/>
      </c>
      <c r="AF1327" s="9">
        <f>HOUR(O1327)</f>
        <v>0</v>
      </c>
      <c r="AG1327" s="9">
        <f>DAY(O1327)</f>
        <v>0</v>
      </c>
      <c r="AH1327" s="9">
        <f>IFERROR((I1327-K1327)*24*60,0)</f>
        <v>0</v>
      </c>
      <c r="AI1327" s="9">
        <f t="shared" si="27"/>
        <v>0</v>
      </c>
      <c r="AJ1327" s="9">
        <f>C1327</f>
        <v>0</v>
      </c>
      <c r="AK1327" s="9">
        <f>IF(P1327="completed",((V1327-K1327)*24*60),0)</f>
        <v>0</v>
      </c>
      <c r="AL1327" s="9">
        <f>IF(P1327="completed",((U1327-K1327)*24*60),0)</f>
        <v>0</v>
      </c>
      <c r="AM1327" s="9" t="str">
        <f t="shared" si="28"/>
        <v>OTP Breached</v>
      </c>
      <c r="AN1327" s="9" t="str">
        <f t="shared" si="29"/>
        <v>OTP Achieved</v>
      </c>
    </row>
    <row r="1328" spans="9:40" ht="15.75" customHeight="1">
      <c r="I1328" s="28"/>
      <c r="AD1328" s="9" t="str">
        <f t="shared" si="25"/>
        <v>Actual</v>
      </c>
      <c r="AE1328" s="9" t="str">
        <f t="shared" si="26"/>
        <v/>
      </c>
      <c r="AF1328" s="9">
        <f>HOUR(O1328)</f>
        <v>0</v>
      </c>
      <c r="AG1328" s="9">
        <f>DAY(O1328)</f>
        <v>0</v>
      </c>
      <c r="AH1328" s="9">
        <f>IFERROR((I1328-K1328)*24*60,0)</f>
        <v>0</v>
      </c>
      <c r="AI1328" s="9">
        <f t="shared" si="27"/>
        <v>0</v>
      </c>
      <c r="AJ1328" s="9">
        <f>C1328</f>
        <v>0</v>
      </c>
      <c r="AK1328" s="9">
        <f>IF(P1328="completed",((V1328-K1328)*24*60),0)</f>
        <v>0</v>
      </c>
      <c r="AL1328" s="9">
        <f>IF(P1328="completed",((U1328-K1328)*24*60),0)</f>
        <v>0</v>
      </c>
      <c r="AM1328" s="9" t="str">
        <f t="shared" si="28"/>
        <v>OTP Breached</v>
      </c>
      <c r="AN1328" s="9" t="str">
        <f t="shared" si="29"/>
        <v>OTP Achieved</v>
      </c>
    </row>
    <row r="1329" spans="9:40" ht="15.75" customHeight="1">
      <c r="I1329" s="28"/>
      <c r="AD1329" s="9" t="str">
        <f t="shared" si="25"/>
        <v>Actual</v>
      </c>
      <c r="AE1329" s="9" t="str">
        <f t="shared" si="26"/>
        <v/>
      </c>
      <c r="AF1329" s="9">
        <f>HOUR(O1329)</f>
        <v>0</v>
      </c>
      <c r="AG1329" s="9">
        <f>DAY(O1329)</f>
        <v>0</v>
      </c>
      <c r="AH1329" s="9">
        <f>IFERROR((I1329-K1329)*24*60,0)</f>
        <v>0</v>
      </c>
      <c r="AI1329" s="9">
        <f t="shared" si="27"/>
        <v>0</v>
      </c>
      <c r="AJ1329" s="9">
        <f>C1329</f>
        <v>0</v>
      </c>
      <c r="AK1329" s="9">
        <f>IF(P1329="completed",((V1329-K1329)*24*60),0)</f>
        <v>0</v>
      </c>
      <c r="AL1329" s="9">
        <f>IF(P1329="completed",((U1329-K1329)*24*60),0)</f>
        <v>0</v>
      </c>
      <c r="AM1329" s="9" t="str">
        <f t="shared" si="28"/>
        <v>OTP Breached</v>
      </c>
      <c r="AN1329" s="9" t="str">
        <f t="shared" si="29"/>
        <v>OTP Achieved</v>
      </c>
    </row>
    <row r="1330" spans="9:40" ht="15.75" customHeight="1">
      <c r="I1330" s="28"/>
      <c r="AD1330" s="9" t="str">
        <f t="shared" si="25"/>
        <v>Actual</v>
      </c>
      <c r="AE1330" s="9" t="str">
        <f t="shared" si="26"/>
        <v/>
      </c>
      <c r="AF1330" s="9">
        <f>HOUR(O1330)</f>
        <v>0</v>
      </c>
      <c r="AG1330" s="9">
        <f>DAY(O1330)</f>
        <v>0</v>
      </c>
      <c r="AH1330" s="9">
        <f>IFERROR((I1330-K1330)*24*60,0)</f>
        <v>0</v>
      </c>
      <c r="AI1330" s="9">
        <f t="shared" si="27"/>
        <v>0</v>
      </c>
      <c r="AJ1330" s="9">
        <f>C1330</f>
        <v>0</v>
      </c>
      <c r="AK1330" s="9">
        <f>IF(P1330="completed",((V1330-K1330)*24*60),0)</f>
        <v>0</v>
      </c>
      <c r="AL1330" s="9">
        <f>IF(P1330="completed",((U1330-K1330)*24*60),0)</f>
        <v>0</v>
      </c>
      <c r="AM1330" s="9" t="str">
        <f t="shared" si="28"/>
        <v>OTP Breached</v>
      </c>
      <c r="AN1330" s="9" t="str">
        <f t="shared" si="29"/>
        <v>OTP Achieved</v>
      </c>
    </row>
    <row r="1331" spans="9:40" ht="15.75" customHeight="1">
      <c r="I1331" s="28"/>
      <c r="AD1331" s="9" t="str">
        <f t="shared" si="25"/>
        <v>Actual</v>
      </c>
      <c r="AE1331" s="9" t="str">
        <f t="shared" si="26"/>
        <v/>
      </c>
      <c r="AF1331" s="9">
        <f>HOUR(O1331)</f>
        <v>0</v>
      </c>
      <c r="AG1331" s="9">
        <f>DAY(O1331)</f>
        <v>0</v>
      </c>
      <c r="AH1331" s="9">
        <f>IFERROR((I1331-K1331)*24*60,0)</f>
        <v>0</v>
      </c>
      <c r="AI1331" s="9">
        <f t="shared" si="27"/>
        <v>0</v>
      </c>
      <c r="AJ1331" s="9">
        <f>C1331</f>
        <v>0</v>
      </c>
      <c r="AK1331" s="9">
        <f>IF(P1331="completed",((V1331-K1331)*24*60),0)</f>
        <v>0</v>
      </c>
      <c r="AL1331" s="9">
        <f>IF(P1331="completed",((U1331-K1331)*24*60),0)</f>
        <v>0</v>
      </c>
      <c r="AM1331" s="9" t="str">
        <f t="shared" si="28"/>
        <v>OTP Breached</v>
      </c>
      <c r="AN1331" s="9" t="str">
        <f t="shared" si="29"/>
        <v>OTP Achieved</v>
      </c>
    </row>
    <row r="1332" spans="9:40" ht="15.75" customHeight="1">
      <c r="I1332" s="28"/>
      <c r="AD1332" s="9" t="str">
        <f t="shared" si="25"/>
        <v>Actual</v>
      </c>
      <c r="AE1332" s="9" t="str">
        <f t="shared" si="26"/>
        <v/>
      </c>
      <c r="AF1332" s="9">
        <f>HOUR(O1332)</f>
        <v>0</v>
      </c>
      <c r="AG1332" s="9">
        <f>DAY(O1332)</f>
        <v>0</v>
      </c>
      <c r="AH1332" s="9">
        <f>IFERROR((I1332-K1332)*24*60,0)</f>
        <v>0</v>
      </c>
      <c r="AI1332" s="9">
        <f t="shared" si="27"/>
        <v>0</v>
      </c>
      <c r="AJ1332" s="9">
        <f>C1332</f>
        <v>0</v>
      </c>
      <c r="AK1332" s="9">
        <f>IF(P1332="completed",((V1332-K1332)*24*60),0)</f>
        <v>0</v>
      </c>
      <c r="AL1332" s="9">
        <f>IF(P1332="completed",((U1332-K1332)*24*60),0)</f>
        <v>0</v>
      </c>
      <c r="AM1332" s="9" t="str">
        <f t="shared" si="28"/>
        <v>OTP Breached</v>
      </c>
      <c r="AN1332" s="9" t="str">
        <f t="shared" si="29"/>
        <v>OTP Achieved</v>
      </c>
    </row>
    <row r="1333" spans="9:40" ht="15.75" customHeight="1">
      <c r="I1333" s="28"/>
      <c r="AD1333" s="9" t="str">
        <f t="shared" si="25"/>
        <v>Actual</v>
      </c>
      <c r="AE1333" s="9" t="str">
        <f t="shared" si="26"/>
        <v/>
      </c>
      <c r="AF1333" s="9">
        <f>HOUR(O1333)</f>
        <v>0</v>
      </c>
      <c r="AG1333" s="9">
        <f>DAY(O1333)</f>
        <v>0</v>
      </c>
      <c r="AH1333" s="9">
        <f>IFERROR((I1333-K1333)*24*60,0)</f>
        <v>0</v>
      </c>
      <c r="AI1333" s="9">
        <f t="shared" si="27"/>
        <v>0</v>
      </c>
      <c r="AJ1333" s="9">
        <f>C1333</f>
        <v>0</v>
      </c>
      <c r="AK1333" s="9">
        <f>IF(P1333="completed",((V1333-K1333)*24*60),0)</f>
        <v>0</v>
      </c>
      <c r="AL1333" s="9">
        <f>IF(P1333="completed",((U1333-K1333)*24*60),0)</f>
        <v>0</v>
      </c>
      <c r="AM1333" s="9" t="str">
        <f t="shared" si="28"/>
        <v>OTP Breached</v>
      </c>
      <c r="AN1333" s="9" t="str">
        <f t="shared" si="29"/>
        <v>OTP Achieved</v>
      </c>
    </row>
    <row r="1334" spans="9:40" ht="15.75" customHeight="1">
      <c r="I1334" s="28"/>
      <c r="AD1334" s="9" t="str">
        <f t="shared" si="25"/>
        <v>Actual</v>
      </c>
      <c r="AE1334" s="9" t="str">
        <f t="shared" si="26"/>
        <v/>
      </c>
      <c r="AF1334" s="9">
        <f>HOUR(O1334)</f>
        <v>0</v>
      </c>
      <c r="AG1334" s="9">
        <f>DAY(O1334)</f>
        <v>0</v>
      </c>
      <c r="AH1334" s="9">
        <f>IFERROR((I1334-K1334)*24*60,0)</f>
        <v>0</v>
      </c>
      <c r="AI1334" s="9">
        <f t="shared" si="27"/>
        <v>0</v>
      </c>
      <c r="AJ1334" s="9">
        <f>C1334</f>
        <v>0</v>
      </c>
      <c r="AK1334" s="9">
        <f>IF(P1334="completed",((V1334-K1334)*24*60),0)</f>
        <v>0</v>
      </c>
      <c r="AL1334" s="9">
        <f>IF(P1334="completed",((U1334-K1334)*24*60),0)</f>
        <v>0</v>
      </c>
      <c r="AM1334" s="9" t="str">
        <f t="shared" si="28"/>
        <v>OTP Breached</v>
      </c>
      <c r="AN1334" s="9" t="str">
        <f t="shared" si="29"/>
        <v>OTP Achieved</v>
      </c>
    </row>
    <row r="1335" spans="9:40" ht="15.75" customHeight="1">
      <c r="I1335" s="28"/>
      <c r="AD1335" s="9" t="str">
        <f t="shared" si="25"/>
        <v>Actual</v>
      </c>
      <c r="AE1335" s="9" t="str">
        <f t="shared" si="26"/>
        <v/>
      </c>
      <c r="AF1335" s="9">
        <f>HOUR(O1335)</f>
        <v>0</v>
      </c>
      <c r="AG1335" s="9">
        <f>DAY(O1335)</f>
        <v>0</v>
      </c>
      <c r="AH1335" s="9">
        <f>IFERROR((I1335-K1335)*24*60,0)</f>
        <v>0</v>
      </c>
      <c r="AI1335" s="9">
        <f t="shared" si="27"/>
        <v>0</v>
      </c>
      <c r="AJ1335" s="9">
        <f>C1335</f>
        <v>0</v>
      </c>
      <c r="AK1335" s="9">
        <f>IF(P1335="completed",((V1335-K1335)*24*60),0)</f>
        <v>0</v>
      </c>
      <c r="AL1335" s="9">
        <f>IF(P1335="completed",((U1335-K1335)*24*60),0)</f>
        <v>0</v>
      </c>
      <c r="AM1335" s="9" t="str">
        <f t="shared" si="28"/>
        <v>OTP Breached</v>
      </c>
      <c r="AN1335" s="9" t="str">
        <f t="shared" si="29"/>
        <v>OTP Achieved</v>
      </c>
    </row>
    <row r="1336" spans="9:40" ht="15.75" customHeight="1">
      <c r="I1336" s="28"/>
      <c r="AD1336" s="9" t="str">
        <f t="shared" si="25"/>
        <v>Actual</v>
      </c>
      <c r="AE1336" s="9" t="str">
        <f t="shared" si="26"/>
        <v/>
      </c>
      <c r="AF1336" s="9">
        <f>HOUR(O1336)</f>
        <v>0</v>
      </c>
      <c r="AG1336" s="9">
        <f>DAY(O1336)</f>
        <v>0</v>
      </c>
      <c r="AH1336" s="9">
        <f>IFERROR((I1336-K1336)*24*60,0)</f>
        <v>0</v>
      </c>
      <c r="AI1336" s="9">
        <f t="shared" si="27"/>
        <v>0</v>
      </c>
      <c r="AJ1336" s="9">
        <f>C1336</f>
        <v>0</v>
      </c>
      <c r="AK1336" s="9">
        <f>IF(P1336="completed",((V1336-K1336)*24*60),0)</f>
        <v>0</v>
      </c>
      <c r="AL1336" s="9">
        <f>IF(P1336="completed",((U1336-K1336)*24*60),0)</f>
        <v>0</v>
      </c>
      <c r="AM1336" s="9" t="str">
        <f t="shared" si="28"/>
        <v>OTP Breached</v>
      </c>
      <c r="AN1336" s="9" t="str">
        <f t="shared" si="29"/>
        <v>OTP Achieved</v>
      </c>
    </row>
    <row r="1337" spans="9:40" ht="15.75" customHeight="1">
      <c r="I1337" s="28"/>
      <c r="AD1337" s="9" t="str">
        <f t="shared" si="25"/>
        <v>Actual</v>
      </c>
      <c r="AE1337" s="9" t="str">
        <f t="shared" si="26"/>
        <v/>
      </c>
      <c r="AF1337" s="9">
        <f>HOUR(O1337)</f>
        <v>0</v>
      </c>
      <c r="AG1337" s="9">
        <f>DAY(O1337)</f>
        <v>0</v>
      </c>
      <c r="AH1337" s="9">
        <f>IFERROR((I1337-K1337)*24*60,0)</f>
        <v>0</v>
      </c>
      <c r="AI1337" s="9">
        <f t="shared" si="27"/>
        <v>0</v>
      </c>
      <c r="AJ1337" s="9">
        <f>C1337</f>
        <v>0</v>
      </c>
      <c r="AK1337" s="9">
        <f>IF(P1337="completed",((V1337-K1337)*24*60),0)</f>
        <v>0</v>
      </c>
      <c r="AL1337" s="9">
        <f>IF(P1337="completed",((U1337-K1337)*24*60),0)</f>
        <v>0</v>
      </c>
      <c r="AM1337" s="9" t="str">
        <f t="shared" si="28"/>
        <v>OTP Breached</v>
      </c>
      <c r="AN1337" s="9" t="str">
        <f t="shared" si="29"/>
        <v>OTP Achieved</v>
      </c>
    </row>
    <row r="1338" spans="9:40" ht="15.75" customHeight="1">
      <c r="I1338" s="28"/>
      <c r="AD1338" s="9" t="str">
        <f t="shared" si="25"/>
        <v>Actual</v>
      </c>
      <c r="AE1338" s="9" t="str">
        <f t="shared" si="26"/>
        <v/>
      </c>
      <c r="AF1338" s="9">
        <f>HOUR(O1338)</f>
        <v>0</v>
      </c>
      <c r="AG1338" s="9">
        <f>DAY(O1338)</f>
        <v>0</v>
      </c>
      <c r="AH1338" s="9">
        <f>IFERROR((I1338-K1338)*24*60,0)</f>
        <v>0</v>
      </c>
      <c r="AI1338" s="9">
        <f t="shared" si="27"/>
        <v>0</v>
      </c>
      <c r="AJ1338" s="9">
        <f>C1338</f>
        <v>0</v>
      </c>
      <c r="AK1338" s="9">
        <f>IF(P1338="completed",((V1338-K1338)*24*60),0)</f>
        <v>0</v>
      </c>
      <c r="AL1338" s="9">
        <f>IF(P1338="completed",((U1338-K1338)*24*60),0)</f>
        <v>0</v>
      </c>
      <c r="AM1338" s="9" t="str">
        <f t="shared" si="28"/>
        <v>OTP Breached</v>
      </c>
      <c r="AN1338" s="9" t="str">
        <f t="shared" si="29"/>
        <v>OTP Achieved</v>
      </c>
    </row>
    <row r="1339" spans="9:40" ht="15.75" customHeight="1">
      <c r="I1339" s="28"/>
      <c r="AD1339" s="9" t="str">
        <f t="shared" si="25"/>
        <v>Actual</v>
      </c>
      <c r="AE1339" s="9" t="str">
        <f t="shared" si="26"/>
        <v/>
      </c>
      <c r="AF1339" s="9">
        <f>HOUR(O1339)</f>
        <v>0</v>
      </c>
      <c r="AG1339" s="9">
        <f>DAY(O1339)</f>
        <v>0</v>
      </c>
      <c r="AH1339" s="9">
        <f>IFERROR((I1339-K1339)*24*60,0)</f>
        <v>0</v>
      </c>
      <c r="AI1339" s="9">
        <f t="shared" si="27"/>
        <v>0</v>
      </c>
      <c r="AJ1339" s="9">
        <f>C1339</f>
        <v>0</v>
      </c>
      <c r="AK1339" s="9">
        <f>IF(P1339="completed",((V1339-K1339)*24*60),0)</f>
        <v>0</v>
      </c>
      <c r="AL1339" s="9">
        <f>IF(P1339="completed",((U1339-K1339)*24*60),0)</f>
        <v>0</v>
      </c>
      <c r="AM1339" s="9" t="str">
        <f t="shared" si="28"/>
        <v>OTP Breached</v>
      </c>
      <c r="AN1339" s="9" t="str">
        <f t="shared" si="29"/>
        <v>OTP Achieved</v>
      </c>
    </row>
    <row r="1340" spans="9:40" ht="15.75" customHeight="1">
      <c r="I1340" s="28"/>
      <c r="AD1340" s="9" t="str">
        <f t="shared" si="25"/>
        <v>Actual</v>
      </c>
      <c r="AE1340" s="9" t="str">
        <f t="shared" si="26"/>
        <v/>
      </c>
      <c r="AF1340" s="9">
        <f>HOUR(O1340)</f>
        <v>0</v>
      </c>
      <c r="AG1340" s="9">
        <f>DAY(O1340)</f>
        <v>0</v>
      </c>
      <c r="AH1340" s="9">
        <f>IFERROR((I1340-K1340)*24*60,0)</f>
        <v>0</v>
      </c>
      <c r="AI1340" s="9">
        <f t="shared" si="27"/>
        <v>0</v>
      </c>
      <c r="AJ1340" s="9">
        <f>C1340</f>
        <v>0</v>
      </c>
      <c r="AK1340" s="9">
        <f>IF(P1340="completed",((V1340-K1340)*24*60),0)</f>
        <v>0</v>
      </c>
      <c r="AL1340" s="9">
        <f>IF(P1340="completed",((U1340-K1340)*24*60),0)</f>
        <v>0</v>
      </c>
      <c r="AM1340" s="9" t="str">
        <f t="shared" si="28"/>
        <v>OTP Breached</v>
      </c>
      <c r="AN1340" s="9" t="str">
        <f t="shared" si="29"/>
        <v>OTP Achieved</v>
      </c>
    </row>
    <row r="1341" spans="9:40" ht="15.75" customHeight="1">
      <c r="I1341" s="28"/>
      <c r="AD1341" s="9" t="str">
        <f t="shared" si="25"/>
        <v>Actual</v>
      </c>
      <c r="AE1341" s="9" t="str">
        <f t="shared" si="26"/>
        <v/>
      </c>
      <c r="AF1341" s="9">
        <f>HOUR(O1341)</f>
        <v>0</v>
      </c>
      <c r="AG1341" s="9">
        <f>DAY(O1341)</f>
        <v>0</v>
      </c>
      <c r="AH1341" s="9">
        <f>IFERROR((I1341-K1341)*24*60,0)</f>
        <v>0</v>
      </c>
      <c r="AI1341" s="9">
        <f t="shared" si="27"/>
        <v>0</v>
      </c>
      <c r="AJ1341" s="9">
        <f>C1341</f>
        <v>0</v>
      </c>
      <c r="AK1341" s="9">
        <f>IF(P1341="completed",((V1341-K1341)*24*60),0)</f>
        <v>0</v>
      </c>
      <c r="AL1341" s="9">
        <f>IF(P1341="completed",((U1341-K1341)*24*60),0)</f>
        <v>0</v>
      </c>
      <c r="AM1341" s="9" t="str">
        <f t="shared" si="28"/>
        <v>OTP Breached</v>
      </c>
      <c r="AN1341" s="9" t="str">
        <f t="shared" si="29"/>
        <v>OTP Achieved</v>
      </c>
    </row>
    <row r="1342" spans="9:40" ht="15.75" customHeight="1">
      <c r="I1342" s="28"/>
      <c r="AD1342" s="9" t="str">
        <f t="shared" si="25"/>
        <v>Actual</v>
      </c>
      <c r="AE1342" s="9" t="str">
        <f t="shared" si="26"/>
        <v/>
      </c>
      <c r="AF1342" s="9">
        <f>HOUR(O1342)</f>
        <v>0</v>
      </c>
      <c r="AG1342" s="9">
        <f>DAY(O1342)</f>
        <v>0</v>
      </c>
      <c r="AH1342" s="9">
        <f>IFERROR((I1342-K1342)*24*60,0)</f>
        <v>0</v>
      </c>
      <c r="AI1342" s="9">
        <f t="shared" si="27"/>
        <v>0</v>
      </c>
      <c r="AJ1342" s="9">
        <f>C1342</f>
        <v>0</v>
      </c>
      <c r="AK1342" s="9">
        <f>IF(P1342="completed",((V1342-K1342)*24*60),0)</f>
        <v>0</v>
      </c>
      <c r="AL1342" s="9">
        <f>IF(P1342="completed",((U1342-K1342)*24*60),0)</f>
        <v>0</v>
      </c>
      <c r="AM1342" s="9" t="str">
        <f t="shared" si="28"/>
        <v>OTP Breached</v>
      </c>
      <c r="AN1342" s="9" t="str">
        <f t="shared" si="29"/>
        <v>OTP Achieved</v>
      </c>
    </row>
    <row r="1343" spans="9:40" ht="15.75" customHeight="1">
      <c r="I1343" s="28"/>
      <c r="AD1343" s="9" t="str">
        <f t="shared" si="25"/>
        <v>Actual</v>
      </c>
      <c r="AE1343" s="9" t="str">
        <f t="shared" si="26"/>
        <v/>
      </c>
      <c r="AF1343" s="9">
        <f>HOUR(O1343)</f>
        <v>0</v>
      </c>
      <c r="AG1343" s="9">
        <f>DAY(O1343)</f>
        <v>0</v>
      </c>
      <c r="AH1343" s="9">
        <f>IFERROR((I1343-K1343)*24*60,0)</f>
        <v>0</v>
      </c>
      <c r="AI1343" s="9">
        <f t="shared" si="27"/>
        <v>0</v>
      </c>
      <c r="AJ1343" s="9">
        <f>C1343</f>
        <v>0</v>
      </c>
      <c r="AK1343" s="9">
        <f>IF(P1343="completed",((V1343-K1343)*24*60),0)</f>
        <v>0</v>
      </c>
      <c r="AL1343" s="9">
        <f>IF(P1343="completed",((U1343-K1343)*24*60),0)</f>
        <v>0</v>
      </c>
      <c r="AM1343" s="9" t="str">
        <f t="shared" si="28"/>
        <v>OTP Breached</v>
      </c>
      <c r="AN1343" s="9" t="str">
        <f t="shared" si="29"/>
        <v>OTP Achieved</v>
      </c>
    </row>
    <row r="1344" spans="9:40" ht="15.75" customHeight="1">
      <c r="I1344" s="28"/>
      <c r="AD1344" s="9" t="str">
        <f t="shared" si="25"/>
        <v>Actual</v>
      </c>
      <c r="AE1344" s="9" t="str">
        <f t="shared" si="26"/>
        <v/>
      </c>
      <c r="AF1344" s="9">
        <f>HOUR(O1344)</f>
        <v>0</v>
      </c>
      <c r="AG1344" s="9">
        <f>DAY(O1344)</f>
        <v>0</v>
      </c>
      <c r="AH1344" s="9">
        <f>IFERROR((I1344-K1344)*24*60,0)</f>
        <v>0</v>
      </c>
      <c r="AI1344" s="9">
        <f t="shared" si="27"/>
        <v>0</v>
      </c>
      <c r="AJ1344" s="9">
        <f>C1344</f>
        <v>0</v>
      </c>
      <c r="AK1344" s="9">
        <f>IF(P1344="completed",((V1344-K1344)*24*60),0)</f>
        <v>0</v>
      </c>
      <c r="AL1344" s="9">
        <f>IF(P1344="completed",((U1344-K1344)*24*60),0)</f>
        <v>0</v>
      </c>
      <c r="AM1344" s="9" t="str">
        <f t="shared" si="28"/>
        <v>OTP Breached</v>
      </c>
      <c r="AN1344" s="9" t="str">
        <f t="shared" si="29"/>
        <v>OTP Achieved</v>
      </c>
    </row>
    <row r="1345" spans="9:40" ht="15.75" customHeight="1">
      <c r="I1345" s="28"/>
      <c r="AD1345" s="9" t="str">
        <f t="shared" si="25"/>
        <v>Actual</v>
      </c>
      <c r="AE1345" s="9" t="str">
        <f t="shared" si="26"/>
        <v/>
      </c>
      <c r="AF1345" s="9">
        <f>HOUR(O1345)</f>
        <v>0</v>
      </c>
      <c r="AG1345" s="9">
        <f>DAY(O1345)</f>
        <v>0</v>
      </c>
      <c r="AH1345" s="9">
        <f>IFERROR((I1345-K1345)*24*60,0)</f>
        <v>0</v>
      </c>
      <c r="AI1345" s="9">
        <f t="shared" si="27"/>
        <v>0</v>
      </c>
      <c r="AJ1345" s="9">
        <f>C1345</f>
        <v>0</v>
      </c>
      <c r="AK1345" s="9">
        <f>IF(P1345="completed",((V1345-K1345)*24*60),0)</f>
        <v>0</v>
      </c>
      <c r="AL1345" s="9">
        <f>IF(P1345="completed",((U1345-K1345)*24*60),0)</f>
        <v>0</v>
      </c>
      <c r="AM1345" s="9" t="str">
        <f t="shared" si="28"/>
        <v>OTP Breached</v>
      </c>
      <c r="AN1345" s="9" t="str">
        <f t="shared" si="29"/>
        <v>OTP Achieved</v>
      </c>
    </row>
    <row r="1346" spans="9:40" ht="15.75" customHeight="1">
      <c r="I1346" s="28"/>
      <c r="AD1346" s="9" t="str">
        <f t="shared" si="25"/>
        <v>Actual</v>
      </c>
      <c r="AE1346" s="9" t="str">
        <f t="shared" si="26"/>
        <v/>
      </c>
      <c r="AF1346" s="9">
        <f>HOUR(O1346)</f>
        <v>0</v>
      </c>
      <c r="AG1346" s="9">
        <f>DAY(O1346)</f>
        <v>0</v>
      </c>
      <c r="AH1346" s="9">
        <f>IFERROR((I1346-K1346)*24*60,0)</f>
        <v>0</v>
      </c>
      <c r="AI1346" s="9">
        <f t="shared" si="27"/>
        <v>0</v>
      </c>
      <c r="AJ1346" s="9">
        <f>C1346</f>
        <v>0</v>
      </c>
      <c r="AK1346" s="9">
        <f>IF(P1346="completed",((V1346-K1346)*24*60),0)</f>
        <v>0</v>
      </c>
      <c r="AL1346" s="9">
        <f>IF(P1346="completed",((U1346-K1346)*24*60),0)</f>
        <v>0</v>
      </c>
      <c r="AM1346" s="9" t="str">
        <f t="shared" si="28"/>
        <v>OTP Breached</v>
      </c>
      <c r="AN1346" s="9" t="str">
        <f t="shared" si="29"/>
        <v>OTP Achieved</v>
      </c>
    </row>
    <row r="1347" spans="9:40" ht="15.75" customHeight="1">
      <c r="I1347" s="28"/>
      <c r="AD1347" s="9" t="str">
        <f t="shared" si="25"/>
        <v>Actual</v>
      </c>
      <c r="AE1347" s="9" t="str">
        <f t="shared" si="26"/>
        <v/>
      </c>
      <c r="AF1347" s="9">
        <f>HOUR(O1347)</f>
        <v>0</v>
      </c>
      <c r="AG1347" s="9">
        <f>DAY(O1347)</f>
        <v>0</v>
      </c>
      <c r="AH1347" s="9">
        <f>IFERROR((I1347-K1347)*24*60,0)</f>
        <v>0</v>
      </c>
      <c r="AI1347" s="9">
        <f t="shared" si="27"/>
        <v>0</v>
      </c>
      <c r="AJ1347" s="9">
        <f>C1347</f>
        <v>0</v>
      </c>
      <c r="AK1347" s="9">
        <f>IF(P1347="completed",((V1347-K1347)*24*60),0)</f>
        <v>0</v>
      </c>
      <c r="AL1347" s="9">
        <f>IF(P1347="completed",((U1347-K1347)*24*60),0)</f>
        <v>0</v>
      </c>
      <c r="AM1347" s="9" t="str">
        <f t="shared" si="28"/>
        <v>OTP Breached</v>
      </c>
      <c r="AN1347" s="9" t="str">
        <f t="shared" si="29"/>
        <v>OTP Achieved</v>
      </c>
    </row>
    <row r="1348" spans="9:40" ht="15.75" customHeight="1">
      <c r="I1348" s="28"/>
      <c r="AD1348" s="9" t="str">
        <f t="shared" si="25"/>
        <v>Actual</v>
      </c>
      <c r="AE1348" s="9" t="str">
        <f t="shared" si="26"/>
        <v/>
      </c>
      <c r="AF1348" s="9">
        <f>HOUR(O1348)</f>
        <v>0</v>
      </c>
      <c r="AG1348" s="9">
        <f>DAY(O1348)</f>
        <v>0</v>
      </c>
      <c r="AH1348" s="9">
        <f>IFERROR((I1348-K1348)*24*60,0)</f>
        <v>0</v>
      </c>
      <c r="AI1348" s="9">
        <f t="shared" si="27"/>
        <v>0</v>
      </c>
      <c r="AJ1348" s="9">
        <f>C1348</f>
        <v>0</v>
      </c>
      <c r="AK1348" s="9">
        <f>IF(P1348="completed",((V1348-K1348)*24*60),0)</f>
        <v>0</v>
      </c>
      <c r="AL1348" s="9">
        <f>IF(P1348="completed",((U1348-K1348)*24*60),0)</f>
        <v>0</v>
      </c>
      <c r="AM1348" s="9" t="str">
        <f t="shared" si="28"/>
        <v>OTP Breached</v>
      </c>
      <c r="AN1348" s="9" t="str">
        <f t="shared" si="29"/>
        <v>OTP Achieved</v>
      </c>
    </row>
    <row r="1349" spans="9:40" ht="15.75" customHeight="1">
      <c r="I1349" s="28"/>
      <c r="AD1349" s="9" t="str">
        <f t="shared" si="25"/>
        <v>Actual</v>
      </c>
      <c r="AE1349" s="9" t="str">
        <f t="shared" si="26"/>
        <v/>
      </c>
      <c r="AF1349" s="9">
        <f>HOUR(O1349)</f>
        <v>0</v>
      </c>
      <c r="AG1349" s="9">
        <f>DAY(O1349)</f>
        <v>0</v>
      </c>
      <c r="AH1349" s="9">
        <f>IFERROR((I1349-K1349)*24*60,0)</f>
        <v>0</v>
      </c>
      <c r="AI1349" s="9">
        <f t="shared" si="27"/>
        <v>0</v>
      </c>
      <c r="AJ1349" s="9">
        <f>C1349</f>
        <v>0</v>
      </c>
      <c r="AK1349" s="9">
        <f>IF(P1349="completed",((V1349-K1349)*24*60),0)</f>
        <v>0</v>
      </c>
      <c r="AL1349" s="9">
        <f>IF(P1349="completed",((U1349-K1349)*24*60),0)</f>
        <v>0</v>
      </c>
      <c r="AM1349" s="9" t="str">
        <f t="shared" si="28"/>
        <v>OTP Breached</v>
      </c>
      <c r="AN1349" s="9" t="str">
        <f t="shared" si="29"/>
        <v>OTP Achieved</v>
      </c>
    </row>
    <row r="1350" spans="9:40" ht="15.75" customHeight="1">
      <c r="I1350" s="28"/>
      <c r="AD1350" s="9" t="str">
        <f t="shared" si="25"/>
        <v>Actual</v>
      </c>
      <c r="AE1350" s="9" t="str">
        <f t="shared" si="26"/>
        <v/>
      </c>
      <c r="AF1350" s="9">
        <f>HOUR(O1350)</f>
        <v>0</v>
      </c>
      <c r="AG1350" s="9">
        <f>DAY(O1350)</f>
        <v>0</v>
      </c>
      <c r="AH1350" s="9">
        <f>IFERROR((I1350-K1350)*24*60,0)</f>
        <v>0</v>
      </c>
      <c r="AI1350" s="9">
        <f t="shared" si="27"/>
        <v>0</v>
      </c>
      <c r="AJ1350" s="9">
        <f>C1350</f>
        <v>0</v>
      </c>
      <c r="AK1350" s="9">
        <f>IF(P1350="completed",((V1350-K1350)*24*60),0)</f>
        <v>0</v>
      </c>
      <c r="AL1350" s="9">
        <f>IF(P1350="completed",((U1350-K1350)*24*60),0)</f>
        <v>0</v>
      </c>
      <c r="AM1350" s="9" t="str">
        <f t="shared" si="28"/>
        <v>OTP Breached</v>
      </c>
      <c r="AN1350" s="9" t="str">
        <f t="shared" si="29"/>
        <v>OTP Achieved</v>
      </c>
    </row>
    <row r="1351" spans="9:40" ht="15.75" customHeight="1">
      <c r="I1351" s="28"/>
      <c r="AD1351" s="9" t="str">
        <f t="shared" si="25"/>
        <v>Actual</v>
      </c>
      <c r="AE1351" s="9" t="str">
        <f t="shared" si="26"/>
        <v/>
      </c>
      <c r="AF1351" s="9">
        <f>HOUR(O1351)</f>
        <v>0</v>
      </c>
      <c r="AG1351" s="9">
        <f>DAY(O1351)</f>
        <v>0</v>
      </c>
      <c r="AH1351" s="9">
        <f>IFERROR((I1351-K1351)*24*60,0)</f>
        <v>0</v>
      </c>
      <c r="AI1351" s="9">
        <f t="shared" si="27"/>
        <v>0</v>
      </c>
      <c r="AJ1351" s="9">
        <f>C1351</f>
        <v>0</v>
      </c>
      <c r="AK1351" s="9">
        <f>IF(P1351="completed",((V1351-K1351)*24*60),0)</f>
        <v>0</v>
      </c>
      <c r="AL1351" s="9">
        <f>IF(P1351="completed",((U1351-K1351)*24*60),0)</f>
        <v>0</v>
      </c>
      <c r="AM1351" s="9" t="str">
        <f t="shared" si="28"/>
        <v>OTP Breached</v>
      </c>
      <c r="AN1351" s="9" t="str">
        <f t="shared" si="29"/>
        <v>OTP Achieved</v>
      </c>
    </row>
    <row r="1352" spans="9:40" ht="15.75" customHeight="1">
      <c r="I1352" s="28"/>
      <c r="AD1352" s="9" t="str">
        <f t="shared" si="25"/>
        <v>Actual</v>
      </c>
      <c r="AE1352" s="9" t="str">
        <f t="shared" si="26"/>
        <v/>
      </c>
      <c r="AF1352" s="9">
        <f>HOUR(O1352)</f>
        <v>0</v>
      </c>
      <c r="AG1352" s="9">
        <f>DAY(O1352)</f>
        <v>0</v>
      </c>
      <c r="AH1352" s="9">
        <f>IFERROR((I1352-K1352)*24*60,0)</f>
        <v>0</v>
      </c>
      <c r="AI1352" s="9">
        <f t="shared" si="27"/>
        <v>0</v>
      </c>
      <c r="AJ1352" s="9">
        <f>C1352</f>
        <v>0</v>
      </c>
      <c r="AK1352" s="9">
        <f>IF(P1352="completed",((V1352-K1352)*24*60),0)</f>
        <v>0</v>
      </c>
      <c r="AL1352" s="9">
        <f>IF(P1352="completed",((U1352-K1352)*24*60),0)</f>
        <v>0</v>
      </c>
      <c r="AM1352" s="9" t="str">
        <f t="shared" si="28"/>
        <v>OTP Breached</v>
      </c>
      <c r="AN1352" s="9" t="str">
        <f t="shared" si="29"/>
        <v>OTP Achieved</v>
      </c>
    </row>
    <row r="1353" spans="9:40" ht="15.75" customHeight="1">
      <c r="I1353" s="28"/>
      <c r="AD1353" s="9" t="str">
        <f t="shared" si="25"/>
        <v>Actual</v>
      </c>
      <c r="AE1353" s="9" t="str">
        <f t="shared" si="26"/>
        <v/>
      </c>
      <c r="AF1353" s="9">
        <f>HOUR(O1353)</f>
        <v>0</v>
      </c>
      <c r="AG1353" s="9">
        <f>DAY(O1353)</f>
        <v>0</v>
      </c>
      <c r="AH1353" s="9">
        <f>IFERROR((I1353-K1353)*24*60,0)</f>
        <v>0</v>
      </c>
      <c r="AI1353" s="9">
        <f t="shared" si="27"/>
        <v>0</v>
      </c>
      <c r="AJ1353" s="9">
        <f>C1353</f>
        <v>0</v>
      </c>
      <c r="AK1353" s="9">
        <f>IF(P1353="completed",((V1353-K1353)*24*60),0)</f>
        <v>0</v>
      </c>
      <c r="AL1353" s="9">
        <f>IF(P1353="completed",((U1353-K1353)*24*60),0)</f>
        <v>0</v>
      </c>
      <c r="AM1353" s="9" t="str">
        <f t="shared" si="28"/>
        <v>OTP Breached</v>
      </c>
      <c r="AN1353" s="9" t="str">
        <f t="shared" si="29"/>
        <v>OTP Achieved</v>
      </c>
    </row>
    <row r="1354" spans="9:40" ht="15.75" customHeight="1">
      <c r="I1354" s="28"/>
      <c r="AD1354" s="9" t="str">
        <f t="shared" si="25"/>
        <v>Actual</v>
      </c>
      <c r="AE1354" s="9" t="str">
        <f t="shared" si="26"/>
        <v/>
      </c>
      <c r="AF1354" s="9">
        <f>HOUR(O1354)</f>
        <v>0</v>
      </c>
      <c r="AG1354" s="9">
        <f>DAY(O1354)</f>
        <v>0</v>
      </c>
      <c r="AH1354" s="9">
        <f>IFERROR((I1354-K1354)*24*60,0)</f>
        <v>0</v>
      </c>
      <c r="AI1354" s="9">
        <f t="shared" si="27"/>
        <v>0</v>
      </c>
      <c r="AJ1354" s="9">
        <f>C1354</f>
        <v>0</v>
      </c>
      <c r="AK1354" s="9">
        <f>IF(P1354="completed",((V1354-K1354)*24*60),0)</f>
        <v>0</v>
      </c>
      <c r="AL1354" s="9">
        <f>IF(P1354="completed",((U1354-K1354)*24*60),0)</f>
        <v>0</v>
      </c>
      <c r="AM1354" s="9" t="str">
        <f t="shared" si="28"/>
        <v>OTP Breached</v>
      </c>
      <c r="AN1354" s="9" t="str">
        <f t="shared" si="29"/>
        <v>OTP Achieved</v>
      </c>
    </row>
    <row r="1355" spans="9:40" ht="15.75" customHeight="1">
      <c r="I1355" s="28"/>
      <c r="AD1355" s="9" t="str">
        <f t="shared" si="25"/>
        <v>Actual</v>
      </c>
      <c r="AE1355" s="9" t="str">
        <f t="shared" si="26"/>
        <v/>
      </c>
      <c r="AF1355" s="9">
        <f>HOUR(O1355)</f>
        <v>0</v>
      </c>
      <c r="AG1355" s="9">
        <f>DAY(O1355)</f>
        <v>0</v>
      </c>
      <c r="AH1355" s="9">
        <f>IFERROR((I1355-K1355)*24*60,0)</f>
        <v>0</v>
      </c>
      <c r="AI1355" s="9">
        <f t="shared" si="27"/>
        <v>0</v>
      </c>
      <c r="AJ1355" s="9">
        <f>C1355</f>
        <v>0</v>
      </c>
      <c r="AK1355" s="9">
        <f>IF(P1355="completed",((V1355-K1355)*24*60),0)</f>
        <v>0</v>
      </c>
      <c r="AL1355" s="9">
        <f>IF(P1355="completed",((U1355-K1355)*24*60),0)</f>
        <v>0</v>
      </c>
      <c r="AM1355" s="9" t="str">
        <f t="shared" si="28"/>
        <v>OTP Breached</v>
      </c>
      <c r="AN1355" s="9" t="str">
        <f t="shared" si="29"/>
        <v>OTP Achieved</v>
      </c>
    </row>
    <row r="1356" spans="9:40" ht="15.75" customHeight="1">
      <c r="I1356" s="28"/>
      <c r="AD1356" s="9" t="str">
        <f t="shared" si="25"/>
        <v>Actual</v>
      </c>
      <c r="AE1356" s="9" t="str">
        <f t="shared" si="26"/>
        <v/>
      </c>
      <c r="AF1356" s="9">
        <f>HOUR(O1356)</f>
        <v>0</v>
      </c>
      <c r="AG1356" s="9">
        <f>DAY(O1356)</f>
        <v>0</v>
      </c>
      <c r="AH1356" s="9">
        <f>IFERROR((I1356-K1356)*24*60,0)</f>
        <v>0</v>
      </c>
      <c r="AI1356" s="9">
        <f t="shared" si="27"/>
        <v>0</v>
      </c>
      <c r="AJ1356" s="9">
        <f>C1356</f>
        <v>0</v>
      </c>
      <c r="AK1356" s="9">
        <f>IF(P1356="completed",((V1356-K1356)*24*60),0)</f>
        <v>0</v>
      </c>
      <c r="AL1356" s="9">
        <f>IF(P1356="completed",((U1356-K1356)*24*60),0)</f>
        <v>0</v>
      </c>
      <c r="AM1356" s="9" t="str">
        <f t="shared" si="28"/>
        <v>OTP Breached</v>
      </c>
      <c r="AN1356" s="9" t="str">
        <f t="shared" si="29"/>
        <v>OTP Achieved</v>
      </c>
    </row>
    <row r="1357" spans="9:40" ht="15.75" customHeight="1">
      <c r="I1357" s="28"/>
      <c r="AD1357" s="9" t="str">
        <f t="shared" si="25"/>
        <v>Actual</v>
      </c>
      <c r="AE1357" s="9" t="str">
        <f t="shared" si="26"/>
        <v/>
      </c>
      <c r="AF1357" s="9">
        <f>HOUR(O1357)</f>
        <v>0</v>
      </c>
      <c r="AG1357" s="9">
        <f>DAY(O1357)</f>
        <v>0</v>
      </c>
      <c r="AH1357" s="9">
        <f>IFERROR((I1357-K1357)*24*60,0)</f>
        <v>0</v>
      </c>
      <c r="AI1357" s="9">
        <f t="shared" si="27"/>
        <v>0</v>
      </c>
      <c r="AJ1357" s="9">
        <f>C1357</f>
        <v>0</v>
      </c>
      <c r="AK1357" s="9">
        <f>IF(P1357="completed",((V1357-K1357)*24*60),0)</f>
        <v>0</v>
      </c>
      <c r="AL1357" s="9">
        <f>IF(P1357="completed",((U1357-K1357)*24*60),0)</f>
        <v>0</v>
      </c>
      <c r="AM1357" s="9" t="str">
        <f t="shared" si="28"/>
        <v>OTP Breached</v>
      </c>
      <c r="AN1357" s="9" t="str">
        <f t="shared" si="29"/>
        <v>OTP Achieved</v>
      </c>
    </row>
    <row r="1358" spans="9:40" ht="15.75" customHeight="1">
      <c r="I1358" s="28"/>
      <c r="AD1358" s="9" t="str">
        <f t="shared" si="25"/>
        <v>Actual</v>
      </c>
      <c r="AE1358" s="9" t="str">
        <f t="shared" si="26"/>
        <v/>
      </c>
      <c r="AF1358" s="9">
        <f>HOUR(O1358)</f>
        <v>0</v>
      </c>
      <c r="AG1358" s="9">
        <f>DAY(O1358)</f>
        <v>0</v>
      </c>
      <c r="AH1358" s="9">
        <f>IFERROR((I1358-K1358)*24*60,0)</f>
        <v>0</v>
      </c>
      <c r="AI1358" s="9">
        <f t="shared" si="27"/>
        <v>0</v>
      </c>
      <c r="AJ1358" s="9">
        <f>C1358</f>
        <v>0</v>
      </c>
      <c r="AK1358" s="9">
        <f>IF(P1358="completed",((V1358-K1358)*24*60),0)</f>
        <v>0</v>
      </c>
      <c r="AL1358" s="9">
        <f>IF(P1358="completed",((U1358-K1358)*24*60),0)</f>
        <v>0</v>
      </c>
      <c r="AM1358" s="9" t="str">
        <f t="shared" si="28"/>
        <v>OTP Breached</v>
      </c>
      <c r="AN1358" s="9" t="str">
        <f t="shared" si="29"/>
        <v>OTP Achieved</v>
      </c>
    </row>
    <row r="1359" spans="9:40" ht="15.75" customHeight="1">
      <c r="I1359" s="28"/>
      <c r="AD1359" s="9" t="str">
        <f t="shared" si="25"/>
        <v>Actual</v>
      </c>
      <c r="AE1359" s="9" t="str">
        <f t="shared" si="26"/>
        <v/>
      </c>
      <c r="AF1359" s="9">
        <f>HOUR(O1359)</f>
        <v>0</v>
      </c>
      <c r="AG1359" s="9">
        <f>DAY(O1359)</f>
        <v>0</v>
      </c>
      <c r="AH1359" s="9">
        <f>IFERROR((I1359-K1359)*24*60,0)</f>
        <v>0</v>
      </c>
      <c r="AI1359" s="9">
        <f t="shared" si="27"/>
        <v>0</v>
      </c>
      <c r="AJ1359" s="9">
        <f>C1359</f>
        <v>0</v>
      </c>
      <c r="AK1359" s="9">
        <f>IF(P1359="completed",((V1359-K1359)*24*60),0)</f>
        <v>0</v>
      </c>
      <c r="AL1359" s="9">
        <f>IF(P1359="completed",((U1359-K1359)*24*60),0)</f>
        <v>0</v>
      </c>
      <c r="AM1359" s="9" t="str">
        <f t="shared" si="28"/>
        <v>OTP Breached</v>
      </c>
      <c r="AN1359" s="9" t="str">
        <f t="shared" si="29"/>
        <v>OTP Achieved</v>
      </c>
    </row>
    <row r="1360" spans="9:40" ht="15.75" customHeight="1">
      <c r="I1360" s="28"/>
      <c r="AD1360" s="9" t="str">
        <f t="shared" si="25"/>
        <v>Actual</v>
      </c>
      <c r="AE1360" s="9" t="str">
        <f t="shared" si="26"/>
        <v/>
      </c>
      <c r="AF1360" s="9">
        <f>HOUR(O1360)</f>
        <v>0</v>
      </c>
      <c r="AG1360" s="9">
        <f>DAY(O1360)</f>
        <v>0</v>
      </c>
      <c r="AH1360" s="9">
        <f>IFERROR((I1360-K1360)*24*60,0)</f>
        <v>0</v>
      </c>
      <c r="AI1360" s="9">
        <f t="shared" si="27"/>
        <v>0</v>
      </c>
      <c r="AJ1360" s="9">
        <f>C1360</f>
        <v>0</v>
      </c>
      <c r="AK1360" s="9">
        <f>IF(P1360="completed",((V1360-K1360)*24*60),0)</f>
        <v>0</v>
      </c>
      <c r="AL1360" s="9">
        <f>IF(P1360="completed",((U1360-K1360)*24*60),0)</f>
        <v>0</v>
      </c>
      <c r="AM1360" s="9" t="str">
        <f t="shared" si="28"/>
        <v>OTP Breached</v>
      </c>
      <c r="AN1360" s="9" t="str">
        <f t="shared" si="29"/>
        <v>OTP Achieved</v>
      </c>
    </row>
    <row r="1361" spans="9:40" ht="15.75" customHeight="1">
      <c r="I1361" s="28"/>
      <c r="AD1361" s="9" t="str">
        <f t="shared" si="25"/>
        <v>Actual</v>
      </c>
      <c r="AE1361" s="9" t="str">
        <f t="shared" si="26"/>
        <v/>
      </c>
      <c r="AF1361" s="9">
        <f>HOUR(O1361)</f>
        <v>0</v>
      </c>
      <c r="AG1361" s="9">
        <f>DAY(O1361)</f>
        <v>0</v>
      </c>
      <c r="AH1361" s="9">
        <f>IFERROR((I1361-K1361)*24*60,0)</f>
        <v>0</v>
      </c>
      <c r="AI1361" s="9">
        <f t="shared" si="27"/>
        <v>0</v>
      </c>
      <c r="AJ1361" s="9">
        <f>C1361</f>
        <v>0</v>
      </c>
      <c r="AK1361" s="9">
        <f>IF(P1361="completed",((V1361-K1361)*24*60),0)</f>
        <v>0</v>
      </c>
      <c r="AL1361" s="9">
        <f>IF(P1361="completed",((U1361-K1361)*24*60),0)</f>
        <v>0</v>
      </c>
      <c r="AM1361" s="9" t="str">
        <f t="shared" si="28"/>
        <v>OTP Breached</v>
      </c>
      <c r="AN1361" s="9" t="str">
        <f t="shared" si="29"/>
        <v>OTP Achieved</v>
      </c>
    </row>
    <row r="1362" spans="9:40" ht="15.75" customHeight="1">
      <c r="I1362" s="28"/>
      <c r="AD1362" s="9" t="str">
        <f t="shared" si="25"/>
        <v>Actual</v>
      </c>
      <c r="AE1362" s="9" t="str">
        <f t="shared" si="26"/>
        <v/>
      </c>
      <c r="AF1362" s="9">
        <f>HOUR(O1362)</f>
        <v>0</v>
      </c>
      <c r="AG1362" s="9">
        <f>DAY(O1362)</f>
        <v>0</v>
      </c>
      <c r="AH1362" s="9">
        <f>IFERROR((I1362-K1362)*24*60,0)</f>
        <v>0</v>
      </c>
      <c r="AI1362" s="9">
        <f t="shared" si="27"/>
        <v>0</v>
      </c>
      <c r="AJ1362" s="9">
        <f>C1362</f>
        <v>0</v>
      </c>
      <c r="AK1362" s="9">
        <f>IF(P1362="completed",((V1362-K1362)*24*60),0)</f>
        <v>0</v>
      </c>
      <c r="AL1362" s="9">
        <f>IF(P1362="completed",((U1362-K1362)*24*60),0)</f>
        <v>0</v>
      </c>
      <c r="AM1362" s="9" t="str">
        <f t="shared" si="28"/>
        <v>OTP Breached</v>
      </c>
      <c r="AN1362" s="9" t="str">
        <f t="shared" si="29"/>
        <v>OTP Achieved</v>
      </c>
    </row>
    <row r="1363" spans="9:40" ht="15.75" customHeight="1">
      <c r="I1363" s="28"/>
      <c r="AD1363" s="9" t="str">
        <f t="shared" si="25"/>
        <v>Actual</v>
      </c>
      <c r="AE1363" s="9" t="str">
        <f t="shared" si="26"/>
        <v/>
      </c>
      <c r="AF1363" s="9">
        <f>HOUR(O1363)</f>
        <v>0</v>
      </c>
      <c r="AG1363" s="9">
        <f>DAY(O1363)</f>
        <v>0</v>
      </c>
      <c r="AH1363" s="9">
        <f>IFERROR((I1363-K1363)*24*60,0)</f>
        <v>0</v>
      </c>
      <c r="AI1363" s="9">
        <f t="shared" si="27"/>
        <v>0</v>
      </c>
      <c r="AJ1363" s="9">
        <f>C1363</f>
        <v>0</v>
      </c>
      <c r="AK1363" s="9">
        <f>IF(P1363="completed",((V1363-K1363)*24*60),0)</f>
        <v>0</v>
      </c>
      <c r="AL1363" s="9">
        <f>IF(P1363="completed",((U1363-K1363)*24*60),0)</f>
        <v>0</v>
      </c>
      <c r="AM1363" s="9" t="str">
        <f t="shared" si="28"/>
        <v>OTP Breached</v>
      </c>
      <c r="AN1363" s="9" t="str">
        <f t="shared" si="29"/>
        <v>OTP Achieved</v>
      </c>
    </row>
    <row r="1364" spans="9:40" ht="15.75" customHeight="1">
      <c r="I1364" s="28"/>
      <c r="AD1364" s="9" t="str">
        <f t="shared" si="25"/>
        <v>Actual</v>
      </c>
      <c r="AE1364" s="9" t="str">
        <f t="shared" si="26"/>
        <v/>
      </c>
      <c r="AF1364" s="9">
        <f>HOUR(O1364)</f>
        <v>0</v>
      </c>
      <c r="AG1364" s="9">
        <f>DAY(O1364)</f>
        <v>0</v>
      </c>
      <c r="AH1364" s="9">
        <f>IFERROR((I1364-K1364)*24*60,0)</f>
        <v>0</v>
      </c>
      <c r="AI1364" s="9">
        <f t="shared" si="27"/>
        <v>0</v>
      </c>
      <c r="AJ1364" s="9">
        <f>C1364</f>
        <v>0</v>
      </c>
      <c r="AK1364" s="9">
        <f>IF(P1364="completed",((V1364-K1364)*24*60),0)</f>
        <v>0</v>
      </c>
      <c r="AL1364" s="9">
        <f>IF(P1364="completed",((U1364-K1364)*24*60),0)</f>
        <v>0</v>
      </c>
      <c r="AM1364" s="9" t="str">
        <f t="shared" si="28"/>
        <v>OTP Breached</v>
      </c>
      <c r="AN1364" s="9" t="str">
        <f t="shared" si="29"/>
        <v>OTP Achieved</v>
      </c>
    </row>
    <row r="1365" spans="9:40" ht="15.75" customHeight="1">
      <c r="I1365" s="28"/>
      <c r="AD1365" s="9" t="str">
        <f t="shared" si="25"/>
        <v>Actual</v>
      </c>
      <c r="AE1365" s="9" t="str">
        <f t="shared" si="26"/>
        <v/>
      </c>
      <c r="AF1365" s="9">
        <f>HOUR(O1365)</f>
        <v>0</v>
      </c>
      <c r="AG1365" s="9">
        <f>DAY(O1365)</f>
        <v>0</v>
      </c>
      <c r="AH1365" s="9">
        <f>IFERROR((I1365-K1365)*24*60,0)</f>
        <v>0</v>
      </c>
      <c r="AI1365" s="9">
        <f t="shared" si="27"/>
        <v>0</v>
      </c>
      <c r="AJ1365" s="9">
        <f>C1365</f>
        <v>0</v>
      </c>
      <c r="AK1365" s="9">
        <f>IF(P1365="completed",((V1365-K1365)*24*60),0)</f>
        <v>0</v>
      </c>
      <c r="AL1365" s="9">
        <f>IF(P1365="completed",((U1365-K1365)*24*60),0)</f>
        <v>0</v>
      </c>
      <c r="AM1365" s="9" t="str">
        <f t="shared" si="28"/>
        <v>OTP Breached</v>
      </c>
      <c r="AN1365" s="9" t="str">
        <f t="shared" si="29"/>
        <v>OTP Achieved</v>
      </c>
    </row>
    <row r="1366" spans="9:40" ht="15.75" customHeight="1">
      <c r="I1366" s="28"/>
      <c r="AD1366" s="9" t="str">
        <f t="shared" si="25"/>
        <v>Actual</v>
      </c>
      <c r="AE1366" s="9" t="str">
        <f t="shared" si="26"/>
        <v/>
      </c>
      <c r="AF1366" s="9">
        <f>HOUR(O1366)</f>
        <v>0</v>
      </c>
      <c r="AG1366" s="9">
        <f>DAY(O1366)</f>
        <v>0</v>
      </c>
      <c r="AH1366" s="9">
        <f>IFERROR((I1366-K1366)*24*60,0)</f>
        <v>0</v>
      </c>
      <c r="AI1366" s="9">
        <f t="shared" si="27"/>
        <v>0</v>
      </c>
      <c r="AJ1366" s="9">
        <f>C1366</f>
        <v>0</v>
      </c>
      <c r="AK1366" s="9">
        <f>IF(P1366="completed",((V1366-K1366)*24*60),0)</f>
        <v>0</v>
      </c>
      <c r="AL1366" s="9">
        <f>IF(P1366="completed",((U1366-K1366)*24*60),0)</f>
        <v>0</v>
      </c>
      <c r="AM1366" s="9" t="str">
        <f t="shared" si="28"/>
        <v>OTP Breached</v>
      </c>
      <c r="AN1366" s="9" t="str">
        <f t="shared" si="29"/>
        <v>OTP Achieved</v>
      </c>
    </row>
    <row r="1367" spans="9:40" ht="15.75" customHeight="1">
      <c r="I1367" s="28"/>
      <c r="AD1367" s="9" t="str">
        <f t="shared" si="25"/>
        <v>Actual</v>
      </c>
      <c r="AE1367" s="9" t="str">
        <f t="shared" si="26"/>
        <v/>
      </c>
      <c r="AF1367" s="9">
        <f>HOUR(O1367)</f>
        <v>0</v>
      </c>
      <c r="AG1367" s="9">
        <f>DAY(O1367)</f>
        <v>0</v>
      </c>
      <c r="AH1367" s="9">
        <f>IFERROR((I1367-K1367)*24*60,0)</f>
        <v>0</v>
      </c>
      <c r="AI1367" s="9">
        <f t="shared" si="27"/>
        <v>0</v>
      </c>
      <c r="AJ1367" s="9">
        <f>C1367</f>
        <v>0</v>
      </c>
      <c r="AK1367" s="9">
        <f>IF(P1367="completed",((V1367-K1367)*24*60),0)</f>
        <v>0</v>
      </c>
      <c r="AL1367" s="9">
        <f>IF(P1367="completed",((U1367-K1367)*24*60),0)</f>
        <v>0</v>
      </c>
      <c r="AM1367" s="9" t="str">
        <f t="shared" si="28"/>
        <v>OTP Breached</v>
      </c>
      <c r="AN1367" s="9" t="str">
        <f t="shared" si="29"/>
        <v>OTP Achieved</v>
      </c>
    </row>
    <row r="1368" spans="9:40" ht="15.75" customHeight="1">
      <c r="I1368" s="28"/>
      <c r="AD1368" s="9" t="str">
        <f t="shared" si="25"/>
        <v>Actual</v>
      </c>
      <c r="AE1368" s="9" t="str">
        <f t="shared" si="26"/>
        <v/>
      </c>
      <c r="AF1368" s="9">
        <f>HOUR(O1368)</f>
        <v>0</v>
      </c>
      <c r="AG1368" s="9">
        <f>DAY(O1368)</f>
        <v>0</v>
      </c>
      <c r="AH1368" s="9">
        <f>IFERROR((I1368-K1368)*24*60,0)</f>
        <v>0</v>
      </c>
      <c r="AI1368" s="9">
        <f t="shared" si="27"/>
        <v>0</v>
      </c>
      <c r="AJ1368" s="9">
        <f>C1368</f>
        <v>0</v>
      </c>
      <c r="AK1368" s="9">
        <f>IF(P1368="completed",((V1368-K1368)*24*60),0)</f>
        <v>0</v>
      </c>
      <c r="AL1368" s="9">
        <f>IF(P1368="completed",((U1368-K1368)*24*60),0)</f>
        <v>0</v>
      </c>
      <c r="AM1368" s="9" t="str">
        <f t="shared" si="28"/>
        <v>OTP Breached</v>
      </c>
      <c r="AN1368" s="9" t="str">
        <f t="shared" si="29"/>
        <v>OTP Achieved</v>
      </c>
    </row>
    <row r="1369" spans="9:40" ht="15.75" customHeight="1">
      <c r="I1369" s="28"/>
      <c r="AD1369" s="9" t="str">
        <f t="shared" si="25"/>
        <v>Actual</v>
      </c>
      <c r="AE1369" s="9" t="str">
        <f t="shared" si="26"/>
        <v/>
      </c>
      <c r="AF1369" s="9">
        <f>HOUR(O1369)</f>
        <v>0</v>
      </c>
      <c r="AG1369" s="9">
        <f>DAY(O1369)</f>
        <v>0</v>
      </c>
      <c r="AH1369" s="9">
        <f>IFERROR((I1369-K1369)*24*60,0)</f>
        <v>0</v>
      </c>
      <c r="AI1369" s="9">
        <f t="shared" si="27"/>
        <v>0</v>
      </c>
      <c r="AJ1369" s="9">
        <f>C1369</f>
        <v>0</v>
      </c>
      <c r="AK1369" s="9">
        <f>IF(P1369="completed",((V1369-K1369)*24*60),0)</f>
        <v>0</v>
      </c>
      <c r="AL1369" s="9">
        <f>IF(P1369="completed",((U1369-K1369)*24*60),0)</f>
        <v>0</v>
      </c>
      <c r="AM1369" s="9" t="str">
        <f t="shared" si="28"/>
        <v>OTP Breached</v>
      </c>
      <c r="AN1369" s="9" t="str">
        <f t="shared" si="29"/>
        <v>OTP Achieved</v>
      </c>
    </row>
    <row r="1370" spans="9:40" ht="15.75" customHeight="1">
      <c r="I1370" s="28"/>
      <c r="AD1370" s="9" t="str">
        <f t="shared" si="25"/>
        <v>Actual</v>
      </c>
      <c r="AE1370" s="9" t="str">
        <f t="shared" si="26"/>
        <v/>
      </c>
      <c r="AF1370" s="9">
        <f>HOUR(O1370)</f>
        <v>0</v>
      </c>
      <c r="AG1370" s="9">
        <f>DAY(O1370)</f>
        <v>0</v>
      </c>
      <c r="AH1370" s="9">
        <f>IFERROR((I1370-K1370)*24*60,0)</f>
        <v>0</v>
      </c>
      <c r="AI1370" s="9">
        <f t="shared" si="27"/>
        <v>0</v>
      </c>
      <c r="AJ1370" s="9">
        <f>C1370</f>
        <v>0</v>
      </c>
      <c r="AK1370" s="9">
        <f>IF(P1370="completed",((V1370-K1370)*24*60),0)</f>
        <v>0</v>
      </c>
      <c r="AL1370" s="9">
        <f>IF(P1370="completed",((U1370-K1370)*24*60),0)</f>
        <v>0</v>
      </c>
      <c r="AM1370" s="9" t="str">
        <f t="shared" si="28"/>
        <v>OTP Breached</v>
      </c>
      <c r="AN1370" s="9" t="str">
        <f t="shared" si="29"/>
        <v>OTP Achieved</v>
      </c>
    </row>
    <row r="1371" spans="9:40" ht="15.75" customHeight="1">
      <c r="I1371" s="28"/>
      <c r="AD1371" s="9" t="str">
        <f t="shared" si="25"/>
        <v>Actual</v>
      </c>
      <c r="AE1371" s="9" t="str">
        <f t="shared" si="26"/>
        <v/>
      </c>
      <c r="AF1371" s="9">
        <f>HOUR(O1371)</f>
        <v>0</v>
      </c>
      <c r="AG1371" s="9">
        <f>DAY(O1371)</f>
        <v>0</v>
      </c>
      <c r="AH1371" s="9">
        <f>IFERROR((I1371-K1371)*24*60,0)</f>
        <v>0</v>
      </c>
      <c r="AI1371" s="9">
        <f t="shared" si="27"/>
        <v>0</v>
      </c>
      <c r="AJ1371" s="9">
        <f>C1371</f>
        <v>0</v>
      </c>
      <c r="AK1371" s="9">
        <f>IF(P1371="completed",((V1371-K1371)*24*60),0)</f>
        <v>0</v>
      </c>
      <c r="AL1371" s="9">
        <f>IF(P1371="completed",((U1371-K1371)*24*60),0)</f>
        <v>0</v>
      </c>
      <c r="AM1371" s="9" t="str">
        <f t="shared" si="28"/>
        <v>OTP Breached</v>
      </c>
      <c r="AN1371" s="9" t="str">
        <f t="shared" si="29"/>
        <v>OTP Achieved</v>
      </c>
    </row>
    <row r="1372" spans="9:40" ht="15.75" customHeight="1">
      <c r="I1372" s="28"/>
      <c r="AD1372" s="9" t="str">
        <f t="shared" si="25"/>
        <v>Actual</v>
      </c>
      <c r="AE1372" s="9" t="str">
        <f t="shared" si="26"/>
        <v/>
      </c>
      <c r="AF1372" s="9">
        <f>HOUR(O1372)</f>
        <v>0</v>
      </c>
      <c r="AG1372" s="9">
        <f>DAY(O1372)</f>
        <v>0</v>
      </c>
      <c r="AH1372" s="9">
        <f>IFERROR((I1372-K1372)*24*60,0)</f>
        <v>0</v>
      </c>
      <c r="AI1372" s="9">
        <f t="shared" si="27"/>
        <v>0</v>
      </c>
      <c r="AJ1372" s="9">
        <f>C1372</f>
        <v>0</v>
      </c>
      <c r="AK1372" s="9">
        <f>IF(P1372="completed",((V1372-K1372)*24*60),0)</f>
        <v>0</v>
      </c>
      <c r="AL1372" s="9">
        <f>IF(P1372="completed",((U1372-K1372)*24*60),0)</f>
        <v>0</v>
      </c>
      <c r="AM1372" s="9" t="str">
        <f t="shared" si="28"/>
        <v>OTP Breached</v>
      </c>
      <c r="AN1372" s="9" t="str">
        <f t="shared" si="29"/>
        <v>OTP Achieved</v>
      </c>
    </row>
    <row r="1373" spans="9:40" ht="15.75" customHeight="1">
      <c r="I1373" s="28"/>
      <c r="AD1373" s="9" t="str">
        <f t="shared" si="25"/>
        <v>Actual</v>
      </c>
      <c r="AE1373" s="9" t="str">
        <f t="shared" si="26"/>
        <v/>
      </c>
      <c r="AF1373" s="9">
        <f>HOUR(O1373)</f>
        <v>0</v>
      </c>
      <c r="AG1373" s="9">
        <f>DAY(O1373)</f>
        <v>0</v>
      </c>
      <c r="AH1373" s="9">
        <f>IFERROR((I1373-K1373)*24*60,0)</f>
        <v>0</v>
      </c>
      <c r="AI1373" s="9">
        <f t="shared" si="27"/>
        <v>0</v>
      </c>
      <c r="AJ1373" s="9">
        <f>C1373</f>
        <v>0</v>
      </c>
      <c r="AK1373" s="9">
        <f>IF(P1373="completed",((V1373-K1373)*24*60),0)</f>
        <v>0</v>
      </c>
      <c r="AL1373" s="9">
        <f>IF(P1373="completed",((U1373-K1373)*24*60),0)</f>
        <v>0</v>
      </c>
      <c r="AM1373" s="9" t="str">
        <f t="shared" si="28"/>
        <v>OTP Breached</v>
      </c>
      <c r="AN1373" s="9" t="str">
        <f t="shared" si="29"/>
        <v>OTP Achieved</v>
      </c>
    </row>
    <row r="1374" spans="9:40" ht="15.75" customHeight="1">
      <c r="I1374" s="28"/>
      <c r="AD1374" s="9" t="str">
        <f t="shared" si="25"/>
        <v>Actual</v>
      </c>
      <c r="AE1374" s="9" t="str">
        <f t="shared" si="26"/>
        <v/>
      </c>
      <c r="AF1374" s="9">
        <f>HOUR(O1374)</f>
        <v>0</v>
      </c>
      <c r="AG1374" s="9">
        <f>DAY(O1374)</f>
        <v>0</v>
      </c>
      <c r="AH1374" s="9">
        <f>IFERROR((I1374-K1374)*24*60,0)</f>
        <v>0</v>
      </c>
      <c r="AI1374" s="9">
        <f t="shared" si="27"/>
        <v>0</v>
      </c>
      <c r="AJ1374" s="9">
        <f>C1374</f>
        <v>0</v>
      </c>
      <c r="AK1374" s="9">
        <f>IF(P1374="completed",((V1374-K1374)*24*60),0)</f>
        <v>0</v>
      </c>
      <c r="AL1374" s="9">
        <f>IF(P1374="completed",((U1374-K1374)*24*60),0)</f>
        <v>0</v>
      </c>
      <c r="AM1374" s="9" t="str">
        <f t="shared" si="28"/>
        <v>OTP Breached</v>
      </c>
      <c r="AN1374" s="9" t="str">
        <f t="shared" si="29"/>
        <v>OTP Achieved</v>
      </c>
    </row>
    <row r="1375" spans="9:40" ht="15.75" customHeight="1">
      <c r="I1375" s="28"/>
      <c r="AD1375" s="9" t="str">
        <f t="shared" si="25"/>
        <v>Actual</v>
      </c>
      <c r="AE1375" s="9" t="str">
        <f t="shared" si="26"/>
        <v/>
      </c>
      <c r="AF1375" s="9">
        <f>HOUR(O1375)</f>
        <v>0</v>
      </c>
      <c r="AG1375" s="9">
        <f>DAY(O1375)</f>
        <v>0</v>
      </c>
      <c r="AH1375" s="9">
        <f>IFERROR((I1375-K1375)*24*60,0)</f>
        <v>0</v>
      </c>
      <c r="AI1375" s="9">
        <f t="shared" si="27"/>
        <v>0</v>
      </c>
      <c r="AJ1375" s="9">
        <f>C1375</f>
        <v>0</v>
      </c>
      <c r="AK1375" s="9">
        <f>IF(P1375="completed",((V1375-K1375)*24*60),0)</f>
        <v>0</v>
      </c>
      <c r="AL1375" s="9">
        <f>IF(P1375="completed",((U1375-K1375)*24*60),0)</f>
        <v>0</v>
      </c>
      <c r="AM1375" s="9" t="str">
        <f t="shared" si="28"/>
        <v>OTP Breached</v>
      </c>
      <c r="AN1375" s="9" t="str">
        <f t="shared" si="29"/>
        <v>OTP Achieved</v>
      </c>
    </row>
    <row r="1376" spans="9:40" ht="15.75" customHeight="1">
      <c r="I1376" s="28"/>
      <c r="AD1376" s="9" t="str">
        <f t="shared" si="25"/>
        <v>Actual</v>
      </c>
      <c r="AE1376" s="9" t="str">
        <f t="shared" si="26"/>
        <v/>
      </c>
      <c r="AF1376" s="9">
        <f>HOUR(O1376)</f>
        <v>0</v>
      </c>
      <c r="AG1376" s="9">
        <f>DAY(O1376)</f>
        <v>0</v>
      </c>
      <c r="AH1376" s="9">
        <f>IFERROR((I1376-K1376)*24*60,0)</f>
        <v>0</v>
      </c>
      <c r="AI1376" s="9">
        <f t="shared" si="27"/>
        <v>0</v>
      </c>
      <c r="AJ1376" s="9">
        <f>C1376</f>
        <v>0</v>
      </c>
      <c r="AK1376" s="9">
        <f>IF(P1376="completed",((V1376-K1376)*24*60),0)</f>
        <v>0</v>
      </c>
      <c r="AL1376" s="9">
        <f>IF(P1376="completed",((U1376-K1376)*24*60),0)</f>
        <v>0</v>
      </c>
      <c r="AM1376" s="9" t="str">
        <f t="shared" si="28"/>
        <v>OTP Breached</v>
      </c>
      <c r="AN1376" s="9" t="str">
        <f t="shared" si="29"/>
        <v>OTP Achieved</v>
      </c>
    </row>
    <row r="1377" spans="9:40" ht="15.75" customHeight="1">
      <c r="I1377" s="28"/>
      <c r="AD1377" s="9" t="str">
        <f t="shared" si="25"/>
        <v>Actual</v>
      </c>
      <c r="AE1377" s="9" t="str">
        <f t="shared" si="26"/>
        <v/>
      </c>
      <c r="AF1377" s="9">
        <f>HOUR(O1377)</f>
        <v>0</v>
      </c>
      <c r="AG1377" s="9">
        <f>DAY(O1377)</f>
        <v>0</v>
      </c>
      <c r="AH1377" s="9">
        <f>IFERROR((I1377-K1377)*24*60,0)</f>
        <v>0</v>
      </c>
      <c r="AI1377" s="9">
        <f t="shared" si="27"/>
        <v>0</v>
      </c>
      <c r="AJ1377" s="9">
        <f>C1377</f>
        <v>0</v>
      </c>
      <c r="AK1377" s="9">
        <f>IF(P1377="completed",((V1377-K1377)*24*60),0)</f>
        <v>0</v>
      </c>
      <c r="AL1377" s="9">
        <f>IF(P1377="completed",((U1377-K1377)*24*60),0)</f>
        <v>0</v>
      </c>
      <c r="AM1377" s="9" t="str">
        <f t="shared" si="28"/>
        <v>OTP Breached</v>
      </c>
      <c r="AN1377" s="9" t="str">
        <f t="shared" si="29"/>
        <v>OTP Achieved</v>
      </c>
    </row>
    <row r="1378" spans="9:40" ht="15.75" customHeight="1">
      <c r="I1378" s="28"/>
      <c r="AD1378" s="9" t="str">
        <f t="shared" si="25"/>
        <v>Actual</v>
      </c>
      <c r="AE1378" s="9" t="str">
        <f t="shared" si="26"/>
        <v/>
      </c>
      <c r="AF1378" s="9">
        <f>HOUR(O1378)</f>
        <v>0</v>
      </c>
      <c r="AG1378" s="9">
        <f>DAY(O1378)</f>
        <v>0</v>
      </c>
      <c r="AH1378" s="9">
        <f>IFERROR((I1378-K1378)*24*60,0)</f>
        <v>0</v>
      </c>
      <c r="AI1378" s="9">
        <f t="shared" si="27"/>
        <v>0</v>
      </c>
      <c r="AJ1378" s="9">
        <f>C1378</f>
        <v>0</v>
      </c>
      <c r="AK1378" s="9">
        <f>IF(P1378="completed",((V1378-K1378)*24*60),0)</f>
        <v>0</v>
      </c>
      <c r="AL1378" s="9">
        <f>IF(P1378="completed",((U1378-K1378)*24*60),0)</f>
        <v>0</v>
      </c>
      <c r="AM1378" s="9" t="str">
        <f t="shared" si="28"/>
        <v>OTP Breached</v>
      </c>
      <c r="AN1378" s="9" t="str">
        <f t="shared" si="29"/>
        <v>OTP Achieved</v>
      </c>
    </row>
    <row r="1379" spans="9:40" ht="15.75" customHeight="1">
      <c r="I1379" s="28"/>
      <c r="AD1379" s="9" t="str">
        <f t="shared" si="25"/>
        <v>Actual</v>
      </c>
      <c r="AE1379" s="9" t="str">
        <f t="shared" si="26"/>
        <v/>
      </c>
      <c r="AF1379" s="9">
        <f>HOUR(O1379)</f>
        <v>0</v>
      </c>
      <c r="AG1379" s="9">
        <f>DAY(O1379)</f>
        <v>0</v>
      </c>
      <c r="AH1379" s="9">
        <f>IFERROR((I1379-K1379)*24*60,0)</f>
        <v>0</v>
      </c>
      <c r="AI1379" s="9">
        <f t="shared" si="27"/>
        <v>0</v>
      </c>
      <c r="AJ1379" s="9">
        <f>C1379</f>
        <v>0</v>
      </c>
      <c r="AK1379" s="9">
        <f>IF(P1379="completed",((V1379-K1379)*24*60),0)</f>
        <v>0</v>
      </c>
      <c r="AL1379" s="9">
        <f>IF(P1379="completed",((U1379-K1379)*24*60),0)</f>
        <v>0</v>
      </c>
      <c r="AM1379" s="9" t="str">
        <f t="shared" si="28"/>
        <v>OTP Breached</v>
      </c>
      <c r="AN1379" s="9" t="str">
        <f t="shared" si="29"/>
        <v>OTP Achieved</v>
      </c>
    </row>
    <row r="1380" spans="9:40" ht="15.75" customHeight="1">
      <c r="I1380" s="28"/>
      <c r="AD1380" s="9" t="str">
        <f t="shared" si="25"/>
        <v>Actual</v>
      </c>
      <c r="AE1380" s="9" t="str">
        <f t="shared" si="26"/>
        <v/>
      </c>
      <c r="AF1380" s="9">
        <f>HOUR(O1380)</f>
        <v>0</v>
      </c>
      <c r="AG1380" s="9">
        <f>DAY(O1380)</f>
        <v>0</v>
      </c>
      <c r="AH1380" s="9">
        <f>IFERROR((I1380-K1380)*24*60,0)</f>
        <v>0</v>
      </c>
      <c r="AI1380" s="9">
        <f t="shared" si="27"/>
        <v>0</v>
      </c>
      <c r="AJ1380" s="9">
        <f>C1380</f>
        <v>0</v>
      </c>
      <c r="AK1380" s="9">
        <f>IF(P1380="completed",((V1380-K1380)*24*60),0)</f>
        <v>0</v>
      </c>
      <c r="AL1380" s="9">
        <f>IF(P1380="completed",((U1380-K1380)*24*60),0)</f>
        <v>0</v>
      </c>
      <c r="AM1380" s="9" t="str">
        <f t="shared" si="28"/>
        <v>OTP Breached</v>
      </c>
      <c r="AN1380" s="9" t="str">
        <f t="shared" si="29"/>
        <v>OTP Achieved</v>
      </c>
    </row>
    <row r="1381" spans="9:40" ht="15.75" customHeight="1">
      <c r="I1381" s="28"/>
      <c r="AD1381" s="9" t="str">
        <f t="shared" si="25"/>
        <v>Actual</v>
      </c>
      <c r="AE1381" s="9" t="str">
        <f t="shared" si="26"/>
        <v/>
      </c>
      <c r="AF1381" s="9">
        <f>HOUR(O1381)</f>
        <v>0</v>
      </c>
      <c r="AG1381" s="9">
        <f>DAY(O1381)</f>
        <v>0</v>
      </c>
      <c r="AH1381" s="9">
        <f>IFERROR((I1381-K1381)*24*60,0)</f>
        <v>0</v>
      </c>
      <c r="AI1381" s="9">
        <f t="shared" si="27"/>
        <v>0</v>
      </c>
      <c r="AJ1381" s="9">
        <f>C1381</f>
        <v>0</v>
      </c>
      <c r="AK1381" s="9">
        <f>IF(P1381="completed",((V1381-K1381)*24*60),0)</f>
        <v>0</v>
      </c>
      <c r="AL1381" s="9">
        <f>IF(P1381="completed",((U1381-K1381)*24*60),0)</f>
        <v>0</v>
      </c>
      <c r="AM1381" s="9" t="str">
        <f t="shared" si="28"/>
        <v>OTP Breached</v>
      </c>
      <c r="AN1381" s="9" t="str">
        <f t="shared" si="29"/>
        <v>OTP Achieved</v>
      </c>
    </row>
    <row r="1382" spans="9:40" ht="15.75" customHeight="1">
      <c r="I1382" s="28"/>
      <c r="AD1382" s="9" t="str">
        <f t="shared" si="25"/>
        <v>Actual</v>
      </c>
      <c r="AE1382" s="9" t="str">
        <f t="shared" si="26"/>
        <v/>
      </c>
      <c r="AF1382" s="9">
        <f>HOUR(O1382)</f>
        <v>0</v>
      </c>
      <c r="AG1382" s="9">
        <f>DAY(O1382)</f>
        <v>0</v>
      </c>
      <c r="AH1382" s="9">
        <f>IFERROR((I1382-K1382)*24*60,0)</f>
        <v>0</v>
      </c>
      <c r="AI1382" s="9">
        <f t="shared" si="27"/>
        <v>0</v>
      </c>
      <c r="AJ1382" s="9">
        <f>C1382</f>
        <v>0</v>
      </c>
      <c r="AK1382" s="9">
        <f>IF(P1382="completed",((V1382-K1382)*24*60),0)</f>
        <v>0</v>
      </c>
      <c r="AL1382" s="9">
        <f>IF(P1382="completed",((U1382-K1382)*24*60),0)</f>
        <v>0</v>
      </c>
      <c r="AM1382" s="9" t="str">
        <f t="shared" si="28"/>
        <v>OTP Breached</v>
      </c>
      <c r="AN1382" s="9" t="str">
        <f t="shared" si="29"/>
        <v>OTP Achieved</v>
      </c>
    </row>
    <row r="1383" spans="9:40" ht="15.75" customHeight="1">
      <c r="I1383" s="28"/>
      <c r="AD1383" s="9" t="str">
        <f t="shared" si="25"/>
        <v>Actual</v>
      </c>
      <c r="AE1383" s="9" t="str">
        <f t="shared" si="26"/>
        <v/>
      </c>
      <c r="AF1383" s="9">
        <f>HOUR(O1383)</f>
        <v>0</v>
      </c>
      <c r="AG1383" s="9">
        <f>DAY(O1383)</f>
        <v>0</v>
      </c>
      <c r="AH1383" s="9">
        <f>IFERROR((I1383-K1383)*24*60,0)</f>
        <v>0</v>
      </c>
      <c r="AI1383" s="9">
        <f t="shared" si="27"/>
        <v>0</v>
      </c>
      <c r="AJ1383" s="9">
        <f>C1383</f>
        <v>0</v>
      </c>
      <c r="AK1383" s="9">
        <f>IF(P1383="completed",((V1383-K1383)*24*60),0)</f>
        <v>0</v>
      </c>
      <c r="AL1383" s="9">
        <f>IF(P1383="completed",((U1383-K1383)*24*60),0)</f>
        <v>0</v>
      </c>
      <c r="AM1383" s="9" t="str">
        <f t="shared" si="28"/>
        <v>OTP Breached</v>
      </c>
      <c r="AN1383" s="9" t="str">
        <f t="shared" si="29"/>
        <v>OTP Achieved</v>
      </c>
    </row>
    <row r="1384" spans="9:40" ht="15.75" customHeight="1">
      <c r="I1384" s="28"/>
      <c r="AD1384" s="9" t="str">
        <f t="shared" si="25"/>
        <v>Actual</v>
      </c>
      <c r="AE1384" s="9" t="str">
        <f t="shared" si="26"/>
        <v/>
      </c>
      <c r="AF1384" s="9">
        <f>HOUR(O1384)</f>
        <v>0</v>
      </c>
      <c r="AG1384" s="9">
        <f>DAY(O1384)</f>
        <v>0</v>
      </c>
      <c r="AH1384" s="9">
        <f>IFERROR((I1384-K1384)*24*60,0)</f>
        <v>0</v>
      </c>
      <c r="AI1384" s="9">
        <f t="shared" si="27"/>
        <v>0</v>
      </c>
      <c r="AJ1384" s="9">
        <f>C1384</f>
        <v>0</v>
      </c>
      <c r="AK1384" s="9">
        <f>IF(P1384="completed",((V1384-K1384)*24*60),0)</f>
        <v>0</v>
      </c>
      <c r="AL1384" s="9">
        <f>IF(P1384="completed",((U1384-K1384)*24*60),0)</f>
        <v>0</v>
      </c>
      <c r="AM1384" s="9" t="str">
        <f t="shared" si="28"/>
        <v>OTP Breached</v>
      </c>
      <c r="AN1384" s="9" t="str">
        <f t="shared" si="29"/>
        <v>OTP Achieved</v>
      </c>
    </row>
    <row r="1385" spans="9:40" ht="15.75" customHeight="1">
      <c r="I1385" s="28"/>
      <c r="AD1385" s="9" t="str">
        <f t="shared" si="25"/>
        <v>Actual</v>
      </c>
      <c r="AE1385" s="9" t="str">
        <f t="shared" si="26"/>
        <v/>
      </c>
      <c r="AF1385" s="9">
        <f>HOUR(O1385)</f>
        <v>0</v>
      </c>
      <c r="AG1385" s="9">
        <f>DAY(O1385)</f>
        <v>0</v>
      </c>
      <c r="AH1385" s="9">
        <f>IFERROR((I1385-K1385)*24*60,0)</f>
        <v>0</v>
      </c>
      <c r="AI1385" s="9">
        <f t="shared" si="27"/>
        <v>0</v>
      </c>
      <c r="AJ1385" s="9">
        <f>C1385</f>
        <v>0</v>
      </c>
      <c r="AK1385" s="9">
        <f>IF(P1385="completed",((V1385-K1385)*24*60),0)</f>
        <v>0</v>
      </c>
      <c r="AL1385" s="9">
        <f>IF(P1385="completed",((U1385-K1385)*24*60),0)</f>
        <v>0</v>
      </c>
      <c r="AM1385" s="9" t="str">
        <f t="shared" si="28"/>
        <v>OTP Breached</v>
      </c>
      <c r="AN1385" s="9" t="str">
        <f t="shared" si="29"/>
        <v>OTP Achieved</v>
      </c>
    </row>
    <row r="1386" spans="9:40" ht="15.75" customHeight="1">
      <c r="I1386" s="28"/>
      <c r="AD1386" s="9" t="str">
        <f t="shared" si="25"/>
        <v>Actual</v>
      </c>
      <c r="AE1386" s="9" t="str">
        <f t="shared" si="26"/>
        <v/>
      </c>
      <c r="AF1386" s="9">
        <f>HOUR(O1386)</f>
        <v>0</v>
      </c>
      <c r="AG1386" s="9">
        <f>DAY(O1386)</f>
        <v>0</v>
      </c>
      <c r="AH1386" s="9">
        <f>IFERROR((I1386-K1386)*24*60,0)</f>
        <v>0</v>
      </c>
      <c r="AI1386" s="9">
        <f t="shared" si="27"/>
        <v>0</v>
      </c>
      <c r="AJ1386" s="9">
        <f>C1386</f>
        <v>0</v>
      </c>
      <c r="AK1386" s="9">
        <f>IF(P1386="completed",((V1386-K1386)*24*60),0)</f>
        <v>0</v>
      </c>
      <c r="AL1386" s="9">
        <f>IF(P1386="completed",((U1386-K1386)*24*60),0)</f>
        <v>0</v>
      </c>
      <c r="AM1386" s="9" t="str">
        <f t="shared" si="28"/>
        <v>OTP Breached</v>
      </c>
      <c r="AN1386" s="9" t="str">
        <f t="shared" si="29"/>
        <v>OTP Achieved</v>
      </c>
    </row>
    <row r="1387" spans="9:40" ht="15.75" customHeight="1">
      <c r="I1387" s="28"/>
      <c r="AD1387" s="9" t="str">
        <f t="shared" si="25"/>
        <v>Actual</v>
      </c>
      <c r="AE1387" s="9" t="str">
        <f t="shared" si="26"/>
        <v/>
      </c>
      <c r="AF1387" s="9">
        <f>HOUR(O1387)</f>
        <v>0</v>
      </c>
      <c r="AG1387" s="9">
        <f>DAY(O1387)</f>
        <v>0</v>
      </c>
      <c r="AH1387" s="9">
        <f>IFERROR((I1387-K1387)*24*60,0)</f>
        <v>0</v>
      </c>
      <c r="AI1387" s="9">
        <f t="shared" si="27"/>
        <v>0</v>
      </c>
      <c r="AJ1387" s="9">
        <f>C1387</f>
        <v>0</v>
      </c>
      <c r="AK1387" s="9">
        <f>IF(P1387="completed",((V1387-K1387)*24*60),0)</f>
        <v>0</v>
      </c>
      <c r="AL1387" s="9">
        <f>IF(P1387="completed",((U1387-K1387)*24*60),0)</f>
        <v>0</v>
      </c>
      <c r="AM1387" s="9" t="str">
        <f t="shared" si="28"/>
        <v>OTP Breached</v>
      </c>
      <c r="AN1387" s="9" t="str">
        <f t="shared" si="29"/>
        <v>OTP Achieved</v>
      </c>
    </row>
    <row r="1388" spans="9:40" ht="15.75" customHeight="1">
      <c r="I1388" s="28"/>
      <c r="AD1388" s="9" t="str">
        <f t="shared" si="25"/>
        <v>Actual</v>
      </c>
      <c r="AE1388" s="9" t="str">
        <f t="shared" si="26"/>
        <v/>
      </c>
      <c r="AF1388" s="9">
        <f>HOUR(O1388)</f>
        <v>0</v>
      </c>
      <c r="AG1388" s="9">
        <f>DAY(O1388)</f>
        <v>0</v>
      </c>
      <c r="AH1388" s="9">
        <f>IFERROR((I1388-K1388)*24*60,0)</f>
        <v>0</v>
      </c>
      <c r="AI1388" s="9">
        <f t="shared" si="27"/>
        <v>0</v>
      </c>
      <c r="AJ1388" s="9">
        <f>C1388</f>
        <v>0</v>
      </c>
      <c r="AK1388" s="9">
        <f>IF(P1388="completed",((V1388-K1388)*24*60),0)</f>
        <v>0</v>
      </c>
      <c r="AL1388" s="9">
        <f>IF(P1388="completed",((U1388-K1388)*24*60),0)</f>
        <v>0</v>
      </c>
      <c r="AM1388" s="9" t="str">
        <f t="shared" si="28"/>
        <v>OTP Breached</v>
      </c>
      <c r="AN1388" s="9" t="str">
        <f t="shared" si="29"/>
        <v>OTP Achieved</v>
      </c>
    </row>
    <row r="1389" spans="9:40" ht="15.75" customHeight="1">
      <c r="I1389" s="28"/>
      <c r="AD1389" s="9" t="str">
        <f t="shared" si="25"/>
        <v>Actual</v>
      </c>
      <c r="AE1389" s="9" t="str">
        <f t="shared" si="26"/>
        <v/>
      </c>
      <c r="AF1389" s="9">
        <f>HOUR(O1389)</f>
        <v>0</v>
      </c>
      <c r="AG1389" s="9">
        <f>DAY(O1389)</f>
        <v>0</v>
      </c>
      <c r="AH1389" s="9">
        <f>IFERROR((I1389-K1389)*24*60,0)</f>
        <v>0</v>
      </c>
      <c r="AI1389" s="9">
        <f t="shared" si="27"/>
        <v>0</v>
      </c>
      <c r="AJ1389" s="9">
        <f>C1389</f>
        <v>0</v>
      </c>
      <c r="AK1389" s="9">
        <f>IF(P1389="completed",((V1389-K1389)*24*60),0)</f>
        <v>0</v>
      </c>
      <c r="AL1389" s="9">
        <f>IF(P1389="completed",((U1389-K1389)*24*60),0)</f>
        <v>0</v>
      </c>
      <c r="AM1389" s="9" t="str">
        <f t="shared" si="28"/>
        <v>OTP Breached</v>
      </c>
      <c r="AN1389" s="9" t="str">
        <f t="shared" si="29"/>
        <v>OTP Achieved</v>
      </c>
    </row>
    <row r="1390" spans="9:40" ht="15.75" customHeight="1">
      <c r="I1390" s="28"/>
      <c r="AD1390" s="9" t="str">
        <f t="shared" si="25"/>
        <v>Actual</v>
      </c>
      <c r="AE1390" s="9" t="str">
        <f t="shared" si="26"/>
        <v/>
      </c>
      <c r="AF1390" s="9">
        <f>HOUR(O1390)</f>
        <v>0</v>
      </c>
      <c r="AG1390" s="9">
        <f>DAY(O1390)</f>
        <v>0</v>
      </c>
      <c r="AH1390" s="9">
        <f>IFERROR((I1390-K1390)*24*60,0)</f>
        <v>0</v>
      </c>
      <c r="AI1390" s="9">
        <f t="shared" si="27"/>
        <v>0</v>
      </c>
      <c r="AJ1390" s="9">
        <f>C1390</f>
        <v>0</v>
      </c>
      <c r="AK1390" s="9">
        <f>IF(P1390="completed",((V1390-K1390)*24*60),0)</f>
        <v>0</v>
      </c>
      <c r="AL1390" s="9">
        <f>IF(P1390="completed",((U1390-K1390)*24*60),0)</f>
        <v>0</v>
      </c>
      <c r="AM1390" s="9" t="str">
        <f t="shared" si="28"/>
        <v>OTP Breached</v>
      </c>
      <c r="AN1390" s="9" t="str">
        <f t="shared" si="29"/>
        <v>OTP Achieved</v>
      </c>
    </row>
    <row r="1391" spans="9:40" ht="15.75" customHeight="1">
      <c r="I1391" s="28"/>
      <c r="AD1391" s="9" t="str">
        <f t="shared" si="25"/>
        <v>Actual</v>
      </c>
      <c r="AE1391" s="9" t="str">
        <f t="shared" si="26"/>
        <v/>
      </c>
      <c r="AF1391" s="9">
        <f>HOUR(O1391)</f>
        <v>0</v>
      </c>
      <c r="AG1391" s="9">
        <f>DAY(O1391)</f>
        <v>0</v>
      </c>
      <c r="AH1391" s="9">
        <f>IFERROR((I1391-K1391)*24*60,0)</f>
        <v>0</v>
      </c>
      <c r="AI1391" s="9">
        <f t="shared" si="27"/>
        <v>0</v>
      </c>
      <c r="AJ1391" s="9">
        <f>C1391</f>
        <v>0</v>
      </c>
      <c r="AK1391" s="9">
        <f>IF(P1391="completed",((V1391-K1391)*24*60),0)</f>
        <v>0</v>
      </c>
      <c r="AL1391" s="9">
        <f>IF(P1391="completed",((U1391-K1391)*24*60),0)</f>
        <v>0</v>
      </c>
      <c r="AM1391" s="9" t="str">
        <f t="shared" si="28"/>
        <v>OTP Breached</v>
      </c>
      <c r="AN1391" s="9" t="str">
        <f t="shared" si="29"/>
        <v>OTP Achieved</v>
      </c>
    </row>
    <row r="1392" spans="9:40" ht="15.75" customHeight="1">
      <c r="I1392" s="28"/>
      <c r="AD1392" s="9" t="str">
        <f t="shared" si="25"/>
        <v>Actual</v>
      </c>
      <c r="AE1392" s="9" t="str">
        <f t="shared" si="26"/>
        <v/>
      </c>
      <c r="AF1392" s="9">
        <f>HOUR(O1392)</f>
        <v>0</v>
      </c>
      <c r="AG1392" s="9">
        <f>DAY(O1392)</f>
        <v>0</v>
      </c>
      <c r="AH1392" s="9">
        <f>IFERROR((I1392-K1392)*24*60,0)</f>
        <v>0</v>
      </c>
      <c r="AI1392" s="9">
        <f t="shared" si="27"/>
        <v>0</v>
      </c>
      <c r="AJ1392" s="9">
        <f>C1392</f>
        <v>0</v>
      </c>
      <c r="AK1392" s="9">
        <f>IF(P1392="completed",((V1392-K1392)*24*60),0)</f>
        <v>0</v>
      </c>
      <c r="AL1392" s="9">
        <f>IF(P1392="completed",((U1392-K1392)*24*60),0)</f>
        <v>0</v>
      </c>
      <c r="AM1392" s="9" t="str">
        <f t="shared" si="28"/>
        <v>OTP Breached</v>
      </c>
      <c r="AN1392" s="9" t="str">
        <f t="shared" si="29"/>
        <v>OTP Achieved</v>
      </c>
    </row>
    <row r="1393" spans="9:40" ht="15.75" customHeight="1">
      <c r="I1393" s="28"/>
      <c r="AD1393" s="9" t="str">
        <f t="shared" si="25"/>
        <v>Actual</v>
      </c>
      <c r="AE1393" s="9" t="str">
        <f t="shared" si="26"/>
        <v/>
      </c>
      <c r="AF1393" s="9">
        <f>HOUR(O1393)</f>
        <v>0</v>
      </c>
      <c r="AG1393" s="9">
        <f>DAY(O1393)</f>
        <v>0</v>
      </c>
      <c r="AH1393" s="9">
        <f>IFERROR((I1393-K1393)*24*60,0)</f>
        <v>0</v>
      </c>
      <c r="AI1393" s="9">
        <f t="shared" si="27"/>
        <v>0</v>
      </c>
      <c r="AJ1393" s="9">
        <f>C1393</f>
        <v>0</v>
      </c>
      <c r="AK1393" s="9">
        <f>IF(P1393="completed",((V1393-K1393)*24*60),0)</f>
        <v>0</v>
      </c>
      <c r="AL1393" s="9">
        <f>IF(P1393="completed",((U1393-K1393)*24*60),0)</f>
        <v>0</v>
      </c>
      <c r="AM1393" s="9" t="str">
        <f t="shared" si="28"/>
        <v>OTP Breached</v>
      </c>
      <c r="AN1393" s="9" t="str">
        <f t="shared" si="29"/>
        <v>OTP Achieved</v>
      </c>
    </row>
    <row r="1394" spans="9:40" ht="15.75" customHeight="1">
      <c r="I1394" s="28"/>
      <c r="AD1394" s="9" t="str">
        <f t="shared" si="25"/>
        <v>Actual</v>
      </c>
      <c r="AE1394" s="9" t="str">
        <f t="shared" si="26"/>
        <v/>
      </c>
      <c r="AF1394" s="9">
        <f>HOUR(O1394)</f>
        <v>0</v>
      </c>
      <c r="AG1394" s="9">
        <f>DAY(O1394)</f>
        <v>0</v>
      </c>
      <c r="AH1394" s="9">
        <f>IFERROR((I1394-K1394)*24*60,0)</f>
        <v>0</v>
      </c>
      <c r="AI1394" s="9">
        <f t="shared" si="27"/>
        <v>0</v>
      </c>
      <c r="AJ1394" s="9">
        <f>C1394</f>
        <v>0</v>
      </c>
      <c r="AK1394" s="9">
        <f>IF(P1394="completed",((V1394-K1394)*24*60),0)</f>
        <v>0</v>
      </c>
      <c r="AL1394" s="9">
        <f>IF(P1394="completed",((U1394-K1394)*24*60),0)</f>
        <v>0</v>
      </c>
      <c r="AM1394" s="9" t="str">
        <f t="shared" si="28"/>
        <v>OTP Breached</v>
      </c>
      <c r="AN1394" s="9" t="str">
        <f t="shared" si="29"/>
        <v>OTP Achieved</v>
      </c>
    </row>
    <row r="1395" spans="9:40" ht="15.75" customHeight="1">
      <c r="I1395" s="28"/>
      <c r="AD1395" s="9" t="str">
        <f t="shared" si="25"/>
        <v>Actual</v>
      </c>
      <c r="AE1395" s="9" t="str">
        <f t="shared" si="26"/>
        <v/>
      </c>
      <c r="AF1395" s="9">
        <f>HOUR(O1395)</f>
        <v>0</v>
      </c>
      <c r="AG1395" s="9">
        <f>DAY(O1395)</f>
        <v>0</v>
      </c>
      <c r="AH1395" s="9">
        <f>IFERROR((I1395-K1395)*24*60,0)</f>
        <v>0</v>
      </c>
      <c r="AI1395" s="9">
        <f t="shared" si="27"/>
        <v>0</v>
      </c>
      <c r="AJ1395" s="9">
        <f>C1395</f>
        <v>0</v>
      </c>
      <c r="AK1395" s="9">
        <f>IF(P1395="completed",((V1395-K1395)*24*60),0)</f>
        <v>0</v>
      </c>
      <c r="AL1395" s="9">
        <f>IF(P1395="completed",((U1395-K1395)*24*60),0)</f>
        <v>0</v>
      </c>
      <c r="AM1395" s="9" t="str">
        <f t="shared" si="28"/>
        <v>OTP Breached</v>
      </c>
      <c r="AN1395" s="9" t="str">
        <f t="shared" si="29"/>
        <v>OTP Achieved</v>
      </c>
    </row>
    <row r="1396" spans="9:40" ht="15.75" customHeight="1">
      <c r="I1396" s="28"/>
      <c r="AD1396" s="9" t="str">
        <f t="shared" si="25"/>
        <v>Actual</v>
      </c>
      <c r="AE1396" s="9" t="str">
        <f t="shared" si="26"/>
        <v/>
      </c>
      <c r="AF1396" s="9">
        <f>HOUR(O1396)</f>
        <v>0</v>
      </c>
      <c r="AG1396" s="9">
        <f>DAY(O1396)</f>
        <v>0</v>
      </c>
      <c r="AH1396" s="9">
        <f>IFERROR((I1396-K1396)*24*60,0)</f>
        <v>0</v>
      </c>
      <c r="AI1396" s="9">
        <f t="shared" si="27"/>
        <v>0</v>
      </c>
      <c r="AJ1396" s="9">
        <f>C1396</f>
        <v>0</v>
      </c>
      <c r="AK1396" s="9">
        <f>IF(P1396="completed",((V1396-K1396)*24*60),0)</f>
        <v>0</v>
      </c>
      <c r="AL1396" s="9">
        <f>IF(P1396="completed",((U1396-K1396)*24*60),0)</f>
        <v>0</v>
      </c>
      <c r="AM1396" s="9" t="str">
        <f t="shared" si="28"/>
        <v>OTP Breached</v>
      </c>
      <c r="AN1396" s="9" t="str">
        <f t="shared" si="29"/>
        <v>OTP Achieved</v>
      </c>
    </row>
    <row r="1397" spans="9:40" ht="15.75" customHeight="1">
      <c r="I1397" s="28"/>
      <c r="AD1397" s="9" t="str">
        <f t="shared" si="25"/>
        <v>Actual</v>
      </c>
      <c r="AE1397" s="9" t="str">
        <f t="shared" si="26"/>
        <v/>
      </c>
      <c r="AF1397" s="9">
        <f>HOUR(O1397)</f>
        <v>0</v>
      </c>
      <c r="AG1397" s="9">
        <f>DAY(O1397)</f>
        <v>0</v>
      </c>
      <c r="AH1397" s="9">
        <f>IFERROR((I1397-K1397)*24*60,0)</f>
        <v>0</v>
      </c>
      <c r="AI1397" s="9">
        <f t="shared" si="27"/>
        <v>0</v>
      </c>
      <c r="AJ1397" s="9">
        <f>C1397</f>
        <v>0</v>
      </c>
      <c r="AK1397" s="9">
        <f>IF(P1397="completed",((V1397-K1397)*24*60),0)</f>
        <v>0</v>
      </c>
      <c r="AL1397" s="9">
        <f>IF(P1397="completed",((U1397-K1397)*24*60),0)</f>
        <v>0</v>
      </c>
      <c r="AM1397" s="9" t="str">
        <f t="shared" si="28"/>
        <v>OTP Breached</v>
      </c>
      <c r="AN1397" s="9" t="str">
        <f t="shared" si="29"/>
        <v>OTP Achieved</v>
      </c>
    </row>
    <row r="1398" spans="9:40" ht="15.75" customHeight="1">
      <c r="I1398" s="28"/>
      <c r="AD1398" s="9" t="str">
        <f t="shared" si="25"/>
        <v>Actual</v>
      </c>
      <c r="AE1398" s="9" t="str">
        <f t="shared" si="26"/>
        <v/>
      </c>
      <c r="AF1398" s="9">
        <f>HOUR(O1398)</f>
        <v>0</v>
      </c>
      <c r="AG1398" s="9">
        <f>DAY(O1398)</f>
        <v>0</v>
      </c>
      <c r="AH1398" s="9">
        <f>IFERROR((I1398-K1398)*24*60,0)</f>
        <v>0</v>
      </c>
      <c r="AI1398" s="9">
        <f t="shared" si="27"/>
        <v>0</v>
      </c>
      <c r="AJ1398" s="9">
        <f>C1398</f>
        <v>0</v>
      </c>
      <c r="AK1398" s="9">
        <f>IF(P1398="completed",((V1398-K1398)*24*60),0)</f>
        <v>0</v>
      </c>
      <c r="AL1398" s="9">
        <f>IF(P1398="completed",((U1398-K1398)*24*60),0)</f>
        <v>0</v>
      </c>
      <c r="AM1398" s="9" t="str">
        <f t="shared" si="28"/>
        <v>OTP Breached</v>
      </c>
      <c r="AN1398" s="9" t="str">
        <f t="shared" si="29"/>
        <v>OTP Achieved</v>
      </c>
    </row>
    <row r="1399" spans="9:40" ht="15.75" customHeight="1">
      <c r="I1399" s="28"/>
      <c r="AD1399" s="9" t="str">
        <f t="shared" si="25"/>
        <v>Actual</v>
      </c>
      <c r="AE1399" s="9" t="str">
        <f t="shared" si="26"/>
        <v/>
      </c>
      <c r="AF1399" s="9">
        <f>HOUR(O1399)</f>
        <v>0</v>
      </c>
      <c r="AG1399" s="9">
        <f>DAY(O1399)</f>
        <v>0</v>
      </c>
      <c r="AH1399" s="9">
        <f>IFERROR((I1399-K1399)*24*60,0)</f>
        <v>0</v>
      </c>
      <c r="AI1399" s="9">
        <f t="shared" si="27"/>
        <v>0</v>
      </c>
      <c r="AJ1399" s="9">
        <f>C1399</f>
        <v>0</v>
      </c>
      <c r="AK1399" s="9">
        <f>IF(P1399="completed",((V1399-K1399)*24*60),0)</f>
        <v>0</v>
      </c>
      <c r="AL1399" s="9">
        <f>IF(P1399="completed",((U1399-K1399)*24*60),0)</f>
        <v>0</v>
      </c>
      <c r="AM1399" s="9" t="str">
        <f t="shared" si="28"/>
        <v>OTP Breached</v>
      </c>
      <c r="AN1399" s="9" t="str">
        <f t="shared" si="29"/>
        <v>OTP Achieved</v>
      </c>
    </row>
    <row r="1400" spans="9:40" ht="15.75" customHeight="1">
      <c r="I1400" s="28"/>
      <c r="AD1400" s="9" t="str">
        <f t="shared" si="25"/>
        <v>Actual</v>
      </c>
      <c r="AE1400" s="9" t="str">
        <f t="shared" si="26"/>
        <v/>
      </c>
      <c r="AF1400" s="9">
        <f>HOUR(O1400)</f>
        <v>0</v>
      </c>
      <c r="AG1400" s="9">
        <f>DAY(O1400)</f>
        <v>0</v>
      </c>
      <c r="AH1400" s="9">
        <f>IFERROR((I1400-K1400)*24*60,0)</f>
        <v>0</v>
      </c>
      <c r="AI1400" s="9">
        <f t="shared" si="27"/>
        <v>0</v>
      </c>
      <c r="AJ1400" s="9">
        <f>C1400</f>
        <v>0</v>
      </c>
      <c r="AK1400" s="9">
        <f>IF(P1400="completed",((V1400-K1400)*24*60),0)</f>
        <v>0</v>
      </c>
      <c r="AL1400" s="9">
        <f>IF(P1400="completed",((U1400-K1400)*24*60),0)</f>
        <v>0</v>
      </c>
      <c r="AM1400" s="9" t="str">
        <f t="shared" si="28"/>
        <v>OTP Breached</v>
      </c>
      <c r="AN1400" s="9" t="str">
        <f t="shared" si="29"/>
        <v>OTP Achieved</v>
      </c>
    </row>
    <row r="1401" spans="9:40" ht="15.75" customHeight="1">
      <c r="I1401" s="28"/>
      <c r="AD1401" s="9" t="str">
        <f t="shared" si="25"/>
        <v>Actual</v>
      </c>
      <c r="AE1401" s="9" t="str">
        <f t="shared" si="26"/>
        <v/>
      </c>
      <c r="AF1401" s="9">
        <f>HOUR(O1401)</f>
        <v>0</v>
      </c>
      <c r="AG1401" s="9">
        <f>DAY(O1401)</f>
        <v>0</v>
      </c>
      <c r="AH1401" s="9">
        <f>IFERROR((I1401-K1401)*24*60,0)</f>
        <v>0</v>
      </c>
      <c r="AI1401" s="9">
        <f t="shared" si="27"/>
        <v>0</v>
      </c>
      <c r="AJ1401" s="9">
        <f>C1401</f>
        <v>0</v>
      </c>
      <c r="AK1401" s="9">
        <f>IF(P1401="completed",((V1401-K1401)*24*60),0)</f>
        <v>0</v>
      </c>
      <c r="AL1401" s="9">
        <f>IF(P1401="completed",((U1401-K1401)*24*60),0)</f>
        <v>0</v>
      </c>
      <c r="AM1401" s="9" t="str">
        <f t="shared" si="28"/>
        <v>OTP Breached</v>
      </c>
      <c r="AN1401" s="9" t="str">
        <f t="shared" si="29"/>
        <v>OTP Achieved</v>
      </c>
    </row>
    <row r="1402" spans="9:40" ht="15.75" customHeight="1">
      <c r="I1402" s="28"/>
      <c r="AD1402" s="9" t="str">
        <f t="shared" si="25"/>
        <v>Actual</v>
      </c>
      <c r="AE1402" s="9" t="str">
        <f t="shared" si="26"/>
        <v/>
      </c>
      <c r="AF1402" s="9">
        <f>HOUR(O1402)</f>
        <v>0</v>
      </c>
      <c r="AG1402" s="9">
        <f>DAY(O1402)</f>
        <v>0</v>
      </c>
      <c r="AH1402" s="9">
        <f>IFERROR((I1402-K1402)*24*60,0)</f>
        <v>0</v>
      </c>
      <c r="AI1402" s="9">
        <f t="shared" si="27"/>
        <v>0</v>
      </c>
      <c r="AJ1402" s="9">
        <f>C1402</f>
        <v>0</v>
      </c>
      <c r="AK1402" s="9">
        <f>IF(P1402="completed",((V1402-K1402)*24*60),0)</f>
        <v>0</v>
      </c>
      <c r="AL1402" s="9">
        <f>IF(P1402="completed",((U1402-K1402)*24*60),0)</f>
        <v>0</v>
      </c>
      <c r="AM1402" s="9" t="str">
        <f t="shared" si="28"/>
        <v>OTP Breached</v>
      </c>
      <c r="AN1402" s="9" t="str">
        <f t="shared" si="29"/>
        <v>OTP Achieved</v>
      </c>
    </row>
    <row r="1403" spans="9:40" ht="15.75" customHeight="1">
      <c r="I1403" s="28"/>
      <c r="AD1403" s="9" t="str">
        <f t="shared" si="25"/>
        <v>Actual</v>
      </c>
      <c r="AE1403" s="9" t="str">
        <f t="shared" si="26"/>
        <v/>
      </c>
      <c r="AF1403" s="9">
        <f>HOUR(O1403)</f>
        <v>0</v>
      </c>
      <c r="AG1403" s="9">
        <f>DAY(O1403)</f>
        <v>0</v>
      </c>
      <c r="AH1403" s="9">
        <f>IFERROR((I1403-K1403)*24*60,0)</f>
        <v>0</v>
      </c>
      <c r="AI1403" s="9">
        <f t="shared" si="27"/>
        <v>0</v>
      </c>
      <c r="AJ1403" s="9">
        <f>C1403</f>
        <v>0</v>
      </c>
      <c r="AK1403" s="9">
        <f>IF(P1403="completed",((V1403-K1403)*24*60),0)</f>
        <v>0</v>
      </c>
      <c r="AL1403" s="9">
        <f>IF(P1403="completed",((U1403-K1403)*24*60),0)</f>
        <v>0</v>
      </c>
      <c r="AM1403" s="9" t="str">
        <f t="shared" si="28"/>
        <v>OTP Breached</v>
      </c>
      <c r="AN1403" s="9" t="str">
        <f t="shared" si="29"/>
        <v>OTP Achieved</v>
      </c>
    </row>
    <row r="1404" spans="9:40" ht="15.75" customHeight="1">
      <c r="I1404" s="28"/>
      <c r="AD1404" s="9" t="str">
        <f t="shared" si="25"/>
        <v>Actual</v>
      </c>
      <c r="AE1404" s="9" t="str">
        <f t="shared" si="26"/>
        <v/>
      </c>
      <c r="AF1404" s="9">
        <f>HOUR(O1404)</f>
        <v>0</v>
      </c>
      <c r="AG1404" s="9">
        <f>DAY(O1404)</f>
        <v>0</v>
      </c>
      <c r="AH1404" s="9">
        <f>IFERROR((I1404-K1404)*24*60,0)</f>
        <v>0</v>
      </c>
      <c r="AI1404" s="9">
        <f t="shared" si="27"/>
        <v>0</v>
      </c>
      <c r="AJ1404" s="9">
        <f>C1404</f>
        <v>0</v>
      </c>
      <c r="AK1404" s="9">
        <f>IF(P1404="completed",((V1404-K1404)*24*60),0)</f>
        <v>0</v>
      </c>
      <c r="AL1404" s="9">
        <f>IF(P1404="completed",((U1404-K1404)*24*60),0)</f>
        <v>0</v>
      </c>
      <c r="AM1404" s="9" t="str">
        <f t="shared" si="28"/>
        <v>OTP Breached</v>
      </c>
      <c r="AN1404" s="9" t="str">
        <f t="shared" si="29"/>
        <v>OTP Achieved</v>
      </c>
    </row>
    <row r="1405" spans="9:40" ht="15.75" customHeight="1">
      <c r="I1405" s="28"/>
      <c r="AD1405" s="9" t="str">
        <f t="shared" si="25"/>
        <v>Actual</v>
      </c>
      <c r="AE1405" s="9" t="str">
        <f t="shared" si="26"/>
        <v/>
      </c>
      <c r="AF1405" s="9">
        <f>HOUR(O1405)</f>
        <v>0</v>
      </c>
      <c r="AG1405" s="9">
        <f>DAY(O1405)</f>
        <v>0</v>
      </c>
      <c r="AH1405" s="9">
        <f>IFERROR((I1405-K1405)*24*60,0)</f>
        <v>0</v>
      </c>
      <c r="AI1405" s="9">
        <f t="shared" si="27"/>
        <v>0</v>
      </c>
      <c r="AJ1405" s="9">
        <f>C1405</f>
        <v>0</v>
      </c>
      <c r="AK1405" s="9">
        <f>IF(P1405="completed",((V1405-K1405)*24*60),0)</f>
        <v>0</v>
      </c>
      <c r="AL1405" s="9">
        <f>IF(P1405="completed",((U1405-K1405)*24*60),0)</f>
        <v>0</v>
      </c>
      <c r="AM1405" s="9" t="str">
        <f t="shared" si="28"/>
        <v>OTP Breached</v>
      </c>
      <c r="AN1405" s="9" t="str">
        <f t="shared" si="29"/>
        <v>OTP Achieved</v>
      </c>
    </row>
    <row r="1406" spans="9:40" ht="15.75" customHeight="1">
      <c r="I1406" s="28"/>
      <c r="AD1406" s="9" t="str">
        <f t="shared" si="25"/>
        <v>Actual</v>
      </c>
      <c r="AE1406" s="9" t="str">
        <f t="shared" si="26"/>
        <v/>
      </c>
      <c r="AF1406" s="9">
        <f>HOUR(O1406)</f>
        <v>0</v>
      </c>
      <c r="AG1406" s="9">
        <f>DAY(O1406)</f>
        <v>0</v>
      </c>
      <c r="AH1406" s="9">
        <f>IFERROR((I1406-K1406)*24*60,0)</f>
        <v>0</v>
      </c>
      <c r="AI1406" s="9">
        <f t="shared" si="27"/>
        <v>0</v>
      </c>
      <c r="AJ1406" s="9">
        <f>C1406</f>
        <v>0</v>
      </c>
      <c r="AK1406" s="9">
        <f>IF(P1406="completed",((V1406-K1406)*24*60),0)</f>
        <v>0</v>
      </c>
      <c r="AL1406" s="9">
        <f>IF(P1406="completed",((U1406-K1406)*24*60),0)</f>
        <v>0</v>
      </c>
      <c r="AM1406" s="9" t="str">
        <f t="shared" si="28"/>
        <v>OTP Breached</v>
      </c>
      <c r="AN1406" s="9" t="str">
        <f t="shared" si="29"/>
        <v>OTP Achieved</v>
      </c>
    </row>
    <row r="1407" spans="9:40" ht="15.75" customHeight="1">
      <c r="I1407" s="28"/>
      <c r="AD1407" s="9" t="str">
        <f t="shared" si="25"/>
        <v>Actual</v>
      </c>
      <c r="AE1407" s="9" t="str">
        <f t="shared" si="26"/>
        <v/>
      </c>
      <c r="AF1407" s="9">
        <f>HOUR(O1407)</f>
        <v>0</v>
      </c>
      <c r="AG1407" s="9">
        <f>DAY(O1407)</f>
        <v>0</v>
      </c>
      <c r="AH1407" s="9">
        <f>IFERROR((I1407-K1407)*24*60,0)</f>
        <v>0</v>
      </c>
      <c r="AI1407" s="9">
        <f t="shared" si="27"/>
        <v>0</v>
      </c>
      <c r="AJ1407" s="9">
        <f>C1407</f>
        <v>0</v>
      </c>
      <c r="AK1407" s="9">
        <f>IF(P1407="completed",((V1407-K1407)*24*60),0)</f>
        <v>0</v>
      </c>
      <c r="AL1407" s="9">
        <f>IF(P1407="completed",((U1407-K1407)*24*60),0)</f>
        <v>0</v>
      </c>
      <c r="AM1407" s="9" t="str">
        <f t="shared" si="28"/>
        <v>OTP Breached</v>
      </c>
      <c r="AN1407" s="9" t="str">
        <f t="shared" si="29"/>
        <v>OTP Achieved</v>
      </c>
    </row>
    <row r="1408" spans="9:40" ht="15.75" customHeight="1">
      <c r="I1408" s="28"/>
      <c r="AD1408" s="9" t="str">
        <f t="shared" si="25"/>
        <v>Actual</v>
      </c>
      <c r="AE1408" s="9" t="str">
        <f t="shared" si="26"/>
        <v/>
      </c>
      <c r="AF1408" s="9">
        <f>HOUR(O1408)</f>
        <v>0</v>
      </c>
      <c r="AG1408" s="9">
        <f>DAY(O1408)</f>
        <v>0</v>
      </c>
      <c r="AH1408" s="9">
        <f>IFERROR((I1408-K1408)*24*60,0)</f>
        <v>0</v>
      </c>
      <c r="AI1408" s="9">
        <f t="shared" si="27"/>
        <v>0</v>
      </c>
      <c r="AJ1408" s="9">
        <f>C1408</f>
        <v>0</v>
      </c>
      <c r="AK1408" s="9">
        <f>IF(P1408="completed",((V1408-K1408)*24*60),0)</f>
        <v>0</v>
      </c>
      <c r="AL1408" s="9">
        <f>IF(P1408="completed",((U1408-K1408)*24*60),0)</f>
        <v>0</v>
      </c>
      <c r="AM1408" s="9" t="str">
        <f t="shared" si="28"/>
        <v>OTP Breached</v>
      </c>
      <c r="AN1408" s="9" t="str">
        <f t="shared" si="29"/>
        <v>OTP Achieved</v>
      </c>
    </row>
    <row r="1409" spans="9:40" ht="15.75" customHeight="1">
      <c r="I1409" s="28"/>
      <c r="AD1409" s="9" t="str">
        <f t="shared" si="25"/>
        <v>Actual</v>
      </c>
      <c r="AE1409" s="9" t="str">
        <f t="shared" si="26"/>
        <v/>
      </c>
      <c r="AF1409" s="9">
        <f>HOUR(O1409)</f>
        <v>0</v>
      </c>
      <c r="AG1409" s="9">
        <f>DAY(O1409)</f>
        <v>0</v>
      </c>
      <c r="AH1409" s="9">
        <f>IFERROR((I1409-K1409)*24*60,0)</f>
        <v>0</v>
      </c>
      <c r="AI1409" s="9">
        <f t="shared" si="27"/>
        <v>0</v>
      </c>
      <c r="AJ1409" s="9">
        <f>C1409</f>
        <v>0</v>
      </c>
      <c r="AK1409" s="9">
        <f>IF(P1409="completed",((V1409-K1409)*24*60),0)</f>
        <v>0</v>
      </c>
      <c r="AL1409" s="9">
        <f>IF(P1409="completed",((U1409-K1409)*24*60),0)</f>
        <v>0</v>
      </c>
      <c r="AM1409" s="9" t="str">
        <f t="shared" si="28"/>
        <v>OTP Breached</v>
      </c>
      <c r="AN1409" s="9" t="str">
        <f t="shared" si="29"/>
        <v>OTP Achieved</v>
      </c>
    </row>
    <row r="1410" spans="9:40" ht="15.75" customHeight="1">
      <c r="I1410" s="28"/>
      <c r="AD1410" s="9" t="str">
        <f t="shared" si="25"/>
        <v>Actual</v>
      </c>
      <c r="AE1410" s="9" t="str">
        <f t="shared" si="26"/>
        <v/>
      </c>
      <c r="AF1410" s="9">
        <f>HOUR(O1410)</f>
        <v>0</v>
      </c>
      <c r="AG1410" s="9">
        <f>DAY(O1410)</f>
        <v>0</v>
      </c>
      <c r="AH1410" s="9">
        <f>IFERROR((I1410-K1410)*24*60,0)</f>
        <v>0</v>
      </c>
      <c r="AI1410" s="9">
        <f t="shared" si="27"/>
        <v>0</v>
      </c>
      <c r="AJ1410" s="9">
        <f>C1410</f>
        <v>0</v>
      </c>
      <c r="AK1410" s="9">
        <f>IF(P1410="completed",((V1410-K1410)*24*60),0)</f>
        <v>0</v>
      </c>
      <c r="AL1410" s="9">
        <f>IF(P1410="completed",((U1410-K1410)*24*60),0)</f>
        <v>0</v>
      </c>
      <c r="AM1410" s="9" t="str">
        <f t="shared" si="28"/>
        <v>OTP Breached</v>
      </c>
      <c r="AN1410" s="9" t="str">
        <f t="shared" si="29"/>
        <v>OTP Achieved</v>
      </c>
    </row>
    <row r="1411" spans="9:40" ht="15.75" customHeight="1">
      <c r="I1411" s="28"/>
      <c r="AD1411" s="9" t="str">
        <f t="shared" si="25"/>
        <v>Actual</v>
      </c>
      <c r="AE1411" s="9" t="str">
        <f t="shared" si="26"/>
        <v/>
      </c>
      <c r="AF1411" s="9">
        <f>HOUR(O1411)</f>
        <v>0</v>
      </c>
      <c r="AG1411" s="9">
        <f>DAY(O1411)</f>
        <v>0</v>
      </c>
      <c r="AH1411" s="9">
        <f>IFERROR((I1411-K1411)*24*60,0)</f>
        <v>0</v>
      </c>
      <c r="AI1411" s="9">
        <f t="shared" si="27"/>
        <v>0</v>
      </c>
      <c r="AJ1411" s="9">
        <f>C1411</f>
        <v>0</v>
      </c>
      <c r="AK1411" s="9">
        <f>IF(P1411="completed",((V1411-K1411)*24*60),0)</f>
        <v>0</v>
      </c>
      <c r="AL1411" s="9">
        <f>IF(P1411="completed",((U1411-K1411)*24*60),0)</f>
        <v>0</v>
      </c>
      <c r="AM1411" s="9" t="str">
        <f t="shared" si="28"/>
        <v>OTP Breached</v>
      </c>
      <c r="AN1411" s="9" t="str">
        <f t="shared" si="29"/>
        <v>OTP Achieved</v>
      </c>
    </row>
    <row r="1412" spans="9:40" ht="15.75" customHeight="1">
      <c r="I1412" s="28"/>
      <c r="AD1412" s="9" t="str">
        <f t="shared" si="25"/>
        <v>Actual</v>
      </c>
      <c r="AE1412" s="9" t="str">
        <f t="shared" si="26"/>
        <v/>
      </c>
      <c r="AF1412" s="9">
        <f>HOUR(O1412)</f>
        <v>0</v>
      </c>
      <c r="AG1412" s="9">
        <f>DAY(O1412)</f>
        <v>0</v>
      </c>
      <c r="AH1412" s="9">
        <f>IFERROR((I1412-K1412)*24*60,0)</f>
        <v>0</v>
      </c>
      <c r="AI1412" s="9">
        <f t="shared" si="27"/>
        <v>0</v>
      </c>
      <c r="AJ1412" s="9">
        <f>C1412</f>
        <v>0</v>
      </c>
      <c r="AK1412" s="9">
        <f>IF(P1412="completed",((V1412-K1412)*24*60),0)</f>
        <v>0</v>
      </c>
      <c r="AL1412" s="9">
        <f>IF(P1412="completed",((U1412-K1412)*24*60),0)</f>
        <v>0</v>
      </c>
      <c r="AM1412" s="9" t="str">
        <f t="shared" si="28"/>
        <v>OTP Breached</v>
      </c>
      <c r="AN1412" s="9" t="str">
        <f t="shared" si="29"/>
        <v>OTP Achieved</v>
      </c>
    </row>
    <row r="1413" spans="9:40" ht="15.75" customHeight="1">
      <c r="I1413" s="28"/>
      <c r="AD1413" s="9" t="str">
        <f t="shared" si="25"/>
        <v>Actual</v>
      </c>
      <c r="AE1413" s="9" t="str">
        <f t="shared" si="26"/>
        <v/>
      </c>
      <c r="AF1413" s="9">
        <f>HOUR(O1413)</f>
        <v>0</v>
      </c>
      <c r="AG1413" s="9">
        <f>DAY(O1413)</f>
        <v>0</v>
      </c>
      <c r="AH1413" s="9">
        <f>IFERROR((I1413-K1413)*24*60,0)</f>
        <v>0</v>
      </c>
      <c r="AI1413" s="9">
        <f t="shared" si="27"/>
        <v>0</v>
      </c>
      <c r="AJ1413" s="9">
        <f>C1413</f>
        <v>0</v>
      </c>
      <c r="AK1413" s="9">
        <f>IF(P1413="completed",((V1413-K1413)*24*60),0)</f>
        <v>0</v>
      </c>
      <c r="AL1413" s="9">
        <f>IF(P1413="completed",((U1413-K1413)*24*60),0)</f>
        <v>0</v>
      </c>
      <c r="AM1413" s="9" t="str">
        <f t="shared" si="28"/>
        <v>OTP Breached</v>
      </c>
      <c r="AN1413" s="9" t="str">
        <f t="shared" si="29"/>
        <v>OTP Achieved</v>
      </c>
    </row>
    <row r="1414" spans="9:40" ht="15.75" customHeight="1">
      <c r="I1414" s="28"/>
      <c r="AD1414" s="9" t="str">
        <f t="shared" si="25"/>
        <v>Actual</v>
      </c>
      <c r="AE1414" s="9" t="str">
        <f t="shared" si="26"/>
        <v/>
      </c>
      <c r="AF1414" s="9">
        <f>HOUR(O1414)</f>
        <v>0</v>
      </c>
      <c r="AG1414" s="9">
        <f>DAY(O1414)</f>
        <v>0</v>
      </c>
      <c r="AH1414" s="9">
        <f>IFERROR((I1414-K1414)*24*60,0)</f>
        <v>0</v>
      </c>
      <c r="AI1414" s="9">
        <f t="shared" si="27"/>
        <v>0</v>
      </c>
      <c r="AJ1414" s="9">
        <f>C1414</f>
        <v>0</v>
      </c>
      <c r="AK1414" s="9">
        <f>IF(P1414="completed",((V1414-K1414)*24*60),0)</f>
        <v>0</v>
      </c>
      <c r="AL1414" s="9">
        <f>IF(P1414="completed",((U1414-K1414)*24*60),0)</f>
        <v>0</v>
      </c>
      <c r="AM1414" s="9" t="str">
        <f t="shared" si="28"/>
        <v>OTP Breached</v>
      </c>
      <c r="AN1414" s="9" t="str">
        <f t="shared" si="29"/>
        <v>OTP Achieved</v>
      </c>
    </row>
    <row r="1415" spans="9:40" ht="15.75" customHeight="1">
      <c r="I1415" s="28"/>
      <c r="AD1415" s="9" t="str">
        <f t="shared" si="25"/>
        <v>Actual</v>
      </c>
      <c r="AE1415" s="9" t="str">
        <f t="shared" si="26"/>
        <v/>
      </c>
      <c r="AF1415" s="9">
        <f>HOUR(O1415)</f>
        <v>0</v>
      </c>
      <c r="AG1415" s="9">
        <f>DAY(O1415)</f>
        <v>0</v>
      </c>
      <c r="AH1415" s="9">
        <f>IFERROR((I1415-K1415)*24*60,0)</f>
        <v>0</v>
      </c>
      <c r="AI1415" s="9">
        <f t="shared" si="27"/>
        <v>0</v>
      </c>
      <c r="AJ1415" s="9">
        <f>C1415</f>
        <v>0</v>
      </c>
      <c r="AK1415" s="9">
        <f>IF(P1415="completed",((V1415-K1415)*24*60),0)</f>
        <v>0</v>
      </c>
      <c r="AL1415" s="9">
        <f>IF(P1415="completed",((U1415-K1415)*24*60),0)</f>
        <v>0</v>
      </c>
      <c r="AM1415" s="9" t="str">
        <f t="shared" si="28"/>
        <v>OTP Breached</v>
      </c>
      <c r="AN1415" s="9" t="str">
        <f t="shared" si="29"/>
        <v>OTP Achieved</v>
      </c>
    </row>
    <row r="1416" spans="9:40" ht="15.75" customHeight="1">
      <c r="I1416" s="28"/>
      <c r="AD1416" s="9" t="str">
        <f t="shared" si="25"/>
        <v>Actual</v>
      </c>
      <c r="AE1416" s="9" t="str">
        <f t="shared" si="26"/>
        <v/>
      </c>
      <c r="AF1416" s="9">
        <f>HOUR(O1416)</f>
        <v>0</v>
      </c>
      <c r="AG1416" s="9">
        <f>DAY(O1416)</f>
        <v>0</v>
      </c>
      <c r="AH1416" s="9">
        <f>IFERROR((I1416-K1416)*24*60,0)</f>
        <v>0</v>
      </c>
      <c r="AI1416" s="9">
        <f t="shared" si="27"/>
        <v>0</v>
      </c>
      <c r="AJ1416" s="9">
        <f>C1416</f>
        <v>0</v>
      </c>
      <c r="AK1416" s="9">
        <f>IF(P1416="completed",((V1416-K1416)*24*60),0)</f>
        <v>0</v>
      </c>
      <c r="AL1416" s="9">
        <f>IF(P1416="completed",((U1416-K1416)*24*60),0)</f>
        <v>0</v>
      </c>
      <c r="AM1416" s="9" t="str">
        <f t="shared" si="28"/>
        <v>OTP Breached</v>
      </c>
      <c r="AN1416" s="9" t="str">
        <f t="shared" si="29"/>
        <v>OTP Achieved</v>
      </c>
    </row>
    <row r="1417" spans="9:40" ht="15.75" customHeight="1">
      <c r="I1417" s="28"/>
      <c r="AD1417" s="9" t="str">
        <f t="shared" si="25"/>
        <v>Actual</v>
      </c>
      <c r="AE1417" s="9" t="str">
        <f t="shared" si="26"/>
        <v/>
      </c>
      <c r="AF1417" s="9">
        <f>HOUR(O1417)</f>
        <v>0</v>
      </c>
      <c r="AG1417" s="9">
        <f>DAY(O1417)</f>
        <v>0</v>
      </c>
      <c r="AH1417" s="9">
        <f>IFERROR((I1417-K1417)*24*60,0)</f>
        <v>0</v>
      </c>
      <c r="AI1417" s="9">
        <f t="shared" si="27"/>
        <v>0</v>
      </c>
      <c r="AJ1417" s="9">
        <f>C1417</f>
        <v>0</v>
      </c>
      <c r="AK1417" s="9">
        <f>IF(P1417="completed",((V1417-K1417)*24*60),0)</f>
        <v>0</v>
      </c>
      <c r="AL1417" s="9">
        <f>IF(P1417="completed",((U1417-K1417)*24*60),0)</f>
        <v>0</v>
      </c>
      <c r="AM1417" s="9" t="str">
        <f t="shared" si="28"/>
        <v>OTP Breached</v>
      </c>
      <c r="AN1417" s="9" t="str">
        <f t="shared" si="29"/>
        <v>OTP Achieved</v>
      </c>
    </row>
    <row r="1418" spans="9:40" ht="15.75" customHeight="1">
      <c r="I1418" s="28"/>
      <c r="AD1418" s="9" t="str">
        <f t="shared" si="25"/>
        <v>Actual</v>
      </c>
      <c r="AE1418" s="9" t="str">
        <f t="shared" si="26"/>
        <v/>
      </c>
      <c r="AF1418" s="9">
        <f>HOUR(O1418)</f>
        <v>0</v>
      </c>
      <c r="AG1418" s="9">
        <f>DAY(O1418)</f>
        <v>0</v>
      </c>
      <c r="AH1418" s="9">
        <f>IFERROR((I1418-K1418)*24*60,0)</f>
        <v>0</v>
      </c>
      <c r="AI1418" s="9">
        <f t="shared" si="27"/>
        <v>0</v>
      </c>
      <c r="AJ1418" s="9">
        <f>C1418</f>
        <v>0</v>
      </c>
      <c r="AK1418" s="9">
        <f>IF(P1418="completed",((V1418-K1418)*24*60),0)</f>
        <v>0</v>
      </c>
      <c r="AL1418" s="9">
        <f>IF(P1418="completed",((U1418-K1418)*24*60),0)</f>
        <v>0</v>
      </c>
      <c r="AM1418" s="9" t="str">
        <f t="shared" si="28"/>
        <v>OTP Breached</v>
      </c>
      <c r="AN1418" s="9" t="str">
        <f t="shared" si="29"/>
        <v>OTP Achieved</v>
      </c>
    </row>
    <row r="1419" spans="9:40" ht="15.75" customHeight="1">
      <c r="I1419" s="28"/>
      <c r="AD1419" s="9" t="str">
        <f t="shared" si="25"/>
        <v>Actual</v>
      </c>
      <c r="AE1419" s="9" t="str">
        <f t="shared" si="26"/>
        <v/>
      </c>
      <c r="AF1419" s="9">
        <f>HOUR(O1419)</f>
        <v>0</v>
      </c>
      <c r="AG1419" s="9">
        <f>DAY(O1419)</f>
        <v>0</v>
      </c>
      <c r="AH1419" s="9">
        <f>IFERROR((I1419-K1419)*24*60,0)</f>
        <v>0</v>
      </c>
      <c r="AI1419" s="9">
        <f t="shared" si="27"/>
        <v>0</v>
      </c>
      <c r="AJ1419" s="9">
        <f>C1419</f>
        <v>0</v>
      </c>
      <c r="AK1419" s="9">
        <f>IF(P1419="completed",((V1419-K1419)*24*60),0)</f>
        <v>0</v>
      </c>
      <c r="AL1419" s="9">
        <f>IF(P1419="completed",((U1419-K1419)*24*60),0)</f>
        <v>0</v>
      </c>
      <c r="AM1419" s="9" t="str">
        <f t="shared" si="28"/>
        <v>OTP Breached</v>
      </c>
      <c r="AN1419" s="9" t="str">
        <f t="shared" si="29"/>
        <v>OTP Achieved</v>
      </c>
    </row>
    <row r="1420" spans="9:40" ht="15.75" customHeight="1">
      <c r="I1420" s="28"/>
      <c r="AD1420" s="9" t="str">
        <f t="shared" si="25"/>
        <v>Actual</v>
      </c>
      <c r="AE1420" s="9" t="str">
        <f t="shared" si="26"/>
        <v/>
      </c>
      <c r="AF1420" s="9">
        <f>HOUR(O1420)</f>
        <v>0</v>
      </c>
      <c r="AG1420" s="9">
        <f>DAY(O1420)</f>
        <v>0</v>
      </c>
      <c r="AH1420" s="9">
        <f>IFERROR((I1420-K1420)*24*60,0)</f>
        <v>0</v>
      </c>
      <c r="AI1420" s="9">
        <f t="shared" si="27"/>
        <v>0</v>
      </c>
      <c r="AJ1420" s="9">
        <f>C1420</f>
        <v>0</v>
      </c>
      <c r="AK1420" s="9">
        <f>IF(P1420="completed",((V1420-K1420)*24*60),0)</f>
        <v>0</v>
      </c>
      <c r="AL1420" s="9">
        <f>IF(P1420="completed",((U1420-K1420)*24*60),0)</f>
        <v>0</v>
      </c>
      <c r="AM1420" s="9" t="str">
        <f t="shared" si="28"/>
        <v>OTP Breached</v>
      </c>
      <c r="AN1420" s="9" t="str">
        <f t="shared" si="29"/>
        <v>OTP Achieved</v>
      </c>
    </row>
    <row r="1421" spans="9:40" ht="15.75" customHeight="1">
      <c r="I1421" s="28"/>
      <c r="AD1421" s="9" t="str">
        <f t="shared" si="25"/>
        <v>Actual</v>
      </c>
      <c r="AE1421" s="9" t="str">
        <f t="shared" si="26"/>
        <v/>
      </c>
      <c r="AF1421" s="9">
        <f>HOUR(O1421)</f>
        <v>0</v>
      </c>
      <c r="AG1421" s="9">
        <f>DAY(O1421)</f>
        <v>0</v>
      </c>
      <c r="AH1421" s="9">
        <f>IFERROR((I1421-K1421)*24*60,0)</f>
        <v>0</v>
      </c>
      <c r="AI1421" s="9">
        <f t="shared" si="27"/>
        <v>0</v>
      </c>
      <c r="AJ1421" s="9">
        <f>C1421</f>
        <v>0</v>
      </c>
      <c r="AK1421" s="9">
        <f>IF(P1421="completed",((V1421-K1421)*24*60),0)</f>
        <v>0</v>
      </c>
      <c r="AL1421" s="9">
        <f>IF(P1421="completed",((U1421-K1421)*24*60),0)</f>
        <v>0</v>
      </c>
      <c r="AM1421" s="9" t="str">
        <f t="shared" si="28"/>
        <v>OTP Breached</v>
      </c>
      <c r="AN1421" s="9" t="str">
        <f t="shared" si="29"/>
        <v>OTP Achieved</v>
      </c>
    </row>
    <row r="1422" spans="9:40" ht="15.75" customHeight="1">
      <c r="I1422" s="28"/>
      <c r="AD1422" s="9" t="str">
        <f t="shared" si="25"/>
        <v>Actual</v>
      </c>
      <c r="AE1422" s="9" t="str">
        <f t="shared" si="26"/>
        <v/>
      </c>
      <c r="AF1422" s="9">
        <f>HOUR(O1422)</f>
        <v>0</v>
      </c>
      <c r="AG1422" s="9">
        <f>DAY(O1422)</f>
        <v>0</v>
      </c>
      <c r="AH1422" s="9">
        <f>IFERROR((I1422-K1422)*24*60,0)</f>
        <v>0</v>
      </c>
      <c r="AI1422" s="9">
        <f t="shared" si="27"/>
        <v>0</v>
      </c>
      <c r="AJ1422" s="9">
        <f>C1422</f>
        <v>0</v>
      </c>
      <c r="AK1422" s="9">
        <f>IF(P1422="completed",((V1422-K1422)*24*60),0)</f>
        <v>0</v>
      </c>
      <c r="AL1422" s="9">
        <f>IF(P1422="completed",((U1422-K1422)*24*60),0)</f>
        <v>0</v>
      </c>
      <c r="AM1422" s="9" t="str">
        <f t="shared" si="28"/>
        <v>OTP Breached</v>
      </c>
      <c r="AN1422" s="9" t="str">
        <f t="shared" si="29"/>
        <v>OTP Achieved</v>
      </c>
    </row>
    <row r="1423" spans="9:40" ht="15.75" customHeight="1">
      <c r="I1423" s="28"/>
      <c r="AD1423" s="9" t="str">
        <f t="shared" si="25"/>
        <v>Actual</v>
      </c>
      <c r="AE1423" s="9" t="str">
        <f t="shared" si="26"/>
        <v/>
      </c>
      <c r="AF1423" s="9">
        <f>HOUR(O1423)</f>
        <v>0</v>
      </c>
      <c r="AG1423" s="9">
        <f>DAY(O1423)</f>
        <v>0</v>
      </c>
      <c r="AH1423" s="9">
        <f>IFERROR((I1423-K1423)*24*60,0)</f>
        <v>0</v>
      </c>
      <c r="AI1423" s="9">
        <f t="shared" si="27"/>
        <v>0</v>
      </c>
      <c r="AJ1423" s="9">
        <f>C1423</f>
        <v>0</v>
      </c>
      <c r="AK1423" s="9">
        <f>IF(P1423="completed",((V1423-K1423)*24*60),0)</f>
        <v>0</v>
      </c>
      <c r="AL1423" s="9">
        <f>IF(P1423="completed",((U1423-K1423)*24*60),0)</f>
        <v>0</v>
      </c>
      <c r="AM1423" s="9" t="str">
        <f t="shared" si="28"/>
        <v>OTP Breached</v>
      </c>
      <c r="AN1423" s="9" t="str">
        <f t="shared" si="29"/>
        <v>OTP Achieved</v>
      </c>
    </row>
    <row r="1424" spans="9:40" ht="15.75" customHeight="1">
      <c r="I1424" s="28"/>
      <c r="AD1424" s="9" t="str">
        <f t="shared" si="25"/>
        <v>Actual</v>
      </c>
      <c r="AE1424" s="9" t="str">
        <f t="shared" si="26"/>
        <v/>
      </c>
      <c r="AF1424" s="9">
        <f>HOUR(O1424)</f>
        <v>0</v>
      </c>
      <c r="AG1424" s="9">
        <f>DAY(O1424)</f>
        <v>0</v>
      </c>
      <c r="AH1424" s="9">
        <f>IFERROR((I1424-K1424)*24*60,0)</f>
        <v>0</v>
      </c>
      <c r="AI1424" s="9">
        <f t="shared" si="27"/>
        <v>0</v>
      </c>
      <c r="AJ1424" s="9">
        <f>C1424</f>
        <v>0</v>
      </c>
      <c r="AK1424" s="9">
        <f>IF(P1424="completed",((V1424-K1424)*24*60),0)</f>
        <v>0</v>
      </c>
      <c r="AL1424" s="9">
        <f>IF(P1424="completed",((U1424-K1424)*24*60),0)</f>
        <v>0</v>
      </c>
      <c r="AM1424" s="9" t="str">
        <f t="shared" si="28"/>
        <v>OTP Breached</v>
      </c>
      <c r="AN1424" s="9" t="str">
        <f t="shared" si="29"/>
        <v>OTP Achieved</v>
      </c>
    </row>
    <row r="1425" spans="9:40" ht="15.75" customHeight="1">
      <c r="I1425" s="28"/>
      <c r="AD1425" s="9" t="str">
        <f t="shared" si="25"/>
        <v>Actual</v>
      </c>
      <c r="AE1425" s="9" t="str">
        <f t="shared" si="26"/>
        <v/>
      </c>
      <c r="AF1425" s="9">
        <f>HOUR(O1425)</f>
        <v>0</v>
      </c>
      <c r="AG1425" s="9">
        <f>DAY(O1425)</f>
        <v>0</v>
      </c>
      <c r="AH1425" s="9">
        <f>IFERROR((I1425-K1425)*24*60,0)</f>
        <v>0</v>
      </c>
      <c r="AI1425" s="9">
        <f t="shared" si="27"/>
        <v>0</v>
      </c>
      <c r="AJ1425" s="9">
        <f>C1425</f>
        <v>0</v>
      </c>
      <c r="AK1425" s="9">
        <f>IF(P1425="completed",((V1425-K1425)*24*60),0)</f>
        <v>0</v>
      </c>
      <c r="AL1425" s="9">
        <f>IF(P1425="completed",((U1425-K1425)*24*60),0)</f>
        <v>0</v>
      </c>
      <c r="AM1425" s="9" t="str">
        <f t="shared" si="28"/>
        <v>OTP Breached</v>
      </c>
      <c r="AN1425" s="9" t="str">
        <f t="shared" si="29"/>
        <v>OTP Achieved</v>
      </c>
    </row>
    <row r="1426" spans="9:40" ht="15.75" customHeight="1">
      <c r="I1426" s="28"/>
      <c r="AD1426" s="9" t="str">
        <f t="shared" si="25"/>
        <v>Actual</v>
      </c>
      <c r="AE1426" s="9" t="str">
        <f t="shared" si="26"/>
        <v/>
      </c>
      <c r="AF1426" s="9">
        <f>HOUR(O1426)</f>
        <v>0</v>
      </c>
      <c r="AG1426" s="9">
        <f>DAY(O1426)</f>
        <v>0</v>
      </c>
      <c r="AH1426" s="9">
        <f>IFERROR((I1426-K1426)*24*60,0)</f>
        <v>0</v>
      </c>
      <c r="AI1426" s="9">
        <f t="shared" si="27"/>
        <v>0</v>
      </c>
      <c r="AJ1426" s="9">
        <f>C1426</f>
        <v>0</v>
      </c>
      <c r="AK1426" s="9">
        <f>IF(P1426="completed",((V1426-K1426)*24*60),0)</f>
        <v>0</v>
      </c>
      <c r="AL1426" s="9">
        <f>IF(P1426="completed",((U1426-K1426)*24*60),0)</f>
        <v>0</v>
      </c>
      <c r="AM1426" s="9" t="str">
        <f t="shared" si="28"/>
        <v>OTP Breached</v>
      </c>
      <c r="AN1426" s="9" t="str">
        <f t="shared" si="29"/>
        <v>OTP Achieved</v>
      </c>
    </row>
    <row r="1427" spans="9:40" ht="15.75" customHeight="1">
      <c r="I1427" s="28"/>
      <c r="AD1427" s="9" t="str">
        <f t="shared" si="25"/>
        <v>Actual</v>
      </c>
      <c r="AE1427" s="9" t="str">
        <f t="shared" si="26"/>
        <v/>
      </c>
      <c r="AF1427" s="9">
        <f>HOUR(O1427)</f>
        <v>0</v>
      </c>
      <c r="AG1427" s="9">
        <f>DAY(O1427)</f>
        <v>0</v>
      </c>
      <c r="AH1427" s="9">
        <f>IFERROR((I1427-K1427)*24*60,0)</f>
        <v>0</v>
      </c>
      <c r="AI1427" s="9">
        <f t="shared" si="27"/>
        <v>0</v>
      </c>
      <c r="AJ1427" s="9">
        <f>C1427</f>
        <v>0</v>
      </c>
      <c r="AK1427" s="9">
        <f>IF(P1427="completed",((V1427-K1427)*24*60),0)</f>
        <v>0</v>
      </c>
      <c r="AL1427" s="9">
        <f>IF(P1427="completed",((U1427-K1427)*24*60),0)</f>
        <v>0</v>
      </c>
      <c r="AM1427" s="9" t="str">
        <f t="shared" si="28"/>
        <v>OTP Breached</v>
      </c>
      <c r="AN1427" s="9" t="str">
        <f t="shared" si="29"/>
        <v>OTP Achieved</v>
      </c>
    </row>
    <row r="1428" spans="9:40" ht="15.75" customHeight="1">
      <c r="I1428" s="28"/>
      <c r="AD1428" s="9" t="str">
        <f t="shared" si="25"/>
        <v>Actual</v>
      </c>
      <c r="AE1428" s="9" t="str">
        <f t="shared" si="26"/>
        <v/>
      </c>
      <c r="AF1428" s="9">
        <f>HOUR(O1428)</f>
        <v>0</v>
      </c>
      <c r="AG1428" s="9">
        <f>DAY(O1428)</f>
        <v>0</v>
      </c>
      <c r="AH1428" s="9">
        <f>IFERROR((I1428-K1428)*24*60,0)</f>
        <v>0</v>
      </c>
      <c r="AI1428" s="9">
        <f t="shared" si="27"/>
        <v>0</v>
      </c>
      <c r="AJ1428" s="9">
        <f>C1428</f>
        <v>0</v>
      </c>
      <c r="AK1428" s="9">
        <f>IF(P1428="completed",((V1428-K1428)*24*60),0)</f>
        <v>0</v>
      </c>
      <c r="AL1428" s="9">
        <f>IF(P1428="completed",((U1428-K1428)*24*60),0)</f>
        <v>0</v>
      </c>
      <c r="AM1428" s="9" t="str">
        <f t="shared" si="28"/>
        <v>OTP Breached</v>
      </c>
      <c r="AN1428" s="9" t="str">
        <f t="shared" si="29"/>
        <v>OTP Achieved</v>
      </c>
    </row>
    <row r="1429" spans="9:40" ht="15.75" customHeight="1">
      <c r="I1429" s="28"/>
      <c r="AD1429" s="9" t="str">
        <f t="shared" si="25"/>
        <v>Actual</v>
      </c>
      <c r="AE1429" s="9" t="str">
        <f t="shared" si="26"/>
        <v/>
      </c>
      <c r="AF1429" s="9">
        <f>HOUR(O1429)</f>
        <v>0</v>
      </c>
      <c r="AG1429" s="9">
        <f>DAY(O1429)</f>
        <v>0</v>
      </c>
      <c r="AH1429" s="9">
        <f>IFERROR((I1429-K1429)*24*60,0)</f>
        <v>0</v>
      </c>
      <c r="AI1429" s="9">
        <f t="shared" si="27"/>
        <v>0</v>
      </c>
      <c r="AJ1429" s="9">
        <f>C1429</f>
        <v>0</v>
      </c>
      <c r="AK1429" s="9">
        <f>IF(P1429="completed",((V1429-K1429)*24*60),0)</f>
        <v>0</v>
      </c>
      <c r="AL1429" s="9">
        <f>IF(P1429="completed",((U1429-K1429)*24*60),0)</f>
        <v>0</v>
      </c>
      <c r="AM1429" s="9" t="str">
        <f t="shared" si="28"/>
        <v>OTP Breached</v>
      </c>
      <c r="AN1429" s="9" t="str">
        <f t="shared" si="29"/>
        <v>OTP Achieved</v>
      </c>
    </row>
    <row r="1430" spans="9:40" ht="15.75" customHeight="1">
      <c r="I1430" s="28"/>
      <c r="AD1430" s="9" t="str">
        <f t="shared" si="25"/>
        <v>Actual</v>
      </c>
      <c r="AE1430" s="9" t="str">
        <f t="shared" si="26"/>
        <v/>
      </c>
      <c r="AF1430" s="9">
        <f>HOUR(O1430)</f>
        <v>0</v>
      </c>
      <c r="AG1430" s="9">
        <f>DAY(O1430)</f>
        <v>0</v>
      </c>
      <c r="AH1430" s="9">
        <f>IFERROR((I1430-K1430)*24*60,0)</f>
        <v>0</v>
      </c>
      <c r="AI1430" s="9">
        <f t="shared" si="27"/>
        <v>0</v>
      </c>
      <c r="AJ1430" s="9">
        <f>C1430</f>
        <v>0</v>
      </c>
      <c r="AK1430" s="9">
        <f>IF(P1430="completed",((V1430-K1430)*24*60),0)</f>
        <v>0</v>
      </c>
      <c r="AL1430" s="9">
        <f>IF(P1430="completed",((U1430-K1430)*24*60),0)</f>
        <v>0</v>
      </c>
      <c r="AM1430" s="9" t="str">
        <f t="shared" si="28"/>
        <v>OTP Breached</v>
      </c>
      <c r="AN1430" s="9" t="str">
        <f t="shared" si="29"/>
        <v>OTP Achieved</v>
      </c>
    </row>
    <row r="1431" spans="9:40" ht="15.75" customHeight="1">
      <c r="I1431" s="28"/>
      <c r="AD1431" s="9" t="str">
        <f t="shared" si="25"/>
        <v>Actual</v>
      </c>
      <c r="AE1431" s="9" t="str">
        <f t="shared" si="26"/>
        <v/>
      </c>
      <c r="AF1431" s="9">
        <f>HOUR(O1431)</f>
        <v>0</v>
      </c>
      <c r="AG1431" s="9">
        <f>DAY(O1431)</f>
        <v>0</v>
      </c>
      <c r="AH1431" s="9">
        <f>IFERROR((I1431-K1431)*24*60,0)</f>
        <v>0</v>
      </c>
      <c r="AI1431" s="9">
        <f t="shared" si="27"/>
        <v>0</v>
      </c>
      <c r="AJ1431" s="9">
        <f>C1431</f>
        <v>0</v>
      </c>
      <c r="AK1431" s="9">
        <f>IF(P1431="completed",((V1431-K1431)*24*60),0)</f>
        <v>0</v>
      </c>
      <c r="AL1431" s="9">
        <f>IF(P1431="completed",((U1431-K1431)*24*60),0)</f>
        <v>0</v>
      </c>
      <c r="AM1431" s="9" t="str">
        <f t="shared" si="28"/>
        <v>OTP Breached</v>
      </c>
      <c r="AN1431" s="9" t="str">
        <f t="shared" si="29"/>
        <v>OTP Achieved</v>
      </c>
    </row>
    <row r="1432" spans="9:40" ht="15.75" customHeight="1">
      <c r="I1432" s="28"/>
      <c r="AD1432" s="9" t="str">
        <f t="shared" si="25"/>
        <v>Actual</v>
      </c>
      <c r="AE1432" s="9" t="str">
        <f t="shared" si="26"/>
        <v/>
      </c>
      <c r="AF1432" s="9">
        <f>HOUR(O1432)</f>
        <v>0</v>
      </c>
      <c r="AG1432" s="9">
        <f>DAY(O1432)</f>
        <v>0</v>
      </c>
      <c r="AH1432" s="9">
        <f>IFERROR((I1432-K1432)*24*60,0)</f>
        <v>0</v>
      </c>
      <c r="AI1432" s="9">
        <f t="shared" si="27"/>
        <v>0</v>
      </c>
      <c r="AJ1432" s="9">
        <f>C1432</f>
        <v>0</v>
      </c>
      <c r="AK1432" s="9">
        <f>IF(P1432="completed",((V1432-K1432)*24*60),0)</f>
        <v>0</v>
      </c>
      <c r="AL1432" s="9">
        <f>IF(P1432="completed",((U1432-K1432)*24*60),0)</f>
        <v>0</v>
      </c>
      <c r="AM1432" s="9" t="str">
        <f t="shared" si="28"/>
        <v>OTP Breached</v>
      </c>
      <c r="AN1432" s="9" t="str">
        <f t="shared" si="29"/>
        <v>OTP Achieved</v>
      </c>
    </row>
    <row r="1433" spans="9:40" ht="15.75" customHeight="1">
      <c r="I1433" s="28"/>
      <c r="AD1433" s="9" t="str">
        <f t="shared" si="25"/>
        <v>Actual</v>
      </c>
      <c r="AE1433" s="9" t="str">
        <f t="shared" si="26"/>
        <v/>
      </c>
      <c r="AF1433" s="9">
        <f>HOUR(O1433)</f>
        <v>0</v>
      </c>
      <c r="AG1433" s="9">
        <f>DAY(O1433)</f>
        <v>0</v>
      </c>
      <c r="AH1433" s="9">
        <f>IFERROR((I1433-K1433)*24*60,0)</f>
        <v>0</v>
      </c>
      <c r="AI1433" s="9">
        <f t="shared" si="27"/>
        <v>0</v>
      </c>
      <c r="AJ1433" s="9">
        <f>C1433</f>
        <v>0</v>
      </c>
      <c r="AK1433" s="9">
        <f>IF(P1433="completed",((V1433-K1433)*24*60),0)</f>
        <v>0</v>
      </c>
      <c r="AL1433" s="9">
        <f>IF(P1433="completed",((U1433-K1433)*24*60),0)</f>
        <v>0</v>
      </c>
      <c r="AM1433" s="9" t="str">
        <f t="shared" si="28"/>
        <v>OTP Breached</v>
      </c>
      <c r="AN1433" s="9" t="str">
        <f t="shared" si="29"/>
        <v>OTP Achieved</v>
      </c>
    </row>
    <row r="1434" spans="9:40" ht="15.75" customHeight="1">
      <c r="I1434" s="28"/>
      <c r="AD1434" s="9" t="str">
        <f t="shared" si="25"/>
        <v>Actual</v>
      </c>
      <c r="AE1434" s="9" t="str">
        <f t="shared" si="26"/>
        <v/>
      </c>
      <c r="AF1434" s="9">
        <f>HOUR(O1434)</f>
        <v>0</v>
      </c>
      <c r="AG1434" s="9">
        <f>DAY(O1434)</f>
        <v>0</v>
      </c>
      <c r="AH1434" s="9">
        <f>IFERROR((I1434-K1434)*24*60,0)</f>
        <v>0</v>
      </c>
      <c r="AI1434" s="9">
        <f t="shared" si="27"/>
        <v>0</v>
      </c>
      <c r="AJ1434" s="9">
        <f>C1434</f>
        <v>0</v>
      </c>
      <c r="AK1434" s="9">
        <f>IF(P1434="completed",((V1434-K1434)*24*60),0)</f>
        <v>0</v>
      </c>
      <c r="AL1434" s="9">
        <f>IF(P1434="completed",((U1434-K1434)*24*60),0)</f>
        <v>0</v>
      </c>
      <c r="AM1434" s="9" t="str">
        <f t="shared" si="28"/>
        <v>OTP Breached</v>
      </c>
      <c r="AN1434" s="9" t="str">
        <f t="shared" si="29"/>
        <v>OTP Achieved</v>
      </c>
    </row>
    <row r="1435" spans="9:40" ht="15.75" customHeight="1">
      <c r="I1435" s="28"/>
      <c r="AD1435" s="9" t="str">
        <f t="shared" si="25"/>
        <v>Actual</v>
      </c>
      <c r="AE1435" s="9" t="str">
        <f t="shared" si="26"/>
        <v/>
      </c>
      <c r="AF1435" s="9">
        <f>HOUR(O1435)</f>
        <v>0</v>
      </c>
      <c r="AG1435" s="9">
        <f>DAY(O1435)</f>
        <v>0</v>
      </c>
      <c r="AH1435" s="9">
        <f>IFERROR((I1435-K1435)*24*60,0)</f>
        <v>0</v>
      </c>
      <c r="AI1435" s="9">
        <f t="shared" si="27"/>
        <v>0</v>
      </c>
      <c r="AJ1435" s="9">
        <f>C1435</f>
        <v>0</v>
      </c>
      <c r="AK1435" s="9">
        <f>IF(P1435="completed",((V1435-K1435)*24*60),0)</f>
        <v>0</v>
      </c>
      <c r="AL1435" s="9">
        <f>IF(P1435="completed",((U1435-K1435)*24*60),0)</f>
        <v>0</v>
      </c>
      <c r="AM1435" s="9" t="str">
        <f t="shared" si="28"/>
        <v>OTP Breached</v>
      </c>
      <c r="AN1435" s="9" t="str">
        <f t="shared" si="29"/>
        <v>OTP Achieved</v>
      </c>
    </row>
    <row r="1436" spans="9:40" ht="15.75" customHeight="1">
      <c r="I1436" s="28"/>
      <c r="AD1436" s="9" t="str">
        <f t="shared" si="25"/>
        <v>Actual</v>
      </c>
      <c r="AE1436" s="9" t="str">
        <f t="shared" si="26"/>
        <v/>
      </c>
      <c r="AF1436" s="9">
        <f>HOUR(O1436)</f>
        <v>0</v>
      </c>
      <c r="AG1436" s="9">
        <f>DAY(O1436)</f>
        <v>0</v>
      </c>
      <c r="AH1436" s="9">
        <f>IFERROR((I1436-K1436)*24*60,0)</f>
        <v>0</v>
      </c>
      <c r="AI1436" s="9">
        <f t="shared" si="27"/>
        <v>0</v>
      </c>
      <c r="AJ1436" s="9">
        <f>C1436</f>
        <v>0</v>
      </c>
      <c r="AK1436" s="9">
        <f>IF(P1436="completed",((V1436-K1436)*24*60),0)</f>
        <v>0</v>
      </c>
      <c r="AL1436" s="9">
        <f>IF(P1436="completed",((U1436-K1436)*24*60),0)</f>
        <v>0</v>
      </c>
      <c r="AM1436" s="9" t="str">
        <f t="shared" si="28"/>
        <v>OTP Breached</v>
      </c>
      <c r="AN1436" s="9" t="str">
        <f t="shared" si="29"/>
        <v>OTP Achieved</v>
      </c>
    </row>
    <row r="1437" spans="9:40" ht="15.75" customHeight="1">
      <c r="I1437" s="28"/>
      <c r="AD1437" s="9" t="str">
        <f t="shared" si="25"/>
        <v>Actual</v>
      </c>
      <c r="AE1437" s="9" t="str">
        <f t="shared" si="26"/>
        <v/>
      </c>
      <c r="AF1437" s="9">
        <f>HOUR(O1437)</f>
        <v>0</v>
      </c>
      <c r="AG1437" s="9">
        <f>DAY(O1437)</f>
        <v>0</v>
      </c>
      <c r="AH1437" s="9">
        <f>IFERROR((I1437-K1437)*24*60,0)</f>
        <v>0</v>
      </c>
      <c r="AI1437" s="9">
        <f t="shared" si="27"/>
        <v>0</v>
      </c>
      <c r="AJ1437" s="9">
        <f>C1437</f>
        <v>0</v>
      </c>
      <c r="AK1437" s="9">
        <f>IF(P1437="completed",((V1437-K1437)*24*60),0)</f>
        <v>0</v>
      </c>
      <c r="AL1437" s="9">
        <f>IF(P1437="completed",((U1437-K1437)*24*60),0)</f>
        <v>0</v>
      </c>
      <c r="AM1437" s="9" t="str">
        <f t="shared" si="28"/>
        <v>OTP Breached</v>
      </c>
      <c r="AN1437" s="9" t="str">
        <f t="shared" si="29"/>
        <v>OTP Achieved</v>
      </c>
    </row>
    <row r="1438" spans="9:40" ht="15.75" customHeight="1">
      <c r="I1438" s="28"/>
      <c r="AD1438" s="9" t="str">
        <f t="shared" si="25"/>
        <v>Actual</v>
      </c>
      <c r="AE1438" s="9" t="str">
        <f t="shared" si="26"/>
        <v/>
      </c>
      <c r="AF1438" s="9">
        <f>HOUR(O1438)</f>
        <v>0</v>
      </c>
      <c r="AG1438" s="9">
        <f>DAY(O1438)</f>
        <v>0</v>
      </c>
      <c r="AH1438" s="9">
        <f>IFERROR((I1438-K1438)*24*60,0)</f>
        <v>0</v>
      </c>
      <c r="AI1438" s="9">
        <f t="shared" si="27"/>
        <v>0</v>
      </c>
      <c r="AJ1438" s="9">
        <f>C1438</f>
        <v>0</v>
      </c>
      <c r="AK1438" s="9">
        <f>IF(P1438="completed",((V1438-K1438)*24*60),0)</f>
        <v>0</v>
      </c>
      <c r="AL1438" s="9">
        <f>IF(P1438="completed",((U1438-K1438)*24*60),0)</f>
        <v>0</v>
      </c>
      <c r="AM1438" s="9" t="str">
        <f t="shared" si="28"/>
        <v>OTP Breached</v>
      </c>
      <c r="AN1438" s="9" t="str">
        <f t="shared" si="29"/>
        <v>OTP Achieved</v>
      </c>
    </row>
    <row r="1439" spans="9:40" ht="15.75" customHeight="1">
      <c r="I1439" s="28"/>
      <c r="AD1439" s="9" t="str">
        <f t="shared" si="25"/>
        <v>Actual</v>
      </c>
      <c r="AE1439" s="9" t="str">
        <f t="shared" si="26"/>
        <v/>
      </c>
      <c r="AF1439" s="9">
        <f>HOUR(O1439)</f>
        <v>0</v>
      </c>
      <c r="AG1439" s="9">
        <f>DAY(O1439)</f>
        <v>0</v>
      </c>
      <c r="AH1439" s="9">
        <f>IFERROR((I1439-K1439)*24*60,0)</f>
        <v>0</v>
      </c>
      <c r="AI1439" s="9">
        <f t="shared" si="27"/>
        <v>0</v>
      </c>
      <c r="AJ1439" s="9">
        <f>C1439</f>
        <v>0</v>
      </c>
      <c r="AK1439" s="9">
        <f>IF(P1439="completed",((V1439-K1439)*24*60),0)</f>
        <v>0</v>
      </c>
      <c r="AL1439" s="9">
        <f>IF(P1439="completed",((U1439-K1439)*24*60),0)</f>
        <v>0</v>
      </c>
      <c r="AM1439" s="9" t="str">
        <f t="shared" si="28"/>
        <v>OTP Breached</v>
      </c>
      <c r="AN1439" s="9" t="str">
        <f t="shared" si="29"/>
        <v>OTP Achieved</v>
      </c>
    </row>
    <row r="1440" spans="9:40" ht="15.75" customHeight="1">
      <c r="I1440" s="28"/>
      <c r="AD1440" s="9" t="str">
        <f t="shared" si="25"/>
        <v>Actual</v>
      </c>
      <c r="AE1440" s="9" t="str">
        <f t="shared" si="26"/>
        <v/>
      </c>
      <c r="AF1440" s="9">
        <f>HOUR(O1440)</f>
        <v>0</v>
      </c>
      <c r="AG1440" s="9">
        <f>DAY(O1440)</f>
        <v>0</v>
      </c>
      <c r="AH1440" s="9">
        <f>IFERROR((I1440-K1440)*24*60,0)</f>
        <v>0</v>
      </c>
      <c r="AI1440" s="9">
        <f t="shared" si="27"/>
        <v>0</v>
      </c>
      <c r="AJ1440" s="9">
        <f>C1440</f>
        <v>0</v>
      </c>
      <c r="AK1440" s="9">
        <f>IF(P1440="completed",((V1440-K1440)*24*60),0)</f>
        <v>0</v>
      </c>
      <c r="AL1440" s="9">
        <f>IF(P1440="completed",((U1440-K1440)*24*60),0)</f>
        <v>0</v>
      </c>
      <c r="AM1440" s="9" t="str">
        <f t="shared" si="28"/>
        <v>OTP Breached</v>
      </c>
      <c r="AN1440" s="9" t="str">
        <f t="shared" si="29"/>
        <v>OTP Achieved</v>
      </c>
    </row>
    <row r="1441" spans="9:40" ht="15.75" customHeight="1">
      <c r="I1441" s="28"/>
      <c r="AD1441" s="9" t="str">
        <f t="shared" si="25"/>
        <v>Actual</v>
      </c>
      <c r="AE1441" s="9" t="str">
        <f t="shared" si="26"/>
        <v/>
      </c>
      <c r="AF1441" s="9">
        <f>HOUR(O1441)</f>
        <v>0</v>
      </c>
      <c r="AG1441" s="9">
        <f>DAY(O1441)</f>
        <v>0</v>
      </c>
      <c r="AH1441" s="9">
        <f>IFERROR((I1441-K1441)*24*60,0)</f>
        <v>0</v>
      </c>
      <c r="AI1441" s="9">
        <f t="shared" si="27"/>
        <v>0</v>
      </c>
      <c r="AJ1441" s="9">
        <f>C1441</f>
        <v>0</v>
      </c>
      <c r="AK1441" s="9">
        <f>IF(P1441="completed",((V1441-K1441)*24*60),0)</f>
        <v>0</v>
      </c>
      <c r="AL1441" s="9">
        <f>IF(P1441="completed",((U1441-K1441)*24*60),0)</f>
        <v>0</v>
      </c>
      <c r="AM1441" s="9" t="str">
        <f t="shared" si="28"/>
        <v>OTP Breached</v>
      </c>
      <c r="AN1441" s="9" t="str">
        <f t="shared" si="29"/>
        <v>OTP Achieved</v>
      </c>
    </row>
    <row r="1442" spans="9:40" ht="15.75" customHeight="1">
      <c r="I1442" s="28"/>
      <c r="AD1442" s="9" t="str">
        <f t="shared" si="25"/>
        <v>Actual</v>
      </c>
      <c r="AE1442" s="9" t="str">
        <f t="shared" si="26"/>
        <v/>
      </c>
      <c r="AF1442" s="9">
        <f>HOUR(O1442)</f>
        <v>0</v>
      </c>
      <c r="AG1442" s="9">
        <f>DAY(O1442)</f>
        <v>0</v>
      </c>
      <c r="AH1442" s="9">
        <f>IFERROR((I1442-K1442)*24*60,0)</f>
        <v>0</v>
      </c>
      <c r="AI1442" s="9">
        <f t="shared" si="27"/>
        <v>0</v>
      </c>
      <c r="AJ1442" s="9">
        <f>C1442</f>
        <v>0</v>
      </c>
      <c r="AK1442" s="9">
        <f>IF(P1442="completed",((V1442-K1442)*24*60),0)</f>
        <v>0</v>
      </c>
      <c r="AL1442" s="9">
        <f>IF(P1442="completed",((U1442-K1442)*24*60),0)</f>
        <v>0</v>
      </c>
      <c r="AM1442" s="9" t="str">
        <f t="shared" si="28"/>
        <v>OTP Breached</v>
      </c>
      <c r="AN1442" s="9" t="str">
        <f t="shared" si="29"/>
        <v>OTP Achieved</v>
      </c>
    </row>
    <row r="1443" spans="9:40" ht="15.75" customHeight="1">
      <c r="I1443" s="28"/>
      <c r="AD1443" s="9" t="str">
        <f t="shared" si="25"/>
        <v>Actual</v>
      </c>
      <c r="AE1443" s="9" t="str">
        <f t="shared" si="26"/>
        <v/>
      </c>
      <c r="AF1443" s="9">
        <f>HOUR(O1443)</f>
        <v>0</v>
      </c>
      <c r="AG1443" s="9">
        <f>DAY(O1443)</f>
        <v>0</v>
      </c>
      <c r="AH1443" s="9">
        <f>IFERROR((I1443-K1443)*24*60,0)</f>
        <v>0</v>
      </c>
      <c r="AI1443" s="9">
        <f t="shared" si="27"/>
        <v>0</v>
      </c>
      <c r="AJ1443" s="9">
        <f>C1443</f>
        <v>0</v>
      </c>
      <c r="AK1443" s="9">
        <f>IF(P1443="completed",((V1443-K1443)*24*60),0)</f>
        <v>0</v>
      </c>
      <c r="AL1443" s="9">
        <f>IF(P1443="completed",((U1443-K1443)*24*60),0)</f>
        <v>0</v>
      </c>
      <c r="AM1443" s="9" t="str">
        <f t="shared" si="28"/>
        <v>OTP Breached</v>
      </c>
      <c r="AN1443" s="9" t="str">
        <f t="shared" si="29"/>
        <v>OTP Achieved</v>
      </c>
    </row>
    <row r="1444" spans="9:40" ht="15.75" customHeight="1">
      <c r="I1444" s="28"/>
      <c r="AD1444" s="9" t="str">
        <f t="shared" si="25"/>
        <v>Actual</v>
      </c>
      <c r="AE1444" s="9" t="str">
        <f t="shared" si="26"/>
        <v/>
      </c>
      <c r="AF1444" s="9">
        <f>HOUR(O1444)</f>
        <v>0</v>
      </c>
      <c r="AG1444" s="9">
        <f>DAY(O1444)</f>
        <v>0</v>
      </c>
      <c r="AH1444" s="9">
        <f>IFERROR((I1444-K1444)*24*60,0)</f>
        <v>0</v>
      </c>
      <c r="AI1444" s="9">
        <f t="shared" si="27"/>
        <v>0</v>
      </c>
      <c r="AJ1444" s="9">
        <f>C1444</f>
        <v>0</v>
      </c>
      <c r="AK1444" s="9">
        <f>IF(P1444="completed",((V1444-K1444)*24*60),0)</f>
        <v>0</v>
      </c>
      <c r="AL1444" s="9">
        <f>IF(P1444="completed",((U1444-K1444)*24*60),0)</f>
        <v>0</v>
      </c>
      <c r="AM1444" s="9" t="str">
        <f t="shared" si="28"/>
        <v>OTP Breached</v>
      </c>
      <c r="AN1444" s="9" t="str">
        <f t="shared" si="29"/>
        <v>OTP Achieved</v>
      </c>
    </row>
    <row r="1445" spans="9:40" ht="15.75" customHeight="1">
      <c r="I1445" s="28"/>
      <c r="AD1445" s="9" t="str">
        <f t="shared" si="25"/>
        <v>Actual</v>
      </c>
      <c r="AE1445" s="9" t="str">
        <f t="shared" si="26"/>
        <v/>
      </c>
      <c r="AF1445" s="9">
        <f>HOUR(O1445)</f>
        <v>0</v>
      </c>
      <c r="AG1445" s="9">
        <f>DAY(O1445)</f>
        <v>0</v>
      </c>
      <c r="AH1445" s="9">
        <f>IFERROR((I1445-K1445)*24*60,0)</f>
        <v>0</v>
      </c>
      <c r="AI1445" s="9">
        <f t="shared" si="27"/>
        <v>0</v>
      </c>
      <c r="AJ1445" s="9">
        <f>C1445</f>
        <v>0</v>
      </c>
      <c r="AK1445" s="9">
        <f>IF(P1445="completed",((V1445-K1445)*24*60),0)</f>
        <v>0</v>
      </c>
      <c r="AL1445" s="9">
        <f>IF(P1445="completed",((U1445-K1445)*24*60),0)</f>
        <v>0</v>
      </c>
      <c r="AM1445" s="9" t="str">
        <f t="shared" si="28"/>
        <v>OTP Breached</v>
      </c>
      <c r="AN1445" s="9" t="str">
        <f t="shared" si="29"/>
        <v>OTP Achieved</v>
      </c>
    </row>
    <row r="1446" spans="9:40" ht="15.75" customHeight="1">
      <c r="I1446" s="28"/>
      <c r="AD1446" s="9" t="str">
        <f t="shared" si="25"/>
        <v>Actual</v>
      </c>
      <c r="AE1446" s="9" t="str">
        <f t="shared" si="26"/>
        <v/>
      </c>
      <c r="AF1446" s="9">
        <f>HOUR(O1446)</f>
        <v>0</v>
      </c>
      <c r="AG1446" s="9">
        <f>DAY(O1446)</f>
        <v>0</v>
      </c>
      <c r="AH1446" s="9">
        <f>IFERROR((I1446-K1446)*24*60,0)</f>
        <v>0</v>
      </c>
      <c r="AI1446" s="9">
        <f t="shared" si="27"/>
        <v>0</v>
      </c>
      <c r="AJ1446" s="9">
        <f>C1446</f>
        <v>0</v>
      </c>
      <c r="AK1446" s="9">
        <f>IF(P1446="completed",((V1446-K1446)*24*60),0)</f>
        <v>0</v>
      </c>
      <c r="AL1446" s="9">
        <f>IF(P1446="completed",((U1446-K1446)*24*60),0)</f>
        <v>0</v>
      </c>
      <c r="AM1446" s="9" t="str">
        <f t="shared" si="28"/>
        <v>OTP Breached</v>
      </c>
      <c r="AN1446" s="9" t="str">
        <f t="shared" si="29"/>
        <v>OTP Achieved</v>
      </c>
    </row>
    <row r="1447" spans="9:40" ht="15.75" customHeight="1">
      <c r="I1447" s="28"/>
      <c r="AD1447" s="9" t="str">
        <f t="shared" si="25"/>
        <v>Actual</v>
      </c>
      <c r="AE1447" s="9" t="str">
        <f t="shared" si="26"/>
        <v/>
      </c>
      <c r="AF1447" s="9">
        <f>HOUR(O1447)</f>
        <v>0</v>
      </c>
      <c r="AG1447" s="9">
        <f>DAY(O1447)</f>
        <v>0</v>
      </c>
      <c r="AH1447" s="9">
        <f>IFERROR((I1447-K1447)*24*60,0)</f>
        <v>0</v>
      </c>
      <c r="AI1447" s="9">
        <f t="shared" si="27"/>
        <v>0</v>
      </c>
      <c r="AJ1447" s="9">
        <f>C1447</f>
        <v>0</v>
      </c>
      <c r="AK1447" s="9">
        <f>IF(P1447="completed",((V1447-K1447)*24*60),0)</f>
        <v>0</v>
      </c>
      <c r="AL1447" s="9">
        <f>IF(P1447="completed",((U1447-K1447)*24*60),0)</f>
        <v>0</v>
      </c>
      <c r="AM1447" s="9" t="str">
        <f t="shared" si="28"/>
        <v>OTP Breached</v>
      </c>
      <c r="AN1447" s="9" t="str">
        <f t="shared" si="29"/>
        <v>OTP Achieved</v>
      </c>
    </row>
    <row r="1448" spans="9:40" ht="15.75" customHeight="1">
      <c r="I1448" s="28"/>
      <c r="AD1448" s="9" t="str">
        <f t="shared" si="25"/>
        <v>Actual</v>
      </c>
      <c r="AE1448" s="9" t="str">
        <f t="shared" si="26"/>
        <v/>
      </c>
      <c r="AF1448" s="9">
        <f>HOUR(O1448)</f>
        <v>0</v>
      </c>
      <c r="AG1448" s="9">
        <f>DAY(O1448)</f>
        <v>0</v>
      </c>
      <c r="AH1448" s="9">
        <f>IFERROR((I1448-K1448)*24*60,0)</f>
        <v>0</v>
      </c>
      <c r="AI1448" s="9">
        <f t="shared" si="27"/>
        <v>0</v>
      </c>
      <c r="AJ1448" s="9">
        <f>C1448</f>
        <v>0</v>
      </c>
      <c r="AK1448" s="9">
        <f>IF(P1448="completed",((V1448-K1448)*24*60),0)</f>
        <v>0</v>
      </c>
      <c r="AL1448" s="9">
        <f>IF(P1448="completed",((U1448-K1448)*24*60),0)</f>
        <v>0</v>
      </c>
      <c r="AM1448" s="9" t="str">
        <f t="shared" si="28"/>
        <v>OTP Breached</v>
      </c>
      <c r="AN1448" s="9" t="str">
        <f t="shared" si="29"/>
        <v>OTP Achieved</v>
      </c>
    </row>
    <row r="1449" spans="9:40" ht="15.75" customHeight="1">
      <c r="I1449" s="28"/>
      <c r="AD1449" s="9" t="str">
        <f t="shared" si="25"/>
        <v>Actual</v>
      </c>
      <c r="AE1449" s="9" t="str">
        <f t="shared" si="26"/>
        <v/>
      </c>
      <c r="AF1449" s="9">
        <f>HOUR(O1449)</f>
        <v>0</v>
      </c>
      <c r="AG1449" s="9">
        <f>DAY(O1449)</f>
        <v>0</v>
      </c>
      <c r="AH1449" s="9">
        <f>IFERROR((I1449-K1449)*24*60,0)</f>
        <v>0</v>
      </c>
      <c r="AI1449" s="9">
        <f t="shared" si="27"/>
        <v>0</v>
      </c>
      <c r="AJ1449" s="9">
        <f>C1449</f>
        <v>0</v>
      </c>
      <c r="AK1449" s="9">
        <f>IF(P1449="completed",((V1449-K1449)*24*60),0)</f>
        <v>0</v>
      </c>
      <c r="AL1449" s="9">
        <f>IF(P1449="completed",((U1449-K1449)*24*60),0)</f>
        <v>0</v>
      </c>
      <c r="AM1449" s="9" t="str">
        <f t="shared" si="28"/>
        <v>OTP Breached</v>
      </c>
      <c r="AN1449" s="9" t="str">
        <f t="shared" si="29"/>
        <v>OTP Achieved</v>
      </c>
    </row>
    <row r="1450" spans="9:40" ht="15.75" customHeight="1">
      <c r="I1450" s="28"/>
      <c r="AD1450" s="9" t="str">
        <f t="shared" si="25"/>
        <v>Actual</v>
      </c>
      <c r="AE1450" s="9" t="str">
        <f t="shared" si="26"/>
        <v/>
      </c>
      <c r="AF1450" s="9">
        <f>HOUR(O1450)</f>
        <v>0</v>
      </c>
      <c r="AG1450" s="9">
        <f>DAY(O1450)</f>
        <v>0</v>
      </c>
      <c r="AH1450" s="9">
        <f>IFERROR((I1450-K1450)*24*60,0)</f>
        <v>0</v>
      </c>
      <c r="AI1450" s="9">
        <f t="shared" si="27"/>
        <v>0</v>
      </c>
      <c r="AJ1450" s="9">
        <f>C1450</f>
        <v>0</v>
      </c>
      <c r="AK1450" s="9">
        <f>IF(P1450="completed",((V1450-K1450)*24*60),0)</f>
        <v>0</v>
      </c>
      <c r="AL1450" s="9">
        <f>IF(P1450="completed",((U1450-K1450)*24*60),0)</f>
        <v>0</v>
      </c>
      <c r="AM1450" s="9" t="str">
        <f t="shared" si="28"/>
        <v>OTP Breached</v>
      </c>
      <c r="AN1450" s="9" t="str">
        <f t="shared" si="29"/>
        <v>OTP Achieved</v>
      </c>
    </row>
    <row r="1451" spans="9:40" ht="15.75" customHeight="1">
      <c r="I1451" s="28"/>
      <c r="AD1451" s="9" t="str">
        <f t="shared" si="25"/>
        <v>Actual</v>
      </c>
      <c r="AE1451" s="9" t="str">
        <f t="shared" si="26"/>
        <v/>
      </c>
      <c r="AF1451" s="9">
        <f>HOUR(O1451)</f>
        <v>0</v>
      </c>
      <c r="AG1451" s="9">
        <f>DAY(O1451)</f>
        <v>0</v>
      </c>
      <c r="AH1451" s="9">
        <f>IFERROR((I1451-K1451)*24*60,0)</f>
        <v>0</v>
      </c>
      <c r="AI1451" s="9">
        <f t="shared" si="27"/>
        <v>0</v>
      </c>
      <c r="AJ1451" s="9">
        <f>C1451</f>
        <v>0</v>
      </c>
      <c r="AK1451" s="9">
        <f>IF(P1451="completed",((V1451-K1451)*24*60),0)</f>
        <v>0</v>
      </c>
      <c r="AL1451" s="9">
        <f>IF(P1451="completed",((U1451-K1451)*24*60),0)</f>
        <v>0</v>
      </c>
      <c r="AM1451" s="9" t="str">
        <f t="shared" si="28"/>
        <v>OTP Breached</v>
      </c>
      <c r="AN1451" s="9" t="str">
        <f t="shared" si="29"/>
        <v>OTP Achieved</v>
      </c>
    </row>
    <row r="1452" spans="9:40" ht="15.75" customHeight="1">
      <c r="I1452" s="28"/>
      <c r="AD1452" s="9" t="str">
        <f t="shared" si="25"/>
        <v>Actual</v>
      </c>
      <c r="AE1452" s="9" t="str">
        <f t="shared" si="26"/>
        <v/>
      </c>
      <c r="AF1452" s="9">
        <f>HOUR(O1452)</f>
        <v>0</v>
      </c>
      <c r="AG1452" s="9">
        <f>DAY(O1452)</f>
        <v>0</v>
      </c>
      <c r="AH1452" s="9">
        <f>IFERROR((I1452-K1452)*24*60,0)</f>
        <v>0</v>
      </c>
      <c r="AI1452" s="9">
        <f t="shared" si="27"/>
        <v>0</v>
      </c>
      <c r="AJ1452" s="9">
        <f>C1452</f>
        <v>0</v>
      </c>
      <c r="AK1452" s="9">
        <f>IF(P1452="completed",((V1452-K1452)*24*60),0)</f>
        <v>0</v>
      </c>
      <c r="AL1452" s="9">
        <f>IF(P1452="completed",((U1452-K1452)*24*60),0)</f>
        <v>0</v>
      </c>
      <c r="AM1452" s="9" t="str">
        <f t="shared" si="28"/>
        <v>OTP Breached</v>
      </c>
      <c r="AN1452" s="9" t="str">
        <f t="shared" si="29"/>
        <v>OTP Achieved</v>
      </c>
    </row>
    <row r="1453" spans="9:40" ht="15.75" customHeight="1">
      <c r="I1453" s="28"/>
      <c r="AD1453" s="9" t="str">
        <f t="shared" si="25"/>
        <v>Actual</v>
      </c>
      <c r="AE1453" s="9" t="str">
        <f t="shared" si="26"/>
        <v/>
      </c>
      <c r="AF1453" s="9">
        <f>HOUR(O1453)</f>
        <v>0</v>
      </c>
      <c r="AG1453" s="9">
        <f>DAY(O1453)</f>
        <v>0</v>
      </c>
      <c r="AH1453" s="9">
        <f>IFERROR((I1453-K1453)*24*60,0)</f>
        <v>0</v>
      </c>
      <c r="AI1453" s="9">
        <f t="shared" si="27"/>
        <v>0</v>
      </c>
      <c r="AJ1453" s="9">
        <f>C1453</f>
        <v>0</v>
      </c>
      <c r="AK1453" s="9">
        <f>IF(P1453="completed",((V1453-K1453)*24*60),0)</f>
        <v>0</v>
      </c>
      <c r="AL1453" s="9">
        <f>IF(P1453="completed",((U1453-K1453)*24*60),0)</f>
        <v>0</v>
      </c>
      <c r="AM1453" s="9" t="str">
        <f t="shared" si="28"/>
        <v>OTP Breached</v>
      </c>
      <c r="AN1453" s="9" t="str">
        <f t="shared" si="29"/>
        <v>OTP Achieved</v>
      </c>
    </row>
    <row r="1454" spans="9:40" ht="15.75" customHeight="1">
      <c r="I1454" s="28"/>
      <c r="AD1454" s="9" t="str">
        <f t="shared" si="25"/>
        <v>Actual</v>
      </c>
      <c r="AE1454" s="9" t="str">
        <f t="shared" si="26"/>
        <v/>
      </c>
      <c r="AF1454" s="9">
        <f>HOUR(O1454)</f>
        <v>0</v>
      </c>
      <c r="AG1454" s="9">
        <f>DAY(O1454)</f>
        <v>0</v>
      </c>
      <c r="AH1454" s="9">
        <f>IFERROR((I1454-K1454)*24*60,0)</f>
        <v>0</v>
      </c>
      <c r="AI1454" s="9">
        <f t="shared" si="27"/>
        <v>0</v>
      </c>
      <c r="AJ1454" s="9">
        <f>C1454</f>
        <v>0</v>
      </c>
      <c r="AK1454" s="9">
        <f>IF(P1454="completed",((V1454-K1454)*24*60),0)</f>
        <v>0</v>
      </c>
      <c r="AL1454" s="9">
        <f>IF(P1454="completed",((U1454-K1454)*24*60),0)</f>
        <v>0</v>
      </c>
      <c r="AM1454" s="9" t="str">
        <f t="shared" si="28"/>
        <v>OTP Breached</v>
      </c>
      <c r="AN1454" s="9" t="str">
        <f t="shared" si="29"/>
        <v>OTP Achieved</v>
      </c>
    </row>
    <row r="1455" spans="9:40" ht="15.75" customHeight="1">
      <c r="I1455" s="28"/>
      <c r="AD1455" s="9" t="str">
        <f t="shared" si="25"/>
        <v>Actual</v>
      </c>
      <c r="AE1455" s="9" t="str">
        <f t="shared" si="26"/>
        <v/>
      </c>
      <c r="AF1455" s="9">
        <f>HOUR(O1455)</f>
        <v>0</v>
      </c>
      <c r="AG1455" s="9">
        <f>DAY(O1455)</f>
        <v>0</v>
      </c>
      <c r="AH1455" s="9">
        <f>IFERROR((I1455-K1455)*24*60,0)</f>
        <v>0</v>
      </c>
      <c r="AI1455" s="9">
        <f t="shared" si="27"/>
        <v>0</v>
      </c>
      <c r="AJ1455" s="9">
        <f>C1455</f>
        <v>0</v>
      </c>
      <c r="AK1455" s="9">
        <f>IF(P1455="completed",((V1455-K1455)*24*60),0)</f>
        <v>0</v>
      </c>
      <c r="AL1455" s="9">
        <f>IF(P1455="completed",((U1455-K1455)*24*60),0)</f>
        <v>0</v>
      </c>
      <c r="AM1455" s="9" t="str">
        <f t="shared" si="28"/>
        <v>OTP Breached</v>
      </c>
      <c r="AN1455" s="9" t="str">
        <f t="shared" si="29"/>
        <v>OTP Achieved</v>
      </c>
    </row>
    <row r="1456" spans="9:40" ht="15.75" customHeight="1">
      <c r="I1456" s="28"/>
      <c r="AD1456" s="9" t="str">
        <f t="shared" si="25"/>
        <v>Actual</v>
      </c>
      <c r="AE1456" s="9" t="str">
        <f t="shared" si="26"/>
        <v/>
      </c>
      <c r="AF1456" s="9">
        <f>HOUR(O1456)</f>
        <v>0</v>
      </c>
      <c r="AG1456" s="9">
        <f>DAY(O1456)</f>
        <v>0</v>
      </c>
      <c r="AH1456" s="9">
        <f>IFERROR((I1456-K1456)*24*60,0)</f>
        <v>0</v>
      </c>
      <c r="AI1456" s="9">
        <f t="shared" si="27"/>
        <v>0</v>
      </c>
      <c r="AJ1456" s="9">
        <f>C1456</f>
        <v>0</v>
      </c>
      <c r="AK1456" s="9">
        <f>IF(P1456="completed",((V1456-K1456)*24*60),0)</f>
        <v>0</v>
      </c>
      <c r="AL1456" s="9">
        <f>IF(P1456="completed",((U1456-K1456)*24*60),0)</f>
        <v>0</v>
      </c>
      <c r="AM1456" s="9" t="str">
        <f t="shared" si="28"/>
        <v>OTP Breached</v>
      </c>
      <c r="AN1456" s="9" t="str">
        <f t="shared" si="29"/>
        <v>OTP Achieved</v>
      </c>
    </row>
    <row r="1457" spans="9:40" ht="15.75" customHeight="1">
      <c r="I1457" s="28"/>
      <c r="AD1457" s="9" t="str">
        <f t="shared" si="25"/>
        <v>Actual</v>
      </c>
      <c r="AE1457" s="9" t="str">
        <f t="shared" si="26"/>
        <v/>
      </c>
      <c r="AF1457" s="9">
        <f>HOUR(O1457)</f>
        <v>0</v>
      </c>
      <c r="AG1457" s="9">
        <f>DAY(O1457)</f>
        <v>0</v>
      </c>
      <c r="AH1457" s="9">
        <f>IFERROR((I1457-K1457)*24*60,0)</f>
        <v>0</v>
      </c>
      <c r="AI1457" s="9">
        <f t="shared" si="27"/>
        <v>0</v>
      </c>
      <c r="AJ1457" s="9">
        <f>C1457</f>
        <v>0</v>
      </c>
      <c r="AK1457" s="9">
        <f>IF(P1457="completed",((V1457-K1457)*24*60),0)</f>
        <v>0</v>
      </c>
      <c r="AL1457" s="9">
        <f>IF(P1457="completed",((U1457-K1457)*24*60),0)</f>
        <v>0</v>
      </c>
      <c r="AM1457" s="9" t="str">
        <f t="shared" si="28"/>
        <v>OTP Breached</v>
      </c>
      <c r="AN1457" s="9" t="str">
        <f t="shared" si="29"/>
        <v>OTP Achieved</v>
      </c>
    </row>
    <row r="1458" spans="9:40" ht="15.75" customHeight="1">
      <c r="I1458" s="28"/>
      <c r="AD1458" s="9" t="str">
        <f t="shared" si="25"/>
        <v>Actual</v>
      </c>
      <c r="AE1458" s="9" t="str">
        <f t="shared" si="26"/>
        <v/>
      </c>
      <c r="AF1458" s="9">
        <f>HOUR(O1458)</f>
        <v>0</v>
      </c>
      <c r="AG1458" s="9">
        <f>DAY(O1458)</f>
        <v>0</v>
      </c>
      <c r="AH1458" s="9">
        <f>IFERROR((I1458-K1458)*24*60,0)</f>
        <v>0</v>
      </c>
      <c r="AI1458" s="9">
        <f t="shared" si="27"/>
        <v>0</v>
      </c>
      <c r="AJ1458" s="9">
        <f>C1458</f>
        <v>0</v>
      </c>
      <c r="AK1458" s="9">
        <f>IF(P1458="completed",((V1458-K1458)*24*60),0)</f>
        <v>0</v>
      </c>
      <c r="AL1458" s="9">
        <f>IF(P1458="completed",((U1458-K1458)*24*60),0)</f>
        <v>0</v>
      </c>
      <c r="AM1458" s="9" t="str">
        <f t="shared" si="28"/>
        <v>OTP Breached</v>
      </c>
      <c r="AN1458" s="9" t="str">
        <f t="shared" si="29"/>
        <v>OTP Achieved</v>
      </c>
    </row>
    <row r="1459" spans="9:40" ht="15.75" customHeight="1">
      <c r="I1459" s="28"/>
      <c r="AD1459" s="9" t="str">
        <f t="shared" si="25"/>
        <v>Actual</v>
      </c>
      <c r="AE1459" s="9" t="str">
        <f t="shared" si="26"/>
        <v/>
      </c>
      <c r="AF1459" s="9">
        <f>HOUR(O1459)</f>
        <v>0</v>
      </c>
      <c r="AG1459" s="9">
        <f>DAY(O1459)</f>
        <v>0</v>
      </c>
      <c r="AH1459" s="9">
        <f>IFERROR((I1459-K1459)*24*60,0)</f>
        <v>0</v>
      </c>
      <c r="AI1459" s="9">
        <f t="shared" si="27"/>
        <v>0</v>
      </c>
      <c r="AJ1459" s="9">
        <f>C1459</f>
        <v>0</v>
      </c>
      <c r="AK1459" s="9">
        <f>IF(P1459="completed",((V1459-K1459)*24*60),0)</f>
        <v>0</v>
      </c>
      <c r="AL1459" s="9">
        <f>IF(P1459="completed",((U1459-K1459)*24*60),0)</f>
        <v>0</v>
      </c>
      <c r="AM1459" s="9" t="str">
        <f t="shared" si="28"/>
        <v>OTP Breached</v>
      </c>
      <c r="AN1459" s="9" t="str">
        <f t="shared" si="29"/>
        <v>OTP Achieved</v>
      </c>
    </row>
    <row r="1460" spans="9:40" ht="15.75" customHeight="1">
      <c r="I1460" s="28"/>
      <c r="AD1460" s="9" t="str">
        <f t="shared" si="25"/>
        <v>Actual</v>
      </c>
      <c r="AE1460" s="9" t="str">
        <f t="shared" si="26"/>
        <v/>
      </c>
      <c r="AF1460" s="9">
        <f>HOUR(O1460)</f>
        <v>0</v>
      </c>
      <c r="AG1460" s="9">
        <f>DAY(O1460)</f>
        <v>0</v>
      </c>
      <c r="AH1460" s="9">
        <f>IFERROR((I1460-K1460)*24*60,0)</f>
        <v>0</v>
      </c>
      <c r="AI1460" s="9">
        <f t="shared" si="27"/>
        <v>0</v>
      </c>
      <c r="AJ1460" s="9">
        <f>C1460</f>
        <v>0</v>
      </c>
      <c r="AK1460" s="9">
        <f>IF(P1460="completed",((V1460-K1460)*24*60),0)</f>
        <v>0</v>
      </c>
      <c r="AL1460" s="9">
        <f>IF(P1460="completed",((U1460-K1460)*24*60),0)</f>
        <v>0</v>
      </c>
      <c r="AM1460" s="9" t="str">
        <f t="shared" si="28"/>
        <v>OTP Breached</v>
      </c>
      <c r="AN1460" s="9" t="str">
        <f t="shared" si="29"/>
        <v>OTP Achieved</v>
      </c>
    </row>
    <row r="1461" spans="9:40" ht="15.75" customHeight="1">
      <c r="I1461" s="28"/>
      <c r="AD1461" s="9" t="str">
        <f t="shared" si="25"/>
        <v>Actual</v>
      </c>
      <c r="AE1461" s="9" t="str">
        <f t="shared" si="26"/>
        <v/>
      </c>
      <c r="AF1461" s="9">
        <f>HOUR(O1461)</f>
        <v>0</v>
      </c>
      <c r="AG1461" s="9">
        <f>DAY(O1461)</f>
        <v>0</v>
      </c>
      <c r="AH1461" s="9">
        <f>IFERROR((I1461-K1461)*24*60,0)</f>
        <v>0</v>
      </c>
      <c r="AI1461" s="9">
        <f t="shared" si="27"/>
        <v>0</v>
      </c>
      <c r="AJ1461" s="9">
        <f>C1461</f>
        <v>0</v>
      </c>
      <c r="AK1461" s="9">
        <f>IF(P1461="completed",((V1461-K1461)*24*60),0)</f>
        <v>0</v>
      </c>
      <c r="AL1461" s="9">
        <f>IF(P1461="completed",((U1461-K1461)*24*60),0)</f>
        <v>0</v>
      </c>
      <c r="AM1461" s="9" t="str">
        <f t="shared" si="28"/>
        <v>OTP Breached</v>
      </c>
      <c r="AN1461" s="9" t="str">
        <f t="shared" si="29"/>
        <v>OTP Achieved</v>
      </c>
    </row>
    <row r="1462" spans="9:40" ht="15.75" customHeight="1">
      <c r="I1462" s="28"/>
      <c r="AD1462" s="9" t="str">
        <f t="shared" si="25"/>
        <v>Actual</v>
      </c>
      <c r="AE1462" s="9" t="str">
        <f t="shared" si="26"/>
        <v/>
      </c>
      <c r="AF1462" s="9">
        <f>HOUR(O1462)</f>
        <v>0</v>
      </c>
      <c r="AG1462" s="9">
        <f>DAY(O1462)</f>
        <v>0</v>
      </c>
      <c r="AH1462" s="9">
        <f>IFERROR((I1462-K1462)*24*60,0)</f>
        <v>0</v>
      </c>
      <c r="AI1462" s="9">
        <f t="shared" si="27"/>
        <v>0</v>
      </c>
      <c r="AJ1462" s="9">
        <f>C1462</f>
        <v>0</v>
      </c>
      <c r="AK1462" s="9">
        <f>IF(P1462="completed",((V1462-K1462)*24*60),0)</f>
        <v>0</v>
      </c>
      <c r="AL1462" s="9">
        <f>IF(P1462="completed",((U1462-K1462)*24*60),0)</f>
        <v>0</v>
      </c>
      <c r="AM1462" s="9" t="str">
        <f t="shared" si="28"/>
        <v>OTP Breached</v>
      </c>
      <c r="AN1462" s="9" t="str">
        <f t="shared" si="29"/>
        <v>OTP Achieved</v>
      </c>
    </row>
    <row r="1463" spans="9:40" ht="15.75" customHeight="1">
      <c r="I1463" s="28"/>
      <c r="AD1463" s="9" t="str">
        <f t="shared" si="25"/>
        <v>Actual</v>
      </c>
      <c r="AE1463" s="9" t="str">
        <f t="shared" si="26"/>
        <v/>
      </c>
      <c r="AF1463" s="9">
        <f>HOUR(O1463)</f>
        <v>0</v>
      </c>
      <c r="AG1463" s="9">
        <f>DAY(O1463)</f>
        <v>0</v>
      </c>
      <c r="AH1463" s="9">
        <f>IFERROR((I1463-K1463)*24*60,0)</f>
        <v>0</v>
      </c>
      <c r="AI1463" s="9">
        <f t="shared" si="27"/>
        <v>0</v>
      </c>
      <c r="AJ1463" s="9">
        <f>C1463</f>
        <v>0</v>
      </c>
      <c r="AK1463" s="9">
        <f>IF(P1463="completed",((V1463-K1463)*24*60),0)</f>
        <v>0</v>
      </c>
      <c r="AL1463" s="9">
        <f>IF(P1463="completed",((U1463-K1463)*24*60),0)</f>
        <v>0</v>
      </c>
      <c r="AM1463" s="9" t="str">
        <f t="shared" si="28"/>
        <v>OTP Breached</v>
      </c>
      <c r="AN1463" s="9" t="str">
        <f t="shared" si="29"/>
        <v>OTP Achieved</v>
      </c>
    </row>
    <row r="1464" spans="9:40" ht="15.75" customHeight="1">
      <c r="I1464" s="28"/>
      <c r="AD1464" s="9" t="str">
        <f t="shared" si="25"/>
        <v>Actual</v>
      </c>
      <c r="AE1464" s="9" t="str">
        <f t="shared" si="26"/>
        <v/>
      </c>
      <c r="AF1464" s="9">
        <f>HOUR(O1464)</f>
        <v>0</v>
      </c>
      <c r="AG1464" s="9">
        <f>DAY(O1464)</f>
        <v>0</v>
      </c>
      <c r="AH1464" s="9">
        <f>IFERROR((I1464-K1464)*24*60,0)</f>
        <v>0</v>
      </c>
      <c r="AI1464" s="9">
        <f t="shared" si="27"/>
        <v>0</v>
      </c>
      <c r="AJ1464" s="9">
        <f>C1464</f>
        <v>0</v>
      </c>
      <c r="AK1464" s="9">
        <f>IF(P1464="completed",((V1464-K1464)*24*60),0)</f>
        <v>0</v>
      </c>
      <c r="AL1464" s="9">
        <f>IF(P1464="completed",((U1464-K1464)*24*60),0)</f>
        <v>0</v>
      </c>
      <c r="AM1464" s="9" t="str">
        <f t="shared" si="28"/>
        <v>OTP Breached</v>
      </c>
      <c r="AN1464" s="9" t="str">
        <f t="shared" si="29"/>
        <v>OTP Achieved</v>
      </c>
    </row>
    <row r="1465" spans="9:40" ht="15.75" customHeight="1">
      <c r="I1465" s="28"/>
      <c r="AD1465" s="9" t="str">
        <f t="shared" si="25"/>
        <v>Actual</v>
      </c>
      <c r="AE1465" s="9" t="str">
        <f t="shared" si="26"/>
        <v/>
      </c>
      <c r="AF1465" s="9">
        <f>HOUR(O1465)</f>
        <v>0</v>
      </c>
      <c r="AG1465" s="9">
        <f>DAY(O1465)</f>
        <v>0</v>
      </c>
      <c r="AH1465" s="9">
        <f>IFERROR((I1465-K1465)*24*60,0)</f>
        <v>0</v>
      </c>
      <c r="AI1465" s="9">
        <f t="shared" si="27"/>
        <v>0</v>
      </c>
      <c r="AJ1465" s="9">
        <f>C1465</f>
        <v>0</v>
      </c>
      <c r="AK1465" s="9">
        <f>IF(P1465="completed",((V1465-K1465)*24*60),0)</f>
        <v>0</v>
      </c>
      <c r="AL1465" s="9">
        <f>IF(P1465="completed",((U1465-K1465)*24*60),0)</f>
        <v>0</v>
      </c>
      <c r="AM1465" s="9" t="str">
        <f t="shared" si="28"/>
        <v>OTP Breached</v>
      </c>
      <c r="AN1465" s="9" t="str">
        <f t="shared" si="29"/>
        <v>OTP Achieved</v>
      </c>
    </row>
    <row r="1466" spans="9:40" ht="15.75" customHeight="1">
      <c r="I1466" s="28"/>
      <c r="AD1466" s="9" t="str">
        <f t="shared" si="25"/>
        <v>Actual</v>
      </c>
      <c r="AE1466" s="9" t="str">
        <f t="shared" si="26"/>
        <v/>
      </c>
      <c r="AF1466" s="9">
        <f>HOUR(O1466)</f>
        <v>0</v>
      </c>
      <c r="AG1466" s="9">
        <f>DAY(O1466)</f>
        <v>0</v>
      </c>
      <c r="AH1466" s="9">
        <f>IFERROR((I1466-K1466)*24*60,0)</f>
        <v>0</v>
      </c>
      <c r="AI1466" s="9">
        <f t="shared" si="27"/>
        <v>0</v>
      </c>
      <c r="AJ1466" s="9">
        <f>C1466</f>
        <v>0</v>
      </c>
      <c r="AK1466" s="9">
        <f>IF(P1466="completed",((V1466-K1466)*24*60),0)</f>
        <v>0</v>
      </c>
      <c r="AL1466" s="9">
        <f>IF(P1466="completed",((U1466-K1466)*24*60),0)</f>
        <v>0</v>
      </c>
      <c r="AM1466" s="9" t="str">
        <f t="shared" si="28"/>
        <v>OTP Breached</v>
      </c>
      <c r="AN1466" s="9" t="str">
        <f t="shared" si="29"/>
        <v>OTP Achieved</v>
      </c>
    </row>
    <row r="1467" spans="9:40" ht="15.75" customHeight="1">
      <c r="I1467" s="28"/>
      <c r="AD1467" s="9" t="str">
        <f t="shared" si="25"/>
        <v>Actual</v>
      </c>
      <c r="AE1467" s="9" t="str">
        <f t="shared" si="26"/>
        <v/>
      </c>
      <c r="AF1467" s="9">
        <f>HOUR(O1467)</f>
        <v>0</v>
      </c>
      <c r="AG1467" s="9">
        <f>DAY(O1467)</f>
        <v>0</v>
      </c>
      <c r="AH1467" s="9">
        <f>IFERROR((I1467-K1467)*24*60,0)</f>
        <v>0</v>
      </c>
      <c r="AI1467" s="9">
        <f t="shared" si="27"/>
        <v>0</v>
      </c>
      <c r="AJ1467" s="9">
        <f>C1467</f>
        <v>0</v>
      </c>
      <c r="AK1467" s="9">
        <f>IF(P1467="completed",((V1467-K1467)*24*60),0)</f>
        <v>0</v>
      </c>
      <c r="AL1467" s="9">
        <f>IF(P1467="completed",((U1467-K1467)*24*60),0)</f>
        <v>0</v>
      </c>
      <c r="AM1467" s="9" t="str">
        <f t="shared" si="28"/>
        <v>OTP Breached</v>
      </c>
      <c r="AN1467" s="9" t="str">
        <f t="shared" si="29"/>
        <v>OTP Achieved</v>
      </c>
    </row>
    <row r="1468" spans="9:40" ht="15.75" customHeight="1">
      <c r="I1468" s="28"/>
      <c r="AD1468" s="9" t="str">
        <f t="shared" si="25"/>
        <v>Actual</v>
      </c>
      <c r="AE1468" s="9" t="str">
        <f t="shared" si="26"/>
        <v/>
      </c>
      <c r="AF1468" s="9">
        <f>HOUR(O1468)</f>
        <v>0</v>
      </c>
      <c r="AG1468" s="9">
        <f>DAY(O1468)</f>
        <v>0</v>
      </c>
      <c r="AH1468" s="9">
        <f>IFERROR((I1468-K1468)*24*60,0)</f>
        <v>0</v>
      </c>
      <c r="AI1468" s="9">
        <f t="shared" si="27"/>
        <v>0</v>
      </c>
      <c r="AJ1468" s="9">
        <f>C1468</f>
        <v>0</v>
      </c>
      <c r="AK1468" s="9">
        <f>IF(P1468="completed",((V1468-K1468)*24*60),0)</f>
        <v>0</v>
      </c>
      <c r="AL1468" s="9">
        <f>IF(P1468="completed",((U1468-K1468)*24*60),0)</f>
        <v>0</v>
      </c>
      <c r="AM1468" s="9" t="str">
        <f t="shared" si="28"/>
        <v>OTP Breached</v>
      </c>
      <c r="AN1468" s="9" t="str">
        <f t="shared" si="29"/>
        <v>OTP Achieved</v>
      </c>
    </row>
    <row r="1469" spans="9:40" ht="15.75" customHeight="1">
      <c r="I1469" s="28"/>
      <c r="AD1469" s="9" t="str">
        <f t="shared" si="25"/>
        <v>Actual</v>
      </c>
      <c r="AE1469" s="9" t="str">
        <f t="shared" si="26"/>
        <v/>
      </c>
      <c r="AF1469" s="9">
        <f>HOUR(O1469)</f>
        <v>0</v>
      </c>
      <c r="AG1469" s="9">
        <f>DAY(O1469)</f>
        <v>0</v>
      </c>
      <c r="AH1469" s="9">
        <f>IFERROR((I1469-K1469)*24*60,0)</f>
        <v>0</v>
      </c>
      <c r="AI1469" s="9">
        <f t="shared" si="27"/>
        <v>0</v>
      </c>
      <c r="AJ1469" s="9">
        <f>C1469</f>
        <v>0</v>
      </c>
      <c r="AK1469" s="9">
        <f>IF(P1469="completed",((V1469-K1469)*24*60),0)</f>
        <v>0</v>
      </c>
      <c r="AL1469" s="9">
        <f>IF(P1469="completed",((U1469-K1469)*24*60),0)</f>
        <v>0</v>
      </c>
      <c r="AM1469" s="9" t="str">
        <f t="shared" si="28"/>
        <v>OTP Breached</v>
      </c>
      <c r="AN1469" s="9" t="str">
        <f t="shared" si="29"/>
        <v>OTP Achieved</v>
      </c>
    </row>
    <row r="1470" spans="9:40" ht="15.75" customHeight="1">
      <c r="I1470" s="28"/>
      <c r="AD1470" s="9" t="str">
        <f t="shared" si="25"/>
        <v>Actual</v>
      </c>
      <c r="AE1470" s="9" t="str">
        <f t="shared" si="26"/>
        <v/>
      </c>
      <c r="AF1470" s="9">
        <f>HOUR(O1470)</f>
        <v>0</v>
      </c>
      <c r="AG1470" s="9">
        <f>DAY(O1470)</f>
        <v>0</v>
      </c>
      <c r="AH1470" s="9">
        <f>IFERROR((I1470-K1470)*24*60,0)</f>
        <v>0</v>
      </c>
      <c r="AI1470" s="9">
        <f t="shared" si="27"/>
        <v>0</v>
      </c>
      <c r="AJ1470" s="9">
        <f>C1470</f>
        <v>0</v>
      </c>
      <c r="AK1470" s="9">
        <f>IF(P1470="completed",((V1470-K1470)*24*60),0)</f>
        <v>0</v>
      </c>
      <c r="AL1470" s="9">
        <f>IF(P1470="completed",((U1470-K1470)*24*60),0)</f>
        <v>0</v>
      </c>
      <c r="AM1470" s="9" t="str">
        <f t="shared" si="28"/>
        <v>OTP Breached</v>
      </c>
      <c r="AN1470" s="9" t="str">
        <f t="shared" si="29"/>
        <v>OTP Achieved</v>
      </c>
    </row>
    <row r="1471" spans="9:40" ht="15.75" customHeight="1">
      <c r="I1471" s="28"/>
      <c r="AD1471" s="9" t="str">
        <f t="shared" si="25"/>
        <v>Actual</v>
      </c>
      <c r="AE1471" s="9" t="str">
        <f t="shared" si="26"/>
        <v/>
      </c>
      <c r="AF1471" s="9">
        <f>HOUR(O1471)</f>
        <v>0</v>
      </c>
      <c r="AG1471" s="9">
        <f>DAY(O1471)</f>
        <v>0</v>
      </c>
      <c r="AH1471" s="9">
        <f>IFERROR((I1471-K1471)*24*60,0)</f>
        <v>0</v>
      </c>
      <c r="AI1471" s="9">
        <f t="shared" si="27"/>
        <v>0</v>
      </c>
      <c r="AJ1471" s="9">
        <f>C1471</f>
        <v>0</v>
      </c>
      <c r="AK1471" s="9">
        <f>IF(P1471="completed",((V1471-K1471)*24*60),0)</f>
        <v>0</v>
      </c>
      <c r="AL1471" s="9">
        <f>IF(P1471="completed",((U1471-K1471)*24*60),0)</f>
        <v>0</v>
      </c>
      <c r="AM1471" s="9" t="str">
        <f t="shared" si="28"/>
        <v>OTP Breached</v>
      </c>
      <c r="AN1471" s="9" t="str">
        <f t="shared" si="29"/>
        <v>OTP Achieved</v>
      </c>
    </row>
    <row r="1472" spans="9:40" ht="15.75" customHeight="1">
      <c r="I1472" s="28"/>
      <c r="AD1472" s="9" t="str">
        <f t="shared" si="25"/>
        <v>Actual</v>
      </c>
      <c r="AE1472" s="9" t="str">
        <f t="shared" si="26"/>
        <v/>
      </c>
      <c r="AF1472" s="9">
        <f>HOUR(O1472)</f>
        <v>0</v>
      </c>
      <c r="AG1472" s="9">
        <f>DAY(O1472)</f>
        <v>0</v>
      </c>
      <c r="AH1472" s="9">
        <f>IFERROR((I1472-K1472)*24*60,0)</f>
        <v>0</v>
      </c>
      <c r="AI1472" s="9">
        <f t="shared" si="27"/>
        <v>0</v>
      </c>
      <c r="AJ1472" s="9">
        <f>C1472</f>
        <v>0</v>
      </c>
      <c r="AK1472" s="9">
        <f>IF(P1472="completed",((V1472-K1472)*24*60),0)</f>
        <v>0</v>
      </c>
      <c r="AL1472" s="9">
        <f>IF(P1472="completed",((U1472-K1472)*24*60),0)</f>
        <v>0</v>
      </c>
      <c r="AM1472" s="9" t="str">
        <f t="shared" si="28"/>
        <v>OTP Breached</v>
      </c>
      <c r="AN1472" s="9" t="str">
        <f t="shared" si="29"/>
        <v>OTP Achieved</v>
      </c>
    </row>
    <row r="1473" spans="9:40" ht="15.75" customHeight="1">
      <c r="I1473" s="28"/>
      <c r="AD1473" s="9" t="str">
        <f t="shared" si="25"/>
        <v>Actual</v>
      </c>
      <c r="AE1473" s="9" t="str">
        <f t="shared" si="26"/>
        <v/>
      </c>
      <c r="AF1473" s="9">
        <f>HOUR(O1473)</f>
        <v>0</v>
      </c>
      <c r="AG1473" s="9">
        <f>DAY(O1473)</f>
        <v>0</v>
      </c>
      <c r="AH1473" s="9">
        <f>IFERROR((I1473-K1473)*24*60,0)</f>
        <v>0</v>
      </c>
      <c r="AI1473" s="9">
        <f t="shared" si="27"/>
        <v>0</v>
      </c>
      <c r="AJ1473" s="9">
        <f>C1473</f>
        <v>0</v>
      </c>
      <c r="AK1473" s="9">
        <f>IF(P1473="completed",((V1473-K1473)*24*60),0)</f>
        <v>0</v>
      </c>
      <c r="AL1473" s="9">
        <f>IF(P1473="completed",((U1473-K1473)*24*60),0)</f>
        <v>0</v>
      </c>
      <c r="AM1473" s="9" t="str">
        <f t="shared" si="28"/>
        <v>OTP Breached</v>
      </c>
      <c r="AN1473" s="9" t="str">
        <f t="shared" si="29"/>
        <v>OTP Achieved</v>
      </c>
    </row>
    <row r="1474" spans="9:40" ht="15.75" customHeight="1">
      <c r="I1474" s="28"/>
      <c r="AD1474" s="9" t="str">
        <f t="shared" si="25"/>
        <v>Actual</v>
      </c>
      <c r="AE1474" s="9" t="str">
        <f t="shared" si="26"/>
        <v/>
      </c>
      <c r="AF1474" s="9">
        <f>HOUR(O1474)</f>
        <v>0</v>
      </c>
      <c r="AG1474" s="9">
        <f>DAY(O1474)</f>
        <v>0</v>
      </c>
      <c r="AH1474" s="9">
        <f>IFERROR((I1474-K1474)*24*60,0)</f>
        <v>0</v>
      </c>
      <c r="AI1474" s="9">
        <f t="shared" si="27"/>
        <v>0</v>
      </c>
      <c r="AJ1474" s="9">
        <f>C1474</f>
        <v>0</v>
      </c>
      <c r="AK1474" s="9">
        <f>IF(P1474="completed",((V1474-K1474)*24*60),0)</f>
        <v>0</v>
      </c>
      <c r="AL1474" s="9">
        <f>IF(P1474="completed",((U1474-K1474)*24*60),0)</f>
        <v>0</v>
      </c>
      <c r="AM1474" s="9" t="str">
        <f t="shared" si="28"/>
        <v>OTP Breached</v>
      </c>
      <c r="AN1474" s="9" t="str">
        <f t="shared" si="29"/>
        <v>OTP Achieved</v>
      </c>
    </row>
    <row r="1475" spans="9:40" ht="15.75" customHeight="1">
      <c r="I1475" s="28"/>
      <c r="AD1475" s="9" t="str">
        <f t="shared" si="25"/>
        <v>Actual</v>
      </c>
      <c r="AE1475" s="9" t="str">
        <f t="shared" si="26"/>
        <v/>
      </c>
      <c r="AF1475" s="9">
        <f>HOUR(O1475)</f>
        <v>0</v>
      </c>
      <c r="AG1475" s="9">
        <f>DAY(O1475)</f>
        <v>0</v>
      </c>
      <c r="AH1475" s="9">
        <f>IFERROR((I1475-K1475)*24*60,0)</f>
        <v>0</v>
      </c>
      <c r="AI1475" s="9">
        <f t="shared" si="27"/>
        <v>0</v>
      </c>
      <c r="AJ1475" s="9">
        <f>C1475</f>
        <v>0</v>
      </c>
      <c r="AK1475" s="9">
        <f>IF(P1475="completed",((V1475-K1475)*24*60),0)</f>
        <v>0</v>
      </c>
      <c r="AL1475" s="9">
        <f>IF(P1475="completed",((U1475-K1475)*24*60),0)</f>
        <v>0</v>
      </c>
      <c r="AM1475" s="9" t="str">
        <f t="shared" si="28"/>
        <v>OTP Breached</v>
      </c>
      <c r="AN1475" s="9" t="str">
        <f t="shared" si="29"/>
        <v>OTP Achieved</v>
      </c>
    </row>
    <row r="1476" spans="9:40" ht="15.75" customHeight="1">
      <c r="I1476" s="28"/>
      <c r="AD1476" s="9" t="str">
        <f t="shared" si="25"/>
        <v>Actual</v>
      </c>
      <c r="AE1476" s="9" t="str">
        <f t="shared" si="26"/>
        <v/>
      </c>
      <c r="AF1476" s="9">
        <f>HOUR(O1476)</f>
        <v>0</v>
      </c>
      <c r="AG1476" s="9">
        <f>DAY(O1476)</f>
        <v>0</v>
      </c>
      <c r="AH1476" s="9">
        <f>IFERROR((I1476-K1476)*24*60,0)</f>
        <v>0</v>
      </c>
      <c r="AI1476" s="9">
        <f t="shared" si="27"/>
        <v>0</v>
      </c>
      <c r="AJ1476" s="9">
        <f>C1476</f>
        <v>0</v>
      </c>
      <c r="AK1476" s="9">
        <f>IF(P1476="completed",((V1476-K1476)*24*60),0)</f>
        <v>0</v>
      </c>
      <c r="AL1476" s="9">
        <f>IF(P1476="completed",((U1476-K1476)*24*60),0)</f>
        <v>0</v>
      </c>
      <c r="AM1476" s="9" t="str">
        <f t="shared" si="28"/>
        <v>OTP Breached</v>
      </c>
      <c r="AN1476" s="9" t="str">
        <f t="shared" si="29"/>
        <v>OTP Achieved</v>
      </c>
    </row>
    <row r="1477" spans="9:40" ht="15.75" customHeight="1">
      <c r="I1477" s="28"/>
      <c r="AD1477" s="9" t="str">
        <f t="shared" si="25"/>
        <v>Actual</v>
      </c>
      <c r="AE1477" s="9" t="str">
        <f t="shared" si="26"/>
        <v/>
      </c>
      <c r="AF1477" s="9">
        <f>HOUR(O1477)</f>
        <v>0</v>
      </c>
      <c r="AG1477" s="9">
        <f>DAY(O1477)</f>
        <v>0</v>
      </c>
      <c r="AH1477" s="9">
        <f>IFERROR((I1477-K1477)*24*60,0)</f>
        <v>0</v>
      </c>
      <c r="AI1477" s="9">
        <f t="shared" si="27"/>
        <v>0</v>
      </c>
      <c r="AJ1477" s="9">
        <f>C1477</f>
        <v>0</v>
      </c>
      <c r="AK1477" s="9">
        <f>IF(P1477="completed",((V1477-K1477)*24*60),0)</f>
        <v>0</v>
      </c>
      <c r="AL1477" s="9">
        <f>IF(P1477="completed",((U1477-K1477)*24*60),0)</f>
        <v>0</v>
      </c>
      <c r="AM1477" s="9" t="str">
        <f t="shared" si="28"/>
        <v>OTP Breached</v>
      </c>
      <c r="AN1477" s="9" t="str">
        <f t="shared" si="29"/>
        <v>OTP Achieved</v>
      </c>
    </row>
    <row r="1478" spans="9:40" ht="15.75" customHeight="1">
      <c r="I1478" s="28"/>
      <c r="AD1478" s="9" t="str">
        <f t="shared" si="25"/>
        <v>Actual</v>
      </c>
      <c r="AE1478" s="9" t="str">
        <f t="shared" si="26"/>
        <v/>
      </c>
      <c r="AF1478" s="9">
        <f>HOUR(O1478)</f>
        <v>0</v>
      </c>
      <c r="AG1478" s="9">
        <f>DAY(O1478)</f>
        <v>0</v>
      </c>
      <c r="AH1478" s="9">
        <f>IFERROR((I1478-K1478)*24*60,0)</f>
        <v>0</v>
      </c>
      <c r="AI1478" s="9">
        <f t="shared" si="27"/>
        <v>0</v>
      </c>
      <c r="AJ1478" s="9">
        <f>C1478</f>
        <v>0</v>
      </c>
      <c r="AK1478" s="9">
        <f>IF(P1478="completed",((V1478-K1478)*24*60),0)</f>
        <v>0</v>
      </c>
      <c r="AL1478" s="9">
        <f>IF(P1478="completed",((U1478-K1478)*24*60),0)</f>
        <v>0</v>
      </c>
      <c r="AM1478" s="9" t="str">
        <f t="shared" si="28"/>
        <v>OTP Breached</v>
      </c>
      <c r="AN1478" s="9" t="str">
        <f t="shared" si="29"/>
        <v>OTP Achieved</v>
      </c>
    </row>
    <row r="1479" spans="9:40" ht="15.75" customHeight="1">
      <c r="I1479" s="28"/>
      <c r="AD1479" s="9" t="str">
        <f t="shared" si="25"/>
        <v>Actual</v>
      </c>
      <c r="AE1479" s="9" t="str">
        <f t="shared" si="26"/>
        <v/>
      </c>
      <c r="AF1479" s="9">
        <f>HOUR(O1479)</f>
        <v>0</v>
      </c>
      <c r="AG1479" s="9">
        <f>DAY(O1479)</f>
        <v>0</v>
      </c>
      <c r="AH1479" s="9">
        <f>IFERROR((I1479-K1479)*24*60,0)</f>
        <v>0</v>
      </c>
      <c r="AI1479" s="9">
        <f t="shared" si="27"/>
        <v>0</v>
      </c>
      <c r="AJ1479" s="9">
        <f>C1479</f>
        <v>0</v>
      </c>
      <c r="AK1479" s="9">
        <f>IF(P1479="completed",((V1479-K1479)*24*60),0)</f>
        <v>0</v>
      </c>
      <c r="AL1479" s="9">
        <f>IF(P1479="completed",((U1479-K1479)*24*60),0)</f>
        <v>0</v>
      </c>
      <c r="AM1479" s="9" t="str">
        <f t="shared" si="28"/>
        <v>OTP Breached</v>
      </c>
      <c r="AN1479" s="9" t="str">
        <f t="shared" si="29"/>
        <v>OTP Achieved</v>
      </c>
    </row>
    <row r="1480" spans="9:40" ht="15.75" customHeight="1">
      <c r="I1480" s="28"/>
      <c r="AD1480" s="9" t="str">
        <f t="shared" si="25"/>
        <v>Actual</v>
      </c>
      <c r="AE1480" s="9" t="str">
        <f t="shared" si="26"/>
        <v/>
      </c>
      <c r="AF1480" s="9">
        <f>HOUR(O1480)</f>
        <v>0</v>
      </c>
      <c r="AG1480" s="9">
        <f>DAY(O1480)</f>
        <v>0</v>
      </c>
      <c r="AH1480" s="9">
        <f>IFERROR((I1480-K1480)*24*60,0)</f>
        <v>0</v>
      </c>
      <c r="AI1480" s="9">
        <f t="shared" si="27"/>
        <v>0</v>
      </c>
      <c r="AJ1480" s="9">
        <f>C1480</f>
        <v>0</v>
      </c>
      <c r="AK1480" s="9">
        <f>IF(P1480="completed",((V1480-K1480)*24*60),0)</f>
        <v>0</v>
      </c>
      <c r="AL1480" s="9">
        <f>IF(P1480="completed",((U1480-K1480)*24*60),0)</f>
        <v>0</v>
      </c>
      <c r="AM1480" s="9" t="str">
        <f t="shared" si="28"/>
        <v>OTP Breached</v>
      </c>
      <c r="AN1480" s="9" t="str">
        <f t="shared" si="29"/>
        <v>OTP Achieved</v>
      </c>
    </row>
    <row r="1481" spans="9:40" ht="15.75" customHeight="1">
      <c r="I1481" s="28"/>
      <c r="AD1481" s="9" t="str">
        <f t="shared" si="25"/>
        <v>Actual</v>
      </c>
      <c r="AE1481" s="9" t="str">
        <f t="shared" si="26"/>
        <v/>
      </c>
      <c r="AF1481" s="9">
        <f>HOUR(O1481)</f>
        <v>0</v>
      </c>
      <c r="AG1481" s="9">
        <f>DAY(O1481)</f>
        <v>0</v>
      </c>
      <c r="AH1481" s="9">
        <f>IFERROR((I1481-K1481)*24*60,0)</f>
        <v>0</v>
      </c>
      <c r="AI1481" s="9">
        <f t="shared" si="27"/>
        <v>0</v>
      </c>
      <c r="AJ1481" s="9">
        <f>C1481</f>
        <v>0</v>
      </c>
      <c r="AK1481" s="9">
        <f>IF(P1481="completed",((V1481-K1481)*24*60),0)</f>
        <v>0</v>
      </c>
      <c r="AL1481" s="9">
        <f>IF(P1481="completed",((U1481-K1481)*24*60),0)</f>
        <v>0</v>
      </c>
      <c r="AM1481" s="9" t="str">
        <f t="shared" si="28"/>
        <v>OTP Breached</v>
      </c>
      <c r="AN1481" s="9" t="str">
        <f t="shared" si="29"/>
        <v>OTP Achieved</v>
      </c>
    </row>
    <row r="1482" spans="9:40" ht="15.75" customHeight="1">
      <c r="I1482" s="28"/>
      <c r="AD1482" s="9" t="str">
        <f t="shared" si="25"/>
        <v>Actual</v>
      </c>
      <c r="AE1482" s="9" t="str">
        <f t="shared" si="26"/>
        <v/>
      </c>
      <c r="AF1482" s="9">
        <f>HOUR(O1482)</f>
        <v>0</v>
      </c>
      <c r="AG1482" s="9">
        <f>DAY(O1482)</f>
        <v>0</v>
      </c>
      <c r="AH1482" s="9">
        <f>IFERROR((I1482-K1482)*24*60,0)</f>
        <v>0</v>
      </c>
      <c r="AI1482" s="9">
        <f t="shared" si="27"/>
        <v>0</v>
      </c>
      <c r="AJ1482" s="9">
        <f>C1482</f>
        <v>0</v>
      </c>
      <c r="AK1482" s="9">
        <f>IF(P1482="completed",((V1482-K1482)*24*60),0)</f>
        <v>0</v>
      </c>
      <c r="AL1482" s="9">
        <f>IF(P1482="completed",((U1482-K1482)*24*60),0)</f>
        <v>0</v>
      </c>
      <c r="AM1482" s="9" t="str">
        <f t="shared" si="28"/>
        <v>OTP Breached</v>
      </c>
      <c r="AN1482" s="9" t="str">
        <f t="shared" si="29"/>
        <v>OTP Achieved</v>
      </c>
    </row>
    <row r="1483" spans="9:40" ht="15.75" customHeight="1">
      <c r="I1483" s="28"/>
      <c r="AD1483" s="9" t="str">
        <f t="shared" si="25"/>
        <v>Actual</v>
      </c>
      <c r="AE1483" s="9" t="str">
        <f t="shared" si="26"/>
        <v/>
      </c>
      <c r="AF1483" s="9">
        <f>HOUR(O1483)</f>
        <v>0</v>
      </c>
      <c r="AG1483" s="9">
        <f>DAY(O1483)</f>
        <v>0</v>
      </c>
      <c r="AH1483" s="9">
        <f>IFERROR((I1483-K1483)*24*60,0)</f>
        <v>0</v>
      </c>
      <c r="AI1483" s="9">
        <f t="shared" si="27"/>
        <v>0</v>
      </c>
      <c r="AJ1483" s="9">
        <f>C1483</f>
        <v>0</v>
      </c>
      <c r="AK1483" s="9">
        <f>IF(P1483="completed",((V1483-K1483)*24*60),0)</f>
        <v>0</v>
      </c>
      <c r="AL1483" s="9">
        <f>IF(P1483="completed",((U1483-K1483)*24*60),0)</f>
        <v>0</v>
      </c>
      <c r="AM1483" s="9" t="str">
        <f t="shared" si="28"/>
        <v>OTP Breached</v>
      </c>
      <c r="AN1483" s="9" t="str">
        <f t="shared" si="29"/>
        <v>OTP Achieved</v>
      </c>
    </row>
    <row r="1484" spans="9:40" ht="15.75" customHeight="1">
      <c r="I1484" s="28"/>
      <c r="AD1484" s="9" t="str">
        <f t="shared" si="25"/>
        <v>Actual</v>
      </c>
      <c r="AE1484" s="9" t="str">
        <f t="shared" si="26"/>
        <v/>
      </c>
      <c r="AF1484" s="9">
        <f>HOUR(O1484)</f>
        <v>0</v>
      </c>
      <c r="AG1484" s="9">
        <f>DAY(O1484)</f>
        <v>0</v>
      </c>
      <c r="AH1484" s="9">
        <f>IFERROR((I1484-K1484)*24*60,0)</f>
        <v>0</v>
      </c>
      <c r="AI1484" s="9">
        <f t="shared" si="27"/>
        <v>0</v>
      </c>
      <c r="AJ1484" s="9">
        <f>C1484</f>
        <v>0</v>
      </c>
      <c r="AK1484" s="9">
        <f>IF(P1484="completed",((V1484-K1484)*24*60),0)</f>
        <v>0</v>
      </c>
      <c r="AL1484" s="9">
        <f>IF(P1484="completed",((U1484-K1484)*24*60),0)</f>
        <v>0</v>
      </c>
      <c r="AM1484" s="9" t="str">
        <f t="shared" si="28"/>
        <v>OTP Breached</v>
      </c>
      <c r="AN1484" s="9" t="str">
        <f t="shared" si="29"/>
        <v>OTP Achieved</v>
      </c>
    </row>
    <row r="1485" spans="9:40" ht="15.75" customHeight="1">
      <c r="I1485" s="28"/>
      <c r="AD1485" s="9" t="str">
        <f t="shared" si="25"/>
        <v>Actual</v>
      </c>
      <c r="AE1485" s="9" t="str">
        <f t="shared" si="26"/>
        <v/>
      </c>
      <c r="AF1485" s="9">
        <f>HOUR(O1485)</f>
        <v>0</v>
      </c>
      <c r="AG1485" s="9">
        <f>DAY(O1485)</f>
        <v>0</v>
      </c>
      <c r="AH1485" s="9">
        <f>IFERROR((I1485-K1485)*24*60,0)</f>
        <v>0</v>
      </c>
      <c r="AI1485" s="9">
        <f t="shared" si="27"/>
        <v>0</v>
      </c>
      <c r="AJ1485" s="9">
        <f>C1485</f>
        <v>0</v>
      </c>
      <c r="AK1485" s="9">
        <f>IF(P1485="completed",((V1485-K1485)*24*60),0)</f>
        <v>0</v>
      </c>
      <c r="AL1485" s="9">
        <f>IF(P1485="completed",((U1485-K1485)*24*60),0)</f>
        <v>0</v>
      </c>
      <c r="AM1485" s="9" t="str">
        <f t="shared" si="28"/>
        <v>OTP Breached</v>
      </c>
      <c r="AN1485" s="9" t="str">
        <f t="shared" si="29"/>
        <v>OTP Achieved</v>
      </c>
    </row>
    <row r="1486" spans="9:40" ht="15.75" customHeight="1">
      <c r="I1486" s="28"/>
      <c r="AD1486" s="9" t="str">
        <f t="shared" si="25"/>
        <v>Actual</v>
      </c>
      <c r="AE1486" s="9" t="str">
        <f t="shared" si="26"/>
        <v/>
      </c>
      <c r="AF1486" s="9">
        <f>HOUR(O1486)</f>
        <v>0</v>
      </c>
      <c r="AG1486" s="9">
        <f>DAY(O1486)</f>
        <v>0</v>
      </c>
      <c r="AH1486" s="9">
        <f>IFERROR((I1486-K1486)*24*60,0)</f>
        <v>0</v>
      </c>
      <c r="AI1486" s="9">
        <f t="shared" si="27"/>
        <v>0</v>
      </c>
      <c r="AJ1486" s="9">
        <f>C1486</f>
        <v>0</v>
      </c>
      <c r="AK1486" s="9">
        <f>IF(P1486="completed",((V1486-K1486)*24*60),0)</f>
        <v>0</v>
      </c>
      <c r="AL1486" s="9">
        <f>IF(P1486="completed",((U1486-K1486)*24*60),0)</f>
        <v>0</v>
      </c>
      <c r="AM1486" s="9" t="str">
        <f t="shared" si="28"/>
        <v>OTP Breached</v>
      </c>
      <c r="AN1486" s="9" t="str">
        <f t="shared" si="29"/>
        <v>OTP Achieved</v>
      </c>
    </row>
    <row r="1487" spans="9:40" ht="15.75" customHeight="1">
      <c r="I1487" s="28"/>
      <c r="AD1487" s="9" t="str">
        <f t="shared" si="25"/>
        <v>Actual</v>
      </c>
      <c r="AE1487" s="9" t="str">
        <f t="shared" si="26"/>
        <v/>
      </c>
      <c r="AF1487" s="9">
        <f>HOUR(O1487)</f>
        <v>0</v>
      </c>
      <c r="AG1487" s="9">
        <f>DAY(O1487)</f>
        <v>0</v>
      </c>
      <c r="AH1487" s="9">
        <f>IFERROR((I1487-K1487)*24*60,0)</f>
        <v>0</v>
      </c>
      <c r="AI1487" s="9">
        <f t="shared" si="27"/>
        <v>0</v>
      </c>
      <c r="AJ1487" s="9">
        <f>C1487</f>
        <v>0</v>
      </c>
      <c r="AK1487" s="9">
        <f>IF(P1487="completed",((V1487-K1487)*24*60),0)</f>
        <v>0</v>
      </c>
      <c r="AL1487" s="9">
        <f>IF(P1487="completed",((U1487-K1487)*24*60),0)</f>
        <v>0</v>
      </c>
      <c r="AM1487" s="9" t="str">
        <f t="shared" si="28"/>
        <v>OTP Breached</v>
      </c>
      <c r="AN1487" s="9" t="str">
        <f t="shared" si="29"/>
        <v>OTP Achieved</v>
      </c>
    </row>
    <row r="1488" spans="9:40" ht="15.75" customHeight="1">
      <c r="I1488" s="28"/>
      <c r="AD1488" s="9" t="str">
        <f t="shared" si="25"/>
        <v>Actual</v>
      </c>
      <c r="AE1488" s="9" t="str">
        <f t="shared" si="26"/>
        <v/>
      </c>
      <c r="AF1488" s="9">
        <f>HOUR(O1488)</f>
        <v>0</v>
      </c>
      <c r="AG1488" s="9">
        <f>DAY(O1488)</f>
        <v>0</v>
      </c>
      <c r="AH1488" s="9">
        <f>IFERROR((I1488-K1488)*24*60,0)</f>
        <v>0</v>
      </c>
      <c r="AI1488" s="9">
        <f t="shared" si="27"/>
        <v>0</v>
      </c>
      <c r="AJ1488" s="9">
        <f>C1488</f>
        <v>0</v>
      </c>
      <c r="AK1488" s="9">
        <f>IF(P1488="completed",((V1488-K1488)*24*60),0)</f>
        <v>0</v>
      </c>
      <c r="AL1488" s="9">
        <f>IF(P1488="completed",((U1488-K1488)*24*60),0)</f>
        <v>0</v>
      </c>
      <c r="AM1488" s="9" t="str">
        <f t="shared" si="28"/>
        <v>OTP Breached</v>
      </c>
      <c r="AN1488" s="9" t="str">
        <f t="shared" si="29"/>
        <v>OTP Achieved</v>
      </c>
    </row>
    <row r="1489" spans="9:40" ht="15.75" customHeight="1">
      <c r="I1489" s="28"/>
      <c r="AD1489" s="9" t="str">
        <f t="shared" si="25"/>
        <v>Actual</v>
      </c>
      <c r="AE1489" s="9" t="str">
        <f t="shared" si="26"/>
        <v/>
      </c>
      <c r="AF1489" s="9">
        <f>HOUR(O1489)</f>
        <v>0</v>
      </c>
      <c r="AG1489" s="9">
        <f>DAY(O1489)</f>
        <v>0</v>
      </c>
      <c r="AH1489" s="9">
        <f>IFERROR((I1489-K1489)*24*60,0)</f>
        <v>0</v>
      </c>
      <c r="AI1489" s="9">
        <f t="shared" si="27"/>
        <v>0</v>
      </c>
      <c r="AJ1489" s="9">
        <f>C1489</f>
        <v>0</v>
      </c>
      <c r="AK1489" s="9">
        <f>IF(P1489="completed",((V1489-K1489)*24*60),0)</f>
        <v>0</v>
      </c>
      <c r="AL1489" s="9">
        <f>IF(P1489="completed",((U1489-K1489)*24*60),0)</f>
        <v>0</v>
      </c>
      <c r="AM1489" s="9" t="str">
        <f t="shared" si="28"/>
        <v>OTP Breached</v>
      </c>
      <c r="AN1489" s="9" t="str">
        <f t="shared" si="29"/>
        <v>OTP Achieved</v>
      </c>
    </row>
    <row r="1490" spans="9:40" ht="15.75" customHeight="1">
      <c r="I1490" s="28"/>
      <c r="AD1490" s="9" t="str">
        <f t="shared" si="25"/>
        <v>Actual</v>
      </c>
      <c r="AE1490" s="9" t="str">
        <f t="shared" si="26"/>
        <v/>
      </c>
      <c r="AF1490" s="9">
        <f>HOUR(O1490)</f>
        <v>0</v>
      </c>
      <c r="AG1490" s="9">
        <f>DAY(O1490)</f>
        <v>0</v>
      </c>
      <c r="AH1490" s="9">
        <f>IFERROR((I1490-K1490)*24*60,0)</f>
        <v>0</v>
      </c>
      <c r="AI1490" s="9">
        <f t="shared" si="27"/>
        <v>0</v>
      </c>
      <c r="AJ1490" s="9">
        <f>C1490</f>
        <v>0</v>
      </c>
      <c r="AK1490" s="9">
        <f>IF(P1490="completed",((V1490-K1490)*24*60),0)</f>
        <v>0</v>
      </c>
      <c r="AL1490" s="9">
        <f>IF(P1490="completed",((U1490-K1490)*24*60),0)</f>
        <v>0</v>
      </c>
      <c r="AM1490" s="9" t="str">
        <f t="shared" si="28"/>
        <v>OTP Breached</v>
      </c>
      <c r="AN1490" s="9" t="str">
        <f t="shared" si="29"/>
        <v>OTP Achieved</v>
      </c>
    </row>
    <row r="1491" spans="9:40" ht="15.75" customHeight="1">
      <c r="I1491" s="28"/>
      <c r="AD1491" s="9" t="str">
        <f t="shared" si="25"/>
        <v>Actual</v>
      </c>
      <c r="AE1491" s="9" t="str">
        <f t="shared" si="26"/>
        <v/>
      </c>
      <c r="AF1491" s="9">
        <f>HOUR(O1491)</f>
        <v>0</v>
      </c>
      <c r="AG1491" s="9">
        <f>DAY(O1491)</f>
        <v>0</v>
      </c>
      <c r="AH1491" s="9">
        <f>IFERROR((I1491-K1491)*24*60,0)</f>
        <v>0</v>
      </c>
      <c r="AI1491" s="9">
        <f t="shared" si="27"/>
        <v>0</v>
      </c>
      <c r="AJ1491" s="9">
        <f>C1491</f>
        <v>0</v>
      </c>
      <c r="AK1491" s="9">
        <f>IF(P1491="completed",((V1491-K1491)*24*60),0)</f>
        <v>0</v>
      </c>
      <c r="AL1491" s="9">
        <f>IF(P1491="completed",((U1491-K1491)*24*60),0)</f>
        <v>0</v>
      </c>
      <c r="AM1491" s="9" t="str">
        <f t="shared" si="28"/>
        <v>OTP Breached</v>
      </c>
      <c r="AN1491" s="9" t="str">
        <f t="shared" si="29"/>
        <v>OTP Achieved</v>
      </c>
    </row>
    <row r="1492" spans="9:40" ht="15.75" customHeight="1">
      <c r="I1492" s="28"/>
      <c r="AD1492" s="9" t="str">
        <f t="shared" si="25"/>
        <v>Actual</v>
      </c>
      <c r="AE1492" s="9" t="str">
        <f t="shared" si="26"/>
        <v/>
      </c>
      <c r="AF1492" s="9">
        <f>HOUR(O1492)</f>
        <v>0</v>
      </c>
      <c r="AG1492" s="9">
        <f>DAY(O1492)</f>
        <v>0</v>
      </c>
      <c r="AH1492" s="9">
        <f>IFERROR((I1492-K1492)*24*60,0)</f>
        <v>0</v>
      </c>
      <c r="AI1492" s="9">
        <f t="shared" si="27"/>
        <v>0</v>
      </c>
      <c r="AJ1492" s="9">
        <f>C1492</f>
        <v>0</v>
      </c>
      <c r="AK1492" s="9">
        <f>IF(P1492="completed",((V1492-K1492)*24*60),0)</f>
        <v>0</v>
      </c>
      <c r="AL1492" s="9">
        <f>IF(P1492="completed",((U1492-K1492)*24*60),0)</f>
        <v>0</v>
      </c>
      <c r="AM1492" s="9" t="str">
        <f t="shared" si="28"/>
        <v>OTP Breached</v>
      </c>
      <c r="AN1492" s="9" t="str">
        <f t="shared" si="29"/>
        <v>OTP Achieved</v>
      </c>
    </row>
    <row r="1493" spans="9:40" ht="15.75" customHeight="1">
      <c r="I1493" s="28"/>
      <c r="AD1493" s="9" t="str">
        <f t="shared" si="25"/>
        <v>Actual</v>
      </c>
      <c r="AE1493" s="9" t="str">
        <f t="shared" si="26"/>
        <v/>
      </c>
      <c r="AF1493" s="9">
        <f>HOUR(O1493)</f>
        <v>0</v>
      </c>
      <c r="AG1493" s="9">
        <f>DAY(O1493)</f>
        <v>0</v>
      </c>
      <c r="AH1493" s="9">
        <f>IFERROR((I1493-K1493)*24*60,0)</f>
        <v>0</v>
      </c>
      <c r="AI1493" s="9">
        <f t="shared" si="27"/>
        <v>0</v>
      </c>
      <c r="AJ1493" s="9">
        <f>C1493</f>
        <v>0</v>
      </c>
      <c r="AK1493" s="9">
        <f>IF(P1493="completed",((V1493-K1493)*24*60),0)</f>
        <v>0</v>
      </c>
      <c r="AL1493" s="9">
        <f>IF(P1493="completed",((U1493-K1493)*24*60),0)</f>
        <v>0</v>
      </c>
      <c r="AM1493" s="9" t="str">
        <f t="shared" si="28"/>
        <v>OTP Breached</v>
      </c>
      <c r="AN1493" s="9" t="str">
        <f t="shared" si="29"/>
        <v>OTP Achieved</v>
      </c>
    </row>
    <row r="1494" spans="9:40" ht="15.75" customHeight="1">
      <c r="I1494" s="28"/>
      <c r="AD1494" s="9" t="str">
        <f t="shared" si="25"/>
        <v>Actual</v>
      </c>
      <c r="AE1494" s="9" t="str">
        <f t="shared" si="26"/>
        <v/>
      </c>
      <c r="AF1494" s="9">
        <f>HOUR(O1494)</f>
        <v>0</v>
      </c>
      <c r="AG1494" s="9">
        <f>DAY(O1494)</f>
        <v>0</v>
      </c>
      <c r="AH1494" s="9">
        <f>IFERROR((I1494-K1494)*24*60,0)</f>
        <v>0</v>
      </c>
      <c r="AI1494" s="9">
        <f t="shared" si="27"/>
        <v>0</v>
      </c>
      <c r="AJ1494" s="9">
        <f>C1494</f>
        <v>0</v>
      </c>
      <c r="AK1494" s="9">
        <f>IF(P1494="completed",((V1494-K1494)*24*60),0)</f>
        <v>0</v>
      </c>
      <c r="AL1494" s="9">
        <f>IF(P1494="completed",((U1494-K1494)*24*60),0)</f>
        <v>0</v>
      </c>
      <c r="AM1494" s="9" t="str">
        <f t="shared" si="28"/>
        <v>OTP Breached</v>
      </c>
      <c r="AN1494" s="9" t="str">
        <f t="shared" si="29"/>
        <v>OTP Achieved</v>
      </c>
    </row>
    <row r="1495" spans="9:40" ht="15.75" customHeight="1">
      <c r="I1495" s="28"/>
      <c r="AD1495" s="9" t="str">
        <f t="shared" si="25"/>
        <v>Actual</v>
      </c>
      <c r="AE1495" s="9" t="str">
        <f t="shared" si="26"/>
        <v/>
      </c>
      <c r="AF1495" s="9">
        <f>HOUR(O1495)</f>
        <v>0</v>
      </c>
      <c r="AG1495" s="9">
        <f>DAY(O1495)</f>
        <v>0</v>
      </c>
      <c r="AH1495" s="9">
        <f>IFERROR((I1495-K1495)*24*60,0)</f>
        <v>0</v>
      </c>
      <c r="AI1495" s="9">
        <f t="shared" si="27"/>
        <v>0</v>
      </c>
      <c r="AJ1495" s="9">
        <f>C1495</f>
        <v>0</v>
      </c>
      <c r="AK1495" s="9">
        <f>IF(P1495="completed",((V1495-K1495)*24*60),0)</f>
        <v>0</v>
      </c>
      <c r="AL1495" s="9">
        <f>IF(P1495="completed",((U1495-K1495)*24*60),0)</f>
        <v>0</v>
      </c>
      <c r="AM1495" s="9" t="str">
        <f t="shared" si="28"/>
        <v>OTP Breached</v>
      </c>
      <c r="AN1495" s="9" t="str">
        <f t="shared" si="29"/>
        <v>OTP Achieved</v>
      </c>
    </row>
    <row r="1496" spans="9:40" ht="15.75" customHeight="1">
      <c r="I1496" s="28"/>
      <c r="AD1496" s="9" t="str">
        <f t="shared" si="25"/>
        <v>Actual</v>
      </c>
      <c r="AE1496" s="9" t="str">
        <f t="shared" si="26"/>
        <v/>
      </c>
      <c r="AF1496" s="9">
        <f>HOUR(O1496)</f>
        <v>0</v>
      </c>
      <c r="AG1496" s="9">
        <f>DAY(O1496)</f>
        <v>0</v>
      </c>
      <c r="AH1496" s="9">
        <f>IFERROR((I1496-K1496)*24*60,0)</f>
        <v>0</v>
      </c>
      <c r="AI1496" s="9">
        <f t="shared" si="27"/>
        <v>0</v>
      </c>
      <c r="AJ1496" s="9">
        <f>C1496</f>
        <v>0</v>
      </c>
      <c r="AK1496" s="9">
        <f>IF(P1496="completed",((V1496-K1496)*24*60),0)</f>
        <v>0</v>
      </c>
      <c r="AL1496" s="9">
        <f>IF(P1496="completed",((U1496-K1496)*24*60),0)</f>
        <v>0</v>
      </c>
      <c r="AM1496" s="9" t="str">
        <f t="shared" si="28"/>
        <v>OTP Breached</v>
      </c>
      <c r="AN1496" s="9" t="str">
        <f t="shared" si="29"/>
        <v>OTP Achieved</v>
      </c>
    </row>
    <row r="1497" spans="9:40" ht="15.75" customHeight="1">
      <c r="I1497" s="28"/>
      <c r="AD1497" s="9" t="str">
        <f t="shared" si="25"/>
        <v>Actual</v>
      </c>
      <c r="AE1497" s="9" t="str">
        <f t="shared" si="26"/>
        <v/>
      </c>
      <c r="AF1497" s="9">
        <f>HOUR(O1497)</f>
        <v>0</v>
      </c>
      <c r="AG1497" s="9">
        <f>DAY(O1497)</f>
        <v>0</v>
      </c>
      <c r="AH1497" s="9">
        <f>IFERROR((I1497-K1497)*24*60,0)</f>
        <v>0</v>
      </c>
      <c r="AI1497" s="9">
        <f t="shared" si="27"/>
        <v>0</v>
      </c>
      <c r="AJ1497" s="9">
        <f>C1497</f>
        <v>0</v>
      </c>
      <c r="AK1497" s="9">
        <f>IF(P1497="completed",((V1497-K1497)*24*60),0)</f>
        <v>0</v>
      </c>
      <c r="AL1497" s="9">
        <f>IF(P1497="completed",((U1497-K1497)*24*60),0)</f>
        <v>0</v>
      </c>
      <c r="AM1497" s="9" t="str">
        <f t="shared" si="28"/>
        <v>OTP Breached</v>
      </c>
      <c r="AN1497" s="9" t="str">
        <f t="shared" si="29"/>
        <v>OTP Achieved</v>
      </c>
    </row>
    <row r="1498" spans="9:40" ht="15.75" customHeight="1">
      <c r="I1498" s="28"/>
      <c r="AD1498" s="9" t="str">
        <f t="shared" si="25"/>
        <v>Actual</v>
      </c>
      <c r="AE1498" s="9" t="str">
        <f t="shared" si="26"/>
        <v/>
      </c>
      <c r="AF1498" s="9">
        <f>HOUR(O1498)</f>
        <v>0</v>
      </c>
      <c r="AG1498" s="9">
        <f>DAY(O1498)</f>
        <v>0</v>
      </c>
      <c r="AH1498" s="9">
        <f>IFERROR((I1498-K1498)*24*60,0)</f>
        <v>0</v>
      </c>
      <c r="AI1498" s="9">
        <f t="shared" si="27"/>
        <v>0</v>
      </c>
      <c r="AJ1498" s="9">
        <f>C1498</f>
        <v>0</v>
      </c>
      <c r="AK1498" s="9">
        <f>IF(P1498="completed",((V1498-K1498)*24*60),0)</f>
        <v>0</v>
      </c>
      <c r="AL1498" s="9">
        <f>IF(P1498="completed",((U1498-K1498)*24*60),0)</f>
        <v>0</v>
      </c>
      <c r="AM1498" s="9" t="str">
        <f t="shared" si="28"/>
        <v>OTP Breached</v>
      </c>
      <c r="AN1498" s="9" t="str">
        <f t="shared" si="29"/>
        <v>OTP Achieved</v>
      </c>
    </row>
    <row r="1499" spans="9:40" ht="15.75" customHeight="1">
      <c r="I1499" s="28"/>
      <c r="AD1499" s="9" t="str">
        <f t="shared" si="25"/>
        <v>Actual</v>
      </c>
      <c r="AE1499" s="9" t="str">
        <f t="shared" si="26"/>
        <v/>
      </c>
      <c r="AF1499" s="9">
        <f>HOUR(O1499)</f>
        <v>0</v>
      </c>
      <c r="AG1499" s="9">
        <f>DAY(O1499)</f>
        <v>0</v>
      </c>
      <c r="AH1499" s="9">
        <f>IFERROR((I1499-K1499)*24*60,0)</f>
        <v>0</v>
      </c>
      <c r="AI1499" s="9">
        <f t="shared" si="27"/>
        <v>0</v>
      </c>
      <c r="AJ1499" s="9">
        <f>C1499</f>
        <v>0</v>
      </c>
      <c r="AK1499" s="9">
        <f>IF(P1499="completed",((V1499-K1499)*24*60),0)</f>
        <v>0</v>
      </c>
      <c r="AL1499" s="9">
        <f>IF(P1499="completed",((U1499-K1499)*24*60),0)</f>
        <v>0</v>
      </c>
      <c r="AM1499" s="9" t="str">
        <f t="shared" si="28"/>
        <v>OTP Breached</v>
      </c>
      <c r="AN1499" s="9" t="str">
        <f t="shared" si="29"/>
        <v>OTP Achieved</v>
      </c>
    </row>
    <row r="1500" spans="9:40" ht="15.75" customHeight="1">
      <c r="I1500" s="28"/>
      <c r="AD1500" s="9" t="str">
        <f t="shared" si="25"/>
        <v>Actual</v>
      </c>
      <c r="AE1500" s="9" t="str">
        <f t="shared" si="26"/>
        <v/>
      </c>
      <c r="AF1500" s="9">
        <f>HOUR(O1500)</f>
        <v>0</v>
      </c>
      <c r="AG1500" s="9">
        <f>DAY(O1500)</f>
        <v>0</v>
      </c>
      <c r="AH1500" s="9">
        <f>IFERROR((I1500-K1500)*24*60,0)</f>
        <v>0</v>
      </c>
      <c r="AI1500" s="9">
        <f t="shared" si="27"/>
        <v>0</v>
      </c>
      <c r="AJ1500" s="9">
        <f>C1500</f>
        <v>0</v>
      </c>
      <c r="AK1500" s="9">
        <f>IF(P1500="completed",((V1500-K1500)*24*60),0)</f>
        <v>0</v>
      </c>
      <c r="AL1500" s="9">
        <f>IF(P1500="completed",((U1500-K1500)*24*60),0)</f>
        <v>0</v>
      </c>
      <c r="AM1500" s="9" t="str">
        <f t="shared" si="28"/>
        <v>OTP Breached</v>
      </c>
      <c r="AN1500" s="9" t="str">
        <f t="shared" si="29"/>
        <v>OTP Achieved</v>
      </c>
    </row>
    <row r="1501" spans="9:40" ht="15.75" customHeight="1">
      <c r="I1501" s="28"/>
      <c r="AD1501" s="9" t="str">
        <f t="shared" si="25"/>
        <v>Actual</v>
      </c>
      <c r="AE1501" s="9" t="str">
        <f t="shared" si="26"/>
        <v/>
      </c>
      <c r="AF1501" s="9">
        <f>HOUR(O1501)</f>
        <v>0</v>
      </c>
      <c r="AG1501" s="9">
        <f>DAY(O1501)</f>
        <v>0</v>
      </c>
      <c r="AH1501" s="9">
        <f>IFERROR((I1501-K1501)*24*60,0)</f>
        <v>0</v>
      </c>
      <c r="AI1501" s="9">
        <f t="shared" si="27"/>
        <v>0</v>
      </c>
      <c r="AJ1501" s="9">
        <f>C1501</f>
        <v>0</v>
      </c>
      <c r="AK1501" s="9">
        <f>IF(P1501="completed",((V1501-K1501)*24*60),0)</f>
        <v>0</v>
      </c>
      <c r="AL1501" s="9">
        <f>IF(P1501="completed",((U1501-K1501)*24*60),0)</f>
        <v>0</v>
      </c>
      <c r="AM1501" s="9" t="str">
        <f t="shared" si="28"/>
        <v>OTP Breached</v>
      </c>
      <c r="AN1501" s="9" t="str">
        <f t="shared" si="29"/>
        <v>OTP Achieved</v>
      </c>
    </row>
    <row r="1502" spans="9:40" ht="15.75" customHeight="1">
      <c r="I1502" s="28"/>
      <c r="AD1502" s="9" t="str">
        <f t="shared" si="25"/>
        <v>Actual</v>
      </c>
      <c r="AE1502" s="9" t="str">
        <f t="shared" si="26"/>
        <v/>
      </c>
      <c r="AF1502" s="9">
        <f>HOUR(O1502)</f>
        <v>0</v>
      </c>
      <c r="AG1502" s="9">
        <f>DAY(O1502)</f>
        <v>0</v>
      </c>
      <c r="AH1502" s="9">
        <f>IFERROR((I1502-K1502)*24*60,0)</f>
        <v>0</v>
      </c>
      <c r="AI1502" s="9">
        <f t="shared" si="27"/>
        <v>0</v>
      </c>
      <c r="AJ1502" s="9">
        <f>C1502</f>
        <v>0</v>
      </c>
      <c r="AK1502" s="9">
        <f>IF(P1502="completed",((V1502-K1502)*24*60),0)</f>
        <v>0</v>
      </c>
      <c r="AL1502" s="9">
        <f>IF(P1502="completed",((U1502-K1502)*24*60),0)</f>
        <v>0</v>
      </c>
      <c r="AM1502" s="9" t="str">
        <f t="shared" si="28"/>
        <v>OTP Breached</v>
      </c>
      <c r="AN1502" s="9" t="str">
        <f t="shared" si="29"/>
        <v>OTP Achieved</v>
      </c>
    </row>
    <row r="1503" spans="9:40" ht="15.75" customHeight="1">
      <c r="I1503" s="28"/>
      <c r="AD1503" s="9" t="str">
        <f t="shared" si="25"/>
        <v>Actual</v>
      </c>
      <c r="AE1503" s="9" t="str">
        <f t="shared" si="26"/>
        <v/>
      </c>
      <c r="AF1503" s="9">
        <f>HOUR(O1503)</f>
        <v>0</v>
      </c>
      <c r="AG1503" s="9">
        <f>DAY(O1503)</f>
        <v>0</v>
      </c>
      <c r="AH1503" s="9">
        <f>IFERROR((I1503-K1503)*24*60,0)</f>
        <v>0</v>
      </c>
      <c r="AI1503" s="9">
        <f t="shared" si="27"/>
        <v>0</v>
      </c>
      <c r="AJ1503" s="9">
        <f>C1503</f>
        <v>0</v>
      </c>
      <c r="AK1503" s="9">
        <f>IF(P1503="completed",((V1503-K1503)*24*60),0)</f>
        <v>0</v>
      </c>
      <c r="AL1503" s="9">
        <f>IF(P1503="completed",((U1503-K1503)*24*60),0)</f>
        <v>0</v>
      </c>
      <c r="AM1503" s="9" t="str">
        <f t="shared" si="28"/>
        <v>OTP Breached</v>
      </c>
      <c r="AN1503" s="9" t="str">
        <f t="shared" si="29"/>
        <v>OTP Achieved</v>
      </c>
    </row>
    <row r="1504" spans="9:40" ht="15.75" customHeight="1">
      <c r="I1504" s="28"/>
      <c r="AD1504" s="9" t="str">
        <f t="shared" si="25"/>
        <v>Actual</v>
      </c>
      <c r="AE1504" s="9" t="str">
        <f t="shared" si="26"/>
        <v/>
      </c>
      <c r="AF1504" s="9">
        <f>HOUR(O1504)</f>
        <v>0</v>
      </c>
      <c r="AG1504" s="9">
        <f>DAY(O1504)</f>
        <v>0</v>
      </c>
      <c r="AH1504" s="9">
        <f>IFERROR((I1504-K1504)*24*60,0)</f>
        <v>0</v>
      </c>
      <c r="AI1504" s="9">
        <f t="shared" si="27"/>
        <v>0</v>
      </c>
      <c r="AJ1504" s="9">
        <f>C1504</f>
        <v>0</v>
      </c>
      <c r="AK1504" s="9">
        <f>IF(P1504="completed",((V1504-K1504)*24*60),0)</f>
        <v>0</v>
      </c>
      <c r="AL1504" s="9">
        <f>IF(P1504="completed",((U1504-K1504)*24*60),0)</f>
        <v>0</v>
      </c>
      <c r="AM1504" s="9" t="str">
        <f t="shared" si="28"/>
        <v>OTP Breached</v>
      </c>
      <c r="AN1504" s="9" t="str">
        <f t="shared" si="29"/>
        <v>OTP Achieved</v>
      </c>
    </row>
    <row r="1505" spans="9:40" ht="15.75" customHeight="1">
      <c r="I1505" s="28"/>
      <c r="AD1505" s="9" t="str">
        <f t="shared" si="25"/>
        <v>Actual</v>
      </c>
      <c r="AE1505" s="9" t="str">
        <f t="shared" si="26"/>
        <v/>
      </c>
      <c r="AF1505" s="9">
        <f>HOUR(O1505)</f>
        <v>0</v>
      </c>
      <c r="AG1505" s="9">
        <f>DAY(O1505)</f>
        <v>0</v>
      </c>
      <c r="AH1505" s="9">
        <f>IFERROR((I1505-K1505)*24*60,0)</f>
        <v>0</v>
      </c>
      <c r="AI1505" s="9">
        <f t="shared" si="27"/>
        <v>0</v>
      </c>
      <c r="AJ1505" s="9">
        <f>C1505</f>
        <v>0</v>
      </c>
      <c r="AK1505" s="9">
        <f>IF(P1505="completed",((V1505-K1505)*24*60),0)</f>
        <v>0</v>
      </c>
      <c r="AL1505" s="9">
        <f>IF(P1505="completed",((U1505-K1505)*24*60),0)</f>
        <v>0</v>
      </c>
      <c r="AM1505" s="9" t="str">
        <f t="shared" si="28"/>
        <v>OTP Breached</v>
      </c>
      <c r="AN1505" s="9" t="str">
        <f t="shared" si="29"/>
        <v>OTP Achieved</v>
      </c>
    </row>
    <row r="1506" spans="9:40" ht="15.75" customHeight="1">
      <c r="I1506" s="28"/>
      <c r="AD1506" s="9" t="str">
        <f t="shared" si="25"/>
        <v>Actual</v>
      </c>
      <c r="AE1506" s="9" t="str">
        <f t="shared" si="26"/>
        <v/>
      </c>
      <c r="AF1506" s="9">
        <f>HOUR(O1506)</f>
        <v>0</v>
      </c>
      <c r="AG1506" s="9">
        <f>DAY(O1506)</f>
        <v>0</v>
      </c>
      <c r="AH1506" s="9">
        <f>IFERROR((I1506-K1506)*24*60,0)</f>
        <v>0</v>
      </c>
      <c r="AI1506" s="9">
        <f t="shared" si="27"/>
        <v>0</v>
      </c>
      <c r="AJ1506" s="9">
        <f>C1506</f>
        <v>0</v>
      </c>
      <c r="AK1506" s="9">
        <f>IF(P1506="completed",((V1506-K1506)*24*60),0)</f>
        <v>0</v>
      </c>
      <c r="AL1506" s="9">
        <f>IF(P1506="completed",((U1506-K1506)*24*60),0)</f>
        <v>0</v>
      </c>
      <c r="AM1506" s="9" t="str">
        <f t="shared" si="28"/>
        <v>OTP Breached</v>
      </c>
      <c r="AN1506" s="9" t="str">
        <f t="shared" si="29"/>
        <v>OTP Achieved</v>
      </c>
    </row>
    <row r="1507" spans="9:40" ht="15.75" customHeight="1">
      <c r="I1507" s="28"/>
      <c r="AD1507" s="9" t="str">
        <f t="shared" si="25"/>
        <v>Actual</v>
      </c>
      <c r="AE1507" s="9" t="str">
        <f t="shared" si="26"/>
        <v/>
      </c>
      <c r="AF1507" s="9">
        <f>HOUR(O1507)</f>
        <v>0</v>
      </c>
      <c r="AG1507" s="9">
        <f>DAY(O1507)</f>
        <v>0</v>
      </c>
      <c r="AH1507" s="9">
        <f>IFERROR((I1507-K1507)*24*60,0)</f>
        <v>0</v>
      </c>
      <c r="AI1507" s="9">
        <f t="shared" si="27"/>
        <v>0</v>
      </c>
      <c r="AJ1507" s="9">
        <f>C1507</f>
        <v>0</v>
      </c>
      <c r="AK1507" s="9">
        <f>IF(P1507="completed",((V1507-K1507)*24*60),0)</f>
        <v>0</v>
      </c>
      <c r="AL1507" s="9">
        <f>IF(P1507="completed",((U1507-K1507)*24*60),0)</f>
        <v>0</v>
      </c>
      <c r="AM1507" s="9" t="str">
        <f t="shared" si="28"/>
        <v>OTP Breached</v>
      </c>
      <c r="AN1507" s="9" t="str">
        <f t="shared" si="29"/>
        <v>OTP Achieved</v>
      </c>
    </row>
    <row r="1508" spans="9:40" ht="15.75" customHeight="1">
      <c r="I1508" s="28"/>
      <c r="AD1508" s="9" t="str">
        <f t="shared" si="25"/>
        <v>Actual</v>
      </c>
      <c r="AE1508" s="9" t="str">
        <f t="shared" si="26"/>
        <v/>
      </c>
      <c r="AF1508" s="9">
        <f>HOUR(O1508)</f>
        <v>0</v>
      </c>
      <c r="AG1508" s="9">
        <f>DAY(O1508)</f>
        <v>0</v>
      </c>
      <c r="AH1508" s="9">
        <f>IFERROR((I1508-K1508)*24*60,0)</f>
        <v>0</v>
      </c>
      <c r="AI1508" s="9">
        <f t="shared" si="27"/>
        <v>0</v>
      </c>
      <c r="AJ1508" s="9">
        <f>C1508</f>
        <v>0</v>
      </c>
      <c r="AK1508" s="9">
        <f>IF(P1508="completed",((V1508-K1508)*24*60),0)</f>
        <v>0</v>
      </c>
      <c r="AL1508" s="9">
        <f>IF(P1508="completed",((U1508-K1508)*24*60),0)</f>
        <v>0</v>
      </c>
      <c r="AM1508" s="9" t="str">
        <f t="shared" si="28"/>
        <v>OTP Breached</v>
      </c>
      <c r="AN1508" s="9" t="str">
        <f t="shared" si="29"/>
        <v>OTP Achieved</v>
      </c>
    </row>
    <row r="1509" spans="9:40" ht="15.75" customHeight="1">
      <c r="I1509" s="28"/>
      <c r="AD1509" s="9" t="str">
        <f t="shared" si="25"/>
        <v>Actual</v>
      </c>
      <c r="AE1509" s="9" t="str">
        <f t="shared" si="26"/>
        <v/>
      </c>
      <c r="AF1509" s="9">
        <f>HOUR(O1509)</f>
        <v>0</v>
      </c>
      <c r="AG1509" s="9">
        <f>DAY(O1509)</f>
        <v>0</v>
      </c>
      <c r="AH1509" s="9">
        <f>IFERROR((I1509-K1509)*24*60,0)</f>
        <v>0</v>
      </c>
      <c r="AI1509" s="9">
        <f t="shared" si="27"/>
        <v>0</v>
      </c>
      <c r="AJ1509" s="9">
        <f>C1509</f>
        <v>0</v>
      </c>
      <c r="AK1509" s="9">
        <f>IF(P1509="completed",((V1509-K1509)*24*60),0)</f>
        <v>0</v>
      </c>
      <c r="AL1509" s="9">
        <f>IF(P1509="completed",((U1509-K1509)*24*60),0)</f>
        <v>0</v>
      </c>
      <c r="AM1509" s="9" t="str">
        <f t="shared" si="28"/>
        <v>OTP Breached</v>
      </c>
      <c r="AN1509" s="9" t="str">
        <f t="shared" si="29"/>
        <v>OTP Achieved</v>
      </c>
    </row>
    <row r="1510" spans="9:40" ht="15.75" customHeight="1">
      <c r="I1510" s="28"/>
      <c r="AD1510" s="9" t="str">
        <f t="shared" si="25"/>
        <v>Actual</v>
      </c>
      <c r="AE1510" s="9" t="str">
        <f t="shared" si="26"/>
        <v/>
      </c>
      <c r="AF1510" s="9">
        <f>HOUR(O1510)</f>
        <v>0</v>
      </c>
      <c r="AG1510" s="9">
        <f>DAY(O1510)</f>
        <v>0</v>
      </c>
      <c r="AH1510" s="9">
        <f>IFERROR((I1510-K1510)*24*60,0)</f>
        <v>0</v>
      </c>
      <c r="AI1510" s="9">
        <f t="shared" si="27"/>
        <v>0</v>
      </c>
      <c r="AJ1510" s="9">
        <f>C1510</f>
        <v>0</v>
      </c>
      <c r="AK1510" s="9">
        <f>IF(P1510="completed",((V1510-K1510)*24*60),0)</f>
        <v>0</v>
      </c>
      <c r="AL1510" s="9">
        <f>IF(P1510="completed",((U1510-K1510)*24*60),0)</f>
        <v>0</v>
      </c>
      <c r="AM1510" s="9" t="str">
        <f t="shared" si="28"/>
        <v>OTP Breached</v>
      </c>
      <c r="AN1510" s="9" t="str">
        <f t="shared" si="29"/>
        <v>OTP Achieved</v>
      </c>
    </row>
    <row r="1511" spans="9:40" ht="15.75" customHeight="1">
      <c r="I1511" s="28"/>
      <c r="AD1511" s="9" t="str">
        <f t="shared" si="25"/>
        <v>Actual</v>
      </c>
      <c r="AE1511" s="9" t="str">
        <f t="shared" si="26"/>
        <v/>
      </c>
      <c r="AF1511" s="9">
        <f>HOUR(O1511)</f>
        <v>0</v>
      </c>
      <c r="AG1511" s="9">
        <f>DAY(O1511)</f>
        <v>0</v>
      </c>
      <c r="AH1511" s="9">
        <f>IFERROR((I1511-K1511)*24*60,0)</f>
        <v>0</v>
      </c>
      <c r="AI1511" s="9">
        <f t="shared" si="27"/>
        <v>0</v>
      </c>
      <c r="AJ1511" s="9">
        <f>C1511</f>
        <v>0</v>
      </c>
      <c r="AK1511" s="9">
        <f>IF(P1511="completed",((V1511-K1511)*24*60),0)</f>
        <v>0</v>
      </c>
      <c r="AL1511" s="9">
        <f>IF(P1511="completed",((U1511-K1511)*24*60),0)</f>
        <v>0</v>
      </c>
      <c r="AM1511" s="9" t="str">
        <f t="shared" si="28"/>
        <v>OTP Breached</v>
      </c>
      <c r="AN1511" s="9" t="str">
        <f t="shared" si="29"/>
        <v>OTP Achieved</v>
      </c>
    </row>
    <row r="1512" spans="9:40" ht="15.75" customHeight="1">
      <c r="I1512" s="28"/>
      <c r="AD1512" s="9" t="str">
        <f t="shared" si="25"/>
        <v>Actual</v>
      </c>
      <c r="AE1512" s="9" t="str">
        <f t="shared" si="26"/>
        <v/>
      </c>
      <c r="AF1512" s="9">
        <f>HOUR(O1512)</f>
        <v>0</v>
      </c>
      <c r="AG1512" s="9">
        <f>DAY(O1512)</f>
        <v>0</v>
      </c>
      <c r="AH1512" s="9">
        <f>IFERROR((I1512-K1512)*24*60,0)</f>
        <v>0</v>
      </c>
      <c r="AI1512" s="9">
        <f t="shared" si="27"/>
        <v>0</v>
      </c>
      <c r="AJ1512" s="9">
        <f>C1512</f>
        <v>0</v>
      </c>
      <c r="AK1512" s="9">
        <f>IF(P1512="completed",((V1512-K1512)*24*60),0)</f>
        <v>0</v>
      </c>
      <c r="AL1512" s="9">
        <f>IF(P1512="completed",((U1512-K1512)*24*60),0)</f>
        <v>0</v>
      </c>
      <c r="AM1512" s="9" t="str">
        <f t="shared" si="28"/>
        <v>OTP Breached</v>
      </c>
      <c r="AN1512" s="9" t="str">
        <f t="shared" si="29"/>
        <v>OTP Achieved</v>
      </c>
    </row>
    <row r="1513" spans="9:40" ht="15.75" customHeight="1">
      <c r="I1513" s="28"/>
      <c r="AD1513" s="9" t="str">
        <f t="shared" si="25"/>
        <v>Actual</v>
      </c>
      <c r="AE1513" s="9" t="str">
        <f t="shared" si="26"/>
        <v/>
      </c>
      <c r="AF1513" s="9">
        <f>HOUR(O1513)</f>
        <v>0</v>
      </c>
      <c r="AG1513" s="9">
        <f>DAY(O1513)</f>
        <v>0</v>
      </c>
      <c r="AH1513" s="9">
        <f>IFERROR((I1513-K1513)*24*60,0)</f>
        <v>0</v>
      </c>
      <c r="AI1513" s="9">
        <f t="shared" si="27"/>
        <v>0</v>
      </c>
      <c r="AJ1513" s="9">
        <f>C1513</f>
        <v>0</v>
      </c>
      <c r="AK1513" s="9">
        <f>IF(P1513="completed",((V1513-K1513)*24*60),0)</f>
        <v>0</v>
      </c>
      <c r="AL1513" s="9">
        <f>IF(P1513="completed",((U1513-K1513)*24*60),0)</f>
        <v>0</v>
      </c>
      <c r="AM1513" s="9" t="str">
        <f t="shared" si="28"/>
        <v>OTP Breached</v>
      </c>
      <c r="AN1513" s="9" t="str">
        <f t="shared" si="29"/>
        <v>OTP Achieved</v>
      </c>
    </row>
    <row r="1514" spans="9:40" ht="15.75" customHeight="1">
      <c r="I1514" s="28"/>
      <c r="AD1514" s="9" t="str">
        <f t="shared" si="25"/>
        <v>Actual</v>
      </c>
      <c r="AE1514" s="9" t="str">
        <f t="shared" si="26"/>
        <v/>
      </c>
      <c r="AF1514" s="9">
        <f>HOUR(O1514)</f>
        <v>0</v>
      </c>
      <c r="AG1514" s="9">
        <f>DAY(O1514)</f>
        <v>0</v>
      </c>
      <c r="AH1514" s="9">
        <f>IFERROR((I1514-K1514)*24*60,0)</f>
        <v>0</v>
      </c>
      <c r="AI1514" s="9">
        <f t="shared" si="27"/>
        <v>0</v>
      </c>
      <c r="AJ1514" s="9">
        <f>C1514</f>
        <v>0</v>
      </c>
      <c r="AK1514" s="9">
        <f>IF(P1514="completed",((V1514-K1514)*24*60),0)</f>
        <v>0</v>
      </c>
      <c r="AL1514" s="9">
        <f>IF(P1514="completed",((U1514-K1514)*24*60),0)</f>
        <v>0</v>
      </c>
      <c r="AM1514" s="9" t="str">
        <f t="shared" si="28"/>
        <v>OTP Breached</v>
      </c>
      <c r="AN1514" s="9" t="str">
        <f t="shared" si="29"/>
        <v>OTP Achieved</v>
      </c>
    </row>
    <row r="1515" spans="9:40" ht="15.75" customHeight="1">
      <c r="I1515" s="28"/>
      <c r="AD1515" s="9" t="str">
        <f t="shared" si="25"/>
        <v>Actual</v>
      </c>
      <c r="AE1515" s="9" t="str">
        <f t="shared" si="26"/>
        <v/>
      </c>
      <c r="AF1515" s="9">
        <f>HOUR(O1515)</f>
        <v>0</v>
      </c>
      <c r="AG1515" s="9">
        <f>DAY(O1515)</f>
        <v>0</v>
      </c>
      <c r="AH1515" s="9">
        <f>IFERROR((I1515-K1515)*24*60,0)</f>
        <v>0</v>
      </c>
      <c r="AI1515" s="9">
        <f t="shared" si="27"/>
        <v>0</v>
      </c>
      <c r="AJ1515" s="9">
        <f>C1515</f>
        <v>0</v>
      </c>
      <c r="AK1515" s="9">
        <f>IF(P1515="completed",((V1515-K1515)*24*60),0)</f>
        <v>0</v>
      </c>
      <c r="AL1515" s="9">
        <f>IF(P1515="completed",((U1515-K1515)*24*60),0)</f>
        <v>0</v>
      </c>
      <c r="AM1515" s="9" t="str">
        <f t="shared" si="28"/>
        <v>OTP Breached</v>
      </c>
      <c r="AN1515" s="9" t="str">
        <f t="shared" si="29"/>
        <v>OTP Achieved</v>
      </c>
    </row>
    <row r="1516" spans="9:40" ht="15.75" customHeight="1">
      <c r="I1516" s="28"/>
      <c r="AD1516" s="9" t="str">
        <f t="shared" si="25"/>
        <v>Actual</v>
      </c>
      <c r="AE1516" s="9" t="str">
        <f t="shared" si="26"/>
        <v/>
      </c>
      <c r="AF1516" s="9">
        <f>HOUR(O1516)</f>
        <v>0</v>
      </c>
      <c r="AG1516" s="9">
        <f>DAY(O1516)</f>
        <v>0</v>
      </c>
      <c r="AH1516" s="9">
        <f>IFERROR((I1516-K1516)*24*60,0)</f>
        <v>0</v>
      </c>
      <c r="AI1516" s="9">
        <f t="shared" si="27"/>
        <v>0</v>
      </c>
      <c r="AJ1516" s="9">
        <f>C1516</f>
        <v>0</v>
      </c>
      <c r="AK1516" s="9">
        <f>IF(P1516="completed",((V1516-K1516)*24*60),0)</f>
        <v>0</v>
      </c>
      <c r="AL1516" s="9">
        <f>IF(P1516="completed",((U1516-K1516)*24*60),0)</f>
        <v>0</v>
      </c>
      <c r="AM1516" s="9" t="str">
        <f t="shared" si="28"/>
        <v>OTP Breached</v>
      </c>
      <c r="AN1516" s="9" t="str">
        <f t="shared" si="29"/>
        <v>OTP Achieved</v>
      </c>
    </row>
    <row r="1517" spans="9:40" ht="15.75" customHeight="1">
      <c r="I1517" s="28"/>
      <c r="AD1517" s="9" t="str">
        <f t="shared" si="25"/>
        <v>Actual</v>
      </c>
      <c r="AE1517" s="9" t="str">
        <f t="shared" si="26"/>
        <v/>
      </c>
      <c r="AF1517" s="9">
        <f>HOUR(O1517)</f>
        <v>0</v>
      </c>
      <c r="AG1517" s="9">
        <f>DAY(O1517)</f>
        <v>0</v>
      </c>
      <c r="AH1517" s="9">
        <f>IFERROR((I1517-K1517)*24*60,0)</f>
        <v>0</v>
      </c>
      <c r="AI1517" s="9">
        <f t="shared" si="27"/>
        <v>0</v>
      </c>
      <c r="AJ1517" s="9">
        <f>C1517</f>
        <v>0</v>
      </c>
      <c r="AK1517" s="9">
        <f>IF(P1517="completed",((V1517-K1517)*24*60),0)</f>
        <v>0</v>
      </c>
      <c r="AL1517" s="9">
        <f>IF(P1517="completed",((U1517-K1517)*24*60),0)</f>
        <v>0</v>
      </c>
      <c r="AM1517" s="9" t="str">
        <f t="shared" si="28"/>
        <v>OTP Breached</v>
      </c>
      <c r="AN1517" s="9" t="str">
        <f t="shared" si="29"/>
        <v>OTP Achieved</v>
      </c>
    </row>
    <row r="1518" spans="9:40" ht="15.75" customHeight="1">
      <c r="I1518" s="28"/>
      <c r="AD1518" s="9" t="str">
        <f t="shared" si="25"/>
        <v>Actual</v>
      </c>
      <c r="AE1518" s="9" t="str">
        <f t="shared" si="26"/>
        <v/>
      </c>
      <c r="AF1518" s="9">
        <f>HOUR(O1518)</f>
        <v>0</v>
      </c>
      <c r="AG1518" s="9">
        <f>DAY(O1518)</f>
        <v>0</v>
      </c>
      <c r="AH1518" s="9">
        <f>IFERROR((I1518-K1518)*24*60,0)</f>
        <v>0</v>
      </c>
      <c r="AI1518" s="9">
        <f t="shared" si="27"/>
        <v>0</v>
      </c>
      <c r="AJ1518" s="9">
        <f>C1518</f>
        <v>0</v>
      </c>
      <c r="AK1518" s="9">
        <f>IF(P1518="completed",((V1518-K1518)*24*60),0)</f>
        <v>0</v>
      </c>
      <c r="AL1518" s="9">
        <f>IF(P1518="completed",((U1518-K1518)*24*60),0)</f>
        <v>0</v>
      </c>
      <c r="AM1518" s="9" t="str">
        <f t="shared" si="28"/>
        <v>OTP Breached</v>
      </c>
      <c r="AN1518" s="9" t="str">
        <f t="shared" si="29"/>
        <v>OTP Achieved</v>
      </c>
    </row>
    <row r="1519" spans="9:40" ht="15.75" customHeight="1">
      <c r="I1519" s="28"/>
      <c r="AD1519" s="9" t="str">
        <f t="shared" si="25"/>
        <v>Actual</v>
      </c>
      <c r="AE1519" s="9" t="str">
        <f t="shared" si="26"/>
        <v/>
      </c>
      <c r="AF1519" s="9">
        <f>HOUR(O1519)</f>
        <v>0</v>
      </c>
      <c r="AG1519" s="9">
        <f>DAY(O1519)</f>
        <v>0</v>
      </c>
      <c r="AH1519" s="9">
        <f>IFERROR((I1519-K1519)*24*60,0)</f>
        <v>0</v>
      </c>
      <c r="AI1519" s="9">
        <f t="shared" si="27"/>
        <v>0</v>
      </c>
      <c r="AJ1519" s="9">
        <f>C1519</f>
        <v>0</v>
      </c>
      <c r="AK1519" s="9">
        <f>IF(P1519="completed",((V1519-K1519)*24*60),0)</f>
        <v>0</v>
      </c>
      <c r="AL1519" s="9">
        <f>IF(P1519="completed",((U1519-K1519)*24*60),0)</f>
        <v>0</v>
      </c>
      <c r="AM1519" s="9" t="str">
        <f t="shared" si="28"/>
        <v>OTP Breached</v>
      </c>
      <c r="AN1519" s="9" t="str">
        <f t="shared" si="29"/>
        <v>OTP Achieved</v>
      </c>
    </row>
    <row r="1520" spans="9:40" ht="15.75" customHeight="1">
      <c r="I1520" s="28"/>
      <c r="AD1520" s="9" t="str">
        <f t="shared" si="25"/>
        <v>Actual</v>
      </c>
      <c r="AE1520" s="9" t="str">
        <f t="shared" si="26"/>
        <v/>
      </c>
      <c r="AF1520" s="9">
        <f>HOUR(O1520)</f>
        <v>0</v>
      </c>
      <c r="AG1520" s="9">
        <f>DAY(O1520)</f>
        <v>0</v>
      </c>
      <c r="AH1520" s="9">
        <f>IFERROR((I1520-K1520)*24*60,0)</f>
        <v>0</v>
      </c>
      <c r="AI1520" s="9">
        <f t="shared" si="27"/>
        <v>0</v>
      </c>
      <c r="AJ1520" s="9">
        <f>C1520</f>
        <v>0</v>
      </c>
      <c r="AK1520" s="9">
        <f>IF(P1520="completed",((V1520-K1520)*24*60),0)</f>
        <v>0</v>
      </c>
      <c r="AL1520" s="9">
        <f>IF(P1520="completed",((U1520-K1520)*24*60),0)</f>
        <v>0</v>
      </c>
      <c r="AM1520" s="9" t="str">
        <f t="shared" si="28"/>
        <v>OTP Breached</v>
      </c>
      <c r="AN1520" s="9" t="str">
        <f t="shared" si="29"/>
        <v>OTP Achieved</v>
      </c>
    </row>
    <row r="1521" spans="9:40" ht="15.75" customHeight="1">
      <c r="I1521" s="28"/>
      <c r="AD1521" s="9" t="str">
        <f t="shared" si="25"/>
        <v>Actual</v>
      </c>
      <c r="AE1521" s="9" t="str">
        <f t="shared" si="26"/>
        <v/>
      </c>
      <c r="AF1521" s="9">
        <f>HOUR(O1521)</f>
        <v>0</v>
      </c>
      <c r="AG1521" s="9">
        <f>DAY(O1521)</f>
        <v>0</v>
      </c>
      <c r="AH1521" s="9">
        <f>IFERROR((I1521-K1521)*24*60,0)</f>
        <v>0</v>
      </c>
      <c r="AI1521" s="9">
        <f t="shared" si="27"/>
        <v>0</v>
      </c>
      <c r="AJ1521" s="9">
        <f>C1521</f>
        <v>0</v>
      </c>
      <c r="AK1521" s="9">
        <f>IF(P1521="completed",((V1521-K1521)*24*60),0)</f>
        <v>0</v>
      </c>
      <c r="AL1521" s="9">
        <f>IF(P1521="completed",((U1521-K1521)*24*60),0)</f>
        <v>0</v>
      </c>
      <c r="AM1521" s="9" t="str">
        <f t="shared" si="28"/>
        <v>OTP Breached</v>
      </c>
      <c r="AN1521" s="9" t="str">
        <f t="shared" si="29"/>
        <v>OTP Achieved</v>
      </c>
    </row>
    <row r="1522" spans="9:40" ht="15.75" customHeight="1">
      <c r="I1522" s="28"/>
      <c r="AD1522" s="9" t="str">
        <f t="shared" si="25"/>
        <v>Actual</v>
      </c>
      <c r="AE1522" s="9" t="str">
        <f t="shared" si="26"/>
        <v/>
      </c>
      <c r="AF1522" s="9">
        <f>HOUR(O1522)</f>
        <v>0</v>
      </c>
      <c r="AG1522" s="9">
        <f>DAY(O1522)</f>
        <v>0</v>
      </c>
      <c r="AH1522" s="9">
        <f>IFERROR((I1522-K1522)*24*60,0)</f>
        <v>0</v>
      </c>
      <c r="AI1522" s="9">
        <f t="shared" si="27"/>
        <v>0</v>
      </c>
      <c r="AJ1522" s="9">
        <f>C1522</f>
        <v>0</v>
      </c>
      <c r="AK1522" s="9">
        <f>IF(P1522="completed",((V1522-K1522)*24*60),0)</f>
        <v>0</v>
      </c>
      <c r="AL1522" s="9">
        <f>IF(P1522="completed",((U1522-K1522)*24*60),0)</f>
        <v>0</v>
      </c>
      <c r="AM1522" s="9" t="str">
        <f t="shared" si="28"/>
        <v>OTP Breached</v>
      </c>
      <c r="AN1522" s="9" t="str">
        <f t="shared" si="29"/>
        <v>OTP Achieved</v>
      </c>
    </row>
    <row r="1523" spans="9:40" ht="15.75" customHeight="1">
      <c r="I1523" s="28"/>
      <c r="AD1523" s="9" t="str">
        <f t="shared" si="25"/>
        <v>Actual</v>
      </c>
      <c r="AE1523" s="9" t="str">
        <f t="shared" si="26"/>
        <v/>
      </c>
      <c r="AF1523" s="9">
        <f>HOUR(O1523)</f>
        <v>0</v>
      </c>
      <c r="AG1523" s="9">
        <f>DAY(O1523)</f>
        <v>0</v>
      </c>
      <c r="AH1523" s="9">
        <f>IFERROR((I1523-K1523)*24*60,0)</f>
        <v>0</v>
      </c>
      <c r="AI1523" s="9">
        <f t="shared" si="27"/>
        <v>0</v>
      </c>
      <c r="AJ1523" s="9">
        <f>C1523</f>
        <v>0</v>
      </c>
      <c r="AK1523" s="9">
        <f>IF(P1523="completed",((V1523-K1523)*24*60),0)</f>
        <v>0</v>
      </c>
      <c r="AL1523" s="9">
        <f>IF(P1523="completed",((U1523-K1523)*24*60),0)</f>
        <v>0</v>
      </c>
      <c r="AM1523" s="9" t="str">
        <f t="shared" si="28"/>
        <v>OTP Breached</v>
      </c>
      <c r="AN1523" s="9" t="str">
        <f t="shared" si="29"/>
        <v>OTP Achieved</v>
      </c>
    </row>
    <row r="1524" spans="9:40" ht="15.75" customHeight="1">
      <c r="I1524" s="28"/>
      <c r="AD1524" s="9" t="str">
        <f t="shared" si="25"/>
        <v>Actual</v>
      </c>
      <c r="AE1524" s="9" t="str">
        <f t="shared" si="26"/>
        <v/>
      </c>
      <c r="AF1524" s="9">
        <f>HOUR(O1524)</f>
        <v>0</v>
      </c>
      <c r="AG1524" s="9">
        <f>DAY(O1524)</f>
        <v>0</v>
      </c>
      <c r="AH1524" s="9">
        <f>IFERROR((I1524-K1524)*24*60,0)</f>
        <v>0</v>
      </c>
      <c r="AI1524" s="9">
        <f t="shared" si="27"/>
        <v>0</v>
      </c>
      <c r="AJ1524" s="9">
        <f>C1524</f>
        <v>0</v>
      </c>
      <c r="AK1524" s="9">
        <f>IF(P1524="completed",((V1524-K1524)*24*60),0)</f>
        <v>0</v>
      </c>
      <c r="AL1524" s="9">
        <f>IF(P1524="completed",((U1524-K1524)*24*60),0)</f>
        <v>0</v>
      </c>
      <c r="AM1524" s="9" t="str">
        <f t="shared" si="28"/>
        <v>OTP Breached</v>
      </c>
      <c r="AN1524" s="9" t="str">
        <f t="shared" si="29"/>
        <v>OTP Achieved</v>
      </c>
    </row>
    <row r="1525" spans="9:40" ht="15.75" customHeight="1">
      <c r="I1525" s="28"/>
      <c r="AD1525" s="9" t="str">
        <f t="shared" si="25"/>
        <v>Actual</v>
      </c>
      <c r="AE1525" s="9" t="str">
        <f t="shared" si="26"/>
        <v/>
      </c>
      <c r="AF1525" s="9">
        <f>HOUR(O1525)</f>
        <v>0</v>
      </c>
      <c r="AG1525" s="9">
        <f>DAY(O1525)</f>
        <v>0</v>
      </c>
      <c r="AH1525" s="9">
        <f>IFERROR((I1525-K1525)*24*60,0)</f>
        <v>0</v>
      </c>
      <c r="AI1525" s="9">
        <f t="shared" si="27"/>
        <v>0</v>
      </c>
      <c r="AJ1525" s="9">
        <f>C1525</f>
        <v>0</v>
      </c>
      <c r="AK1525" s="9">
        <f>IF(P1525="completed",((V1525-K1525)*24*60),0)</f>
        <v>0</v>
      </c>
      <c r="AL1525" s="9">
        <f>IF(P1525="completed",((U1525-K1525)*24*60),0)</f>
        <v>0</v>
      </c>
      <c r="AM1525" s="9" t="str">
        <f t="shared" si="28"/>
        <v>OTP Breached</v>
      </c>
      <c r="AN1525" s="9" t="str">
        <f t="shared" si="29"/>
        <v>OTP Achieved</v>
      </c>
    </row>
    <row r="1526" spans="9:40" ht="15.75" customHeight="1">
      <c r="I1526" s="28"/>
      <c r="AD1526" s="9" t="str">
        <f t="shared" si="25"/>
        <v>Actual</v>
      </c>
      <c r="AE1526" s="9" t="str">
        <f t="shared" si="26"/>
        <v/>
      </c>
      <c r="AF1526" s="9">
        <f>HOUR(O1526)</f>
        <v>0</v>
      </c>
      <c r="AG1526" s="9">
        <f>DAY(O1526)</f>
        <v>0</v>
      </c>
      <c r="AH1526" s="9">
        <f>IFERROR((I1526-K1526)*24*60,0)</f>
        <v>0</v>
      </c>
      <c r="AI1526" s="9">
        <f t="shared" si="27"/>
        <v>0</v>
      </c>
      <c r="AJ1526" s="9">
        <f>C1526</f>
        <v>0</v>
      </c>
      <c r="AK1526" s="9">
        <f>IF(P1526="completed",((V1526-K1526)*24*60),0)</f>
        <v>0</v>
      </c>
      <c r="AL1526" s="9">
        <f>IF(P1526="completed",((U1526-K1526)*24*60),0)</f>
        <v>0</v>
      </c>
      <c r="AM1526" s="9" t="str">
        <f t="shared" si="28"/>
        <v>OTP Breached</v>
      </c>
      <c r="AN1526" s="9" t="str">
        <f t="shared" si="29"/>
        <v>OTP Achieved</v>
      </c>
    </row>
    <row r="1527" spans="9:40" ht="15.75" customHeight="1">
      <c r="I1527" s="28"/>
      <c r="AD1527" s="9" t="str">
        <f t="shared" si="25"/>
        <v>Actual</v>
      </c>
      <c r="AE1527" s="9" t="str">
        <f t="shared" si="26"/>
        <v/>
      </c>
      <c r="AF1527" s="9">
        <f>HOUR(O1527)</f>
        <v>0</v>
      </c>
      <c r="AG1527" s="9">
        <f>DAY(O1527)</f>
        <v>0</v>
      </c>
      <c r="AH1527" s="9">
        <f>IFERROR((I1527-K1527)*24*60,0)</f>
        <v>0</v>
      </c>
      <c r="AI1527" s="9">
        <f t="shared" si="27"/>
        <v>0</v>
      </c>
      <c r="AJ1527" s="9">
        <f>C1527</f>
        <v>0</v>
      </c>
      <c r="AK1527" s="9">
        <f>IF(P1527="completed",((V1527-K1527)*24*60),0)</f>
        <v>0</v>
      </c>
      <c r="AL1527" s="9">
        <f>IF(P1527="completed",((U1527-K1527)*24*60),0)</f>
        <v>0</v>
      </c>
      <c r="AM1527" s="9" t="str">
        <f t="shared" si="28"/>
        <v>OTP Breached</v>
      </c>
      <c r="AN1527" s="9" t="str">
        <f t="shared" si="29"/>
        <v>OTP Achieved</v>
      </c>
    </row>
    <row r="1528" spans="9:40" ht="15.75" customHeight="1">
      <c r="I1528" s="28"/>
      <c r="AD1528" s="9" t="str">
        <f t="shared" si="25"/>
        <v>Actual</v>
      </c>
      <c r="AE1528" s="9" t="str">
        <f t="shared" si="26"/>
        <v/>
      </c>
      <c r="AF1528" s="9">
        <f>HOUR(O1528)</f>
        <v>0</v>
      </c>
      <c r="AG1528" s="9">
        <f>DAY(O1528)</f>
        <v>0</v>
      </c>
      <c r="AH1528" s="9">
        <f>IFERROR((I1528-K1528)*24*60,0)</f>
        <v>0</v>
      </c>
      <c r="AI1528" s="9">
        <f t="shared" si="27"/>
        <v>0</v>
      </c>
      <c r="AJ1528" s="9">
        <f>C1528</f>
        <v>0</v>
      </c>
      <c r="AK1528" s="9">
        <f>IF(P1528="completed",((V1528-K1528)*24*60),0)</f>
        <v>0</v>
      </c>
      <c r="AL1528" s="9">
        <f>IF(P1528="completed",((U1528-K1528)*24*60),0)</f>
        <v>0</v>
      </c>
      <c r="AM1528" s="9" t="str">
        <f t="shared" si="28"/>
        <v>OTP Breached</v>
      </c>
      <c r="AN1528" s="9" t="str">
        <f t="shared" si="29"/>
        <v>OTP Achieved</v>
      </c>
    </row>
    <row r="1529" spans="9:40" ht="15.75" customHeight="1">
      <c r="I1529" s="28"/>
      <c r="AD1529" s="9" t="str">
        <f t="shared" si="25"/>
        <v>Actual</v>
      </c>
      <c r="AE1529" s="9" t="str">
        <f t="shared" si="26"/>
        <v/>
      </c>
      <c r="AF1529" s="9">
        <f>HOUR(O1529)</f>
        <v>0</v>
      </c>
      <c r="AG1529" s="9">
        <f>DAY(O1529)</f>
        <v>0</v>
      </c>
      <c r="AH1529" s="9">
        <f>IFERROR((I1529-K1529)*24*60,0)</f>
        <v>0</v>
      </c>
      <c r="AI1529" s="9">
        <f t="shared" si="27"/>
        <v>0</v>
      </c>
      <c r="AJ1529" s="9">
        <f>C1529</f>
        <v>0</v>
      </c>
      <c r="AK1529" s="9">
        <f>IF(P1529="completed",((V1529-K1529)*24*60),0)</f>
        <v>0</v>
      </c>
      <c r="AL1529" s="9">
        <f>IF(P1529="completed",((U1529-K1529)*24*60),0)</f>
        <v>0</v>
      </c>
      <c r="AM1529" s="9" t="str">
        <f t="shared" si="28"/>
        <v>OTP Breached</v>
      </c>
      <c r="AN1529" s="9" t="str">
        <f t="shared" si="29"/>
        <v>OTP Achieved</v>
      </c>
    </row>
    <row r="1530" spans="9:40" ht="15.75" customHeight="1">
      <c r="I1530" s="28"/>
      <c r="AD1530" s="9" t="str">
        <f t="shared" si="25"/>
        <v>Actual</v>
      </c>
      <c r="AE1530" s="9" t="str">
        <f t="shared" si="26"/>
        <v/>
      </c>
      <c r="AF1530" s="9">
        <f>HOUR(O1530)</f>
        <v>0</v>
      </c>
      <c r="AG1530" s="9">
        <f>DAY(O1530)</f>
        <v>0</v>
      </c>
      <c r="AH1530" s="9">
        <f>IFERROR((I1530-K1530)*24*60,0)</f>
        <v>0</v>
      </c>
      <c r="AI1530" s="9">
        <f t="shared" si="27"/>
        <v>0</v>
      </c>
      <c r="AJ1530" s="9">
        <f>C1530</f>
        <v>0</v>
      </c>
      <c r="AK1530" s="9">
        <f>IF(P1530="completed",((V1530-K1530)*24*60),0)</f>
        <v>0</v>
      </c>
      <c r="AL1530" s="9">
        <f>IF(P1530="completed",((U1530-K1530)*24*60),0)</f>
        <v>0</v>
      </c>
      <c r="AM1530" s="9" t="str">
        <f t="shared" si="28"/>
        <v>OTP Breached</v>
      </c>
      <c r="AN1530" s="9" t="str">
        <f t="shared" si="29"/>
        <v>OTP Achieved</v>
      </c>
    </row>
    <row r="1531" spans="9:40" ht="15.75" customHeight="1">
      <c r="I1531" s="28"/>
      <c r="AD1531" s="9" t="str">
        <f t="shared" si="25"/>
        <v>Actual</v>
      </c>
      <c r="AE1531" s="9" t="str">
        <f t="shared" si="26"/>
        <v/>
      </c>
      <c r="AF1531" s="9">
        <f>HOUR(O1531)</f>
        <v>0</v>
      </c>
      <c r="AG1531" s="9">
        <f>DAY(O1531)</f>
        <v>0</v>
      </c>
      <c r="AH1531" s="9">
        <f>IFERROR((I1531-K1531)*24*60,0)</f>
        <v>0</v>
      </c>
      <c r="AI1531" s="9">
        <f t="shared" si="27"/>
        <v>0</v>
      </c>
      <c r="AJ1531" s="9">
        <f>C1531</f>
        <v>0</v>
      </c>
      <c r="AK1531" s="9">
        <f>IF(P1531="completed",((V1531-K1531)*24*60),0)</f>
        <v>0</v>
      </c>
      <c r="AL1531" s="9">
        <f>IF(P1531="completed",((U1531-K1531)*24*60),0)</f>
        <v>0</v>
      </c>
      <c r="AM1531" s="9" t="str">
        <f t="shared" si="28"/>
        <v>OTP Breached</v>
      </c>
      <c r="AN1531" s="9" t="str">
        <f t="shared" si="29"/>
        <v>OTP Achieved</v>
      </c>
    </row>
    <row r="1532" spans="9:40" ht="15.75" customHeight="1">
      <c r="I1532" s="28"/>
      <c r="AD1532" s="9" t="str">
        <f t="shared" ref="AD1532:AD1786" si="30">IF(LEFT(R1532,2)="AM","Dummy","Actual")</f>
        <v>Actual</v>
      </c>
      <c r="AE1532" s="9" t="str">
        <f t="shared" ref="AE1532:AE1786" si="31">LEFT(H1532,4)</f>
        <v/>
      </c>
      <c r="AF1532" s="9">
        <f>HOUR(O1532)</f>
        <v>0</v>
      </c>
      <c r="AG1532" s="9">
        <f>DAY(O1532)</f>
        <v>0</v>
      </c>
      <c r="AH1532" s="9">
        <f>IFERROR((I1532-K1532)*24*60,0)</f>
        <v>0</v>
      </c>
      <c r="AI1532" s="9">
        <f t="shared" ref="AI1532:AI1786" si="32">IF(AH1532&gt;0,AH1532,0)</f>
        <v>0</v>
      </c>
      <c r="AJ1532" s="9">
        <f>C1532</f>
        <v>0</v>
      </c>
      <c r="AK1532" s="9">
        <f>IF(P1532="completed",((V1532-K1532)*24*60),0)</f>
        <v>0</v>
      </c>
      <c r="AL1532" s="9">
        <f>IF(P1532="completed",((U1532-K1532)*24*60),0)</f>
        <v>0</v>
      </c>
      <c r="AM1532" s="9" t="str">
        <f t="shared" ref="AM1532:AM1786" si="33">IF(AK1532&lt;AL1532,"OTP Achieved","OTP Breached")</f>
        <v>OTP Breached</v>
      </c>
      <c r="AN1532" s="9" t="str">
        <f t="shared" ref="AN1532:AN1786" si="34">IF(AK1532&lt;(AL1532+3),"OTP Achieved","OTP Breached")</f>
        <v>OTP Achieved</v>
      </c>
    </row>
    <row r="1533" spans="9:40" ht="15.75" customHeight="1">
      <c r="I1533" s="28"/>
      <c r="AD1533" s="9" t="str">
        <f t="shared" si="30"/>
        <v>Actual</v>
      </c>
      <c r="AE1533" s="9" t="str">
        <f t="shared" si="31"/>
        <v/>
      </c>
      <c r="AF1533" s="9">
        <f>HOUR(O1533)</f>
        <v>0</v>
      </c>
      <c r="AG1533" s="9">
        <f>DAY(O1533)</f>
        <v>0</v>
      </c>
      <c r="AH1533" s="9">
        <f>IFERROR((I1533-K1533)*24*60,0)</f>
        <v>0</v>
      </c>
      <c r="AI1533" s="9">
        <f t="shared" si="32"/>
        <v>0</v>
      </c>
      <c r="AJ1533" s="9">
        <f>C1533</f>
        <v>0</v>
      </c>
      <c r="AK1533" s="9">
        <f>IF(P1533="completed",((V1533-K1533)*24*60),0)</f>
        <v>0</v>
      </c>
      <c r="AL1533" s="9">
        <f>IF(P1533="completed",((U1533-K1533)*24*60),0)</f>
        <v>0</v>
      </c>
      <c r="AM1533" s="9" t="str">
        <f t="shared" si="33"/>
        <v>OTP Breached</v>
      </c>
      <c r="AN1533" s="9" t="str">
        <f t="shared" si="34"/>
        <v>OTP Achieved</v>
      </c>
    </row>
    <row r="1534" spans="9:40" ht="15.75" customHeight="1">
      <c r="I1534" s="28"/>
      <c r="AD1534" s="9" t="str">
        <f t="shared" si="30"/>
        <v>Actual</v>
      </c>
      <c r="AE1534" s="9" t="str">
        <f t="shared" si="31"/>
        <v/>
      </c>
      <c r="AF1534" s="9">
        <f>HOUR(O1534)</f>
        <v>0</v>
      </c>
      <c r="AG1534" s="9">
        <f>DAY(O1534)</f>
        <v>0</v>
      </c>
      <c r="AH1534" s="9">
        <f>IFERROR((I1534-K1534)*24*60,0)</f>
        <v>0</v>
      </c>
      <c r="AI1534" s="9">
        <f t="shared" si="32"/>
        <v>0</v>
      </c>
      <c r="AJ1534" s="9">
        <f>C1534</f>
        <v>0</v>
      </c>
      <c r="AK1534" s="9">
        <f>IF(P1534="completed",((V1534-K1534)*24*60),0)</f>
        <v>0</v>
      </c>
      <c r="AL1534" s="9">
        <f>IF(P1534="completed",((U1534-K1534)*24*60),0)</f>
        <v>0</v>
      </c>
      <c r="AM1534" s="9" t="str">
        <f t="shared" si="33"/>
        <v>OTP Breached</v>
      </c>
      <c r="AN1534" s="9" t="str">
        <f t="shared" si="34"/>
        <v>OTP Achieved</v>
      </c>
    </row>
    <row r="1535" spans="9:40" ht="15.75" customHeight="1">
      <c r="I1535" s="28"/>
      <c r="AD1535" s="9" t="str">
        <f t="shared" si="30"/>
        <v>Actual</v>
      </c>
      <c r="AE1535" s="9" t="str">
        <f t="shared" si="31"/>
        <v/>
      </c>
      <c r="AF1535" s="9">
        <f>HOUR(O1535)</f>
        <v>0</v>
      </c>
      <c r="AG1535" s="9">
        <f>DAY(O1535)</f>
        <v>0</v>
      </c>
      <c r="AH1535" s="9">
        <f>IFERROR((I1535-K1535)*24*60,0)</f>
        <v>0</v>
      </c>
      <c r="AI1535" s="9">
        <f t="shared" si="32"/>
        <v>0</v>
      </c>
      <c r="AJ1535" s="9">
        <f>C1535</f>
        <v>0</v>
      </c>
      <c r="AK1535" s="9">
        <f>IF(P1535="completed",((V1535-K1535)*24*60),0)</f>
        <v>0</v>
      </c>
      <c r="AL1535" s="9">
        <f>IF(P1535="completed",((U1535-K1535)*24*60),0)</f>
        <v>0</v>
      </c>
      <c r="AM1535" s="9" t="str">
        <f t="shared" si="33"/>
        <v>OTP Breached</v>
      </c>
      <c r="AN1535" s="9" t="str">
        <f t="shared" si="34"/>
        <v>OTP Achieved</v>
      </c>
    </row>
    <row r="1536" spans="9:40" ht="15.75" customHeight="1">
      <c r="I1536" s="28"/>
      <c r="AD1536" s="9" t="str">
        <f t="shared" si="30"/>
        <v>Actual</v>
      </c>
      <c r="AE1536" s="9" t="str">
        <f t="shared" si="31"/>
        <v/>
      </c>
      <c r="AF1536" s="9">
        <f>HOUR(O1536)</f>
        <v>0</v>
      </c>
      <c r="AG1536" s="9">
        <f>DAY(O1536)</f>
        <v>0</v>
      </c>
      <c r="AH1536" s="9">
        <f>IFERROR((I1536-K1536)*24*60,0)</f>
        <v>0</v>
      </c>
      <c r="AI1536" s="9">
        <f t="shared" si="32"/>
        <v>0</v>
      </c>
      <c r="AJ1536" s="9">
        <f>C1536</f>
        <v>0</v>
      </c>
      <c r="AK1536" s="9">
        <f>IF(P1536="completed",((V1536-K1536)*24*60),0)</f>
        <v>0</v>
      </c>
      <c r="AL1536" s="9">
        <f>IF(P1536="completed",((U1536-K1536)*24*60),0)</f>
        <v>0</v>
      </c>
      <c r="AM1536" s="9" t="str">
        <f t="shared" si="33"/>
        <v>OTP Breached</v>
      </c>
      <c r="AN1536" s="9" t="str">
        <f t="shared" si="34"/>
        <v>OTP Achieved</v>
      </c>
    </row>
    <row r="1537" spans="9:40" ht="15.75" customHeight="1">
      <c r="I1537" s="28"/>
      <c r="AD1537" s="9" t="str">
        <f t="shared" si="30"/>
        <v>Actual</v>
      </c>
      <c r="AE1537" s="9" t="str">
        <f t="shared" si="31"/>
        <v/>
      </c>
      <c r="AF1537" s="9">
        <f>HOUR(O1537)</f>
        <v>0</v>
      </c>
      <c r="AG1537" s="9">
        <f>DAY(O1537)</f>
        <v>0</v>
      </c>
      <c r="AH1537" s="9">
        <f>IFERROR((I1537-K1537)*24*60,0)</f>
        <v>0</v>
      </c>
      <c r="AI1537" s="9">
        <f t="shared" si="32"/>
        <v>0</v>
      </c>
      <c r="AJ1537" s="9">
        <f>C1537</f>
        <v>0</v>
      </c>
      <c r="AK1537" s="9">
        <f>IF(P1537="completed",((V1537-K1537)*24*60),0)</f>
        <v>0</v>
      </c>
      <c r="AL1537" s="9">
        <f>IF(P1537="completed",((U1537-K1537)*24*60),0)</f>
        <v>0</v>
      </c>
      <c r="AM1537" s="9" t="str">
        <f t="shared" si="33"/>
        <v>OTP Breached</v>
      </c>
      <c r="AN1537" s="9" t="str">
        <f t="shared" si="34"/>
        <v>OTP Achieved</v>
      </c>
    </row>
    <row r="1538" spans="9:40" ht="15.75" customHeight="1">
      <c r="I1538" s="28"/>
      <c r="AD1538" s="9" t="str">
        <f t="shared" si="30"/>
        <v>Actual</v>
      </c>
      <c r="AE1538" s="9" t="str">
        <f t="shared" si="31"/>
        <v/>
      </c>
      <c r="AF1538" s="9">
        <f>HOUR(O1538)</f>
        <v>0</v>
      </c>
      <c r="AG1538" s="9">
        <f>DAY(O1538)</f>
        <v>0</v>
      </c>
      <c r="AH1538" s="9">
        <f>IFERROR((I1538-K1538)*24*60,0)</f>
        <v>0</v>
      </c>
      <c r="AI1538" s="9">
        <f t="shared" si="32"/>
        <v>0</v>
      </c>
      <c r="AJ1538" s="9">
        <f>C1538</f>
        <v>0</v>
      </c>
      <c r="AK1538" s="9">
        <f>IF(P1538="completed",((V1538-K1538)*24*60),0)</f>
        <v>0</v>
      </c>
      <c r="AL1538" s="9">
        <f>IF(P1538="completed",((U1538-K1538)*24*60),0)</f>
        <v>0</v>
      </c>
      <c r="AM1538" s="9" t="str">
        <f t="shared" si="33"/>
        <v>OTP Breached</v>
      </c>
      <c r="AN1538" s="9" t="str">
        <f t="shared" si="34"/>
        <v>OTP Achieved</v>
      </c>
    </row>
    <row r="1539" spans="9:40" ht="15.75" customHeight="1">
      <c r="I1539" s="28"/>
      <c r="AD1539" s="9" t="str">
        <f t="shared" si="30"/>
        <v>Actual</v>
      </c>
      <c r="AE1539" s="9" t="str">
        <f t="shared" si="31"/>
        <v/>
      </c>
      <c r="AF1539" s="9">
        <f>HOUR(O1539)</f>
        <v>0</v>
      </c>
      <c r="AG1539" s="9">
        <f>DAY(O1539)</f>
        <v>0</v>
      </c>
      <c r="AH1539" s="9">
        <f>IFERROR((I1539-K1539)*24*60,0)</f>
        <v>0</v>
      </c>
      <c r="AI1539" s="9">
        <f t="shared" si="32"/>
        <v>0</v>
      </c>
      <c r="AJ1539" s="9">
        <f>C1539</f>
        <v>0</v>
      </c>
      <c r="AK1539" s="9">
        <f>IF(P1539="completed",((V1539-K1539)*24*60),0)</f>
        <v>0</v>
      </c>
      <c r="AL1539" s="9">
        <f>IF(P1539="completed",((U1539-K1539)*24*60),0)</f>
        <v>0</v>
      </c>
      <c r="AM1539" s="9" t="str">
        <f t="shared" si="33"/>
        <v>OTP Breached</v>
      </c>
      <c r="AN1539" s="9" t="str">
        <f t="shared" si="34"/>
        <v>OTP Achieved</v>
      </c>
    </row>
    <row r="1540" spans="9:40" ht="15.75" customHeight="1">
      <c r="I1540" s="28"/>
      <c r="AD1540" s="9" t="str">
        <f t="shared" si="30"/>
        <v>Actual</v>
      </c>
      <c r="AE1540" s="9" t="str">
        <f t="shared" si="31"/>
        <v/>
      </c>
      <c r="AF1540" s="9">
        <f>HOUR(O1540)</f>
        <v>0</v>
      </c>
      <c r="AG1540" s="9">
        <f>DAY(O1540)</f>
        <v>0</v>
      </c>
      <c r="AH1540" s="9">
        <f>IFERROR((I1540-K1540)*24*60,0)</f>
        <v>0</v>
      </c>
      <c r="AI1540" s="9">
        <f t="shared" si="32"/>
        <v>0</v>
      </c>
      <c r="AJ1540" s="9">
        <f>C1540</f>
        <v>0</v>
      </c>
      <c r="AK1540" s="9">
        <f>IF(P1540="completed",((V1540-K1540)*24*60),0)</f>
        <v>0</v>
      </c>
      <c r="AL1540" s="9">
        <f>IF(P1540="completed",((U1540-K1540)*24*60),0)</f>
        <v>0</v>
      </c>
      <c r="AM1540" s="9" t="str">
        <f t="shared" si="33"/>
        <v>OTP Breached</v>
      </c>
      <c r="AN1540" s="9" t="str">
        <f t="shared" si="34"/>
        <v>OTP Achieved</v>
      </c>
    </row>
    <row r="1541" spans="9:40" ht="15.75" customHeight="1">
      <c r="I1541" s="28"/>
      <c r="AD1541" s="9" t="str">
        <f t="shared" si="30"/>
        <v>Actual</v>
      </c>
      <c r="AE1541" s="9" t="str">
        <f t="shared" si="31"/>
        <v/>
      </c>
      <c r="AF1541" s="9">
        <f>HOUR(O1541)</f>
        <v>0</v>
      </c>
      <c r="AG1541" s="9">
        <f>DAY(O1541)</f>
        <v>0</v>
      </c>
      <c r="AH1541" s="9">
        <f>IFERROR((I1541-K1541)*24*60,0)</f>
        <v>0</v>
      </c>
      <c r="AI1541" s="9">
        <f t="shared" si="32"/>
        <v>0</v>
      </c>
      <c r="AJ1541" s="9">
        <f>C1541</f>
        <v>0</v>
      </c>
      <c r="AK1541" s="9">
        <f>IF(P1541="completed",((V1541-K1541)*24*60),0)</f>
        <v>0</v>
      </c>
      <c r="AL1541" s="9">
        <f>IF(P1541="completed",((U1541-K1541)*24*60),0)</f>
        <v>0</v>
      </c>
      <c r="AM1541" s="9" t="str">
        <f t="shared" si="33"/>
        <v>OTP Breached</v>
      </c>
      <c r="AN1541" s="9" t="str">
        <f t="shared" si="34"/>
        <v>OTP Achieved</v>
      </c>
    </row>
    <row r="1542" spans="9:40" ht="15.75" customHeight="1">
      <c r="I1542" s="28"/>
      <c r="AD1542" s="9" t="str">
        <f t="shared" si="30"/>
        <v>Actual</v>
      </c>
      <c r="AE1542" s="9" t="str">
        <f t="shared" si="31"/>
        <v/>
      </c>
      <c r="AF1542" s="9">
        <f>HOUR(O1542)</f>
        <v>0</v>
      </c>
      <c r="AG1542" s="9">
        <f>DAY(O1542)</f>
        <v>0</v>
      </c>
      <c r="AH1542" s="9">
        <f>IFERROR((I1542-K1542)*24*60,0)</f>
        <v>0</v>
      </c>
      <c r="AI1542" s="9">
        <f t="shared" si="32"/>
        <v>0</v>
      </c>
      <c r="AJ1542" s="9">
        <f>C1542</f>
        <v>0</v>
      </c>
      <c r="AK1542" s="9">
        <f>IF(P1542="completed",((V1542-K1542)*24*60),0)</f>
        <v>0</v>
      </c>
      <c r="AL1542" s="9">
        <f>IF(P1542="completed",((U1542-K1542)*24*60),0)</f>
        <v>0</v>
      </c>
      <c r="AM1542" s="9" t="str">
        <f t="shared" si="33"/>
        <v>OTP Breached</v>
      </c>
      <c r="AN1542" s="9" t="str">
        <f t="shared" si="34"/>
        <v>OTP Achieved</v>
      </c>
    </row>
    <row r="1543" spans="9:40" ht="15.75" customHeight="1">
      <c r="I1543" s="28"/>
      <c r="AD1543" s="9" t="str">
        <f t="shared" si="30"/>
        <v>Actual</v>
      </c>
      <c r="AE1543" s="9" t="str">
        <f t="shared" si="31"/>
        <v/>
      </c>
      <c r="AF1543" s="9">
        <f>HOUR(O1543)</f>
        <v>0</v>
      </c>
      <c r="AG1543" s="9">
        <f>DAY(O1543)</f>
        <v>0</v>
      </c>
      <c r="AH1543" s="9">
        <f>IFERROR((I1543-K1543)*24*60,0)</f>
        <v>0</v>
      </c>
      <c r="AI1543" s="9">
        <f t="shared" si="32"/>
        <v>0</v>
      </c>
      <c r="AJ1543" s="9">
        <f>C1543</f>
        <v>0</v>
      </c>
      <c r="AK1543" s="9">
        <f>IF(P1543="completed",((V1543-K1543)*24*60),0)</f>
        <v>0</v>
      </c>
      <c r="AL1543" s="9">
        <f>IF(P1543="completed",((U1543-K1543)*24*60),0)</f>
        <v>0</v>
      </c>
      <c r="AM1543" s="9" t="str">
        <f t="shared" si="33"/>
        <v>OTP Breached</v>
      </c>
      <c r="AN1543" s="9" t="str">
        <f t="shared" si="34"/>
        <v>OTP Achieved</v>
      </c>
    </row>
    <row r="1544" spans="9:40" ht="15.75" customHeight="1">
      <c r="I1544" s="28"/>
      <c r="AD1544" s="9" t="str">
        <f t="shared" si="30"/>
        <v>Actual</v>
      </c>
      <c r="AE1544" s="9" t="str">
        <f t="shared" si="31"/>
        <v/>
      </c>
      <c r="AF1544" s="9">
        <f>HOUR(O1544)</f>
        <v>0</v>
      </c>
      <c r="AG1544" s="9">
        <f>DAY(O1544)</f>
        <v>0</v>
      </c>
      <c r="AH1544" s="9">
        <f>IFERROR((I1544-K1544)*24*60,0)</f>
        <v>0</v>
      </c>
      <c r="AI1544" s="9">
        <f t="shared" si="32"/>
        <v>0</v>
      </c>
      <c r="AJ1544" s="9">
        <f>C1544</f>
        <v>0</v>
      </c>
      <c r="AK1544" s="9">
        <f>IF(P1544="completed",((V1544-K1544)*24*60),0)</f>
        <v>0</v>
      </c>
      <c r="AL1544" s="9">
        <f>IF(P1544="completed",((U1544-K1544)*24*60),0)</f>
        <v>0</v>
      </c>
      <c r="AM1544" s="9" t="str">
        <f t="shared" si="33"/>
        <v>OTP Breached</v>
      </c>
      <c r="AN1544" s="9" t="str">
        <f t="shared" si="34"/>
        <v>OTP Achieved</v>
      </c>
    </row>
    <row r="1545" spans="9:40" ht="15.75" customHeight="1">
      <c r="I1545" s="28"/>
      <c r="AD1545" s="9" t="str">
        <f t="shared" si="30"/>
        <v>Actual</v>
      </c>
      <c r="AE1545" s="9" t="str">
        <f t="shared" si="31"/>
        <v/>
      </c>
      <c r="AF1545" s="9">
        <f>HOUR(O1545)</f>
        <v>0</v>
      </c>
      <c r="AG1545" s="9">
        <f>DAY(O1545)</f>
        <v>0</v>
      </c>
      <c r="AH1545" s="9">
        <f>IFERROR((I1545-K1545)*24*60,0)</f>
        <v>0</v>
      </c>
      <c r="AI1545" s="9">
        <f t="shared" si="32"/>
        <v>0</v>
      </c>
      <c r="AJ1545" s="9">
        <f>C1545</f>
        <v>0</v>
      </c>
      <c r="AK1545" s="9">
        <f>IF(P1545="completed",((V1545-K1545)*24*60),0)</f>
        <v>0</v>
      </c>
      <c r="AL1545" s="9">
        <f>IF(P1545="completed",((U1545-K1545)*24*60),0)</f>
        <v>0</v>
      </c>
      <c r="AM1545" s="9" t="str">
        <f t="shared" si="33"/>
        <v>OTP Breached</v>
      </c>
      <c r="AN1545" s="9" t="str">
        <f t="shared" si="34"/>
        <v>OTP Achieved</v>
      </c>
    </row>
    <row r="1546" spans="9:40" ht="15.75" customHeight="1">
      <c r="I1546" s="28"/>
      <c r="AD1546" s="9" t="str">
        <f t="shared" si="30"/>
        <v>Actual</v>
      </c>
      <c r="AE1546" s="9" t="str">
        <f t="shared" si="31"/>
        <v/>
      </c>
      <c r="AF1546" s="9">
        <f>HOUR(O1546)</f>
        <v>0</v>
      </c>
      <c r="AG1546" s="9">
        <f>DAY(O1546)</f>
        <v>0</v>
      </c>
      <c r="AH1546" s="9">
        <f>IFERROR((I1546-K1546)*24*60,0)</f>
        <v>0</v>
      </c>
      <c r="AI1546" s="9">
        <f t="shared" si="32"/>
        <v>0</v>
      </c>
      <c r="AJ1546" s="9">
        <f>C1546</f>
        <v>0</v>
      </c>
      <c r="AK1546" s="9">
        <f>IF(P1546="completed",((V1546-K1546)*24*60),0)</f>
        <v>0</v>
      </c>
      <c r="AL1546" s="9">
        <f>IF(P1546="completed",((U1546-K1546)*24*60),0)</f>
        <v>0</v>
      </c>
      <c r="AM1546" s="9" t="str">
        <f t="shared" si="33"/>
        <v>OTP Breached</v>
      </c>
      <c r="AN1546" s="9" t="str">
        <f t="shared" si="34"/>
        <v>OTP Achieved</v>
      </c>
    </row>
    <row r="1547" spans="9:40" ht="15.75" customHeight="1">
      <c r="I1547" s="28"/>
      <c r="AD1547" s="9" t="str">
        <f t="shared" si="30"/>
        <v>Actual</v>
      </c>
      <c r="AE1547" s="9" t="str">
        <f t="shared" si="31"/>
        <v/>
      </c>
      <c r="AF1547" s="9">
        <f>HOUR(O1547)</f>
        <v>0</v>
      </c>
      <c r="AG1547" s="9">
        <f>DAY(O1547)</f>
        <v>0</v>
      </c>
      <c r="AH1547" s="9">
        <f>IFERROR((I1547-K1547)*24*60,0)</f>
        <v>0</v>
      </c>
      <c r="AI1547" s="9">
        <f t="shared" si="32"/>
        <v>0</v>
      </c>
      <c r="AJ1547" s="9">
        <f>C1547</f>
        <v>0</v>
      </c>
      <c r="AK1547" s="9">
        <f>IF(P1547="completed",((V1547-K1547)*24*60),0)</f>
        <v>0</v>
      </c>
      <c r="AL1547" s="9">
        <f>IF(P1547="completed",((U1547-K1547)*24*60),0)</f>
        <v>0</v>
      </c>
      <c r="AM1547" s="9" t="str">
        <f t="shared" si="33"/>
        <v>OTP Breached</v>
      </c>
      <c r="AN1547" s="9" t="str">
        <f t="shared" si="34"/>
        <v>OTP Achieved</v>
      </c>
    </row>
    <row r="1548" spans="9:40" ht="15.75" customHeight="1">
      <c r="I1548" s="28"/>
      <c r="AD1548" s="9" t="str">
        <f t="shared" si="30"/>
        <v>Actual</v>
      </c>
      <c r="AE1548" s="9" t="str">
        <f t="shared" si="31"/>
        <v/>
      </c>
      <c r="AF1548" s="9">
        <f>HOUR(O1548)</f>
        <v>0</v>
      </c>
      <c r="AG1548" s="9">
        <f>DAY(O1548)</f>
        <v>0</v>
      </c>
      <c r="AH1548" s="9">
        <f>IFERROR((I1548-K1548)*24*60,0)</f>
        <v>0</v>
      </c>
      <c r="AI1548" s="9">
        <f t="shared" si="32"/>
        <v>0</v>
      </c>
      <c r="AJ1548" s="9">
        <f>C1548</f>
        <v>0</v>
      </c>
      <c r="AK1548" s="9">
        <f>IF(P1548="completed",((V1548-K1548)*24*60),0)</f>
        <v>0</v>
      </c>
      <c r="AL1548" s="9">
        <f>IF(P1548="completed",((U1548-K1548)*24*60),0)</f>
        <v>0</v>
      </c>
      <c r="AM1548" s="9" t="str">
        <f t="shared" si="33"/>
        <v>OTP Breached</v>
      </c>
      <c r="AN1548" s="9" t="str">
        <f t="shared" si="34"/>
        <v>OTP Achieved</v>
      </c>
    </row>
    <row r="1549" spans="9:40" ht="15.75" customHeight="1">
      <c r="I1549" s="28"/>
      <c r="AD1549" s="9" t="str">
        <f t="shared" si="30"/>
        <v>Actual</v>
      </c>
      <c r="AE1549" s="9" t="str">
        <f t="shared" si="31"/>
        <v/>
      </c>
      <c r="AF1549" s="9">
        <f>HOUR(O1549)</f>
        <v>0</v>
      </c>
      <c r="AG1549" s="9">
        <f>DAY(O1549)</f>
        <v>0</v>
      </c>
      <c r="AH1549" s="9">
        <f>IFERROR((I1549-K1549)*24*60,0)</f>
        <v>0</v>
      </c>
      <c r="AI1549" s="9">
        <f t="shared" si="32"/>
        <v>0</v>
      </c>
      <c r="AJ1549" s="9">
        <f>C1549</f>
        <v>0</v>
      </c>
      <c r="AK1549" s="9">
        <f>IF(P1549="completed",((V1549-K1549)*24*60),0)</f>
        <v>0</v>
      </c>
      <c r="AL1549" s="9">
        <f>IF(P1549="completed",((U1549-K1549)*24*60),0)</f>
        <v>0</v>
      </c>
      <c r="AM1549" s="9" t="str">
        <f t="shared" si="33"/>
        <v>OTP Breached</v>
      </c>
      <c r="AN1549" s="9" t="str">
        <f t="shared" si="34"/>
        <v>OTP Achieved</v>
      </c>
    </row>
    <row r="1550" spans="9:40" ht="15.75" customHeight="1">
      <c r="I1550" s="28"/>
      <c r="AD1550" s="9" t="str">
        <f t="shared" si="30"/>
        <v>Actual</v>
      </c>
      <c r="AE1550" s="9" t="str">
        <f t="shared" si="31"/>
        <v/>
      </c>
      <c r="AF1550" s="9">
        <f>HOUR(O1550)</f>
        <v>0</v>
      </c>
      <c r="AG1550" s="9">
        <f>DAY(O1550)</f>
        <v>0</v>
      </c>
      <c r="AH1550" s="9">
        <f>IFERROR((I1550-K1550)*24*60,0)</f>
        <v>0</v>
      </c>
      <c r="AI1550" s="9">
        <f t="shared" si="32"/>
        <v>0</v>
      </c>
      <c r="AJ1550" s="9">
        <f>C1550</f>
        <v>0</v>
      </c>
      <c r="AK1550" s="9">
        <f>IF(P1550="completed",((V1550-K1550)*24*60),0)</f>
        <v>0</v>
      </c>
      <c r="AL1550" s="9">
        <f>IF(P1550="completed",((U1550-K1550)*24*60),0)</f>
        <v>0</v>
      </c>
      <c r="AM1550" s="9" t="str">
        <f t="shared" si="33"/>
        <v>OTP Breached</v>
      </c>
      <c r="AN1550" s="9" t="str">
        <f t="shared" si="34"/>
        <v>OTP Achieved</v>
      </c>
    </row>
    <row r="1551" spans="9:40" ht="15.75" customHeight="1">
      <c r="I1551" s="28"/>
      <c r="AD1551" s="9" t="str">
        <f t="shared" si="30"/>
        <v>Actual</v>
      </c>
      <c r="AE1551" s="9" t="str">
        <f t="shared" si="31"/>
        <v/>
      </c>
      <c r="AF1551" s="9">
        <f>HOUR(O1551)</f>
        <v>0</v>
      </c>
      <c r="AG1551" s="9">
        <f>DAY(O1551)</f>
        <v>0</v>
      </c>
      <c r="AH1551" s="9">
        <f>IFERROR((I1551-K1551)*24*60,0)</f>
        <v>0</v>
      </c>
      <c r="AI1551" s="9">
        <f t="shared" si="32"/>
        <v>0</v>
      </c>
      <c r="AJ1551" s="9">
        <f>C1551</f>
        <v>0</v>
      </c>
      <c r="AK1551" s="9">
        <f>IF(P1551="completed",((V1551-K1551)*24*60),0)</f>
        <v>0</v>
      </c>
      <c r="AL1551" s="9">
        <f>IF(P1551="completed",((U1551-K1551)*24*60),0)</f>
        <v>0</v>
      </c>
      <c r="AM1551" s="9" t="str">
        <f t="shared" si="33"/>
        <v>OTP Breached</v>
      </c>
      <c r="AN1551" s="9" t="str">
        <f t="shared" si="34"/>
        <v>OTP Achieved</v>
      </c>
    </row>
    <row r="1552" spans="9:40" ht="15.75" customHeight="1">
      <c r="I1552" s="28"/>
      <c r="AD1552" s="9" t="str">
        <f t="shared" si="30"/>
        <v>Actual</v>
      </c>
      <c r="AE1552" s="9" t="str">
        <f t="shared" si="31"/>
        <v/>
      </c>
      <c r="AF1552" s="9">
        <f>HOUR(O1552)</f>
        <v>0</v>
      </c>
      <c r="AG1552" s="9">
        <f>DAY(O1552)</f>
        <v>0</v>
      </c>
      <c r="AH1552" s="9">
        <f>IFERROR((I1552-K1552)*24*60,0)</f>
        <v>0</v>
      </c>
      <c r="AI1552" s="9">
        <f t="shared" si="32"/>
        <v>0</v>
      </c>
      <c r="AJ1552" s="9">
        <f>C1552</f>
        <v>0</v>
      </c>
      <c r="AK1552" s="9">
        <f>IF(P1552="completed",((V1552-K1552)*24*60),0)</f>
        <v>0</v>
      </c>
      <c r="AL1552" s="9">
        <f>IF(P1552="completed",((U1552-K1552)*24*60),0)</f>
        <v>0</v>
      </c>
      <c r="AM1552" s="9" t="str">
        <f t="shared" si="33"/>
        <v>OTP Breached</v>
      </c>
      <c r="AN1552" s="9" t="str">
        <f t="shared" si="34"/>
        <v>OTP Achieved</v>
      </c>
    </row>
    <row r="1553" spans="9:40" ht="15.75" customHeight="1">
      <c r="I1553" s="28"/>
      <c r="AD1553" s="9" t="str">
        <f t="shared" si="30"/>
        <v>Actual</v>
      </c>
      <c r="AE1553" s="9" t="str">
        <f t="shared" si="31"/>
        <v/>
      </c>
      <c r="AF1553" s="9">
        <f>HOUR(O1553)</f>
        <v>0</v>
      </c>
      <c r="AG1553" s="9">
        <f>DAY(O1553)</f>
        <v>0</v>
      </c>
      <c r="AH1553" s="9">
        <f>IFERROR((I1553-K1553)*24*60,0)</f>
        <v>0</v>
      </c>
      <c r="AI1553" s="9">
        <f t="shared" si="32"/>
        <v>0</v>
      </c>
      <c r="AJ1553" s="9">
        <f>C1553</f>
        <v>0</v>
      </c>
      <c r="AK1553" s="9">
        <f>IF(P1553="completed",((V1553-K1553)*24*60),0)</f>
        <v>0</v>
      </c>
      <c r="AL1553" s="9">
        <f>IF(P1553="completed",((U1553-K1553)*24*60),0)</f>
        <v>0</v>
      </c>
      <c r="AM1553" s="9" t="str">
        <f t="shared" si="33"/>
        <v>OTP Breached</v>
      </c>
      <c r="AN1553" s="9" t="str">
        <f t="shared" si="34"/>
        <v>OTP Achieved</v>
      </c>
    </row>
    <row r="1554" spans="9:40" ht="15.75" customHeight="1">
      <c r="I1554" s="28"/>
      <c r="AD1554" s="9" t="str">
        <f t="shared" si="30"/>
        <v>Actual</v>
      </c>
      <c r="AE1554" s="9" t="str">
        <f t="shared" si="31"/>
        <v/>
      </c>
      <c r="AF1554" s="9">
        <f>HOUR(O1554)</f>
        <v>0</v>
      </c>
      <c r="AG1554" s="9">
        <f>DAY(O1554)</f>
        <v>0</v>
      </c>
      <c r="AH1554" s="9">
        <f>IFERROR((I1554-K1554)*24*60,0)</f>
        <v>0</v>
      </c>
      <c r="AI1554" s="9">
        <f t="shared" si="32"/>
        <v>0</v>
      </c>
      <c r="AJ1554" s="9">
        <f>C1554</f>
        <v>0</v>
      </c>
      <c r="AK1554" s="9">
        <f>IF(P1554="completed",((V1554-K1554)*24*60),0)</f>
        <v>0</v>
      </c>
      <c r="AL1554" s="9">
        <f>IF(P1554="completed",((U1554-K1554)*24*60),0)</f>
        <v>0</v>
      </c>
      <c r="AM1554" s="9" t="str">
        <f t="shared" si="33"/>
        <v>OTP Breached</v>
      </c>
      <c r="AN1554" s="9" t="str">
        <f t="shared" si="34"/>
        <v>OTP Achieved</v>
      </c>
    </row>
    <row r="1555" spans="9:40" ht="15.75" customHeight="1">
      <c r="I1555" s="28"/>
      <c r="AD1555" s="9" t="str">
        <f t="shared" si="30"/>
        <v>Actual</v>
      </c>
      <c r="AE1555" s="9" t="str">
        <f t="shared" si="31"/>
        <v/>
      </c>
      <c r="AF1555" s="9">
        <f>HOUR(O1555)</f>
        <v>0</v>
      </c>
      <c r="AG1555" s="9">
        <f>DAY(O1555)</f>
        <v>0</v>
      </c>
      <c r="AH1555" s="9">
        <f>IFERROR((I1555-K1555)*24*60,0)</f>
        <v>0</v>
      </c>
      <c r="AI1555" s="9">
        <f t="shared" si="32"/>
        <v>0</v>
      </c>
      <c r="AJ1555" s="9">
        <f>C1555</f>
        <v>0</v>
      </c>
      <c r="AK1555" s="9">
        <f>IF(P1555="completed",((V1555-K1555)*24*60),0)</f>
        <v>0</v>
      </c>
      <c r="AL1555" s="9">
        <f>IF(P1555="completed",((U1555-K1555)*24*60),0)</f>
        <v>0</v>
      </c>
      <c r="AM1555" s="9" t="str">
        <f t="shared" si="33"/>
        <v>OTP Breached</v>
      </c>
      <c r="AN1555" s="9" t="str">
        <f t="shared" si="34"/>
        <v>OTP Achieved</v>
      </c>
    </row>
    <row r="1556" spans="9:40" ht="15.75" customHeight="1">
      <c r="I1556" s="28"/>
      <c r="AD1556" s="9" t="str">
        <f t="shared" si="30"/>
        <v>Actual</v>
      </c>
      <c r="AE1556" s="9" t="str">
        <f t="shared" si="31"/>
        <v/>
      </c>
      <c r="AF1556" s="9">
        <f>HOUR(O1556)</f>
        <v>0</v>
      </c>
      <c r="AG1556" s="9">
        <f>DAY(O1556)</f>
        <v>0</v>
      </c>
      <c r="AH1556" s="9">
        <f>IFERROR((I1556-K1556)*24*60,0)</f>
        <v>0</v>
      </c>
      <c r="AI1556" s="9">
        <f t="shared" si="32"/>
        <v>0</v>
      </c>
      <c r="AJ1556" s="9">
        <f>C1556</f>
        <v>0</v>
      </c>
      <c r="AK1556" s="9">
        <f>IF(P1556="completed",((V1556-K1556)*24*60),0)</f>
        <v>0</v>
      </c>
      <c r="AL1556" s="9">
        <f>IF(P1556="completed",((U1556-K1556)*24*60),0)</f>
        <v>0</v>
      </c>
      <c r="AM1556" s="9" t="str">
        <f t="shared" si="33"/>
        <v>OTP Breached</v>
      </c>
      <c r="AN1556" s="9" t="str">
        <f t="shared" si="34"/>
        <v>OTP Achieved</v>
      </c>
    </row>
    <row r="1557" spans="9:40" ht="15.75" customHeight="1">
      <c r="I1557" s="28"/>
      <c r="AD1557" s="9" t="str">
        <f t="shared" si="30"/>
        <v>Actual</v>
      </c>
      <c r="AE1557" s="9" t="str">
        <f t="shared" si="31"/>
        <v/>
      </c>
      <c r="AF1557" s="9">
        <f>HOUR(O1557)</f>
        <v>0</v>
      </c>
      <c r="AG1557" s="9">
        <f>DAY(O1557)</f>
        <v>0</v>
      </c>
      <c r="AH1557" s="9">
        <f>IFERROR((I1557-K1557)*24*60,0)</f>
        <v>0</v>
      </c>
      <c r="AI1557" s="9">
        <f t="shared" si="32"/>
        <v>0</v>
      </c>
      <c r="AJ1557" s="9">
        <f>C1557</f>
        <v>0</v>
      </c>
      <c r="AK1557" s="9">
        <f>IF(P1557="completed",((V1557-K1557)*24*60),0)</f>
        <v>0</v>
      </c>
      <c r="AL1557" s="9">
        <f>IF(P1557="completed",((U1557-K1557)*24*60),0)</f>
        <v>0</v>
      </c>
      <c r="AM1557" s="9" t="str">
        <f t="shared" si="33"/>
        <v>OTP Breached</v>
      </c>
      <c r="AN1557" s="9" t="str">
        <f t="shared" si="34"/>
        <v>OTP Achieved</v>
      </c>
    </row>
    <row r="1558" spans="9:40" ht="15.75" customHeight="1">
      <c r="I1558" s="28"/>
      <c r="AD1558" s="9" t="str">
        <f t="shared" si="30"/>
        <v>Actual</v>
      </c>
      <c r="AE1558" s="9" t="str">
        <f t="shared" si="31"/>
        <v/>
      </c>
      <c r="AF1558" s="9">
        <f>HOUR(O1558)</f>
        <v>0</v>
      </c>
      <c r="AG1558" s="9">
        <f>DAY(O1558)</f>
        <v>0</v>
      </c>
      <c r="AH1558" s="9">
        <f>IFERROR((I1558-K1558)*24*60,0)</f>
        <v>0</v>
      </c>
      <c r="AI1558" s="9">
        <f t="shared" si="32"/>
        <v>0</v>
      </c>
      <c r="AJ1558" s="9">
        <f>C1558</f>
        <v>0</v>
      </c>
      <c r="AK1558" s="9">
        <f>IF(P1558="completed",((V1558-K1558)*24*60),0)</f>
        <v>0</v>
      </c>
      <c r="AL1558" s="9">
        <f>IF(P1558="completed",((U1558-K1558)*24*60),0)</f>
        <v>0</v>
      </c>
      <c r="AM1558" s="9" t="str">
        <f t="shared" si="33"/>
        <v>OTP Breached</v>
      </c>
      <c r="AN1558" s="9" t="str">
        <f t="shared" si="34"/>
        <v>OTP Achieved</v>
      </c>
    </row>
    <row r="1559" spans="9:40" ht="15.75" customHeight="1">
      <c r="I1559" s="28"/>
      <c r="AD1559" s="9" t="str">
        <f t="shared" si="30"/>
        <v>Actual</v>
      </c>
      <c r="AE1559" s="9" t="str">
        <f t="shared" si="31"/>
        <v/>
      </c>
      <c r="AF1559" s="9">
        <f>HOUR(O1559)</f>
        <v>0</v>
      </c>
      <c r="AG1559" s="9">
        <f>DAY(O1559)</f>
        <v>0</v>
      </c>
      <c r="AH1559" s="9">
        <f>IFERROR((I1559-K1559)*24*60,0)</f>
        <v>0</v>
      </c>
      <c r="AI1559" s="9">
        <f t="shared" si="32"/>
        <v>0</v>
      </c>
      <c r="AJ1559" s="9">
        <f>C1559</f>
        <v>0</v>
      </c>
      <c r="AK1559" s="9">
        <f>IF(P1559="completed",((V1559-K1559)*24*60),0)</f>
        <v>0</v>
      </c>
      <c r="AL1559" s="9">
        <f>IF(P1559="completed",((U1559-K1559)*24*60),0)</f>
        <v>0</v>
      </c>
      <c r="AM1559" s="9" t="str">
        <f t="shared" si="33"/>
        <v>OTP Breached</v>
      </c>
      <c r="AN1559" s="9" t="str">
        <f t="shared" si="34"/>
        <v>OTP Achieved</v>
      </c>
    </row>
    <row r="1560" spans="9:40" ht="15.75" customHeight="1">
      <c r="I1560" s="28"/>
      <c r="AD1560" s="9" t="str">
        <f t="shared" si="30"/>
        <v>Actual</v>
      </c>
      <c r="AE1560" s="9" t="str">
        <f t="shared" si="31"/>
        <v/>
      </c>
      <c r="AF1560" s="9">
        <f>HOUR(O1560)</f>
        <v>0</v>
      </c>
      <c r="AG1560" s="9">
        <f>DAY(O1560)</f>
        <v>0</v>
      </c>
      <c r="AH1560" s="9">
        <f>IFERROR((I1560-K1560)*24*60,0)</f>
        <v>0</v>
      </c>
      <c r="AI1560" s="9">
        <f t="shared" si="32"/>
        <v>0</v>
      </c>
      <c r="AJ1560" s="9">
        <f>C1560</f>
        <v>0</v>
      </c>
      <c r="AK1560" s="9">
        <f>IF(P1560="completed",((V1560-K1560)*24*60),0)</f>
        <v>0</v>
      </c>
      <c r="AL1560" s="9">
        <f>IF(P1560="completed",((U1560-K1560)*24*60),0)</f>
        <v>0</v>
      </c>
      <c r="AM1560" s="9" t="str">
        <f t="shared" si="33"/>
        <v>OTP Breached</v>
      </c>
      <c r="AN1560" s="9" t="str">
        <f t="shared" si="34"/>
        <v>OTP Achieved</v>
      </c>
    </row>
    <row r="1561" spans="9:40" ht="15.75" customHeight="1">
      <c r="I1561" s="28"/>
      <c r="AD1561" s="9" t="str">
        <f t="shared" si="30"/>
        <v>Actual</v>
      </c>
      <c r="AE1561" s="9" t="str">
        <f t="shared" si="31"/>
        <v/>
      </c>
      <c r="AF1561" s="9">
        <f>HOUR(O1561)</f>
        <v>0</v>
      </c>
      <c r="AG1561" s="9">
        <f>DAY(O1561)</f>
        <v>0</v>
      </c>
      <c r="AH1561" s="9">
        <f>IFERROR((I1561-K1561)*24*60,0)</f>
        <v>0</v>
      </c>
      <c r="AI1561" s="9">
        <f t="shared" si="32"/>
        <v>0</v>
      </c>
      <c r="AJ1561" s="9">
        <f>C1561</f>
        <v>0</v>
      </c>
      <c r="AK1561" s="9">
        <f>IF(P1561="completed",((V1561-K1561)*24*60),0)</f>
        <v>0</v>
      </c>
      <c r="AL1561" s="9">
        <f>IF(P1561="completed",((U1561-K1561)*24*60),0)</f>
        <v>0</v>
      </c>
      <c r="AM1561" s="9" t="str">
        <f t="shared" si="33"/>
        <v>OTP Breached</v>
      </c>
      <c r="AN1561" s="9" t="str">
        <f t="shared" si="34"/>
        <v>OTP Achieved</v>
      </c>
    </row>
    <row r="1562" spans="9:40" ht="15.75" customHeight="1">
      <c r="I1562" s="28"/>
      <c r="AD1562" s="9" t="str">
        <f t="shared" si="30"/>
        <v>Actual</v>
      </c>
      <c r="AE1562" s="9" t="str">
        <f t="shared" si="31"/>
        <v/>
      </c>
      <c r="AF1562" s="9">
        <f>HOUR(O1562)</f>
        <v>0</v>
      </c>
      <c r="AG1562" s="9">
        <f>DAY(O1562)</f>
        <v>0</v>
      </c>
      <c r="AH1562" s="9">
        <f>IFERROR((I1562-K1562)*24*60,0)</f>
        <v>0</v>
      </c>
      <c r="AI1562" s="9">
        <f t="shared" si="32"/>
        <v>0</v>
      </c>
      <c r="AJ1562" s="9">
        <f>C1562</f>
        <v>0</v>
      </c>
      <c r="AK1562" s="9">
        <f>IF(P1562="completed",((V1562-K1562)*24*60),0)</f>
        <v>0</v>
      </c>
      <c r="AL1562" s="9">
        <f>IF(P1562="completed",((U1562-K1562)*24*60),0)</f>
        <v>0</v>
      </c>
      <c r="AM1562" s="9" t="str">
        <f t="shared" si="33"/>
        <v>OTP Breached</v>
      </c>
      <c r="AN1562" s="9" t="str">
        <f t="shared" si="34"/>
        <v>OTP Achieved</v>
      </c>
    </row>
    <row r="1563" spans="9:40" ht="15.75" customHeight="1">
      <c r="I1563" s="28"/>
      <c r="AD1563" s="9" t="str">
        <f t="shared" si="30"/>
        <v>Actual</v>
      </c>
      <c r="AE1563" s="9" t="str">
        <f t="shared" si="31"/>
        <v/>
      </c>
      <c r="AF1563" s="9">
        <f>HOUR(O1563)</f>
        <v>0</v>
      </c>
      <c r="AG1563" s="9">
        <f>DAY(O1563)</f>
        <v>0</v>
      </c>
      <c r="AH1563" s="9">
        <f>IFERROR((I1563-K1563)*24*60,0)</f>
        <v>0</v>
      </c>
      <c r="AI1563" s="9">
        <f t="shared" si="32"/>
        <v>0</v>
      </c>
      <c r="AJ1563" s="9">
        <f>C1563</f>
        <v>0</v>
      </c>
      <c r="AK1563" s="9">
        <f>IF(P1563="completed",((V1563-K1563)*24*60),0)</f>
        <v>0</v>
      </c>
      <c r="AL1563" s="9">
        <f>IF(P1563="completed",((U1563-K1563)*24*60),0)</f>
        <v>0</v>
      </c>
      <c r="AM1563" s="9" t="str">
        <f t="shared" si="33"/>
        <v>OTP Breached</v>
      </c>
      <c r="AN1563" s="9" t="str">
        <f t="shared" si="34"/>
        <v>OTP Achieved</v>
      </c>
    </row>
    <row r="1564" spans="9:40" ht="15.75" customHeight="1">
      <c r="I1564" s="28"/>
      <c r="AD1564" s="9" t="str">
        <f t="shared" si="30"/>
        <v>Actual</v>
      </c>
      <c r="AE1564" s="9" t="str">
        <f t="shared" si="31"/>
        <v/>
      </c>
      <c r="AF1564" s="9">
        <f>HOUR(O1564)</f>
        <v>0</v>
      </c>
      <c r="AG1564" s="9">
        <f>DAY(O1564)</f>
        <v>0</v>
      </c>
      <c r="AH1564" s="9">
        <f>IFERROR((I1564-K1564)*24*60,0)</f>
        <v>0</v>
      </c>
      <c r="AI1564" s="9">
        <f t="shared" si="32"/>
        <v>0</v>
      </c>
      <c r="AJ1564" s="9">
        <f>C1564</f>
        <v>0</v>
      </c>
      <c r="AK1564" s="9">
        <f>IF(P1564="completed",((V1564-K1564)*24*60),0)</f>
        <v>0</v>
      </c>
      <c r="AL1564" s="9">
        <f>IF(P1564="completed",((U1564-K1564)*24*60),0)</f>
        <v>0</v>
      </c>
      <c r="AM1564" s="9" t="str">
        <f t="shared" si="33"/>
        <v>OTP Breached</v>
      </c>
      <c r="AN1564" s="9" t="str">
        <f t="shared" si="34"/>
        <v>OTP Achieved</v>
      </c>
    </row>
    <row r="1565" spans="9:40" ht="15.75" customHeight="1">
      <c r="I1565" s="28"/>
      <c r="AD1565" s="9" t="str">
        <f t="shared" si="30"/>
        <v>Actual</v>
      </c>
      <c r="AE1565" s="9" t="str">
        <f t="shared" si="31"/>
        <v/>
      </c>
      <c r="AF1565" s="9">
        <f>HOUR(O1565)</f>
        <v>0</v>
      </c>
      <c r="AG1565" s="9">
        <f>DAY(O1565)</f>
        <v>0</v>
      </c>
      <c r="AH1565" s="9">
        <f>IFERROR((I1565-K1565)*24*60,0)</f>
        <v>0</v>
      </c>
      <c r="AI1565" s="9">
        <f t="shared" si="32"/>
        <v>0</v>
      </c>
      <c r="AJ1565" s="9">
        <f>C1565</f>
        <v>0</v>
      </c>
      <c r="AK1565" s="9">
        <f>IF(P1565="completed",((V1565-K1565)*24*60),0)</f>
        <v>0</v>
      </c>
      <c r="AL1565" s="9">
        <f>IF(P1565="completed",((U1565-K1565)*24*60),0)</f>
        <v>0</v>
      </c>
      <c r="AM1565" s="9" t="str">
        <f t="shared" si="33"/>
        <v>OTP Breached</v>
      </c>
      <c r="AN1565" s="9" t="str">
        <f t="shared" si="34"/>
        <v>OTP Achieved</v>
      </c>
    </row>
    <row r="1566" spans="9:40" ht="15.75" customHeight="1">
      <c r="I1566" s="28"/>
      <c r="AD1566" s="9" t="str">
        <f t="shared" si="30"/>
        <v>Actual</v>
      </c>
      <c r="AE1566" s="9" t="str">
        <f t="shared" si="31"/>
        <v/>
      </c>
      <c r="AF1566" s="9">
        <f>HOUR(O1566)</f>
        <v>0</v>
      </c>
      <c r="AG1566" s="9">
        <f>DAY(O1566)</f>
        <v>0</v>
      </c>
      <c r="AH1566" s="9">
        <f>IFERROR((I1566-K1566)*24*60,0)</f>
        <v>0</v>
      </c>
      <c r="AI1566" s="9">
        <f t="shared" si="32"/>
        <v>0</v>
      </c>
      <c r="AJ1566" s="9">
        <f>C1566</f>
        <v>0</v>
      </c>
      <c r="AK1566" s="9">
        <f>IF(P1566="completed",((V1566-K1566)*24*60),0)</f>
        <v>0</v>
      </c>
      <c r="AL1566" s="9">
        <f>IF(P1566="completed",((U1566-K1566)*24*60),0)</f>
        <v>0</v>
      </c>
      <c r="AM1566" s="9" t="str">
        <f t="shared" si="33"/>
        <v>OTP Breached</v>
      </c>
      <c r="AN1566" s="9" t="str">
        <f t="shared" si="34"/>
        <v>OTP Achieved</v>
      </c>
    </row>
    <row r="1567" spans="9:40" ht="15.75" customHeight="1">
      <c r="I1567" s="28"/>
      <c r="AD1567" s="9" t="str">
        <f t="shared" si="30"/>
        <v>Actual</v>
      </c>
      <c r="AE1567" s="9" t="str">
        <f t="shared" si="31"/>
        <v/>
      </c>
      <c r="AF1567" s="9">
        <f>HOUR(O1567)</f>
        <v>0</v>
      </c>
      <c r="AG1567" s="9">
        <f>DAY(O1567)</f>
        <v>0</v>
      </c>
      <c r="AH1567" s="9">
        <f>IFERROR((I1567-K1567)*24*60,0)</f>
        <v>0</v>
      </c>
      <c r="AI1567" s="9">
        <f t="shared" si="32"/>
        <v>0</v>
      </c>
      <c r="AJ1567" s="9">
        <f>C1567</f>
        <v>0</v>
      </c>
      <c r="AK1567" s="9">
        <f>IF(P1567="completed",((V1567-K1567)*24*60),0)</f>
        <v>0</v>
      </c>
      <c r="AL1567" s="9">
        <f>IF(P1567="completed",((U1567-K1567)*24*60),0)</f>
        <v>0</v>
      </c>
      <c r="AM1567" s="9" t="str">
        <f t="shared" si="33"/>
        <v>OTP Breached</v>
      </c>
      <c r="AN1567" s="9" t="str">
        <f t="shared" si="34"/>
        <v>OTP Achieved</v>
      </c>
    </row>
    <row r="1568" spans="9:40" ht="15.75" customHeight="1">
      <c r="I1568" s="28"/>
      <c r="AD1568" s="9" t="str">
        <f t="shared" si="30"/>
        <v>Actual</v>
      </c>
      <c r="AE1568" s="9" t="str">
        <f t="shared" si="31"/>
        <v/>
      </c>
      <c r="AF1568" s="9">
        <f>HOUR(O1568)</f>
        <v>0</v>
      </c>
      <c r="AG1568" s="9">
        <f>DAY(O1568)</f>
        <v>0</v>
      </c>
      <c r="AH1568" s="9">
        <f>IFERROR((I1568-K1568)*24*60,0)</f>
        <v>0</v>
      </c>
      <c r="AI1568" s="9">
        <f t="shared" si="32"/>
        <v>0</v>
      </c>
      <c r="AJ1568" s="9">
        <f>C1568</f>
        <v>0</v>
      </c>
      <c r="AK1568" s="9">
        <f>IF(P1568="completed",((V1568-K1568)*24*60),0)</f>
        <v>0</v>
      </c>
      <c r="AL1568" s="9">
        <f>IF(P1568="completed",((U1568-K1568)*24*60),0)</f>
        <v>0</v>
      </c>
      <c r="AM1568" s="9" t="str">
        <f t="shared" si="33"/>
        <v>OTP Breached</v>
      </c>
      <c r="AN1568" s="9" t="str">
        <f t="shared" si="34"/>
        <v>OTP Achieved</v>
      </c>
    </row>
    <row r="1569" spans="9:40" ht="15.75" customHeight="1">
      <c r="I1569" s="28"/>
      <c r="AD1569" s="9" t="str">
        <f t="shared" si="30"/>
        <v>Actual</v>
      </c>
      <c r="AE1569" s="9" t="str">
        <f t="shared" si="31"/>
        <v/>
      </c>
      <c r="AF1569" s="9">
        <f>HOUR(O1569)</f>
        <v>0</v>
      </c>
      <c r="AG1569" s="9">
        <f>DAY(O1569)</f>
        <v>0</v>
      </c>
      <c r="AH1569" s="9">
        <f>IFERROR((I1569-K1569)*24*60,0)</f>
        <v>0</v>
      </c>
      <c r="AI1569" s="9">
        <f t="shared" si="32"/>
        <v>0</v>
      </c>
      <c r="AJ1569" s="9">
        <f>C1569</f>
        <v>0</v>
      </c>
      <c r="AK1569" s="9">
        <f>IF(P1569="completed",((V1569-K1569)*24*60),0)</f>
        <v>0</v>
      </c>
      <c r="AL1569" s="9">
        <f>IF(P1569="completed",((U1569-K1569)*24*60),0)</f>
        <v>0</v>
      </c>
      <c r="AM1569" s="9" t="str">
        <f t="shared" si="33"/>
        <v>OTP Breached</v>
      </c>
      <c r="AN1569" s="9" t="str">
        <f t="shared" si="34"/>
        <v>OTP Achieved</v>
      </c>
    </row>
    <row r="1570" spans="9:40" ht="15.75" customHeight="1">
      <c r="I1570" s="28"/>
      <c r="AD1570" s="9" t="str">
        <f t="shared" si="30"/>
        <v>Actual</v>
      </c>
      <c r="AE1570" s="9" t="str">
        <f t="shared" si="31"/>
        <v/>
      </c>
      <c r="AF1570" s="9">
        <f>HOUR(O1570)</f>
        <v>0</v>
      </c>
      <c r="AG1570" s="9">
        <f>DAY(O1570)</f>
        <v>0</v>
      </c>
      <c r="AH1570" s="9">
        <f>IFERROR((I1570-K1570)*24*60,0)</f>
        <v>0</v>
      </c>
      <c r="AI1570" s="9">
        <f t="shared" si="32"/>
        <v>0</v>
      </c>
      <c r="AJ1570" s="9">
        <f>C1570</f>
        <v>0</v>
      </c>
      <c r="AK1570" s="9">
        <f>IF(P1570="completed",((V1570-K1570)*24*60),0)</f>
        <v>0</v>
      </c>
      <c r="AL1570" s="9">
        <f>IF(P1570="completed",((U1570-K1570)*24*60),0)</f>
        <v>0</v>
      </c>
      <c r="AM1570" s="9" t="str">
        <f t="shared" si="33"/>
        <v>OTP Breached</v>
      </c>
      <c r="AN1570" s="9" t="str">
        <f t="shared" si="34"/>
        <v>OTP Achieved</v>
      </c>
    </row>
    <row r="1571" spans="9:40" ht="15.75" customHeight="1">
      <c r="I1571" s="28"/>
      <c r="AD1571" s="9" t="str">
        <f t="shared" si="30"/>
        <v>Actual</v>
      </c>
      <c r="AE1571" s="9" t="str">
        <f t="shared" si="31"/>
        <v/>
      </c>
      <c r="AF1571" s="9">
        <f>HOUR(O1571)</f>
        <v>0</v>
      </c>
      <c r="AG1571" s="9">
        <f>DAY(O1571)</f>
        <v>0</v>
      </c>
      <c r="AH1571" s="9">
        <f>IFERROR((I1571-K1571)*24*60,0)</f>
        <v>0</v>
      </c>
      <c r="AI1571" s="9">
        <f t="shared" si="32"/>
        <v>0</v>
      </c>
      <c r="AJ1571" s="9">
        <f>C1571</f>
        <v>0</v>
      </c>
      <c r="AK1571" s="9">
        <f>IF(P1571="completed",((V1571-K1571)*24*60),0)</f>
        <v>0</v>
      </c>
      <c r="AL1571" s="9">
        <f>IF(P1571="completed",((U1571-K1571)*24*60),0)</f>
        <v>0</v>
      </c>
      <c r="AM1571" s="9" t="str">
        <f t="shared" si="33"/>
        <v>OTP Breached</v>
      </c>
      <c r="AN1571" s="9" t="str">
        <f t="shared" si="34"/>
        <v>OTP Achieved</v>
      </c>
    </row>
    <row r="1572" spans="9:40" ht="15.75" customHeight="1">
      <c r="I1572" s="28"/>
      <c r="AD1572" s="9" t="str">
        <f t="shared" si="30"/>
        <v>Actual</v>
      </c>
      <c r="AE1572" s="9" t="str">
        <f t="shared" si="31"/>
        <v/>
      </c>
      <c r="AF1572" s="9">
        <f>HOUR(O1572)</f>
        <v>0</v>
      </c>
      <c r="AG1572" s="9">
        <f>DAY(O1572)</f>
        <v>0</v>
      </c>
      <c r="AH1572" s="9">
        <f>IFERROR((I1572-K1572)*24*60,0)</f>
        <v>0</v>
      </c>
      <c r="AI1572" s="9">
        <f t="shared" si="32"/>
        <v>0</v>
      </c>
      <c r="AJ1572" s="9">
        <f>C1572</f>
        <v>0</v>
      </c>
      <c r="AK1572" s="9">
        <f>IF(P1572="completed",((V1572-K1572)*24*60),0)</f>
        <v>0</v>
      </c>
      <c r="AL1572" s="9">
        <f>IF(P1572="completed",((U1572-K1572)*24*60),0)</f>
        <v>0</v>
      </c>
      <c r="AM1572" s="9" t="str">
        <f t="shared" si="33"/>
        <v>OTP Breached</v>
      </c>
      <c r="AN1572" s="9" t="str">
        <f t="shared" si="34"/>
        <v>OTP Achieved</v>
      </c>
    </row>
    <row r="1573" spans="9:40" ht="15.75" customHeight="1">
      <c r="I1573" s="28"/>
      <c r="AD1573" s="9" t="str">
        <f t="shared" si="30"/>
        <v>Actual</v>
      </c>
      <c r="AE1573" s="9" t="str">
        <f t="shared" si="31"/>
        <v/>
      </c>
      <c r="AF1573" s="9">
        <f>HOUR(O1573)</f>
        <v>0</v>
      </c>
      <c r="AG1573" s="9">
        <f>DAY(O1573)</f>
        <v>0</v>
      </c>
      <c r="AH1573" s="9">
        <f>IFERROR((I1573-K1573)*24*60,0)</f>
        <v>0</v>
      </c>
      <c r="AI1573" s="9">
        <f t="shared" si="32"/>
        <v>0</v>
      </c>
      <c r="AJ1573" s="9">
        <f>C1573</f>
        <v>0</v>
      </c>
      <c r="AK1573" s="9">
        <f>IF(P1573="completed",((V1573-K1573)*24*60),0)</f>
        <v>0</v>
      </c>
      <c r="AL1573" s="9">
        <f>IF(P1573="completed",((U1573-K1573)*24*60),0)</f>
        <v>0</v>
      </c>
      <c r="AM1573" s="9" t="str">
        <f t="shared" si="33"/>
        <v>OTP Breached</v>
      </c>
      <c r="AN1573" s="9" t="str">
        <f t="shared" si="34"/>
        <v>OTP Achieved</v>
      </c>
    </row>
    <row r="1574" spans="9:40" ht="15.75" customHeight="1">
      <c r="I1574" s="28"/>
      <c r="AD1574" s="9" t="str">
        <f t="shared" si="30"/>
        <v>Actual</v>
      </c>
      <c r="AE1574" s="9" t="str">
        <f t="shared" si="31"/>
        <v/>
      </c>
      <c r="AF1574" s="9">
        <f>HOUR(O1574)</f>
        <v>0</v>
      </c>
      <c r="AG1574" s="9">
        <f>DAY(O1574)</f>
        <v>0</v>
      </c>
      <c r="AH1574" s="9">
        <f>IFERROR((I1574-K1574)*24*60,0)</f>
        <v>0</v>
      </c>
      <c r="AI1574" s="9">
        <f t="shared" si="32"/>
        <v>0</v>
      </c>
      <c r="AJ1574" s="9">
        <f>C1574</f>
        <v>0</v>
      </c>
      <c r="AK1574" s="9">
        <f>IF(P1574="completed",((V1574-K1574)*24*60),0)</f>
        <v>0</v>
      </c>
      <c r="AL1574" s="9">
        <f>IF(P1574="completed",((U1574-K1574)*24*60),0)</f>
        <v>0</v>
      </c>
      <c r="AM1574" s="9" t="str">
        <f t="shared" si="33"/>
        <v>OTP Breached</v>
      </c>
      <c r="AN1574" s="9" t="str">
        <f t="shared" si="34"/>
        <v>OTP Achieved</v>
      </c>
    </row>
    <row r="1575" spans="9:40" ht="15.75" customHeight="1">
      <c r="I1575" s="28"/>
      <c r="AD1575" s="9" t="str">
        <f t="shared" si="30"/>
        <v>Actual</v>
      </c>
      <c r="AE1575" s="9" t="str">
        <f t="shared" si="31"/>
        <v/>
      </c>
      <c r="AF1575" s="9">
        <f>HOUR(O1575)</f>
        <v>0</v>
      </c>
      <c r="AG1575" s="9">
        <f>DAY(O1575)</f>
        <v>0</v>
      </c>
      <c r="AH1575" s="9">
        <f>IFERROR((I1575-K1575)*24*60,0)</f>
        <v>0</v>
      </c>
      <c r="AI1575" s="9">
        <f t="shared" si="32"/>
        <v>0</v>
      </c>
      <c r="AJ1575" s="9">
        <f>C1575</f>
        <v>0</v>
      </c>
      <c r="AK1575" s="9">
        <f>IF(P1575="completed",((V1575-K1575)*24*60),0)</f>
        <v>0</v>
      </c>
      <c r="AL1575" s="9">
        <f>IF(P1575="completed",((U1575-K1575)*24*60),0)</f>
        <v>0</v>
      </c>
      <c r="AM1575" s="9" t="str">
        <f t="shared" si="33"/>
        <v>OTP Breached</v>
      </c>
      <c r="AN1575" s="9" t="str">
        <f t="shared" si="34"/>
        <v>OTP Achieved</v>
      </c>
    </row>
    <row r="1576" spans="9:40" ht="15.75" customHeight="1">
      <c r="I1576" s="28"/>
      <c r="AD1576" s="9" t="str">
        <f t="shared" si="30"/>
        <v>Actual</v>
      </c>
      <c r="AE1576" s="9" t="str">
        <f t="shared" si="31"/>
        <v/>
      </c>
      <c r="AF1576" s="9">
        <f>HOUR(O1576)</f>
        <v>0</v>
      </c>
      <c r="AG1576" s="9">
        <f>DAY(O1576)</f>
        <v>0</v>
      </c>
      <c r="AH1576" s="9">
        <f>IFERROR((I1576-K1576)*24*60,0)</f>
        <v>0</v>
      </c>
      <c r="AI1576" s="9">
        <f t="shared" si="32"/>
        <v>0</v>
      </c>
      <c r="AJ1576" s="9">
        <f>C1576</f>
        <v>0</v>
      </c>
      <c r="AK1576" s="9">
        <f>IF(P1576="completed",((V1576-K1576)*24*60),0)</f>
        <v>0</v>
      </c>
      <c r="AL1576" s="9">
        <f>IF(P1576="completed",((U1576-K1576)*24*60),0)</f>
        <v>0</v>
      </c>
      <c r="AM1576" s="9" t="str">
        <f t="shared" si="33"/>
        <v>OTP Breached</v>
      </c>
      <c r="AN1576" s="9" t="str">
        <f t="shared" si="34"/>
        <v>OTP Achieved</v>
      </c>
    </row>
    <row r="1577" spans="9:40" ht="15.75" customHeight="1">
      <c r="I1577" s="28"/>
      <c r="AD1577" s="9" t="str">
        <f t="shared" si="30"/>
        <v>Actual</v>
      </c>
      <c r="AE1577" s="9" t="str">
        <f t="shared" si="31"/>
        <v/>
      </c>
      <c r="AF1577" s="9">
        <f>HOUR(O1577)</f>
        <v>0</v>
      </c>
      <c r="AG1577" s="9">
        <f>DAY(O1577)</f>
        <v>0</v>
      </c>
      <c r="AH1577" s="9">
        <f>IFERROR((I1577-K1577)*24*60,0)</f>
        <v>0</v>
      </c>
      <c r="AI1577" s="9">
        <f t="shared" si="32"/>
        <v>0</v>
      </c>
      <c r="AJ1577" s="9">
        <f>C1577</f>
        <v>0</v>
      </c>
      <c r="AK1577" s="9">
        <f>IF(P1577="completed",((V1577-K1577)*24*60),0)</f>
        <v>0</v>
      </c>
      <c r="AL1577" s="9">
        <f>IF(P1577="completed",((U1577-K1577)*24*60),0)</f>
        <v>0</v>
      </c>
      <c r="AM1577" s="9" t="str">
        <f t="shared" si="33"/>
        <v>OTP Breached</v>
      </c>
      <c r="AN1577" s="9" t="str">
        <f t="shared" si="34"/>
        <v>OTP Achieved</v>
      </c>
    </row>
    <row r="1578" spans="9:40" ht="15.75" customHeight="1">
      <c r="I1578" s="28"/>
      <c r="AD1578" s="9" t="str">
        <f t="shared" si="30"/>
        <v>Actual</v>
      </c>
      <c r="AE1578" s="9" t="str">
        <f t="shared" si="31"/>
        <v/>
      </c>
      <c r="AF1578" s="9">
        <f>HOUR(O1578)</f>
        <v>0</v>
      </c>
      <c r="AG1578" s="9">
        <f>DAY(O1578)</f>
        <v>0</v>
      </c>
      <c r="AH1578" s="9">
        <f>IFERROR((I1578-K1578)*24*60,0)</f>
        <v>0</v>
      </c>
      <c r="AI1578" s="9">
        <f t="shared" si="32"/>
        <v>0</v>
      </c>
      <c r="AJ1578" s="9">
        <f>C1578</f>
        <v>0</v>
      </c>
      <c r="AK1578" s="9">
        <f>IF(P1578="completed",((V1578-K1578)*24*60),0)</f>
        <v>0</v>
      </c>
      <c r="AL1578" s="9">
        <f>IF(P1578="completed",((U1578-K1578)*24*60),0)</f>
        <v>0</v>
      </c>
      <c r="AM1578" s="9" t="str">
        <f t="shared" si="33"/>
        <v>OTP Breached</v>
      </c>
      <c r="AN1578" s="9" t="str">
        <f t="shared" si="34"/>
        <v>OTP Achieved</v>
      </c>
    </row>
    <row r="1579" spans="9:40" ht="15.75" customHeight="1">
      <c r="I1579" s="28"/>
      <c r="AD1579" s="9" t="str">
        <f t="shared" si="30"/>
        <v>Actual</v>
      </c>
      <c r="AE1579" s="9" t="str">
        <f t="shared" si="31"/>
        <v/>
      </c>
      <c r="AF1579" s="9">
        <f>HOUR(O1579)</f>
        <v>0</v>
      </c>
      <c r="AG1579" s="9">
        <f>DAY(O1579)</f>
        <v>0</v>
      </c>
      <c r="AH1579" s="9">
        <f>IFERROR((I1579-K1579)*24*60,0)</f>
        <v>0</v>
      </c>
      <c r="AI1579" s="9">
        <f t="shared" si="32"/>
        <v>0</v>
      </c>
      <c r="AJ1579" s="9">
        <f>C1579</f>
        <v>0</v>
      </c>
      <c r="AK1579" s="9">
        <f>IF(P1579="completed",((V1579-K1579)*24*60),0)</f>
        <v>0</v>
      </c>
      <c r="AL1579" s="9">
        <f>IF(P1579="completed",((U1579-K1579)*24*60),0)</f>
        <v>0</v>
      </c>
      <c r="AM1579" s="9" t="str">
        <f t="shared" si="33"/>
        <v>OTP Breached</v>
      </c>
      <c r="AN1579" s="9" t="str">
        <f t="shared" si="34"/>
        <v>OTP Achieved</v>
      </c>
    </row>
    <row r="1580" spans="9:40" ht="15.75" customHeight="1">
      <c r="I1580" s="28"/>
      <c r="AD1580" s="9" t="str">
        <f t="shared" si="30"/>
        <v>Actual</v>
      </c>
      <c r="AE1580" s="9" t="str">
        <f t="shared" si="31"/>
        <v/>
      </c>
      <c r="AF1580" s="9">
        <f>HOUR(O1580)</f>
        <v>0</v>
      </c>
      <c r="AG1580" s="9">
        <f>DAY(O1580)</f>
        <v>0</v>
      </c>
      <c r="AH1580" s="9">
        <f>IFERROR((I1580-K1580)*24*60,0)</f>
        <v>0</v>
      </c>
      <c r="AI1580" s="9">
        <f t="shared" si="32"/>
        <v>0</v>
      </c>
      <c r="AJ1580" s="9">
        <f>C1580</f>
        <v>0</v>
      </c>
      <c r="AK1580" s="9">
        <f>IF(P1580="completed",((V1580-K1580)*24*60),0)</f>
        <v>0</v>
      </c>
      <c r="AL1580" s="9">
        <f>IF(P1580="completed",((U1580-K1580)*24*60),0)</f>
        <v>0</v>
      </c>
      <c r="AM1580" s="9" t="str">
        <f t="shared" si="33"/>
        <v>OTP Breached</v>
      </c>
      <c r="AN1580" s="9" t="str">
        <f t="shared" si="34"/>
        <v>OTP Achieved</v>
      </c>
    </row>
    <row r="1581" spans="9:40" ht="15.75" customHeight="1">
      <c r="I1581" s="28"/>
      <c r="AD1581" s="9" t="str">
        <f t="shared" si="30"/>
        <v>Actual</v>
      </c>
      <c r="AE1581" s="9" t="str">
        <f t="shared" si="31"/>
        <v/>
      </c>
      <c r="AF1581" s="9">
        <f>HOUR(O1581)</f>
        <v>0</v>
      </c>
      <c r="AG1581" s="9">
        <f>DAY(O1581)</f>
        <v>0</v>
      </c>
      <c r="AH1581" s="9">
        <f>IFERROR((I1581-K1581)*24*60,0)</f>
        <v>0</v>
      </c>
      <c r="AI1581" s="9">
        <f t="shared" si="32"/>
        <v>0</v>
      </c>
      <c r="AJ1581" s="9">
        <f>C1581</f>
        <v>0</v>
      </c>
      <c r="AK1581" s="9">
        <f>IF(P1581="completed",((V1581-K1581)*24*60),0)</f>
        <v>0</v>
      </c>
      <c r="AL1581" s="9">
        <f>IF(P1581="completed",((U1581-K1581)*24*60),0)</f>
        <v>0</v>
      </c>
      <c r="AM1581" s="9" t="str">
        <f t="shared" si="33"/>
        <v>OTP Breached</v>
      </c>
      <c r="AN1581" s="9" t="str">
        <f t="shared" si="34"/>
        <v>OTP Achieved</v>
      </c>
    </row>
    <row r="1582" spans="9:40" ht="15.75" customHeight="1">
      <c r="I1582" s="28"/>
      <c r="AD1582" s="9" t="str">
        <f t="shared" si="30"/>
        <v>Actual</v>
      </c>
      <c r="AE1582" s="9" t="str">
        <f t="shared" si="31"/>
        <v/>
      </c>
      <c r="AF1582" s="9">
        <f>HOUR(O1582)</f>
        <v>0</v>
      </c>
      <c r="AG1582" s="9">
        <f>DAY(O1582)</f>
        <v>0</v>
      </c>
      <c r="AH1582" s="9">
        <f>IFERROR((I1582-K1582)*24*60,0)</f>
        <v>0</v>
      </c>
      <c r="AI1582" s="9">
        <f t="shared" si="32"/>
        <v>0</v>
      </c>
      <c r="AJ1582" s="9">
        <f>C1582</f>
        <v>0</v>
      </c>
      <c r="AK1582" s="9">
        <f>IF(P1582="completed",((V1582-K1582)*24*60),0)</f>
        <v>0</v>
      </c>
      <c r="AL1582" s="9">
        <f>IF(P1582="completed",((U1582-K1582)*24*60),0)</f>
        <v>0</v>
      </c>
      <c r="AM1582" s="9" t="str">
        <f t="shared" si="33"/>
        <v>OTP Breached</v>
      </c>
      <c r="AN1582" s="9" t="str">
        <f t="shared" si="34"/>
        <v>OTP Achieved</v>
      </c>
    </row>
    <row r="1583" spans="9:40" ht="15.75" customHeight="1">
      <c r="I1583" s="28"/>
      <c r="AD1583" s="9" t="str">
        <f t="shared" si="30"/>
        <v>Actual</v>
      </c>
      <c r="AE1583" s="9" t="str">
        <f t="shared" si="31"/>
        <v/>
      </c>
      <c r="AF1583" s="9">
        <f>HOUR(O1583)</f>
        <v>0</v>
      </c>
      <c r="AG1583" s="9">
        <f>DAY(O1583)</f>
        <v>0</v>
      </c>
      <c r="AH1583" s="9">
        <f>IFERROR((I1583-K1583)*24*60,0)</f>
        <v>0</v>
      </c>
      <c r="AI1583" s="9">
        <f t="shared" si="32"/>
        <v>0</v>
      </c>
      <c r="AJ1583" s="9">
        <f>C1583</f>
        <v>0</v>
      </c>
      <c r="AK1583" s="9">
        <f>IF(P1583="completed",((V1583-K1583)*24*60),0)</f>
        <v>0</v>
      </c>
      <c r="AL1583" s="9">
        <f>IF(P1583="completed",((U1583-K1583)*24*60),0)</f>
        <v>0</v>
      </c>
      <c r="AM1583" s="9" t="str">
        <f t="shared" si="33"/>
        <v>OTP Breached</v>
      </c>
      <c r="AN1583" s="9" t="str">
        <f t="shared" si="34"/>
        <v>OTP Achieved</v>
      </c>
    </row>
    <row r="1584" spans="9:40" ht="15.75" customHeight="1">
      <c r="I1584" s="28"/>
      <c r="AD1584" s="9" t="str">
        <f t="shared" si="30"/>
        <v>Actual</v>
      </c>
      <c r="AE1584" s="9" t="str">
        <f t="shared" si="31"/>
        <v/>
      </c>
      <c r="AF1584" s="9">
        <f>HOUR(O1584)</f>
        <v>0</v>
      </c>
      <c r="AG1584" s="9">
        <f>DAY(O1584)</f>
        <v>0</v>
      </c>
      <c r="AH1584" s="9">
        <f>IFERROR((I1584-K1584)*24*60,0)</f>
        <v>0</v>
      </c>
      <c r="AI1584" s="9">
        <f t="shared" si="32"/>
        <v>0</v>
      </c>
      <c r="AJ1584" s="9">
        <f>C1584</f>
        <v>0</v>
      </c>
      <c r="AK1584" s="9">
        <f>IF(P1584="completed",((V1584-K1584)*24*60),0)</f>
        <v>0</v>
      </c>
      <c r="AL1584" s="9">
        <f>IF(P1584="completed",((U1584-K1584)*24*60),0)</f>
        <v>0</v>
      </c>
      <c r="AM1584" s="9" t="str">
        <f t="shared" si="33"/>
        <v>OTP Breached</v>
      </c>
      <c r="AN1584" s="9" t="str">
        <f t="shared" si="34"/>
        <v>OTP Achieved</v>
      </c>
    </row>
    <row r="1585" spans="9:40" ht="15.75" customHeight="1">
      <c r="I1585" s="28"/>
      <c r="AD1585" s="9" t="str">
        <f t="shared" si="30"/>
        <v>Actual</v>
      </c>
      <c r="AE1585" s="9" t="str">
        <f t="shared" si="31"/>
        <v/>
      </c>
      <c r="AF1585" s="9">
        <f>HOUR(O1585)</f>
        <v>0</v>
      </c>
      <c r="AG1585" s="9">
        <f>DAY(O1585)</f>
        <v>0</v>
      </c>
      <c r="AH1585" s="9">
        <f>IFERROR((I1585-K1585)*24*60,0)</f>
        <v>0</v>
      </c>
      <c r="AI1585" s="9">
        <f t="shared" si="32"/>
        <v>0</v>
      </c>
      <c r="AJ1585" s="9">
        <f>C1585</f>
        <v>0</v>
      </c>
      <c r="AK1585" s="9">
        <f>IF(P1585="completed",((V1585-K1585)*24*60),0)</f>
        <v>0</v>
      </c>
      <c r="AL1585" s="9">
        <f>IF(P1585="completed",((U1585-K1585)*24*60),0)</f>
        <v>0</v>
      </c>
      <c r="AM1585" s="9" t="str">
        <f t="shared" si="33"/>
        <v>OTP Breached</v>
      </c>
      <c r="AN1585" s="9" t="str">
        <f t="shared" si="34"/>
        <v>OTP Achieved</v>
      </c>
    </row>
    <row r="1586" spans="9:40" ht="15.75" customHeight="1">
      <c r="I1586" s="28"/>
      <c r="AD1586" s="9" t="str">
        <f t="shared" si="30"/>
        <v>Actual</v>
      </c>
      <c r="AE1586" s="9" t="str">
        <f t="shared" si="31"/>
        <v/>
      </c>
      <c r="AF1586" s="9">
        <f>HOUR(O1586)</f>
        <v>0</v>
      </c>
      <c r="AG1586" s="9">
        <f>DAY(O1586)</f>
        <v>0</v>
      </c>
      <c r="AH1586" s="9">
        <f>IFERROR((I1586-K1586)*24*60,0)</f>
        <v>0</v>
      </c>
      <c r="AI1586" s="9">
        <f t="shared" si="32"/>
        <v>0</v>
      </c>
      <c r="AJ1586" s="9">
        <f>C1586</f>
        <v>0</v>
      </c>
      <c r="AK1586" s="9">
        <f>IF(P1586="completed",((V1586-K1586)*24*60),0)</f>
        <v>0</v>
      </c>
      <c r="AL1586" s="9">
        <f>IF(P1586="completed",((U1586-K1586)*24*60),0)</f>
        <v>0</v>
      </c>
      <c r="AM1586" s="9" t="str">
        <f t="shared" si="33"/>
        <v>OTP Breached</v>
      </c>
      <c r="AN1586" s="9" t="str">
        <f t="shared" si="34"/>
        <v>OTP Achieved</v>
      </c>
    </row>
    <row r="1587" spans="9:40" ht="15.75" customHeight="1">
      <c r="I1587" s="28"/>
      <c r="AD1587" s="9" t="str">
        <f t="shared" si="30"/>
        <v>Actual</v>
      </c>
      <c r="AE1587" s="9" t="str">
        <f t="shared" si="31"/>
        <v/>
      </c>
      <c r="AF1587" s="9">
        <f>HOUR(O1587)</f>
        <v>0</v>
      </c>
      <c r="AG1587" s="9">
        <f>DAY(O1587)</f>
        <v>0</v>
      </c>
      <c r="AH1587" s="9">
        <f>IFERROR((I1587-K1587)*24*60,0)</f>
        <v>0</v>
      </c>
      <c r="AI1587" s="9">
        <f t="shared" si="32"/>
        <v>0</v>
      </c>
      <c r="AJ1587" s="9">
        <f>C1587</f>
        <v>0</v>
      </c>
      <c r="AK1587" s="9">
        <f>IF(P1587="completed",((V1587-K1587)*24*60),0)</f>
        <v>0</v>
      </c>
      <c r="AL1587" s="9">
        <f>IF(P1587="completed",((U1587-K1587)*24*60),0)</f>
        <v>0</v>
      </c>
      <c r="AM1587" s="9" t="str">
        <f t="shared" si="33"/>
        <v>OTP Breached</v>
      </c>
      <c r="AN1587" s="9" t="str">
        <f t="shared" si="34"/>
        <v>OTP Achieved</v>
      </c>
    </row>
    <row r="1588" spans="9:40" ht="15.75" customHeight="1">
      <c r="I1588" s="28"/>
      <c r="AD1588" s="9" t="str">
        <f t="shared" si="30"/>
        <v>Actual</v>
      </c>
      <c r="AE1588" s="9" t="str">
        <f t="shared" si="31"/>
        <v/>
      </c>
      <c r="AF1588" s="9">
        <f>HOUR(O1588)</f>
        <v>0</v>
      </c>
      <c r="AG1588" s="9">
        <f>DAY(O1588)</f>
        <v>0</v>
      </c>
      <c r="AH1588" s="9">
        <f>IFERROR((I1588-K1588)*24*60,0)</f>
        <v>0</v>
      </c>
      <c r="AI1588" s="9">
        <f t="shared" si="32"/>
        <v>0</v>
      </c>
      <c r="AJ1588" s="9">
        <f>C1588</f>
        <v>0</v>
      </c>
      <c r="AK1588" s="9">
        <f>IF(P1588="completed",((V1588-K1588)*24*60),0)</f>
        <v>0</v>
      </c>
      <c r="AL1588" s="9">
        <f>IF(P1588="completed",((U1588-K1588)*24*60),0)</f>
        <v>0</v>
      </c>
      <c r="AM1588" s="9" t="str">
        <f t="shared" si="33"/>
        <v>OTP Breached</v>
      </c>
      <c r="AN1588" s="9" t="str">
        <f t="shared" si="34"/>
        <v>OTP Achieved</v>
      </c>
    </row>
    <row r="1589" spans="9:40" ht="15.75" customHeight="1">
      <c r="I1589" s="28"/>
      <c r="AD1589" s="9" t="str">
        <f t="shared" si="30"/>
        <v>Actual</v>
      </c>
      <c r="AE1589" s="9" t="str">
        <f t="shared" si="31"/>
        <v/>
      </c>
      <c r="AF1589" s="9">
        <f>HOUR(O1589)</f>
        <v>0</v>
      </c>
      <c r="AG1589" s="9">
        <f>DAY(O1589)</f>
        <v>0</v>
      </c>
      <c r="AH1589" s="9">
        <f>IFERROR((I1589-K1589)*24*60,0)</f>
        <v>0</v>
      </c>
      <c r="AI1589" s="9">
        <f t="shared" si="32"/>
        <v>0</v>
      </c>
      <c r="AJ1589" s="9">
        <f>C1589</f>
        <v>0</v>
      </c>
      <c r="AK1589" s="9">
        <f>IF(P1589="completed",((V1589-K1589)*24*60),0)</f>
        <v>0</v>
      </c>
      <c r="AL1589" s="9">
        <f>IF(P1589="completed",((U1589-K1589)*24*60),0)</f>
        <v>0</v>
      </c>
      <c r="AM1589" s="9" t="str">
        <f t="shared" si="33"/>
        <v>OTP Breached</v>
      </c>
      <c r="AN1589" s="9" t="str">
        <f t="shared" si="34"/>
        <v>OTP Achieved</v>
      </c>
    </row>
    <row r="1590" spans="9:40" ht="15.75" customHeight="1">
      <c r="I1590" s="28"/>
      <c r="AD1590" s="9" t="str">
        <f t="shared" si="30"/>
        <v>Actual</v>
      </c>
      <c r="AE1590" s="9" t="str">
        <f t="shared" si="31"/>
        <v/>
      </c>
      <c r="AF1590" s="9">
        <f>HOUR(O1590)</f>
        <v>0</v>
      </c>
      <c r="AG1590" s="9">
        <f>DAY(O1590)</f>
        <v>0</v>
      </c>
      <c r="AH1590" s="9">
        <f>IFERROR((I1590-K1590)*24*60,0)</f>
        <v>0</v>
      </c>
      <c r="AI1590" s="9">
        <f t="shared" si="32"/>
        <v>0</v>
      </c>
      <c r="AJ1590" s="9">
        <f>C1590</f>
        <v>0</v>
      </c>
      <c r="AK1590" s="9">
        <f>IF(P1590="completed",((V1590-K1590)*24*60),0)</f>
        <v>0</v>
      </c>
      <c r="AL1590" s="9">
        <f>IF(P1590="completed",((U1590-K1590)*24*60),0)</f>
        <v>0</v>
      </c>
      <c r="AM1590" s="9" t="str">
        <f t="shared" si="33"/>
        <v>OTP Breached</v>
      </c>
      <c r="AN1590" s="9" t="str">
        <f t="shared" si="34"/>
        <v>OTP Achieved</v>
      </c>
    </row>
    <row r="1591" spans="9:40" ht="15.75" customHeight="1">
      <c r="I1591" s="28"/>
      <c r="AD1591" s="9" t="str">
        <f t="shared" si="30"/>
        <v>Actual</v>
      </c>
      <c r="AE1591" s="9" t="str">
        <f t="shared" si="31"/>
        <v/>
      </c>
      <c r="AF1591" s="9">
        <f>HOUR(O1591)</f>
        <v>0</v>
      </c>
      <c r="AG1591" s="9">
        <f>DAY(O1591)</f>
        <v>0</v>
      </c>
      <c r="AH1591" s="9">
        <f>IFERROR((I1591-K1591)*24*60,0)</f>
        <v>0</v>
      </c>
      <c r="AI1591" s="9">
        <f t="shared" si="32"/>
        <v>0</v>
      </c>
      <c r="AJ1591" s="9">
        <f>C1591</f>
        <v>0</v>
      </c>
      <c r="AK1591" s="9">
        <f>IF(P1591="completed",((V1591-K1591)*24*60),0)</f>
        <v>0</v>
      </c>
      <c r="AL1591" s="9">
        <f>IF(P1591="completed",((U1591-K1591)*24*60),0)</f>
        <v>0</v>
      </c>
      <c r="AM1591" s="9" t="str">
        <f t="shared" si="33"/>
        <v>OTP Breached</v>
      </c>
      <c r="AN1591" s="9" t="str">
        <f t="shared" si="34"/>
        <v>OTP Achieved</v>
      </c>
    </row>
    <row r="1592" spans="9:40" ht="15.75" customHeight="1">
      <c r="I1592" s="28"/>
      <c r="AD1592" s="9" t="str">
        <f t="shared" si="30"/>
        <v>Actual</v>
      </c>
      <c r="AE1592" s="9" t="str">
        <f t="shared" si="31"/>
        <v/>
      </c>
      <c r="AF1592" s="9">
        <f>HOUR(O1592)</f>
        <v>0</v>
      </c>
      <c r="AG1592" s="9">
        <f>DAY(O1592)</f>
        <v>0</v>
      </c>
      <c r="AH1592" s="9">
        <f>IFERROR((I1592-K1592)*24*60,0)</f>
        <v>0</v>
      </c>
      <c r="AI1592" s="9">
        <f t="shared" si="32"/>
        <v>0</v>
      </c>
      <c r="AJ1592" s="9">
        <f>C1592</f>
        <v>0</v>
      </c>
      <c r="AK1592" s="9">
        <f>IF(P1592="completed",((V1592-K1592)*24*60),0)</f>
        <v>0</v>
      </c>
      <c r="AL1592" s="9">
        <f>IF(P1592="completed",((U1592-K1592)*24*60),0)</f>
        <v>0</v>
      </c>
      <c r="AM1592" s="9" t="str">
        <f t="shared" si="33"/>
        <v>OTP Breached</v>
      </c>
      <c r="AN1592" s="9" t="str">
        <f t="shared" si="34"/>
        <v>OTP Achieved</v>
      </c>
    </row>
    <row r="1593" spans="9:40" ht="15.75" customHeight="1">
      <c r="I1593" s="28"/>
      <c r="AD1593" s="9" t="str">
        <f t="shared" si="30"/>
        <v>Actual</v>
      </c>
      <c r="AE1593" s="9" t="str">
        <f t="shared" si="31"/>
        <v/>
      </c>
      <c r="AF1593" s="9">
        <f>HOUR(O1593)</f>
        <v>0</v>
      </c>
      <c r="AG1593" s="9">
        <f>DAY(O1593)</f>
        <v>0</v>
      </c>
      <c r="AH1593" s="9">
        <f>IFERROR((I1593-K1593)*24*60,0)</f>
        <v>0</v>
      </c>
      <c r="AI1593" s="9">
        <f t="shared" si="32"/>
        <v>0</v>
      </c>
      <c r="AJ1593" s="9">
        <f>C1593</f>
        <v>0</v>
      </c>
      <c r="AK1593" s="9">
        <f>IF(P1593="completed",((V1593-K1593)*24*60),0)</f>
        <v>0</v>
      </c>
      <c r="AL1593" s="9">
        <f>IF(P1593="completed",((U1593-K1593)*24*60),0)</f>
        <v>0</v>
      </c>
      <c r="AM1593" s="9" t="str">
        <f t="shared" si="33"/>
        <v>OTP Breached</v>
      </c>
      <c r="AN1593" s="9" t="str">
        <f t="shared" si="34"/>
        <v>OTP Achieved</v>
      </c>
    </row>
    <row r="1594" spans="9:40" ht="15.75" customHeight="1">
      <c r="I1594" s="28"/>
      <c r="AD1594" s="9" t="str">
        <f t="shared" si="30"/>
        <v>Actual</v>
      </c>
      <c r="AE1594" s="9" t="str">
        <f t="shared" si="31"/>
        <v/>
      </c>
      <c r="AF1594" s="9">
        <f>HOUR(O1594)</f>
        <v>0</v>
      </c>
      <c r="AG1594" s="9">
        <f>DAY(O1594)</f>
        <v>0</v>
      </c>
      <c r="AH1594" s="9">
        <f>IFERROR((I1594-K1594)*24*60,0)</f>
        <v>0</v>
      </c>
      <c r="AI1594" s="9">
        <f t="shared" si="32"/>
        <v>0</v>
      </c>
      <c r="AJ1594" s="9">
        <f>C1594</f>
        <v>0</v>
      </c>
      <c r="AK1594" s="9">
        <f>IF(P1594="completed",((V1594-K1594)*24*60),0)</f>
        <v>0</v>
      </c>
      <c r="AL1594" s="9">
        <f>IF(P1594="completed",((U1594-K1594)*24*60),0)</f>
        <v>0</v>
      </c>
      <c r="AM1594" s="9" t="str">
        <f t="shared" si="33"/>
        <v>OTP Breached</v>
      </c>
      <c r="AN1594" s="9" t="str">
        <f t="shared" si="34"/>
        <v>OTP Achieved</v>
      </c>
    </row>
    <row r="1595" spans="9:40" ht="15.75" customHeight="1">
      <c r="I1595" s="28"/>
      <c r="AD1595" s="9" t="str">
        <f t="shared" si="30"/>
        <v>Actual</v>
      </c>
      <c r="AE1595" s="9" t="str">
        <f t="shared" si="31"/>
        <v/>
      </c>
      <c r="AF1595" s="9">
        <f>HOUR(O1595)</f>
        <v>0</v>
      </c>
      <c r="AG1595" s="9">
        <f>DAY(O1595)</f>
        <v>0</v>
      </c>
      <c r="AH1595" s="9">
        <f>IFERROR((I1595-K1595)*24*60,0)</f>
        <v>0</v>
      </c>
      <c r="AI1595" s="9">
        <f t="shared" si="32"/>
        <v>0</v>
      </c>
      <c r="AJ1595" s="9">
        <f>C1595</f>
        <v>0</v>
      </c>
      <c r="AK1595" s="9">
        <f>IF(P1595="completed",((V1595-K1595)*24*60),0)</f>
        <v>0</v>
      </c>
      <c r="AL1595" s="9">
        <f>IF(P1595="completed",((U1595-K1595)*24*60),0)</f>
        <v>0</v>
      </c>
      <c r="AM1595" s="9" t="str">
        <f t="shared" si="33"/>
        <v>OTP Breached</v>
      </c>
      <c r="AN1595" s="9" t="str">
        <f t="shared" si="34"/>
        <v>OTP Achieved</v>
      </c>
    </row>
    <row r="1596" spans="9:40" ht="15.75" customHeight="1">
      <c r="I1596" s="28"/>
      <c r="AD1596" s="9" t="str">
        <f t="shared" si="30"/>
        <v>Actual</v>
      </c>
      <c r="AE1596" s="9" t="str">
        <f t="shared" si="31"/>
        <v/>
      </c>
      <c r="AF1596" s="9">
        <f>HOUR(O1596)</f>
        <v>0</v>
      </c>
      <c r="AG1596" s="9">
        <f>DAY(O1596)</f>
        <v>0</v>
      </c>
      <c r="AH1596" s="9">
        <f>IFERROR((I1596-K1596)*24*60,0)</f>
        <v>0</v>
      </c>
      <c r="AI1596" s="9">
        <f t="shared" si="32"/>
        <v>0</v>
      </c>
      <c r="AJ1596" s="9">
        <f>C1596</f>
        <v>0</v>
      </c>
      <c r="AK1596" s="9">
        <f>IF(P1596="completed",((V1596-K1596)*24*60),0)</f>
        <v>0</v>
      </c>
      <c r="AL1596" s="9">
        <f>IF(P1596="completed",((U1596-K1596)*24*60),0)</f>
        <v>0</v>
      </c>
      <c r="AM1596" s="9" t="str">
        <f t="shared" si="33"/>
        <v>OTP Breached</v>
      </c>
      <c r="AN1596" s="9" t="str">
        <f t="shared" si="34"/>
        <v>OTP Achieved</v>
      </c>
    </row>
    <row r="1597" spans="9:40" ht="15.75" customHeight="1">
      <c r="I1597" s="28"/>
      <c r="AD1597" s="9" t="str">
        <f t="shared" si="30"/>
        <v>Actual</v>
      </c>
      <c r="AE1597" s="9" t="str">
        <f t="shared" si="31"/>
        <v/>
      </c>
      <c r="AF1597" s="9">
        <f>HOUR(O1597)</f>
        <v>0</v>
      </c>
      <c r="AG1597" s="9">
        <f>DAY(O1597)</f>
        <v>0</v>
      </c>
      <c r="AH1597" s="9">
        <f>IFERROR((I1597-K1597)*24*60,0)</f>
        <v>0</v>
      </c>
      <c r="AI1597" s="9">
        <f t="shared" si="32"/>
        <v>0</v>
      </c>
      <c r="AJ1597" s="9">
        <f>C1597</f>
        <v>0</v>
      </c>
      <c r="AK1597" s="9">
        <f>IF(P1597="completed",((V1597-K1597)*24*60),0)</f>
        <v>0</v>
      </c>
      <c r="AL1597" s="9">
        <f>IF(P1597="completed",((U1597-K1597)*24*60),0)</f>
        <v>0</v>
      </c>
      <c r="AM1597" s="9" t="str">
        <f t="shared" si="33"/>
        <v>OTP Breached</v>
      </c>
      <c r="AN1597" s="9" t="str">
        <f t="shared" si="34"/>
        <v>OTP Achieved</v>
      </c>
    </row>
    <row r="1598" spans="9:40" ht="15.75" customHeight="1">
      <c r="I1598" s="28"/>
      <c r="AD1598" s="9" t="str">
        <f t="shared" si="30"/>
        <v>Actual</v>
      </c>
      <c r="AE1598" s="9" t="str">
        <f t="shared" si="31"/>
        <v/>
      </c>
      <c r="AF1598" s="9">
        <f>HOUR(O1598)</f>
        <v>0</v>
      </c>
      <c r="AG1598" s="9">
        <f>DAY(O1598)</f>
        <v>0</v>
      </c>
      <c r="AH1598" s="9">
        <f>IFERROR((I1598-K1598)*24*60,0)</f>
        <v>0</v>
      </c>
      <c r="AI1598" s="9">
        <f t="shared" si="32"/>
        <v>0</v>
      </c>
      <c r="AJ1598" s="9">
        <f>C1598</f>
        <v>0</v>
      </c>
      <c r="AK1598" s="9">
        <f>IF(P1598="completed",((V1598-K1598)*24*60),0)</f>
        <v>0</v>
      </c>
      <c r="AL1598" s="9">
        <f>IF(P1598="completed",((U1598-K1598)*24*60),0)</f>
        <v>0</v>
      </c>
      <c r="AM1598" s="9" t="str">
        <f t="shared" si="33"/>
        <v>OTP Breached</v>
      </c>
      <c r="AN1598" s="9" t="str">
        <f t="shared" si="34"/>
        <v>OTP Achieved</v>
      </c>
    </row>
    <row r="1599" spans="9:40" ht="15.75" customHeight="1">
      <c r="I1599" s="28"/>
      <c r="AD1599" s="9" t="str">
        <f t="shared" si="30"/>
        <v>Actual</v>
      </c>
      <c r="AE1599" s="9" t="str">
        <f t="shared" si="31"/>
        <v/>
      </c>
      <c r="AF1599" s="9">
        <f>HOUR(O1599)</f>
        <v>0</v>
      </c>
      <c r="AG1599" s="9">
        <f>DAY(O1599)</f>
        <v>0</v>
      </c>
      <c r="AH1599" s="9">
        <f>IFERROR((I1599-K1599)*24*60,0)</f>
        <v>0</v>
      </c>
      <c r="AI1599" s="9">
        <f t="shared" si="32"/>
        <v>0</v>
      </c>
      <c r="AJ1599" s="9">
        <f>C1599</f>
        <v>0</v>
      </c>
      <c r="AK1599" s="9">
        <f>IF(P1599="completed",((V1599-K1599)*24*60),0)</f>
        <v>0</v>
      </c>
      <c r="AL1599" s="9">
        <f>IF(P1599="completed",((U1599-K1599)*24*60),0)</f>
        <v>0</v>
      </c>
      <c r="AM1599" s="9" t="str">
        <f t="shared" si="33"/>
        <v>OTP Breached</v>
      </c>
      <c r="AN1599" s="9" t="str">
        <f t="shared" si="34"/>
        <v>OTP Achieved</v>
      </c>
    </row>
    <row r="1600" spans="9:40" ht="15.75" customHeight="1">
      <c r="I1600" s="28"/>
      <c r="AD1600" s="9" t="str">
        <f t="shared" si="30"/>
        <v>Actual</v>
      </c>
      <c r="AE1600" s="9" t="str">
        <f t="shared" si="31"/>
        <v/>
      </c>
      <c r="AF1600" s="9">
        <f>HOUR(O1600)</f>
        <v>0</v>
      </c>
      <c r="AG1600" s="9">
        <f>DAY(O1600)</f>
        <v>0</v>
      </c>
      <c r="AH1600" s="9">
        <f>IFERROR((I1600-K1600)*24*60,0)</f>
        <v>0</v>
      </c>
      <c r="AI1600" s="9">
        <f t="shared" si="32"/>
        <v>0</v>
      </c>
      <c r="AJ1600" s="9">
        <f>C1600</f>
        <v>0</v>
      </c>
      <c r="AK1600" s="9">
        <f>IF(P1600="completed",((V1600-K1600)*24*60),0)</f>
        <v>0</v>
      </c>
      <c r="AL1600" s="9">
        <f>IF(P1600="completed",((U1600-K1600)*24*60),0)</f>
        <v>0</v>
      </c>
      <c r="AM1600" s="9" t="str">
        <f t="shared" si="33"/>
        <v>OTP Breached</v>
      </c>
      <c r="AN1600" s="9" t="str">
        <f t="shared" si="34"/>
        <v>OTP Achieved</v>
      </c>
    </row>
    <row r="1601" spans="9:40" ht="15.75" customHeight="1">
      <c r="I1601" s="28"/>
      <c r="AD1601" s="9" t="str">
        <f t="shared" si="30"/>
        <v>Actual</v>
      </c>
      <c r="AE1601" s="9" t="str">
        <f t="shared" si="31"/>
        <v/>
      </c>
      <c r="AF1601" s="9">
        <f>HOUR(O1601)</f>
        <v>0</v>
      </c>
      <c r="AG1601" s="9">
        <f>DAY(O1601)</f>
        <v>0</v>
      </c>
      <c r="AH1601" s="9">
        <f>IFERROR((I1601-K1601)*24*60,0)</f>
        <v>0</v>
      </c>
      <c r="AI1601" s="9">
        <f t="shared" si="32"/>
        <v>0</v>
      </c>
      <c r="AJ1601" s="9">
        <f>C1601</f>
        <v>0</v>
      </c>
      <c r="AK1601" s="9">
        <f>IF(P1601="completed",((V1601-K1601)*24*60),0)</f>
        <v>0</v>
      </c>
      <c r="AL1601" s="9">
        <f>IF(P1601="completed",((U1601-K1601)*24*60),0)</f>
        <v>0</v>
      </c>
      <c r="AM1601" s="9" t="str">
        <f t="shared" si="33"/>
        <v>OTP Breached</v>
      </c>
      <c r="AN1601" s="9" t="str">
        <f t="shared" si="34"/>
        <v>OTP Achieved</v>
      </c>
    </row>
    <row r="1602" spans="9:40" ht="15.75" customHeight="1">
      <c r="I1602" s="28"/>
      <c r="AD1602" s="9" t="str">
        <f t="shared" si="30"/>
        <v>Actual</v>
      </c>
      <c r="AE1602" s="9" t="str">
        <f t="shared" si="31"/>
        <v/>
      </c>
      <c r="AF1602" s="9">
        <f>HOUR(O1602)</f>
        <v>0</v>
      </c>
      <c r="AG1602" s="9">
        <f>DAY(O1602)</f>
        <v>0</v>
      </c>
      <c r="AH1602" s="9">
        <f>IFERROR((I1602-K1602)*24*60,0)</f>
        <v>0</v>
      </c>
      <c r="AI1602" s="9">
        <f t="shared" si="32"/>
        <v>0</v>
      </c>
      <c r="AJ1602" s="9">
        <f>C1602</f>
        <v>0</v>
      </c>
      <c r="AK1602" s="9">
        <f>IF(P1602="completed",((V1602-K1602)*24*60),0)</f>
        <v>0</v>
      </c>
      <c r="AL1602" s="9">
        <f>IF(P1602="completed",((U1602-K1602)*24*60),0)</f>
        <v>0</v>
      </c>
      <c r="AM1602" s="9" t="str">
        <f t="shared" si="33"/>
        <v>OTP Breached</v>
      </c>
      <c r="AN1602" s="9" t="str">
        <f t="shared" si="34"/>
        <v>OTP Achieved</v>
      </c>
    </row>
    <row r="1603" spans="9:40" ht="15.75" customHeight="1">
      <c r="I1603" s="28"/>
      <c r="AD1603" s="9" t="str">
        <f t="shared" si="30"/>
        <v>Actual</v>
      </c>
      <c r="AE1603" s="9" t="str">
        <f t="shared" si="31"/>
        <v/>
      </c>
      <c r="AF1603" s="9">
        <f>HOUR(O1603)</f>
        <v>0</v>
      </c>
      <c r="AG1603" s="9">
        <f>DAY(O1603)</f>
        <v>0</v>
      </c>
      <c r="AH1603" s="9">
        <f>IFERROR((I1603-K1603)*24*60,0)</f>
        <v>0</v>
      </c>
      <c r="AI1603" s="9">
        <f t="shared" si="32"/>
        <v>0</v>
      </c>
      <c r="AJ1603" s="9">
        <f>C1603</f>
        <v>0</v>
      </c>
      <c r="AK1603" s="9">
        <f>IF(P1603="completed",((V1603-K1603)*24*60),0)</f>
        <v>0</v>
      </c>
      <c r="AL1603" s="9">
        <f>IF(P1603="completed",((U1603-K1603)*24*60),0)</f>
        <v>0</v>
      </c>
      <c r="AM1603" s="9" t="str">
        <f t="shared" si="33"/>
        <v>OTP Breached</v>
      </c>
      <c r="AN1603" s="9" t="str">
        <f t="shared" si="34"/>
        <v>OTP Achieved</v>
      </c>
    </row>
    <row r="1604" spans="9:40" ht="15.75" customHeight="1">
      <c r="I1604" s="28"/>
      <c r="AD1604" s="9" t="str">
        <f t="shared" si="30"/>
        <v>Actual</v>
      </c>
      <c r="AE1604" s="9" t="str">
        <f t="shared" si="31"/>
        <v/>
      </c>
      <c r="AF1604" s="9">
        <f>HOUR(O1604)</f>
        <v>0</v>
      </c>
      <c r="AG1604" s="9">
        <f>DAY(O1604)</f>
        <v>0</v>
      </c>
      <c r="AH1604" s="9">
        <f>IFERROR((I1604-K1604)*24*60,0)</f>
        <v>0</v>
      </c>
      <c r="AI1604" s="9">
        <f t="shared" si="32"/>
        <v>0</v>
      </c>
      <c r="AJ1604" s="9">
        <f>C1604</f>
        <v>0</v>
      </c>
      <c r="AK1604" s="9">
        <f>IF(P1604="completed",((V1604-K1604)*24*60),0)</f>
        <v>0</v>
      </c>
      <c r="AL1604" s="9">
        <f>IF(P1604="completed",((U1604-K1604)*24*60),0)</f>
        <v>0</v>
      </c>
      <c r="AM1604" s="9" t="str">
        <f t="shared" si="33"/>
        <v>OTP Breached</v>
      </c>
      <c r="AN1604" s="9" t="str">
        <f t="shared" si="34"/>
        <v>OTP Achieved</v>
      </c>
    </row>
    <row r="1605" spans="9:40" ht="15.75" customHeight="1">
      <c r="I1605" s="28"/>
      <c r="AD1605" s="9" t="str">
        <f t="shared" si="30"/>
        <v>Actual</v>
      </c>
      <c r="AE1605" s="9" t="str">
        <f t="shared" si="31"/>
        <v/>
      </c>
      <c r="AF1605" s="9">
        <f>HOUR(O1605)</f>
        <v>0</v>
      </c>
      <c r="AG1605" s="9">
        <f>DAY(O1605)</f>
        <v>0</v>
      </c>
      <c r="AH1605" s="9">
        <f>IFERROR((I1605-K1605)*24*60,0)</f>
        <v>0</v>
      </c>
      <c r="AI1605" s="9">
        <f t="shared" si="32"/>
        <v>0</v>
      </c>
      <c r="AJ1605" s="9">
        <f>C1605</f>
        <v>0</v>
      </c>
      <c r="AK1605" s="9">
        <f>IF(P1605="completed",((V1605-K1605)*24*60),0)</f>
        <v>0</v>
      </c>
      <c r="AL1605" s="9">
        <f>IF(P1605="completed",((U1605-K1605)*24*60),0)</f>
        <v>0</v>
      </c>
      <c r="AM1605" s="9" t="str">
        <f t="shared" si="33"/>
        <v>OTP Breached</v>
      </c>
      <c r="AN1605" s="9" t="str">
        <f t="shared" si="34"/>
        <v>OTP Achieved</v>
      </c>
    </row>
    <row r="1606" spans="9:40" ht="15.75" customHeight="1">
      <c r="I1606" s="28"/>
      <c r="AD1606" s="9" t="str">
        <f t="shared" si="30"/>
        <v>Actual</v>
      </c>
      <c r="AE1606" s="9" t="str">
        <f t="shared" si="31"/>
        <v/>
      </c>
      <c r="AF1606" s="9">
        <f>HOUR(O1606)</f>
        <v>0</v>
      </c>
      <c r="AG1606" s="9">
        <f>DAY(O1606)</f>
        <v>0</v>
      </c>
      <c r="AH1606" s="9">
        <f>IFERROR((I1606-K1606)*24*60,0)</f>
        <v>0</v>
      </c>
      <c r="AI1606" s="9">
        <f t="shared" si="32"/>
        <v>0</v>
      </c>
      <c r="AJ1606" s="9">
        <f>C1606</f>
        <v>0</v>
      </c>
      <c r="AK1606" s="9">
        <f>IF(P1606="completed",((V1606-K1606)*24*60),0)</f>
        <v>0</v>
      </c>
      <c r="AL1606" s="9">
        <f>IF(P1606="completed",((U1606-K1606)*24*60),0)</f>
        <v>0</v>
      </c>
      <c r="AM1606" s="9" t="str">
        <f t="shared" si="33"/>
        <v>OTP Breached</v>
      </c>
      <c r="AN1606" s="9" t="str">
        <f t="shared" si="34"/>
        <v>OTP Achieved</v>
      </c>
    </row>
    <row r="1607" spans="9:40" ht="15.75" customHeight="1">
      <c r="I1607" s="28"/>
      <c r="AD1607" s="9" t="str">
        <f t="shared" si="30"/>
        <v>Actual</v>
      </c>
      <c r="AE1607" s="9" t="str">
        <f t="shared" si="31"/>
        <v/>
      </c>
      <c r="AF1607" s="9">
        <f>HOUR(O1607)</f>
        <v>0</v>
      </c>
      <c r="AG1607" s="9">
        <f>DAY(O1607)</f>
        <v>0</v>
      </c>
      <c r="AH1607" s="9">
        <f>IFERROR((I1607-K1607)*24*60,0)</f>
        <v>0</v>
      </c>
      <c r="AI1607" s="9">
        <f t="shared" si="32"/>
        <v>0</v>
      </c>
      <c r="AJ1607" s="9">
        <f>C1607</f>
        <v>0</v>
      </c>
      <c r="AK1607" s="9">
        <f>IF(P1607="completed",((V1607-K1607)*24*60),0)</f>
        <v>0</v>
      </c>
      <c r="AL1607" s="9">
        <f>IF(P1607="completed",((U1607-K1607)*24*60),0)</f>
        <v>0</v>
      </c>
      <c r="AM1607" s="9" t="str">
        <f t="shared" si="33"/>
        <v>OTP Breached</v>
      </c>
      <c r="AN1607" s="9" t="str">
        <f t="shared" si="34"/>
        <v>OTP Achieved</v>
      </c>
    </row>
    <row r="1608" spans="9:40" ht="15.75" customHeight="1">
      <c r="I1608" s="28"/>
      <c r="AD1608" s="9" t="str">
        <f t="shared" si="30"/>
        <v>Actual</v>
      </c>
      <c r="AE1608" s="9" t="str">
        <f t="shared" si="31"/>
        <v/>
      </c>
      <c r="AF1608" s="9">
        <f>HOUR(O1608)</f>
        <v>0</v>
      </c>
      <c r="AG1608" s="9">
        <f>DAY(O1608)</f>
        <v>0</v>
      </c>
      <c r="AH1608" s="9">
        <f>IFERROR((I1608-K1608)*24*60,0)</f>
        <v>0</v>
      </c>
      <c r="AI1608" s="9">
        <f t="shared" si="32"/>
        <v>0</v>
      </c>
      <c r="AJ1608" s="9">
        <f>C1608</f>
        <v>0</v>
      </c>
      <c r="AK1608" s="9">
        <f>IF(P1608="completed",((V1608-K1608)*24*60),0)</f>
        <v>0</v>
      </c>
      <c r="AL1608" s="9">
        <f>IF(P1608="completed",((U1608-K1608)*24*60),0)</f>
        <v>0</v>
      </c>
      <c r="AM1608" s="9" t="str">
        <f t="shared" si="33"/>
        <v>OTP Breached</v>
      </c>
      <c r="AN1608" s="9" t="str">
        <f t="shared" si="34"/>
        <v>OTP Achieved</v>
      </c>
    </row>
    <row r="1609" spans="9:40" ht="15.75" customHeight="1">
      <c r="I1609" s="28"/>
      <c r="AD1609" s="9" t="str">
        <f t="shared" si="30"/>
        <v>Actual</v>
      </c>
      <c r="AE1609" s="9" t="str">
        <f t="shared" si="31"/>
        <v/>
      </c>
      <c r="AF1609" s="9">
        <f>HOUR(O1609)</f>
        <v>0</v>
      </c>
      <c r="AG1609" s="9">
        <f>DAY(O1609)</f>
        <v>0</v>
      </c>
      <c r="AH1609" s="9">
        <f>IFERROR((I1609-K1609)*24*60,0)</f>
        <v>0</v>
      </c>
      <c r="AI1609" s="9">
        <f t="shared" si="32"/>
        <v>0</v>
      </c>
      <c r="AJ1609" s="9">
        <f>C1609</f>
        <v>0</v>
      </c>
      <c r="AK1609" s="9">
        <f>IF(P1609="completed",((V1609-K1609)*24*60),0)</f>
        <v>0</v>
      </c>
      <c r="AL1609" s="9">
        <f>IF(P1609="completed",((U1609-K1609)*24*60),0)</f>
        <v>0</v>
      </c>
      <c r="AM1609" s="9" t="str">
        <f t="shared" si="33"/>
        <v>OTP Breached</v>
      </c>
      <c r="AN1609" s="9" t="str">
        <f t="shared" si="34"/>
        <v>OTP Achieved</v>
      </c>
    </row>
    <row r="1610" spans="9:40" ht="15.75" customHeight="1">
      <c r="I1610" s="28"/>
      <c r="AD1610" s="9" t="str">
        <f t="shared" si="30"/>
        <v>Actual</v>
      </c>
      <c r="AE1610" s="9" t="str">
        <f t="shared" si="31"/>
        <v/>
      </c>
      <c r="AF1610" s="9">
        <f>HOUR(O1610)</f>
        <v>0</v>
      </c>
      <c r="AG1610" s="9">
        <f>DAY(O1610)</f>
        <v>0</v>
      </c>
      <c r="AH1610" s="9">
        <f>IFERROR((I1610-K1610)*24*60,0)</f>
        <v>0</v>
      </c>
      <c r="AI1610" s="9">
        <f t="shared" si="32"/>
        <v>0</v>
      </c>
      <c r="AJ1610" s="9">
        <f>C1610</f>
        <v>0</v>
      </c>
      <c r="AK1610" s="9">
        <f>IF(P1610="completed",((V1610-K1610)*24*60),0)</f>
        <v>0</v>
      </c>
      <c r="AL1610" s="9">
        <f>IF(P1610="completed",((U1610-K1610)*24*60),0)</f>
        <v>0</v>
      </c>
      <c r="AM1610" s="9" t="str">
        <f t="shared" si="33"/>
        <v>OTP Breached</v>
      </c>
      <c r="AN1610" s="9" t="str">
        <f t="shared" si="34"/>
        <v>OTP Achieved</v>
      </c>
    </row>
    <row r="1611" spans="9:40" ht="15.75" customHeight="1">
      <c r="I1611" s="28"/>
      <c r="AD1611" s="9" t="str">
        <f t="shared" si="30"/>
        <v>Actual</v>
      </c>
      <c r="AE1611" s="9" t="str">
        <f t="shared" si="31"/>
        <v/>
      </c>
      <c r="AF1611" s="9">
        <f>HOUR(O1611)</f>
        <v>0</v>
      </c>
      <c r="AG1611" s="9">
        <f>DAY(O1611)</f>
        <v>0</v>
      </c>
      <c r="AH1611" s="9">
        <f>IFERROR((I1611-K1611)*24*60,0)</f>
        <v>0</v>
      </c>
      <c r="AI1611" s="9">
        <f t="shared" si="32"/>
        <v>0</v>
      </c>
      <c r="AJ1611" s="9">
        <f>C1611</f>
        <v>0</v>
      </c>
      <c r="AK1611" s="9">
        <f>IF(P1611="completed",((V1611-K1611)*24*60),0)</f>
        <v>0</v>
      </c>
      <c r="AL1611" s="9">
        <f>IF(P1611="completed",((U1611-K1611)*24*60),0)</f>
        <v>0</v>
      </c>
      <c r="AM1611" s="9" t="str">
        <f t="shared" si="33"/>
        <v>OTP Breached</v>
      </c>
      <c r="AN1611" s="9" t="str">
        <f t="shared" si="34"/>
        <v>OTP Achieved</v>
      </c>
    </row>
    <row r="1612" spans="9:40" ht="15.75" customHeight="1">
      <c r="I1612" s="28"/>
      <c r="AD1612" s="9" t="str">
        <f t="shared" si="30"/>
        <v>Actual</v>
      </c>
      <c r="AE1612" s="9" t="str">
        <f t="shared" si="31"/>
        <v/>
      </c>
      <c r="AF1612" s="9">
        <f>HOUR(O1612)</f>
        <v>0</v>
      </c>
      <c r="AG1612" s="9">
        <f>DAY(O1612)</f>
        <v>0</v>
      </c>
      <c r="AH1612" s="9">
        <f>IFERROR((I1612-K1612)*24*60,0)</f>
        <v>0</v>
      </c>
      <c r="AI1612" s="9">
        <f t="shared" si="32"/>
        <v>0</v>
      </c>
      <c r="AJ1612" s="9">
        <f>C1612</f>
        <v>0</v>
      </c>
      <c r="AK1612" s="9">
        <f>IF(P1612="completed",((V1612-K1612)*24*60),0)</f>
        <v>0</v>
      </c>
      <c r="AL1612" s="9">
        <f>IF(P1612="completed",((U1612-K1612)*24*60),0)</f>
        <v>0</v>
      </c>
      <c r="AM1612" s="9" t="str">
        <f t="shared" si="33"/>
        <v>OTP Breached</v>
      </c>
      <c r="AN1612" s="9" t="str">
        <f t="shared" si="34"/>
        <v>OTP Achieved</v>
      </c>
    </row>
    <row r="1613" spans="9:40" ht="15.75" customHeight="1">
      <c r="I1613" s="28"/>
      <c r="AD1613" s="9" t="str">
        <f t="shared" si="30"/>
        <v>Actual</v>
      </c>
      <c r="AE1613" s="9" t="str">
        <f t="shared" si="31"/>
        <v/>
      </c>
      <c r="AF1613" s="9">
        <f>HOUR(O1613)</f>
        <v>0</v>
      </c>
      <c r="AG1613" s="9">
        <f>DAY(O1613)</f>
        <v>0</v>
      </c>
      <c r="AH1613" s="9">
        <f>IFERROR((I1613-K1613)*24*60,0)</f>
        <v>0</v>
      </c>
      <c r="AI1613" s="9">
        <f t="shared" si="32"/>
        <v>0</v>
      </c>
      <c r="AJ1613" s="9">
        <f>C1613</f>
        <v>0</v>
      </c>
      <c r="AK1613" s="9">
        <f>IF(P1613="completed",((V1613-K1613)*24*60),0)</f>
        <v>0</v>
      </c>
      <c r="AL1613" s="9">
        <f>IF(P1613="completed",((U1613-K1613)*24*60),0)</f>
        <v>0</v>
      </c>
      <c r="AM1613" s="9" t="str">
        <f t="shared" si="33"/>
        <v>OTP Breached</v>
      </c>
      <c r="AN1613" s="9" t="str">
        <f t="shared" si="34"/>
        <v>OTP Achieved</v>
      </c>
    </row>
    <row r="1614" spans="9:40" ht="15.75" customHeight="1">
      <c r="I1614" s="28"/>
      <c r="AD1614" s="9" t="str">
        <f t="shared" si="30"/>
        <v>Actual</v>
      </c>
      <c r="AE1614" s="9" t="str">
        <f t="shared" si="31"/>
        <v/>
      </c>
      <c r="AF1614" s="9">
        <f>HOUR(O1614)</f>
        <v>0</v>
      </c>
      <c r="AG1614" s="9">
        <f>DAY(O1614)</f>
        <v>0</v>
      </c>
      <c r="AH1614" s="9">
        <f>IFERROR((I1614-K1614)*24*60,0)</f>
        <v>0</v>
      </c>
      <c r="AI1614" s="9">
        <f t="shared" si="32"/>
        <v>0</v>
      </c>
      <c r="AJ1614" s="9">
        <f>C1614</f>
        <v>0</v>
      </c>
      <c r="AK1614" s="9">
        <f>IF(P1614="completed",((V1614-K1614)*24*60),0)</f>
        <v>0</v>
      </c>
      <c r="AL1614" s="9">
        <f>IF(P1614="completed",((U1614-K1614)*24*60),0)</f>
        <v>0</v>
      </c>
      <c r="AM1614" s="9" t="str">
        <f t="shared" si="33"/>
        <v>OTP Breached</v>
      </c>
      <c r="AN1614" s="9" t="str">
        <f t="shared" si="34"/>
        <v>OTP Achieved</v>
      </c>
    </row>
    <row r="1615" spans="9:40" ht="15.75" customHeight="1">
      <c r="I1615" s="28"/>
      <c r="AD1615" s="9" t="str">
        <f t="shared" si="30"/>
        <v>Actual</v>
      </c>
      <c r="AE1615" s="9" t="str">
        <f t="shared" si="31"/>
        <v/>
      </c>
      <c r="AF1615" s="9">
        <f>HOUR(O1615)</f>
        <v>0</v>
      </c>
      <c r="AG1615" s="9">
        <f>DAY(O1615)</f>
        <v>0</v>
      </c>
      <c r="AH1615" s="9">
        <f>IFERROR((I1615-K1615)*24*60,0)</f>
        <v>0</v>
      </c>
      <c r="AI1615" s="9">
        <f t="shared" si="32"/>
        <v>0</v>
      </c>
      <c r="AJ1615" s="9">
        <f>C1615</f>
        <v>0</v>
      </c>
      <c r="AK1615" s="9">
        <f>IF(P1615="completed",((V1615-K1615)*24*60),0)</f>
        <v>0</v>
      </c>
      <c r="AL1615" s="9">
        <f>IF(P1615="completed",((U1615-K1615)*24*60),0)</f>
        <v>0</v>
      </c>
      <c r="AM1615" s="9" t="str">
        <f t="shared" si="33"/>
        <v>OTP Breached</v>
      </c>
      <c r="AN1615" s="9" t="str">
        <f t="shared" si="34"/>
        <v>OTP Achieved</v>
      </c>
    </row>
    <row r="1616" spans="9:40" ht="15.75" customHeight="1">
      <c r="I1616" s="28"/>
      <c r="AD1616" s="9" t="str">
        <f t="shared" si="30"/>
        <v>Actual</v>
      </c>
      <c r="AE1616" s="9" t="str">
        <f t="shared" si="31"/>
        <v/>
      </c>
      <c r="AF1616" s="9">
        <f>HOUR(O1616)</f>
        <v>0</v>
      </c>
      <c r="AG1616" s="9">
        <f>DAY(O1616)</f>
        <v>0</v>
      </c>
      <c r="AH1616" s="9">
        <f>IFERROR((I1616-K1616)*24*60,0)</f>
        <v>0</v>
      </c>
      <c r="AI1616" s="9">
        <f t="shared" si="32"/>
        <v>0</v>
      </c>
      <c r="AJ1616" s="9">
        <f>C1616</f>
        <v>0</v>
      </c>
      <c r="AK1616" s="9">
        <f>IF(P1616="completed",((V1616-K1616)*24*60),0)</f>
        <v>0</v>
      </c>
      <c r="AL1616" s="9">
        <f>IF(P1616="completed",((U1616-K1616)*24*60),0)</f>
        <v>0</v>
      </c>
      <c r="AM1616" s="9" t="str">
        <f t="shared" si="33"/>
        <v>OTP Breached</v>
      </c>
      <c r="AN1616" s="9" t="str">
        <f t="shared" si="34"/>
        <v>OTP Achieved</v>
      </c>
    </row>
    <row r="1617" spans="9:40" ht="15.75" customHeight="1">
      <c r="I1617" s="28"/>
      <c r="AD1617" s="9" t="str">
        <f t="shared" si="30"/>
        <v>Actual</v>
      </c>
      <c r="AE1617" s="9" t="str">
        <f t="shared" si="31"/>
        <v/>
      </c>
      <c r="AF1617" s="9">
        <f>HOUR(O1617)</f>
        <v>0</v>
      </c>
      <c r="AG1617" s="9">
        <f>DAY(O1617)</f>
        <v>0</v>
      </c>
      <c r="AH1617" s="9">
        <f>IFERROR((I1617-K1617)*24*60,0)</f>
        <v>0</v>
      </c>
      <c r="AI1617" s="9">
        <f t="shared" si="32"/>
        <v>0</v>
      </c>
      <c r="AJ1617" s="9">
        <f>C1617</f>
        <v>0</v>
      </c>
      <c r="AK1617" s="9">
        <f>IF(P1617="completed",((V1617-K1617)*24*60),0)</f>
        <v>0</v>
      </c>
      <c r="AL1617" s="9">
        <f>IF(P1617="completed",((U1617-K1617)*24*60),0)</f>
        <v>0</v>
      </c>
      <c r="AM1617" s="9" t="str">
        <f t="shared" si="33"/>
        <v>OTP Breached</v>
      </c>
      <c r="AN1617" s="9" t="str">
        <f t="shared" si="34"/>
        <v>OTP Achieved</v>
      </c>
    </row>
    <row r="1618" spans="9:40" ht="15.75" customHeight="1">
      <c r="I1618" s="28"/>
      <c r="AD1618" s="9" t="str">
        <f t="shared" si="30"/>
        <v>Actual</v>
      </c>
      <c r="AE1618" s="9" t="str">
        <f t="shared" si="31"/>
        <v/>
      </c>
      <c r="AF1618" s="9">
        <f>HOUR(O1618)</f>
        <v>0</v>
      </c>
      <c r="AG1618" s="9">
        <f>DAY(O1618)</f>
        <v>0</v>
      </c>
      <c r="AH1618" s="9">
        <f>IFERROR((I1618-K1618)*24*60,0)</f>
        <v>0</v>
      </c>
      <c r="AI1618" s="9">
        <f t="shared" si="32"/>
        <v>0</v>
      </c>
      <c r="AJ1618" s="9">
        <f>C1618</f>
        <v>0</v>
      </c>
      <c r="AK1618" s="9">
        <f>IF(P1618="completed",((V1618-K1618)*24*60),0)</f>
        <v>0</v>
      </c>
      <c r="AL1618" s="9">
        <f>IF(P1618="completed",((U1618-K1618)*24*60),0)</f>
        <v>0</v>
      </c>
      <c r="AM1618" s="9" t="str">
        <f t="shared" si="33"/>
        <v>OTP Breached</v>
      </c>
      <c r="AN1618" s="9" t="str">
        <f t="shared" si="34"/>
        <v>OTP Achieved</v>
      </c>
    </row>
    <row r="1619" spans="9:40" ht="15.75" customHeight="1">
      <c r="I1619" s="28"/>
      <c r="AD1619" s="9" t="str">
        <f t="shared" si="30"/>
        <v>Actual</v>
      </c>
      <c r="AE1619" s="9" t="str">
        <f t="shared" si="31"/>
        <v/>
      </c>
      <c r="AF1619" s="9">
        <f>HOUR(O1619)</f>
        <v>0</v>
      </c>
      <c r="AG1619" s="9">
        <f>DAY(O1619)</f>
        <v>0</v>
      </c>
      <c r="AH1619" s="9">
        <f>IFERROR((I1619-K1619)*24*60,0)</f>
        <v>0</v>
      </c>
      <c r="AI1619" s="9">
        <f t="shared" si="32"/>
        <v>0</v>
      </c>
      <c r="AJ1619" s="9">
        <f>C1619</f>
        <v>0</v>
      </c>
      <c r="AK1619" s="9">
        <f>IF(P1619="completed",((V1619-K1619)*24*60),0)</f>
        <v>0</v>
      </c>
      <c r="AL1619" s="9">
        <f>IF(P1619="completed",((U1619-K1619)*24*60),0)</f>
        <v>0</v>
      </c>
      <c r="AM1619" s="9" t="str">
        <f t="shared" si="33"/>
        <v>OTP Breached</v>
      </c>
      <c r="AN1619" s="9" t="str">
        <f t="shared" si="34"/>
        <v>OTP Achieved</v>
      </c>
    </row>
    <row r="1620" spans="9:40" ht="15.75" customHeight="1">
      <c r="I1620" s="28"/>
      <c r="AD1620" s="9" t="str">
        <f t="shared" si="30"/>
        <v>Actual</v>
      </c>
      <c r="AE1620" s="9" t="str">
        <f t="shared" si="31"/>
        <v/>
      </c>
      <c r="AF1620" s="9">
        <f>HOUR(O1620)</f>
        <v>0</v>
      </c>
      <c r="AG1620" s="9">
        <f>DAY(O1620)</f>
        <v>0</v>
      </c>
      <c r="AH1620" s="9">
        <f>IFERROR((I1620-K1620)*24*60,0)</f>
        <v>0</v>
      </c>
      <c r="AI1620" s="9">
        <f t="shared" si="32"/>
        <v>0</v>
      </c>
      <c r="AJ1620" s="9">
        <f>C1620</f>
        <v>0</v>
      </c>
      <c r="AK1620" s="9">
        <f>IF(P1620="completed",((V1620-K1620)*24*60),0)</f>
        <v>0</v>
      </c>
      <c r="AL1620" s="9">
        <f>IF(P1620="completed",((U1620-K1620)*24*60),0)</f>
        <v>0</v>
      </c>
      <c r="AM1620" s="9" t="str">
        <f t="shared" si="33"/>
        <v>OTP Breached</v>
      </c>
      <c r="AN1620" s="9" t="str">
        <f t="shared" si="34"/>
        <v>OTP Achieved</v>
      </c>
    </row>
    <row r="1621" spans="9:40" ht="15.75" customHeight="1">
      <c r="I1621" s="28"/>
      <c r="AD1621" s="9" t="str">
        <f t="shared" si="30"/>
        <v>Actual</v>
      </c>
      <c r="AE1621" s="9" t="str">
        <f t="shared" si="31"/>
        <v/>
      </c>
      <c r="AF1621" s="9">
        <f>HOUR(O1621)</f>
        <v>0</v>
      </c>
      <c r="AG1621" s="9">
        <f>DAY(O1621)</f>
        <v>0</v>
      </c>
      <c r="AH1621" s="9">
        <f>IFERROR((I1621-K1621)*24*60,0)</f>
        <v>0</v>
      </c>
      <c r="AI1621" s="9">
        <f t="shared" si="32"/>
        <v>0</v>
      </c>
      <c r="AJ1621" s="9">
        <f>C1621</f>
        <v>0</v>
      </c>
      <c r="AK1621" s="9">
        <f>IF(P1621="completed",((V1621-K1621)*24*60),0)</f>
        <v>0</v>
      </c>
      <c r="AL1621" s="9">
        <f>IF(P1621="completed",((U1621-K1621)*24*60),0)</f>
        <v>0</v>
      </c>
      <c r="AM1621" s="9" t="str">
        <f t="shared" si="33"/>
        <v>OTP Breached</v>
      </c>
      <c r="AN1621" s="9" t="str">
        <f t="shared" si="34"/>
        <v>OTP Achieved</v>
      </c>
    </row>
    <row r="1622" spans="9:40" ht="15.75" customHeight="1">
      <c r="I1622" s="28"/>
      <c r="AD1622" s="9" t="str">
        <f t="shared" si="30"/>
        <v>Actual</v>
      </c>
      <c r="AE1622" s="9" t="str">
        <f t="shared" si="31"/>
        <v/>
      </c>
      <c r="AF1622" s="9">
        <f>HOUR(O1622)</f>
        <v>0</v>
      </c>
      <c r="AG1622" s="9">
        <f>DAY(O1622)</f>
        <v>0</v>
      </c>
      <c r="AH1622" s="9">
        <f>IFERROR((I1622-K1622)*24*60,0)</f>
        <v>0</v>
      </c>
      <c r="AI1622" s="9">
        <f t="shared" si="32"/>
        <v>0</v>
      </c>
      <c r="AJ1622" s="9">
        <f>C1622</f>
        <v>0</v>
      </c>
      <c r="AK1622" s="9">
        <f>IF(P1622="completed",((V1622-K1622)*24*60),0)</f>
        <v>0</v>
      </c>
      <c r="AL1622" s="9">
        <f>IF(P1622="completed",((U1622-K1622)*24*60),0)</f>
        <v>0</v>
      </c>
      <c r="AM1622" s="9" t="str">
        <f t="shared" si="33"/>
        <v>OTP Breached</v>
      </c>
      <c r="AN1622" s="9" t="str">
        <f t="shared" si="34"/>
        <v>OTP Achieved</v>
      </c>
    </row>
    <row r="1623" spans="9:40" ht="15.75" customHeight="1">
      <c r="I1623" s="28"/>
      <c r="AD1623" s="9" t="str">
        <f t="shared" si="30"/>
        <v>Actual</v>
      </c>
      <c r="AE1623" s="9" t="str">
        <f t="shared" si="31"/>
        <v/>
      </c>
      <c r="AF1623" s="9">
        <f>HOUR(O1623)</f>
        <v>0</v>
      </c>
      <c r="AG1623" s="9">
        <f>DAY(O1623)</f>
        <v>0</v>
      </c>
      <c r="AH1623" s="9">
        <f>IFERROR((I1623-K1623)*24*60,0)</f>
        <v>0</v>
      </c>
      <c r="AI1623" s="9">
        <f t="shared" si="32"/>
        <v>0</v>
      </c>
      <c r="AJ1623" s="9">
        <f>C1623</f>
        <v>0</v>
      </c>
      <c r="AK1623" s="9">
        <f>IF(P1623="completed",((V1623-K1623)*24*60),0)</f>
        <v>0</v>
      </c>
      <c r="AL1623" s="9">
        <f>IF(P1623="completed",((U1623-K1623)*24*60),0)</f>
        <v>0</v>
      </c>
      <c r="AM1623" s="9" t="str">
        <f t="shared" si="33"/>
        <v>OTP Breached</v>
      </c>
      <c r="AN1623" s="9" t="str">
        <f t="shared" si="34"/>
        <v>OTP Achieved</v>
      </c>
    </row>
    <row r="1624" spans="9:40" ht="15.75" customHeight="1">
      <c r="I1624" s="28"/>
      <c r="AD1624" s="9" t="str">
        <f t="shared" si="30"/>
        <v>Actual</v>
      </c>
      <c r="AE1624" s="9" t="str">
        <f t="shared" si="31"/>
        <v/>
      </c>
      <c r="AF1624" s="9">
        <f>HOUR(O1624)</f>
        <v>0</v>
      </c>
      <c r="AG1624" s="9">
        <f>DAY(O1624)</f>
        <v>0</v>
      </c>
      <c r="AH1624" s="9">
        <f>IFERROR((I1624-K1624)*24*60,0)</f>
        <v>0</v>
      </c>
      <c r="AI1624" s="9">
        <f t="shared" si="32"/>
        <v>0</v>
      </c>
      <c r="AJ1624" s="9">
        <f>C1624</f>
        <v>0</v>
      </c>
      <c r="AK1624" s="9">
        <f>IF(P1624="completed",((V1624-K1624)*24*60),0)</f>
        <v>0</v>
      </c>
      <c r="AL1624" s="9">
        <f>IF(P1624="completed",((U1624-K1624)*24*60),0)</f>
        <v>0</v>
      </c>
      <c r="AM1624" s="9" t="str">
        <f t="shared" si="33"/>
        <v>OTP Breached</v>
      </c>
      <c r="AN1624" s="9" t="str">
        <f t="shared" si="34"/>
        <v>OTP Achieved</v>
      </c>
    </row>
    <row r="1625" spans="9:40" ht="15.75" customHeight="1">
      <c r="I1625" s="28"/>
      <c r="AD1625" s="9" t="str">
        <f t="shared" si="30"/>
        <v>Actual</v>
      </c>
      <c r="AE1625" s="9" t="str">
        <f t="shared" si="31"/>
        <v/>
      </c>
      <c r="AF1625" s="9">
        <f>HOUR(O1625)</f>
        <v>0</v>
      </c>
      <c r="AG1625" s="9">
        <f>DAY(O1625)</f>
        <v>0</v>
      </c>
      <c r="AH1625" s="9">
        <f>IFERROR((I1625-K1625)*24*60,0)</f>
        <v>0</v>
      </c>
      <c r="AI1625" s="9">
        <f t="shared" si="32"/>
        <v>0</v>
      </c>
      <c r="AJ1625" s="9">
        <f>C1625</f>
        <v>0</v>
      </c>
      <c r="AK1625" s="9">
        <f>IF(P1625="completed",((V1625-K1625)*24*60),0)</f>
        <v>0</v>
      </c>
      <c r="AL1625" s="9">
        <f>IF(P1625="completed",((U1625-K1625)*24*60),0)</f>
        <v>0</v>
      </c>
      <c r="AM1625" s="9" t="str">
        <f t="shared" si="33"/>
        <v>OTP Breached</v>
      </c>
      <c r="AN1625" s="9" t="str">
        <f t="shared" si="34"/>
        <v>OTP Achieved</v>
      </c>
    </row>
    <row r="1626" spans="9:40" ht="15.75" customHeight="1">
      <c r="I1626" s="28"/>
      <c r="AD1626" s="9" t="str">
        <f t="shared" si="30"/>
        <v>Actual</v>
      </c>
      <c r="AE1626" s="9" t="str">
        <f t="shared" si="31"/>
        <v/>
      </c>
      <c r="AF1626" s="9">
        <f>HOUR(O1626)</f>
        <v>0</v>
      </c>
      <c r="AG1626" s="9">
        <f>DAY(O1626)</f>
        <v>0</v>
      </c>
      <c r="AH1626" s="9">
        <f>IFERROR((I1626-K1626)*24*60,0)</f>
        <v>0</v>
      </c>
      <c r="AI1626" s="9">
        <f t="shared" si="32"/>
        <v>0</v>
      </c>
      <c r="AJ1626" s="9">
        <f>C1626</f>
        <v>0</v>
      </c>
      <c r="AK1626" s="9">
        <f>IF(P1626="completed",((V1626-K1626)*24*60),0)</f>
        <v>0</v>
      </c>
      <c r="AL1626" s="9">
        <f>IF(P1626="completed",((U1626-K1626)*24*60),0)</f>
        <v>0</v>
      </c>
      <c r="AM1626" s="9" t="str">
        <f t="shared" si="33"/>
        <v>OTP Breached</v>
      </c>
      <c r="AN1626" s="9" t="str">
        <f t="shared" si="34"/>
        <v>OTP Achieved</v>
      </c>
    </row>
    <row r="1627" spans="9:40" ht="15.75" customHeight="1">
      <c r="I1627" s="28"/>
      <c r="AD1627" s="9" t="str">
        <f t="shared" si="30"/>
        <v>Actual</v>
      </c>
      <c r="AE1627" s="9" t="str">
        <f t="shared" si="31"/>
        <v/>
      </c>
      <c r="AF1627" s="9">
        <f>HOUR(O1627)</f>
        <v>0</v>
      </c>
      <c r="AG1627" s="9">
        <f>DAY(O1627)</f>
        <v>0</v>
      </c>
      <c r="AH1627" s="9">
        <f>IFERROR((I1627-K1627)*24*60,0)</f>
        <v>0</v>
      </c>
      <c r="AI1627" s="9">
        <f t="shared" si="32"/>
        <v>0</v>
      </c>
      <c r="AJ1627" s="9">
        <f>C1627</f>
        <v>0</v>
      </c>
      <c r="AK1627" s="9">
        <f>IF(P1627="completed",((V1627-K1627)*24*60),0)</f>
        <v>0</v>
      </c>
      <c r="AL1627" s="9">
        <f>IF(P1627="completed",((U1627-K1627)*24*60),0)</f>
        <v>0</v>
      </c>
      <c r="AM1627" s="9" t="str">
        <f t="shared" si="33"/>
        <v>OTP Breached</v>
      </c>
      <c r="AN1627" s="9" t="str">
        <f t="shared" si="34"/>
        <v>OTP Achieved</v>
      </c>
    </row>
    <row r="1628" spans="9:40" ht="15.75" customHeight="1">
      <c r="I1628" s="28"/>
      <c r="AD1628" s="9" t="str">
        <f t="shared" si="30"/>
        <v>Actual</v>
      </c>
      <c r="AE1628" s="9" t="str">
        <f t="shared" si="31"/>
        <v/>
      </c>
      <c r="AF1628" s="9">
        <f>HOUR(O1628)</f>
        <v>0</v>
      </c>
      <c r="AG1628" s="9">
        <f>DAY(O1628)</f>
        <v>0</v>
      </c>
      <c r="AH1628" s="9">
        <f>IFERROR((I1628-K1628)*24*60,0)</f>
        <v>0</v>
      </c>
      <c r="AI1628" s="9">
        <f t="shared" si="32"/>
        <v>0</v>
      </c>
      <c r="AJ1628" s="9">
        <f>C1628</f>
        <v>0</v>
      </c>
      <c r="AK1628" s="9">
        <f>IF(P1628="completed",((V1628-K1628)*24*60),0)</f>
        <v>0</v>
      </c>
      <c r="AL1628" s="9">
        <f>IF(P1628="completed",((U1628-K1628)*24*60),0)</f>
        <v>0</v>
      </c>
      <c r="AM1628" s="9" t="str">
        <f t="shared" si="33"/>
        <v>OTP Breached</v>
      </c>
      <c r="AN1628" s="9" t="str">
        <f t="shared" si="34"/>
        <v>OTP Achieved</v>
      </c>
    </row>
    <row r="1629" spans="9:40" ht="15.75" customHeight="1">
      <c r="I1629" s="28"/>
      <c r="AD1629" s="9" t="str">
        <f t="shared" si="30"/>
        <v>Actual</v>
      </c>
      <c r="AE1629" s="9" t="str">
        <f t="shared" si="31"/>
        <v/>
      </c>
      <c r="AF1629" s="9">
        <f>HOUR(O1629)</f>
        <v>0</v>
      </c>
      <c r="AG1629" s="9">
        <f>DAY(O1629)</f>
        <v>0</v>
      </c>
      <c r="AH1629" s="9">
        <f>IFERROR((I1629-K1629)*24*60,0)</f>
        <v>0</v>
      </c>
      <c r="AI1629" s="9">
        <f t="shared" si="32"/>
        <v>0</v>
      </c>
      <c r="AJ1629" s="9">
        <f>C1629</f>
        <v>0</v>
      </c>
      <c r="AK1629" s="9">
        <f>IF(P1629="completed",((V1629-K1629)*24*60),0)</f>
        <v>0</v>
      </c>
      <c r="AL1629" s="9">
        <f>IF(P1629="completed",((U1629-K1629)*24*60),0)</f>
        <v>0</v>
      </c>
      <c r="AM1629" s="9" t="str">
        <f t="shared" si="33"/>
        <v>OTP Breached</v>
      </c>
      <c r="AN1629" s="9" t="str">
        <f t="shared" si="34"/>
        <v>OTP Achieved</v>
      </c>
    </row>
    <row r="1630" spans="9:40" ht="15.75" customHeight="1">
      <c r="I1630" s="28"/>
      <c r="AD1630" s="9" t="str">
        <f t="shared" si="30"/>
        <v>Actual</v>
      </c>
      <c r="AE1630" s="9" t="str">
        <f t="shared" si="31"/>
        <v/>
      </c>
      <c r="AF1630" s="9">
        <f>HOUR(O1630)</f>
        <v>0</v>
      </c>
      <c r="AG1630" s="9">
        <f>DAY(O1630)</f>
        <v>0</v>
      </c>
      <c r="AH1630" s="9">
        <f>IFERROR((I1630-K1630)*24*60,0)</f>
        <v>0</v>
      </c>
      <c r="AI1630" s="9">
        <f t="shared" si="32"/>
        <v>0</v>
      </c>
      <c r="AJ1630" s="9">
        <f>C1630</f>
        <v>0</v>
      </c>
      <c r="AK1630" s="9">
        <f>IF(P1630="completed",((V1630-K1630)*24*60),0)</f>
        <v>0</v>
      </c>
      <c r="AL1630" s="9">
        <f>IF(P1630="completed",((U1630-K1630)*24*60),0)</f>
        <v>0</v>
      </c>
      <c r="AM1630" s="9" t="str">
        <f t="shared" si="33"/>
        <v>OTP Breached</v>
      </c>
      <c r="AN1630" s="9" t="str">
        <f t="shared" si="34"/>
        <v>OTP Achieved</v>
      </c>
    </row>
    <row r="1631" spans="9:40" ht="15.75" customHeight="1">
      <c r="I1631" s="28"/>
      <c r="AD1631" s="9" t="str">
        <f t="shared" si="30"/>
        <v>Actual</v>
      </c>
      <c r="AE1631" s="9" t="str">
        <f t="shared" si="31"/>
        <v/>
      </c>
      <c r="AF1631" s="9">
        <f>HOUR(O1631)</f>
        <v>0</v>
      </c>
      <c r="AG1631" s="9">
        <f>DAY(O1631)</f>
        <v>0</v>
      </c>
      <c r="AH1631" s="9">
        <f>IFERROR((I1631-K1631)*24*60,0)</f>
        <v>0</v>
      </c>
      <c r="AI1631" s="9">
        <f t="shared" si="32"/>
        <v>0</v>
      </c>
      <c r="AJ1631" s="9">
        <f>C1631</f>
        <v>0</v>
      </c>
      <c r="AK1631" s="9">
        <f>IF(P1631="completed",((V1631-K1631)*24*60),0)</f>
        <v>0</v>
      </c>
      <c r="AL1631" s="9">
        <f>IF(P1631="completed",((U1631-K1631)*24*60),0)</f>
        <v>0</v>
      </c>
      <c r="AM1631" s="9" t="str">
        <f t="shared" si="33"/>
        <v>OTP Breached</v>
      </c>
      <c r="AN1631" s="9" t="str">
        <f t="shared" si="34"/>
        <v>OTP Achieved</v>
      </c>
    </row>
    <row r="1632" spans="9:40" ht="15.75" customHeight="1">
      <c r="I1632" s="28"/>
      <c r="AD1632" s="9" t="str">
        <f t="shared" si="30"/>
        <v>Actual</v>
      </c>
      <c r="AE1632" s="9" t="str">
        <f t="shared" si="31"/>
        <v/>
      </c>
      <c r="AF1632" s="9">
        <f>HOUR(O1632)</f>
        <v>0</v>
      </c>
      <c r="AG1632" s="9">
        <f>DAY(O1632)</f>
        <v>0</v>
      </c>
      <c r="AH1632" s="9">
        <f>IFERROR((I1632-K1632)*24*60,0)</f>
        <v>0</v>
      </c>
      <c r="AI1632" s="9">
        <f t="shared" si="32"/>
        <v>0</v>
      </c>
      <c r="AJ1632" s="9">
        <f>C1632</f>
        <v>0</v>
      </c>
      <c r="AK1632" s="9">
        <f>IF(P1632="completed",((V1632-K1632)*24*60),0)</f>
        <v>0</v>
      </c>
      <c r="AL1632" s="9">
        <f>IF(P1632="completed",((U1632-K1632)*24*60),0)</f>
        <v>0</v>
      </c>
      <c r="AM1632" s="9" t="str">
        <f t="shared" si="33"/>
        <v>OTP Breached</v>
      </c>
      <c r="AN1632" s="9" t="str">
        <f t="shared" si="34"/>
        <v>OTP Achieved</v>
      </c>
    </row>
    <row r="1633" spans="9:40" ht="15.75" customHeight="1">
      <c r="I1633" s="28"/>
      <c r="AD1633" s="9" t="str">
        <f t="shared" si="30"/>
        <v>Actual</v>
      </c>
      <c r="AE1633" s="9" t="str">
        <f t="shared" si="31"/>
        <v/>
      </c>
      <c r="AF1633" s="9">
        <f>HOUR(O1633)</f>
        <v>0</v>
      </c>
      <c r="AG1633" s="9">
        <f>DAY(O1633)</f>
        <v>0</v>
      </c>
      <c r="AH1633" s="9">
        <f>IFERROR((I1633-K1633)*24*60,0)</f>
        <v>0</v>
      </c>
      <c r="AI1633" s="9">
        <f t="shared" si="32"/>
        <v>0</v>
      </c>
      <c r="AJ1633" s="9">
        <f>C1633</f>
        <v>0</v>
      </c>
      <c r="AK1633" s="9">
        <f>IF(P1633="completed",((V1633-K1633)*24*60),0)</f>
        <v>0</v>
      </c>
      <c r="AL1633" s="9">
        <f>IF(P1633="completed",((U1633-K1633)*24*60),0)</f>
        <v>0</v>
      </c>
      <c r="AM1633" s="9" t="str">
        <f t="shared" si="33"/>
        <v>OTP Breached</v>
      </c>
      <c r="AN1633" s="9" t="str">
        <f t="shared" si="34"/>
        <v>OTP Achieved</v>
      </c>
    </row>
    <row r="1634" spans="9:40" ht="15.75" customHeight="1">
      <c r="I1634" s="28"/>
      <c r="AD1634" s="9" t="str">
        <f t="shared" si="30"/>
        <v>Actual</v>
      </c>
      <c r="AE1634" s="9" t="str">
        <f t="shared" si="31"/>
        <v/>
      </c>
      <c r="AF1634" s="9">
        <f>HOUR(O1634)</f>
        <v>0</v>
      </c>
      <c r="AG1634" s="9">
        <f>DAY(O1634)</f>
        <v>0</v>
      </c>
      <c r="AH1634" s="9">
        <f>IFERROR((I1634-K1634)*24*60,0)</f>
        <v>0</v>
      </c>
      <c r="AI1634" s="9">
        <f t="shared" si="32"/>
        <v>0</v>
      </c>
      <c r="AJ1634" s="9">
        <f>C1634</f>
        <v>0</v>
      </c>
      <c r="AK1634" s="9">
        <f>IF(P1634="completed",((V1634-K1634)*24*60),0)</f>
        <v>0</v>
      </c>
      <c r="AL1634" s="9">
        <f>IF(P1634="completed",((U1634-K1634)*24*60),0)</f>
        <v>0</v>
      </c>
      <c r="AM1634" s="9" t="str">
        <f t="shared" si="33"/>
        <v>OTP Breached</v>
      </c>
      <c r="AN1634" s="9" t="str">
        <f t="shared" si="34"/>
        <v>OTP Achieved</v>
      </c>
    </row>
    <row r="1635" spans="9:40" ht="15.75" customHeight="1">
      <c r="I1635" s="28"/>
      <c r="AD1635" s="9" t="str">
        <f t="shared" si="30"/>
        <v>Actual</v>
      </c>
      <c r="AE1635" s="9" t="str">
        <f t="shared" si="31"/>
        <v/>
      </c>
      <c r="AF1635" s="9">
        <f>HOUR(O1635)</f>
        <v>0</v>
      </c>
      <c r="AG1635" s="9">
        <f>DAY(O1635)</f>
        <v>0</v>
      </c>
      <c r="AH1635" s="9">
        <f>IFERROR((I1635-K1635)*24*60,0)</f>
        <v>0</v>
      </c>
      <c r="AI1635" s="9">
        <f t="shared" si="32"/>
        <v>0</v>
      </c>
      <c r="AJ1635" s="9">
        <f>C1635</f>
        <v>0</v>
      </c>
      <c r="AK1635" s="9">
        <f>IF(P1635="completed",((V1635-K1635)*24*60),0)</f>
        <v>0</v>
      </c>
      <c r="AL1635" s="9">
        <f>IF(P1635="completed",((U1635-K1635)*24*60),0)</f>
        <v>0</v>
      </c>
      <c r="AM1635" s="9" t="str">
        <f t="shared" si="33"/>
        <v>OTP Breached</v>
      </c>
      <c r="AN1635" s="9" t="str">
        <f t="shared" si="34"/>
        <v>OTP Achieved</v>
      </c>
    </row>
    <row r="1636" spans="9:40" ht="15.75" customHeight="1">
      <c r="I1636" s="28"/>
      <c r="AD1636" s="9" t="str">
        <f t="shared" si="30"/>
        <v>Actual</v>
      </c>
      <c r="AE1636" s="9" t="str">
        <f t="shared" si="31"/>
        <v/>
      </c>
      <c r="AF1636" s="9">
        <f>HOUR(O1636)</f>
        <v>0</v>
      </c>
      <c r="AG1636" s="9">
        <f>DAY(O1636)</f>
        <v>0</v>
      </c>
      <c r="AH1636" s="9">
        <f>IFERROR((I1636-K1636)*24*60,0)</f>
        <v>0</v>
      </c>
      <c r="AI1636" s="9">
        <f t="shared" si="32"/>
        <v>0</v>
      </c>
      <c r="AJ1636" s="9">
        <f>C1636</f>
        <v>0</v>
      </c>
      <c r="AK1636" s="9">
        <f>IF(P1636="completed",((V1636-K1636)*24*60),0)</f>
        <v>0</v>
      </c>
      <c r="AL1636" s="9">
        <f>IF(P1636="completed",((U1636-K1636)*24*60),0)</f>
        <v>0</v>
      </c>
      <c r="AM1636" s="9" t="str">
        <f t="shared" si="33"/>
        <v>OTP Breached</v>
      </c>
      <c r="AN1636" s="9" t="str">
        <f t="shared" si="34"/>
        <v>OTP Achieved</v>
      </c>
    </row>
    <row r="1637" spans="9:40" ht="15.75" customHeight="1">
      <c r="I1637" s="28"/>
      <c r="AD1637" s="9" t="str">
        <f t="shared" si="30"/>
        <v>Actual</v>
      </c>
      <c r="AE1637" s="9" t="str">
        <f t="shared" si="31"/>
        <v/>
      </c>
      <c r="AF1637" s="9">
        <f>HOUR(O1637)</f>
        <v>0</v>
      </c>
      <c r="AG1637" s="9">
        <f>DAY(O1637)</f>
        <v>0</v>
      </c>
      <c r="AH1637" s="9">
        <f>IFERROR((I1637-K1637)*24*60,0)</f>
        <v>0</v>
      </c>
      <c r="AI1637" s="9">
        <f t="shared" si="32"/>
        <v>0</v>
      </c>
      <c r="AJ1637" s="9">
        <f>C1637</f>
        <v>0</v>
      </c>
      <c r="AK1637" s="9">
        <f>IF(P1637="completed",((V1637-K1637)*24*60),0)</f>
        <v>0</v>
      </c>
      <c r="AL1637" s="9">
        <f>IF(P1637="completed",((U1637-K1637)*24*60),0)</f>
        <v>0</v>
      </c>
      <c r="AM1637" s="9" t="str">
        <f t="shared" si="33"/>
        <v>OTP Breached</v>
      </c>
      <c r="AN1637" s="9" t="str">
        <f t="shared" si="34"/>
        <v>OTP Achieved</v>
      </c>
    </row>
    <row r="1638" spans="9:40" ht="15.75" customHeight="1">
      <c r="I1638" s="28"/>
      <c r="AD1638" s="9" t="str">
        <f t="shared" si="30"/>
        <v>Actual</v>
      </c>
      <c r="AE1638" s="9" t="str">
        <f t="shared" si="31"/>
        <v/>
      </c>
      <c r="AF1638" s="9">
        <f>HOUR(O1638)</f>
        <v>0</v>
      </c>
      <c r="AG1638" s="9">
        <f>DAY(O1638)</f>
        <v>0</v>
      </c>
      <c r="AH1638" s="9">
        <f>IFERROR((I1638-K1638)*24*60,0)</f>
        <v>0</v>
      </c>
      <c r="AI1638" s="9">
        <f t="shared" si="32"/>
        <v>0</v>
      </c>
      <c r="AJ1638" s="9">
        <f>C1638</f>
        <v>0</v>
      </c>
      <c r="AK1638" s="9">
        <f>IF(P1638="completed",((V1638-K1638)*24*60),0)</f>
        <v>0</v>
      </c>
      <c r="AL1638" s="9">
        <f>IF(P1638="completed",((U1638-K1638)*24*60),0)</f>
        <v>0</v>
      </c>
      <c r="AM1638" s="9" t="str">
        <f t="shared" si="33"/>
        <v>OTP Breached</v>
      </c>
      <c r="AN1638" s="9" t="str">
        <f t="shared" si="34"/>
        <v>OTP Achieved</v>
      </c>
    </row>
    <row r="1639" spans="9:40" ht="15.75" customHeight="1">
      <c r="I1639" s="28"/>
      <c r="AD1639" s="9" t="str">
        <f t="shared" si="30"/>
        <v>Actual</v>
      </c>
      <c r="AE1639" s="9" t="str">
        <f t="shared" si="31"/>
        <v/>
      </c>
      <c r="AF1639" s="9">
        <f>HOUR(O1639)</f>
        <v>0</v>
      </c>
      <c r="AG1639" s="9">
        <f>DAY(O1639)</f>
        <v>0</v>
      </c>
      <c r="AH1639" s="9">
        <f>IFERROR((I1639-K1639)*24*60,0)</f>
        <v>0</v>
      </c>
      <c r="AI1639" s="9">
        <f t="shared" si="32"/>
        <v>0</v>
      </c>
      <c r="AJ1639" s="9">
        <f>C1639</f>
        <v>0</v>
      </c>
      <c r="AK1639" s="9">
        <f>IF(P1639="completed",((V1639-K1639)*24*60),0)</f>
        <v>0</v>
      </c>
      <c r="AL1639" s="9">
        <f>IF(P1639="completed",((U1639-K1639)*24*60),0)</f>
        <v>0</v>
      </c>
      <c r="AM1639" s="9" t="str">
        <f t="shared" si="33"/>
        <v>OTP Breached</v>
      </c>
      <c r="AN1639" s="9" t="str">
        <f t="shared" si="34"/>
        <v>OTP Achieved</v>
      </c>
    </row>
    <row r="1640" spans="9:40" ht="15.75" customHeight="1">
      <c r="I1640" s="28"/>
      <c r="AD1640" s="9" t="str">
        <f t="shared" si="30"/>
        <v>Actual</v>
      </c>
      <c r="AE1640" s="9" t="str">
        <f t="shared" si="31"/>
        <v/>
      </c>
      <c r="AF1640" s="9">
        <f>HOUR(O1640)</f>
        <v>0</v>
      </c>
      <c r="AG1640" s="9">
        <f>DAY(O1640)</f>
        <v>0</v>
      </c>
      <c r="AH1640" s="9">
        <f>IFERROR((I1640-K1640)*24*60,0)</f>
        <v>0</v>
      </c>
      <c r="AI1640" s="9">
        <f t="shared" si="32"/>
        <v>0</v>
      </c>
      <c r="AJ1640" s="9">
        <f>C1640</f>
        <v>0</v>
      </c>
      <c r="AK1640" s="9">
        <f>IF(P1640="completed",((V1640-K1640)*24*60),0)</f>
        <v>0</v>
      </c>
      <c r="AL1640" s="9">
        <f>IF(P1640="completed",((U1640-K1640)*24*60),0)</f>
        <v>0</v>
      </c>
      <c r="AM1640" s="9" t="str">
        <f t="shared" si="33"/>
        <v>OTP Breached</v>
      </c>
      <c r="AN1640" s="9" t="str">
        <f t="shared" si="34"/>
        <v>OTP Achieved</v>
      </c>
    </row>
    <row r="1641" spans="9:40" ht="15.75" customHeight="1">
      <c r="I1641" s="28"/>
      <c r="AD1641" s="9" t="str">
        <f t="shared" si="30"/>
        <v>Actual</v>
      </c>
      <c r="AE1641" s="9" t="str">
        <f t="shared" si="31"/>
        <v/>
      </c>
      <c r="AF1641" s="9">
        <f>HOUR(O1641)</f>
        <v>0</v>
      </c>
      <c r="AG1641" s="9">
        <f>DAY(O1641)</f>
        <v>0</v>
      </c>
      <c r="AH1641" s="9">
        <f>IFERROR((I1641-K1641)*24*60,0)</f>
        <v>0</v>
      </c>
      <c r="AI1641" s="9">
        <f t="shared" si="32"/>
        <v>0</v>
      </c>
      <c r="AJ1641" s="9">
        <f>C1641</f>
        <v>0</v>
      </c>
      <c r="AK1641" s="9">
        <f>IF(P1641="completed",((V1641-K1641)*24*60),0)</f>
        <v>0</v>
      </c>
      <c r="AL1641" s="9">
        <f>IF(P1641="completed",((U1641-K1641)*24*60),0)</f>
        <v>0</v>
      </c>
      <c r="AM1641" s="9" t="str">
        <f t="shared" si="33"/>
        <v>OTP Breached</v>
      </c>
      <c r="AN1641" s="9" t="str">
        <f t="shared" si="34"/>
        <v>OTP Achieved</v>
      </c>
    </row>
    <row r="1642" spans="9:40" ht="15.75" customHeight="1">
      <c r="I1642" s="28"/>
      <c r="AD1642" s="9" t="str">
        <f t="shared" si="30"/>
        <v>Actual</v>
      </c>
      <c r="AE1642" s="9" t="str">
        <f t="shared" si="31"/>
        <v/>
      </c>
      <c r="AF1642" s="9">
        <f>HOUR(O1642)</f>
        <v>0</v>
      </c>
      <c r="AG1642" s="9">
        <f>DAY(O1642)</f>
        <v>0</v>
      </c>
      <c r="AH1642" s="9">
        <f>IFERROR((I1642-K1642)*24*60,0)</f>
        <v>0</v>
      </c>
      <c r="AI1642" s="9">
        <f t="shared" si="32"/>
        <v>0</v>
      </c>
      <c r="AJ1642" s="9">
        <f>C1642</f>
        <v>0</v>
      </c>
      <c r="AK1642" s="9">
        <f>IF(P1642="completed",((V1642-K1642)*24*60),0)</f>
        <v>0</v>
      </c>
      <c r="AL1642" s="9">
        <f>IF(P1642="completed",((U1642-K1642)*24*60),0)</f>
        <v>0</v>
      </c>
      <c r="AM1642" s="9" t="str">
        <f t="shared" si="33"/>
        <v>OTP Breached</v>
      </c>
      <c r="AN1642" s="9" t="str">
        <f t="shared" si="34"/>
        <v>OTP Achieved</v>
      </c>
    </row>
    <row r="1643" spans="9:40" ht="15.75" customHeight="1">
      <c r="I1643" s="28"/>
      <c r="AD1643" s="9" t="str">
        <f t="shared" si="30"/>
        <v>Actual</v>
      </c>
      <c r="AE1643" s="9" t="str">
        <f t="shared" si="31"/>
        <v/>
      </c>
      <c r="AF1643" s="9">
        <f>HOUR(O1643)</f>
        <v>0</v>
      </c>
      <c r="AG1643" s="9">
        <f>DAY(O1643)</f>
        <v>0</v>
      </c>
      <c r="AH1643" s="9">
        <f>IFERROR((I1643-K1643)*24*60,0)</f>
        <v>0</v>
      </c>
      <c r="AI1643" s="9">
        <f t="shared" si="32"/>
        <v>0</v>
      </c>
      <c r="AJ1643" s="9">
        <f>C1643</f>
        <v>0</v>
      </c>
      <c r="AK1643" s="9">
        <f>IF(P1643="completed",((V1643-K1643)*24*60),0)</f>
        <v>0</v>
      </c>
      <c r="AL1643" s="9">
        <f>IF(P1643="completed",((U1643-K1643)*24*60),0)</f>
        <v>0</v>
      </c>
      <c r="AM1643" s="9" t="str">
        <f t="shared" si="33"/>
        <v>OTP Breached</v>
      </c>
      <c r="AN1643" s="9" t="str">
        <f t="shared" si="34"/>
        <v>OTP Achieved</v>
      </c>
    </row>
    <row r="1644" spans="9:40" ht="15.75" customHeight="1">
      <c r="I1644" s="28"/>
      <c r="AD1644" s="9" t="str">
        <f t="shared" si="30"/>
        <v>Actual</v>
      </c>
      <c r="AE1644" s="9" t="str">
        <f t="shared" si="31"/>
        <v/>
      </c>
      <c r="AF1644" s="9">
        <f>HOUR(O1644)</f>
        <v>0</v>
      </c>
      <c r="AG1644" s="9">
        <f>DAY(O1644)</f>
        <v>0</v>
      </c>
      <c r="AH1644" s="9">
        <f>IFERROR((I1644-K1644)*24*60,0)</f>
        <v>0</v>
      </c>
      <c r="AI1644" s="9">
        <f t="shared" si="32"/>
        <v>0</v>
      </c>
      <c r="AJ1644" s="9">
        <f>C1644</f>
        <v>0</v>
      </c>
      <c r="AK1644" s="9">
        <f>IF(P1644="completed",((V1644-K1644)*24*60),0)</f>
        <v>0</v>
      </c>
      <c r="AL1644" s="9">
        <f>IF(P1644="completed",((U1644-K1644)*24*60),0)</f>
        <v>0</v>
      </c>
      <c r="AM1644" s="9" t="str">
        <f t="shared" si="33"/>
        <v>OTP Breached</v>
      </c>
      <c r="AN1644" s="9" t="str">
        <f t="shared" si="34"/>
        <v>OTP Achieved</v>
      </c>
    </row>
    <row r="1645" spans="9:40" ht="15.75" customHeight="1">
      <c r="I1645" s="28"/>
      <c r="AD1645" s="9" t="str">
        <f t="shared" si="30"/>
        <v>Actual</v>
      </c>
      <c r="AE1645" s="9" t="str">
        <f t="shared" si="31"/>
        <v/>
      </c>
      <c r="AF1645" s="9">
        <f>HOUR(O1645)</f>
        <v>0</v>
      </c>
      <c r="AG1645" s="9">
        <f>DAY(O1645)</f>
        <v>0</v>
      </c>
      <c r="AH1645" s="9">
        <f>IFERROR((I1645-K1645)*24*60,0)</f>
        <v>0</v>
      </c>
      <c r="AI1645" s="9">
        <f t="shared" si="32"/>
        <v>0</v>
      </c>
      <c r="AJ1645" s="9">
        <f>C1645</f>
        <v>0</v>
      </c>
      <c r="AK1645" s="9">
        <f>IF(P1645="completed",((V1645-K1645)*24*60),0)</f>
        <v>0</v>
      </c>
      <c r="AL1645" s="9">
        <f>IF(P1645="completed",((U1645-K1645)*24*60),0)</f>
        <v>0</v>
      </c>
      <c r="AM1645" s="9" t="str">
        <f t="shared" si="33"/>
        <v>OTP Breached</v>
      </c>
      <c r="AN1645" s="9" t="str">
        <f t="shared" si="34"/>
        <v>OTP Achieved</v>
      </c>
    </row>
    <row r="1646" spans="9:40" ht="15.75" customHeight="1">
      <c r="I1646" s="28"/>
      <c r="AD1646" s="9" t="str">
        <f t="shared" si="30"/>
        <v>Actual</v>
      </c>
      <c r="AE1646" s="9" t="str">
        <f t="shared" si="31"/>
        <v/>
      </c>
      <c r="AF1646" s="9">
        <f>HOUR(O1646)</f>
        <v>0</v>
      </c>
      <c r="AG1646" s="9">
        <f>DAY(O1646)</f>
        <v>0</v>
      </c>
      <c r="AH1646" s="9">
        <f>IFERROR((I1646-K1646)*24*60,0)</f>
        <v>0</v>
      </c>
      <c r="AI1646" s="9">
        <f t="shared" si="32"/>
        <v>0</v>
      </c>
      <c r="AJ1646" s="9">
        <f>C1646</f>
        <v>0</v>
      </c>
      <c r="AK1646" s="9">
        <f>IF(P1646="completed",((V1646-K1646)*24*60),0)</f>
        <v>0</v>
      </c>
      <c r="AL1646" s="9">
        <f>IF(P1646="completed",((U1646-K1646)*24*60),0)</f>
        <v>0</v>
      </c>
      <c r="AM1646" s="9" t="str">
        <f t="shared" si="33"/>
        <v>OTP Breached</v>
      </c>
      <c r="AN1646" s="9" t="str">
        <f t="shared" si="34"/>
        <v>OTP Achieved</v>
      </c>
    </row>
    <row r="1647" spans="9:40" ht="15.75" customHeight="1">
      <c r="I1647" s="28"/>
      <c r="AD1647" s="9" t="str">
        <f t="shared" si="30"/>
        <v>Actual</v>
      </c>
      <c r="AE1647" s="9" t="str">
        <f t="shared" si="31"/>
        <v/>
      </c>
      <c r="AF1647" s="9">
        <f>HOUR(O1647)</f>
        <v>0</v>
      </c>
      <c r="AG1647" s="9">
        <f>DAY(O1647)</f>
        <v>0</v>
      </c>
      <c r="AH1647" s="9">
        <f>IFERROR((I1647-K1647)*24*60,0)</f>
        <v>0</v>
      </c>
      <c r="AI1647" s="9">
        <f t="shared" si="32"/>
        <v>0</v>
      </c>
      <c r="AJ1647" s="9">
        <f>C1647</f>
        <v>0</v>
      </c>
      <c r="AK1647" s="9">
        <f>IF(P1647="completed",((V1647-K1647)*24*60),0)</f>
        <v>0</v>
      </c>
      <c r="AL1647" s="9">
        <f>IF(P1647="completed",((U1647-K1647)*24*60),0)</f>
        <v>0</v>
      </c>
      <c r="AM1647" s="9" t="str">
        <f t="shared" si="33"/>
        <v>OTP Breached</v>
      </c>
      <c r="AN1647" s="9" t="str">
        <f t="shared" si="34"/>
        <v>OTP Achieved</v>
      </c>
    </row>
    <row r="1648" spans="9:40" ht="15.75" customHeight="1">
      <c r="I1648" s="28"/>
      <c r="AD1648" s="9" t="str">
        <f t="shared" si="30"/>
        <v>Actual</v>
      </c>
      <c r="AE1648" s="9" t="str">
        <f t="shared" si="31"/>
        <v/>
      </c>
      <c r="AF1648" s="9">
        <f>HOUR(O1648)</f>
        <v>0</v>
      </c>
      <c r="AG1648" s="9">
        <f>DAY(O1648)</f>
        <v>0</v>
      </c>
      <c r="AH1648" s="9">
        <f>IFERROR((I1648-K1648)*24*60,0)</f>
        <v>0</v>
      </c>
      <c r="AI1648" s="9">
        <f t="shared" si="32"/>
        <v>0</v>
      </c>
      <c r="AJ1648" s="9">
        <f>C1648</f>
        <v>0</v>
      </c>
      <c r="AK1648" s="9">
        <f>IF(P1648="completed",((V1648-K1648)*24*60),0)</f>
        <v>0</v>
      </c>
      <c r="AL1648" s="9">
        <f>IF(P1648="completed",((U1648-K1648)*24*60),0)</f>
        <v>0</v>
      </c>
      <c r="AM1648" s="9" t="str">
        <f t="shared" si="33"/>
        <v>OTP Breached</v>
      </c>
      <c r="AN1648" s="9" t="str">
        <f t="shared" si="34"/>
        <v>OTP Achieved</v>
      </c>
    </row>
    <row r="1649" spans="9:40" ht="15.75" customHeight="1">
      <c r="I1649" s="28"/>
      <c r="AD1649" s="9" t="str">
        <f t="shared" si="30"/>
        <v>Actual</v>
      </c>
      <c r="AE1649" s="9" t="str">
        <f t="shared" si="31"/>
        <v/>
      </c>
      <c r="AF1649" s="9">
        <f>HOUR(O1649)</f>
        <v>0</v>
      </c>
      <c r="AG1649" s="9">
        <f>DAY(O1649)</f>
        <v>0</v>
      </c>
      <c r="AH1649" s="9">
        <f>IFERROR((I1649-K1649)*24*60,0)</f>
        <v>0</v>
      </c>
      <c r="AI1649" s="9">
        <f t="shared" si="32"/>
        <v>0</v>
      </c>
      <c r="AJ1649" s="9">
        <f>C1649</f>
        <v>0</v>
      </c>
      <c r="AK1649" s="9">
        <f>IF(P1649="completed",((V1649-K1649)*24*60),0)</f>
        <v>0</v>
      </c>
      <c r="AL1649" s="9">
        <f>IF(P1649="completed",((U1649-K1649)*24*60),0)</f>
        <v>0</v>
      </c>
      <c r="AM1649" s="9" t="str">
        <f t="shared" si="33"/>
        <v>OTP Breached</v>
      </c>
      <c r="AN1649" s="9" t="str">
        <f t="shared" si="34"/>
        <v>OTP Achieved</v>
      </c>
    </row>
    <row r="1650" spans="9:40" ht="15.75" customHeight="1">
      <c r="I1650" s="28"/>
      <c r="AD1650" s="9" t="str">
        <f t="shared" si="30"/>
        <v>Actual</v>
      </c>
      <c r="AE1650" s="9" t="str">
        <f t="shared" si="31"/>
        <v/>
      </c>
      <c r="AF1650" s="9">
        <f>HOUR(O1650)</f>
        <v>0</v>
      </c>
      <c r="AG1650" s="9">
        <f>DAY(O1650)</f>
        <v>0</v>
      </c>
      <c r="AH1650" s="9">
        <f>IFERROR((I1650-K1650)*24*60,0)</f>
        <v>0</v>
      </c>
      <c r="AI1650" s="9">
        <f t="shared" si="32"/>
        <v>0</v>
      </c>
      <c r="AJ1650" s="9">
        <f>C1650</f>
        <v>0</v>
      </c>
      <c r="AK1650" s="9">
        <f>IF(P1650="completed",((V1650-K1650)*24*60),0)</f>
        <v>0</v>
      </c>
      <c r="AL1650" s="9">
        <f>IF(P1650="completed",((U1650-K1650)*24*60),0)</f>
        <v>0</v>
      </c>
      <c r="AM1650" s="9" t="str">
        <f t="shared" si="33"/>
        <v>OTP Breached</v>
      </c>
      <c r="AN1650" s="9" t="str">
        <f t="shared" si="34"/>
        <v>OTP Achieved</v>
      </c>
    </row>
    <row r="1651" spans="9:40" ht="15.75" customHeight="1">
      <c r="I1651" s="28"/>
      <c r="AD1651" s="9" t="str">
        <f t="shared" si="30"/>
        <v>Actual</v>
      </c>
      <c r="AE1651" s="9" t="str">
        <f t="shared" si="31"/>
        <v/>
      </c>
      <c r="AF1651" s="9">
        <f>HOUR(O1651)</f>
        <v>0</v>
      </c>
      <c r="AG1651" s="9">
        <f>DAY(O1651)</f>
        <v>0</v>
      </c>
      <c r="AH1651" s="9">
        <f>IFERROR((I1651-K1651)*24*60,0)</f>
        <v>0</v>
      </c>
      <c r="AI1651" s="9">
        <f t="shared" si="32"/>
        <v>0</v>
      </c>
      <c r="AJ1651" s="9">
        <f>C1651</f>
        <v>0</v>
      </c>
      <c r="AK1651" s="9">
        <f>IF(P1651="completed",((V1651-K1651)*24*60),0)</f>
        <v>0</v>
      </c>
      <c r="AL1651" s="9">
        <f>IF(P1651="completed",((U1651-K1651)*24*60),0)</f>
        <v>0</v>
      </c>
      <c r="AM1651" s="9" t="str">
        <f t="shared" si="33"/>
        <v>OTP Breached</v>
      </c>
      <c r="AN1651" s="9" t="str">
        <f t="shared" si="34"/>
        <v>OTP Achieved</v>
      </c>
    </row>
    <row r="1652" spans="9:40" ht="15.75" customHeight="1">
      <c r="I1652" s="28"/>
      <c r="AD1652" s="9" t="str">
        <f t="shared" si="30"/>
        <v>Actual</v>
      </c>
      <c r="AE1652" s="9" t="str">
        <f t="shared" si="31"/>
        <v/>
      </c>
      <c r="AF1652" s="9">
        <f>HOUR(O1652)</f>
        <v>0</v>
      </c>
      <c r="AG1652" s="9">
        <f>DAY(O1652)</f>
        <v>0</v>
      </c>
      <c r="AH1652" s="9">
        <f>IFERROR((I1652-K1652)*24*60,0)</f>
        <v>0</v>
      </c>
      <c r="AI1652" s="9">
        <f t="shared" si="32"/>
        <v>0</v>
      </c>
      <c r="AJ1652" s="9">
        <f>C1652</f>
        <v>0</v>
      </c>
      <c r="AK1652" s="9">
        <f>IF(P1652="completed",((V1652-K1652)*24*60),0)</f>
        <v>0</v>
      </c>
      <c r="AL1652" s="9">
        <f>IF(P1652="completed",((U1652-K1652)*24*60),0)</f>
        <v>0</v>
      </c>
      <c r="AM1652" s="9" t="str">
        <f t="shared" si="33"/>
        <v>OTP Breached</v>
      </c>
      <c r="AN1652" s="9" t="str">
        <f t="shared" si="34"/>
        <v>OTP Achieved</v>
      </c>
    </row>
    <row r="1653" spans="9:40" ht="15.75" customHeight="1">
      <c r="I1653" s="28"/>
      <c r="AD1653" s="9" t="str">
        <f t="shared" si="30"/>
        <v>Actual</v>
      </c>
      <c r="AE1653" s="9" t="str">
        <f t="shared" si="31"/>
        <v/>
      </c>
      <c r="AF1653" s="9">
        <f>HOUR(O1653)</f>
        <v>0</v>
      </c>
      <c r="AG1653" s="9">
        <f>DAY(O1653)</f>
        <v>0</v>
      </c>
      <c r="AH1653" s="9">
        <f>IFERROR((I1653-K1653)*24*60,0)</f>
        <v>0</v>
      </c>
      <c r="AI1653" s="9">
        <f t="shared" si="32"/>
        <v>0</v>
      </c>
      <c r="AJ1653" s="9">
        <f>C1653</f>
        <v>0</v>
      </c>
      <c r="AK1653" s="9">
        <f>IF(P1653="completed",((V1653-K1653)*24*60),0)</f>
        <v>0</v>
      </c>
      <c r="AL1653" s="9">
        <f>IF(P1653="completed",((U1653-K1653)*24*60),0)</f>
        <v>0</v>
      </c>
      <c r="AM1653" s="9" t="str">
        <f t="shared" si="33"/>
        <v>OTP Breached</v>
      </c>
      <c r="AN1653" s="9" t="str">
        <f t="shared" si="34"/>
        <v>OTP Achieved</v>
      </c>
    </row>
    <row r="1654" spans="9:40" ht="15.75" customHeight="1">
      <c r="I1654" s="28"/>
      <c r="AD1654" s="9" t="str">
        <f t="shared" si="30"/>
        <v>Actual</v>
      </c>
      <c r="AE1654" s="9" t="str">
        <f t="shared" si="31"/>
        <v/>
      </c>
      <c r="AF1654" s="9">
        <f>HOUR(O1654)</f>
        <v>0</v>
      </c>
      <c r="AG1654" s="9">
        <f>DAY(O1654)</f>
        <v>0</v>
      </c>
      <c r="AH1654" s="9">
        <f>IFERROR((I1654-K1654)*24*60,0)</f>
        <v>0</v>
      </c>
      <c r="AI1654" s="9">
        <f t="shared" si="32"/>
        <v>0</v>
      </c>
      <c r="AJ1654" s="9">
        <f>C1654</f>
        <v>0</v>
      </c>
      <c r="AK1654" s="9">
        <f>IF(P1654="completed",((V1654-K1654)*24*60),0)</f>
        <v>0</v>
      </c>
      <c r="AL1654" s="9">
        <f>IF(P1654="completed",((U1654-K1654)*24*60),0)</f>
        <v>0</v>
      </c>
      <c r="AM1654" s="9" t="str">
        <f t="shared" si="33"/>
        <v>OTP Breached</v>
      </c>
      <c r="AN1654" s="9" t="str">
        <f t="shared" si="34"/>
        <v>OTP Achieved</v>
      </c>
    </row>
    <row r="1655" spans="9:40" ht="15.75" customHeight="1">
      <c r="I1655" s="28"/>
      <c r="AD1655" s="9" t="str">
        <f t="shared" si="30"/>
        <v>Actual</v>
      </c>
      <c r="AE1655" s="9" t="str">
        <f t="shared" si="31"/>
        <v/>
      </c>
      <c r="AF1655" s="9">
        <f>HOUR(O1655)</f>
        <v>0</v>
      </c>
      <c r="AG1655" s="9">
        <f>DAY(O1655)</f>
        <v>0</v>
      </c>
      <c r="AH1655" s="9">
        <f>IFERROR((I1655-K1655)*24*60,0)</f>
        <v>0</v>
      </c>
      <c r="AI1655" s="9">
        <f t="shared" si="32"/>
        <v>0</v>
      </c>
      <c r="AJ1655" s="9">
        <f>C1655</f>
        <v>0</v>
      </c>
      <c r="AK1655" s="9">
        <f>IF(P1655="completed",((V1655-K1655)*24*60),0)</f>
        <v>0</v>
      </c>
      <c r="AL1655" s="9">
        <f>IF(P1655="completed",((U1655-K1655)*24*60),0)</f>
        <v>0</v>
      </c>
      <c r="AM1655" s="9" t="str">
        <f t="shared" si="33"/>
        <v>OTP Breached</v>
      </c>
      <c r="AN1655" s="9" t="str">
        <f t="shared" si="34"/>
        <v>OTP Achieved</v>
      </c>
    </row>
    <row r="1656" spans="9:40" ht="15.75" customHeight="1">
      <c r="I1656" s="28"/>
      <c r="AD1656" s="9" t="str">
        <f t="shared" si="30"/>
        <v>Actual</v>
      </c>
      <c r="AE1656" s="9" t="str">
        <f t="shared" si="31"/>
        <v/>
      </c>
      <c r="AF1656" s="9">
        <f>HOUR(O1656)</f>
        <v>0</v>
      </c>
      <c r="AG1656" s="9">
        <f>DAY(O1656)</f>
        <v>0</v>
      </c>
      <c r="AH1656" s="9">
        <f>IFERROR((I1656-K1656)*24*60,0)</f>
        <v>0</v>
      </c>
      <c r="AI1656" s="9">
        <f t="shared" si="32"/>
        <v>0</v>
      </c>
      <c r="AJ1656" s="9">
        <f>C1656</f>
        <v>0</v>
      </c>
      <c r="AK1656" s="9">
        <f>IF(P1656="completed",((V1656-K1656)*24*60),0)</f>
        <v>0</v>
      </c>
      <c r="AL1656" s="9">
        <f>IF(P1656="completed",((U1656-K1656)*24*60),0)</f>
        <v>0</v>
      </c>
      <c r="AM1656" s="9" t="str">
        <f t="shared" si="33"/>
        <v>OTP Breached</v>
      </c>
      <c r="AN1656" s="9" t="str">
        <f t="shared" si="34"/>
        <v>OTP Achieved</v>
      </c>
    </row>
    <row r="1657" spans="9:40" ht="15.75" customHeight="1">
      <c r="I1657" s="28"/>
      <c r="AD1657" s="9" t="str">
        <f t="shared" si="30"/>
        <v>Actual</v>
      </c>
      <c r="AE1657" s="9" t="str">
        <f t="shared" si="31"/>
        <v/>
      </c>
      <c r="AF1657" s="9">
        <f>HOUR(O1657)</f>
        <v>0</v>
      </c>
      <c r="AG1657" s="9">
        <f>DAY(O1657)</f>
        <v>0</v>
      </c>
      <c r="AH1657" s="9">
        <f>IFERROR((I1657-K1657)*24*60,0)</f>
        <v>0</v>
      </c>
      <c r="AI1657" s="9">
        <f t="shared" si="32"/>
        <v>0</v>
      </c>
      <c r="AJ1657" s="9">
        <f>C1657</f>
        <v>0</v>
      </c>
      <c r="AK1657" s="9">
        <f>IF(P1657="completed",((V1657-K1657)*24*60),0)</f>
        <v>0</v>
      </c>
      <c r="AL1657" s="9">
        <f>IF(P1657="completed",((U1657-K1657)*24*60),0)</f>
        <v>0</v>
      </c>
      <c r="AM1657" s="9" t="str">
        <f t="shared" si="33"/>
        <v>OTP Breached</v>
      </c>
      <c r="AN1657" s="9" t="str">
        <f t="shared" si="34"/>
        <v>OTP Achieved</v>
      </c>
    </row>
    <row r="1658" spans="9:40" ht="15.75" customHeight="1">
      <c r="I1658" s="28"/>
      <c r="AD1658" s="9" t="str">
        <f t="shared" si="30"/>
        <v>Actual</v>
      </c>
      <c r="AE1658" s="9" t="str">
        <f t="shared" si="31"/>
        <v/>
      </c>
      <c r="AF1658" s="9">
        <f>HOUR(O1658)</f>
        <v>0</v>
      </c>
      <c r="AG1658" s="9">
        <f>DAY(O1658)</f>
        <v>0</v>
      </c>
      <c r="AH1658" s="9">
        <f>IFERROR((I1658-K1658)*24*60,0)</f>
        <v>0</v>
      </c>
      <c r="AI1658" s="9">
        <f t="shared" si="32"/>
        <v>0</v>
      </c>
      <c r="AJ1658" s="9">
        <f>C1658</f>
        <v>0</v>
      </c>
      <c r="AK1658" s="9">
        <f>IF(P1658="completed",((V1658-K1658)*24*60),0)</f>
        <v>0</v>
      </c>
      <c r="AL1658" s="9">
        <f>IF(P1658="completed",((U1658-K1658)*24*60),0)</f>
        <v>0</v>
      </c>
      <c r="AM1658" s="9" t="str">
        <f t="shared" si="33"/>
        <v>OTP Breached</v>
      </c>
      <c r="AN1658" s="9" t="str">
        <f t="shared" si="34"/>
        <v>OTP Achieved</v>
      </c>
    </row>
    <row r="1659" spans="9:40" ht="15.75" customHeight="1">
      <c r="I1659" s="28"/>
      <c r="AD1659" s="9" t="str">
        <f t="shared" si="30"/>
        <v>Actual</v>
      </c>
      <c r="AE1659" s="9" t="str">
        <f t="shared" si="31"/>
        <v/>
      </c>
      <c r="AF1659" s="9">
        <f>HOUR(O1659)</f>
        <v>0</v>
      </c>
      <c r="AG1659" s="9">
        <f>DAY(O1659)</f>
        <v>0</v>
      </c>
      <c r="AH1659" s="9">
        <f>IFERROR((I1659-K1659)*24*60,0)</f>
        <v>0</v>
      </c>
      <c r="AI1659" s="9">
        <f t="shared" si="32"/>
        <v>0</v>
      </c>
      <c r="AJ1659" s="9">
        <f>C1659</f>
        <v>0</v>
      </c>
      <c r="AK1659" s="9">
        <f>IF(P1659="completed",((V1659-K1659)*24*60),0)</f>
        <v>0</v>
      </c>
      <c r="AL1659" s="9">
        <f>IF(P1659="completed",((U1659-K1659)*24*60),0)</f>
        <v>0</v>
      </c>
      <c r="AM1659" s="9" t="str">
        <f t="shared" si="33"/>
        <v>OTP Breached</v>
      </c>
      <c r="AN1659" s="9" t="str">
        <f t="shared" si="34"/>
        <v>OTP Achieved</v>
      </c>
    </row>
    <row r="1660" spans="9:40" ht="15.75" customHeight="1">
      <c r="I1660" s="28"/>
      <c r="AD1660" s="9" t="str">
        <f t="shared" si="30"/>
        <v>Actual</v>
      </c>
      <c r="AE1660" s="9" t="str">
        <f t="shared" si="31"/>
        <v/>
      </c>
      <c r="AF1660" s="9">
        <f>HOUR(O1660)</f>
        <v>0</v>
      </c>
      <c r="AG1660" s="9">
        <f>DAY(O1660)</f>
        <v>0</v>
      </c>
      <c r="AH1660" s="9">
        <f>IFERROR((I1660-K1660)*24*60,0)</f>
        <v>0</v>
      </c>
      <c r="AI1660" s="9">
        <f t="shared" si="32"/>
        <v>0</v>
      </c>
      <c r="AJ1660" s="9">
        <f>C1660</f>
        <v>0</v>
      </c>
      <c r="AK1660" s="9">
        <f>IF(P1660="completed",((V1660-K1660)*24*60),0)</f>
        <v>0</v>
      </c>
      <c r="AL1660" s="9">
        <f>IF(P1660="completed",((U1660-K1660)*24*60),0)</f>
        <v>0</v>
      </c>
      <c r="AM1660" s="9" t="str">
        <f t="shared" si="33"/>
        <v>OTP Breached</v>
      </c>
      <c r="AN1660" s="9" t="str">
        <f t="shared" si="34"/>
        <v>OTP Achieved</v>
      </c>
    </row>
    <row r="1661" spans="9:40" ht="15.75" customHeight="1">
      <c r="I1661" s="28"/>
      <c r="AD1661" s="9" t="str">
        <f t="shared" si="30"/>
        <v>Actual</v>
      </c>
      <c r="AE1661" s="9" t="str">
        <f t="shared" si="31"/>
        <v/>
      </c>
      <c r="AF1661" s="9">
        <f>HOUR(O1661)</f>
        <v>0</v>
      </c>
      <c r="AG1661" s="9">
        <f>DAY(O1661)</f>
        <v>0</v>
      </c>
      <c r="AH1661" s="9">
        <f>IFERROR((I1661-K1661)*24*60,0)</f>
        <v>0</v>
      </c>
      <c r="AI1661" s="9">
        <f t="shared" si="32"/>
        <v>0</v>
      </c>
      <c r="AJ1661" s="9">
        <f>C1661</f>
        <v>0</v>
      </c>
      <c r="AK1661" s="9">
        <f>IF(P1661="completed",((V1661-K1661)*24*60),0)</f>
        <v>0</v>
      </c>
      <c r="AL1661" s="9">
        <f>IF(P1661="completed",((U1661-K1661)*24*60),0)</f>
        <v>0</v>
      </c>
      <c r="AM1661" s="9" t="str">
        <f t="shared" si="33"/>
        <v>OTP Breached</v>
      </c>
      <c r="AN1661" s="9" t="str">
        <f t="shared" si="34"/>
        <v>OTP Achieved</v>
      </c>
    </row>
    <row r="1662" spans="9:40" ht="15.75" customHeight="1">
      <c r="I1662" s="28"/>
      <c r="AD1662" s="9" t="str">
        <f t="shared" si="30"/>
        <v>Actual</v>
      </c>
      <c r="AE1662" s="9" t="str">
        <f t="shared" si="31"/>
        <v/>
      </c>
      <c r="AF1662" s="9">
        <f>HOUR(O1662)</f>
        <v>0</v>
      </c>
      <c r="AG1662" s="9">
        <f>DAY(O1662)</f>
        <v>0</v>
      </c>
      <c r="AH1662" s="9">
        <f>IFERROR((I1662-K1662)*24*60,0)</f>
        <v>0</v>
      </c>
      <c r="AI1662" s="9">
        <f t="shared" si="32"/>
        <v>0</v>
      </c>
      <c r="AJ1662" s="9">
        <f>C1662</f>
        <v>0</v>
      </c>
      <c r="AK1662" s="9">
        <f>IF(P1662="completed",((V1662-K1662)*24*60),0)</f>
        <v>0</v>
      </c>
      <c r="AL1662" s="9">
        <f>IF(P1662="completed",((U1662-K1662)*24*60),0)</f>
        <v>0</v>
      </c>
      <c r="AM1662" s="9" t="str">
        <f t="shared" si="33"/>
        <v>OTP Breached</v>
      </c>
      <c r="AN1662" s="9" t="str">
        <f t="shared" si="34"/>
        <v>OTP Achieved</v>
      </c>
    </row>
    <row r="1663" spans="9:40" ht="15.75" customHeight="1">
      <c r="I1663" s="28"/>
      <c r="AD1663" s="9" t="str">
        <f t="shared" si="30"/>
        <v>Actual</v>
      </c>
      <c r="AE1663" s="9" t="str">
        <f t="shared" si="31"/>
        <v/>
      </c>
      <c r="AF1663" s="9">
        <f>HOUR(O1663)</f>
        <v>0</v>
      </c>
      <c r="AG1663" s="9">
        <f>DAY(O1663)</f>
        <v>0</v>
      </c>
      <c r="AH1663" s="9">
        <f>IFERROR((I1663-K1663)*24*60,0)</f>
        <v>0</v>
      </c>
      <c r="AI1663" s="9">
        <f t="shared" si="32"/>
        <v>0</v>
      </c>
      <c r="AJ1663" s="9">
        <f>C1663</f>
        <v>0</v>
      </c>
      <c r="AK1663" s="9">
        <f>IF(P1663="completed",((V1663-K1663)*24*60),0)</f>
        <v>0</v>
      </c>
      <c r="AL1663" s="9">
        <f>IF(P1663="completed",((U1663-K1663)*24*60),0)</f>
        <v>0</v>
      </c>
      <c r="AM1663" s="9" t="str">
        <f t="shared" si="33"/>
        <v>OTP Breached</v>
      </c>
      <c r="AN1663" s="9" t="str">
        <f t="shared" si="34"/>
        <v>OTP Achieved</v>
      </c>
    </row>
    <row r="1664" spans="9:40" ht="15.75" customHeight="1">
      <c r="I1664" s="28"/>
      <c r="AD1664" s="9" t="str">
        <f t="shared" si="30"/>
        <v>Actual</v>
      </c>
      <c r="AE1664" s="9" t="str">
        <f t="shared" si="31"/>
        <v/>
      </c>
      <c r="AF1664" s="9">
        <f>HOUR(O1664)</f>
        <v>0</v>
      </c>
      <c r="AG1664" s="9">
        <f>DAY(O1664)</f>
        <v>0</v>
      </c>
      <c r="AH1664" s="9">
        <f>IFERROR((I1664-K1664)*24*60,0)</f>
        <v>0</v>
      </c>
      <c r="AI1664" s="9">
        <f t="shared" si="32"/>
        <v>0</v>
      </c>
      <c r="AJ1664" s="9">
        <f>C1664</f>
        <v>0</v>
      </c>
      <c r="AK1664" s="9">
        <f>IF(P1664="completed",((V1664-K1664)*24*60),0)</f>
        <v>0</v>
      </c>
      <c r="AL1664" s="9">
        <f>IF(P1664="completed",((U1664-K1664)*24*60),0)</f>
        <v>0</v>
      </c>
      <c r="AM1664" s="9" t="str">
        <f t="shared" si="33"/>
        <v>OTP Breached</v>
      </c>
      <c r="AN1664" s="9" t="str">
        <f t="shared" si="34"/>
        <v>OTP Achieved</v>
      </c>
    </row>
    <row r="1665" spans="9:40" ht="15.75" customHeight="1">
      <c r="I1665" s="28"/>
      <c r="AD1665" s="9" t="str">
        <f t="shared" si="30"/>
        <v>Actual</v>
      </c>
      <c r="AE1665" s="9" t="str">
        <f t="shared" si="31"/>
        <v/>
      </c>
      <c r="AF1665" s="9">
        <f>HOUR(O1665)</f>
        <v>0</v>
      </c>
      <c r="AG1665" s="9">
        <f>DAY(O1665)</f>
        <v>0</v>
      </c>
      <c r="AH1665" s="9">
        <f>IFERROR((I1665-K1665)*24*60,0)</f>
        <v>0</v>
      </c>
      <c r="AI1665" s="9">
        <f t="shared" si="32"/>
        <v>0</v>
      </c>
      <c r="AJ1665" s="9">
        <f>C1665</f>
        <v>0</v>
      </c>
      <c r="AK1665" s="9">
        <f>IF(P1665="completed",((V1665-K1665)*24*60),0)</f>
        <v>0</v>
      </c>
      <c r="AL1665" s="9">
        <f>IF(P1665="completed",((U1665-K1665)*24*60),0)</f>
        <v>0</v>
      </c>
      <c r="AM1665" s="9" t="str">
        <f t="shared" si="33"/>
        <v>OTP Breached</v>
      </c>
      <c r="AN1665" s="9" t="str">
        <f t="shared" si="34"/>
        <v>OTP Achieved</v>
      </c>
    </row>
    <row r="1666" spans="9:40" ht="15.75" customHeight="1">
      <c r="I1666" s="28"/>
      <c r="AD1666" s="9" t="str">
        <f t="shared" si="30"/>
        <v>Actual</v>
      </c>
      <c r="AE1666" s="9" t="str">
        <f t="shared" si="31"/>
        <v/>
      </c>
      <c r="AF1666" s="9">
        <f>HOUR(O1666)</f>
        <v>0</v>
      </c>
      <c r="AG1666" s="9">
        <f>DAY(O1666)</f>
        <v>0</v>
      </c>
      <c r="AH1666" s="9">
        <f>IFERROR((I1666-K1666)*24*60,0)</f>
        <v>0</v>
      </c>
      <c r="AI1666" s="9">
        <f t="shared" si="32"/>
        <v>0</v>
      </c>
      <c r="AJ1666" s="9">
        <f>C1666</f>
        <v>0</v>
      </c>
      <c r="AK1666" s="9">
        <f>IF(P1666="completed",((V1666-K1666)*24*60),0)</f>
        <v>0</v>
      </c>
      <c r="AL1666" s="9">
        <f>IF(P1666="completed",((U1666-K1666)*24*60),0)</f>
        <v>0</v>
      </c>
      <c r="AM1666" s="9" t="str">
        <f t="shared" si="33"/>
        <v>OTP Breached</v>
      </c>
      <c r="AN1666" s="9" t="str">
        <f t="shared" si="34"/>
        <v>OTP Achieved</v>
      </c>
    </row>
    <row r="1667" spans="9:40" ht="15.75" customHeight="1">
      <c r="I1667" s="28"/>
      <c r="AD1667" s="9" t="str">
        <f t="shared" si="30"/>
        <v>Actual</v>
      </c>
      <c r="AE1667" s="9" t="str">
        <f t="shared" si="31"/>
        <v/>
      </c>
      <c r="AF1667" s="9">
        <f>HOUR(O1667)</f>
        <v>0</v>
      </c>
      <c r="AG1667" s="9">
        <f>DAY(O1667)</f>
        <v>0</v>
      </c>
      <c r="AH1667" s="9">
        <f>IFERROR((I1667-K1667)*24*60,0)</f>
        <v>0</v>
      </c>
      <c r="AI1667" s="9">
        <f t="shared" si="32"/>
        <v>0</v>
      </c>
      <c r="AJ1667" s="9">
        <f>C1667</f>
        <v>0</v>
      </c>
      <c r="AK1667" s="9">
        <f>IF(P1667="completed",((V1667-K1667)*24*60),0)</f>
        <v>0</v>
      </c>
      <c r="AL1667" s="9">
        <f>IF(P1667="completed",((U1667-K1667)*24*60),0)</f>
        <v>0</v>
      </c>
      <c r="AM1667" s="9" t="str">
        <f t="shared" si="33"/>
        <v>OTP Breached</v>
      </c>
      <c r="AN1667" s="9" t="str">
        <f t="shared" si="34"/>
        <v>OTP Achieved</v>
      </c>
    </row>
    <row r="1668" spans="9:40" ht="15.75" customHeight="1">
      <c r="I1668" s="28"/>
      <c r="AD1668" s="9" t="str">
        <f t="shared" si="30"/>
        <v>Actual</v>
      </c>
      <c r="AE1668" s="9" t="str">
        <f t="shared" si="31"/>
        <v/>
      </c>
      <c r="AF1668" s="9">
        <f>HOUR(O1668)</f>
        <v>0</v>
      </c>
      <c r="AG1668" s="9">
        <f>DAY(O1668)</f>
        <v>0</v>
      </c>
      <c r="AH1668" s="9">
        <f>IFERROR((I1668-K1668)*24*60,0)</f>
        <v>0</v>
      </c>
      <c r="AI1668" s="9">
        <f t="shared" si="32"/>
        <v>0</v>
      </c>
      <c r="AJ1668" s="9">
        <f>C1668</f>
        <v>0</v>
      </c>
      <c r="AK1668" s="9">
        <f>IF(P1668="completed",((V1668-K1668)*24*60),0)</f>
        <v>0</v>
      </c>
      <c r="AL1668" s="9">
        <f>IF(P1668="completed",((U1668-K1668)*24*60),0)</f>
        <v>0</v>
      </c>
      <c r="AM1668" s="9" t="str">
        <f t="shared" si="33"/>
        <v>OTP Breached</v>
      </c>
      <c r="AN1668" s="9" t="str">
        <f t="shared" si="34"/>
        <v>OTP Achieved</v>
      </c>
    </row>
    <row r="1669" spans="9:40" ht="15.75" customHeight="1">
      <c r="I1669" s="28"/>
      <c r="AD1669" s="9" t="str">
        <f t="shared" si="30"/>
        <v>Actual</v>
      </c>
      <c r="AE1669" s="9" t="str">
        <f t="shared" si="31"/>
        <v/>
      </c>
      <c r="AF1669" s="9">
        <f>HOUR(O1669)</f>
        <v>0</v>
      </c>
      <c r="AG1669" s="9">
        <f>DAY(O1669)</f>
        <v>0</v>
      </c>
      <c r="AH1669" s="9">
        <f>IFERROR((I1669-K1669)*24*60,0)</f>
        <v>0</v>
      </c>
      <c r="AI1669" s="9">
        <f t="shared" si="32"/>
        <v>0</v>
      </c>
      <c r="AJ1669" s="9">
        <f>C1669</f>
        <v>0</v>
      </c>
      <c r="AK1669" s="9">
        <f>IF(P1669="completed",((V1669-K1669)*24*60),0)</f>
        <v>0</v>
      </c>
      <c r="AL1669" s="9">
        <f>IF(P1669="completed",((U1669-K1669)*24*60),0)</f>
        <v>0</v>
      </c>
      <c r="AM1669" s="9" t="str">
        <f t="shared" si="33"/>
        <v>OTP Breached</v>
      </c>
      <c r="AN1669" s="9" t="str">
        <f t="shared" si="34"/>
        <v>OTP Achieved</v>
      </c>
    </row>
    <row r="1670" spans="9:40" ht="15.75" customHeight="1">
      <c r="I1670" s="28"/>
      <c r="AD1670" s="9" t="str">
        <f t="shared" si="30"/>
        <v>Actual</v>
      </c>
      <c r="AE1670" s="9" t="str">
        <f t="shared" si="31"/>
        <v/>
      </c>
      <c r="AF1670" s="9">
        <f>HOUR(O1670)</f>
        <v>0</v>
      </c>
      <c r="AG1670" s="9">
        <f>DAY(O1670)</f>
        <v>0</v>
      </c>
      <c r="AH1670" s="9">
        <f>IFERROR((I1670-K1670)*24*60,0)</f>
        <v>0</v>
      </c>
      <c r="AI1670" s="9">
        <f t="shared" si="32"/>
        <v>0</v>
      </c>
      <c r="AJ1670" s="9">
        <f>C1670</f>
        <v>0</v>
      </c>
      <c r="AK1670" s="9">
        <f>IF(P1670="completed",((V1670-K1670)*24*60),0)</f>
        <v>0</v>
      </c>
      <c r="AL1670" s="9">
        <f>IF(P1670="completed",((U1670-K1670)*24*60),0)</f>
        <v>0</v>
      </c>
      <c r="AM1670" s="9" t="str">
        <f t="shared" si="33"/>
        <v>OTP Breached</v>
      </c>
      <c r="AN1670" s="9" t="str">
        <f t="shared" si="34"/>
        <v>OTP Achieved</v>
      </c>
    </row>
    <row r="1671" spans="9:40" ht="15.75" customHeight="1">
      <c r="I1671" s="28"/>
      <c r="AD1671" s="9" t="str">
        <f t="shared" si="30"/>
        <v>Actual</v>
      </c>
      <c r="AE1671" s="9" t="str">
        <f t="shared" si="31"/>
        <v/>
      </c>
      <c r="AF1671" s="9">
        <f>HOUR(O1671)</f>
        <v>0</v>
      </c>
      <c r="AG1671" s="9">
        <f>DAY(O1671)</f>
        <v>0</v>
      </c>
      <c r="AH1671" s="9">
        <f>IFERROR((I1671-K1671)*24*60,0)</f>
        <v>0</v>
      </c>
      <c r="AI1671" s="9">
        <f t="shared" si="32"/>
        <v>0</v>
      </c>
      <c r="AJ1671" s="9">
        <f>C1671</f>
        <v>0</v>
      </c>
      <c r="AK1671" s="9">
        <f>IF(P1671="completed",((V1671-K1671)*24*60),0)</f>
        <v>0</v>
      </c>
      <c r="AL1671" s="9">
        <f>IF(P1671="completed",((U1671-K1671)*24*60),0)</f>
        <v>0</v>
      </c>
      <c r="AM1671" s="9" t="str">
        <f t="shared" si="33"/>
        <v>OTP Breached</v>
      </c>
      <c r="AN1671" s="9" t="str">
        <f t="shared" si="34"/>
        <v>OTP Achieved</v>
      </c>
    </row>
    <row r="1672" spans="9:40" ht="15.75" customHeight="1">
      <c r="I1672" s="28"/>
      <c r="AD1672" s="9" t="str">
        <f t="shared" si="30"/>
        <v>Actual</v>
      </c>
      <c r="AE1672" s="9" t="str">
        <f t="shared" si="31"/>
        <v/>
      </c>
      <c r="AF1672" s="9">
        <f>HOUR(O1672)</f>
        <v>0</v>
      </c>
      <c r="AG1672" s="9">
        <f>DAY(O1672)</f>
        <v>0</v>
      </c>
      <c r="AH1672" s="9">
        <f>IFERROR((I1672-K1672)*24*60,0)</f>
        <v>0</v>
      </c>
      <c r="AI1672" s="9">
        <f t="shared" si="32"/>
        <v>0</v>
      </c>
      <c r="AJ1672" s="9">
        <f>C1672</f>
        <v>0</v>
      </c>
      <c r="AK1672" s="9">
        <f>IF(P1672="completed",((V1672-K1672)*24*60),0)</f>
        <v>0</v>
      </c>
      <c r="AL1672" s="9">
        <f>IF(P1672="completed",((U1672-K1672)*24*60),0)</f>
        <v>0</v>
      </c>
      <c r="AM1672" s="9" t="str">
        <f t="shared" si="33"/>
        <v>OTP Breached</v>
      </c>
      <c r="AN1672" s="9" t="str">
        <f t="shared" si="34"/>
        <v>OTP Achieved</v>
      </c>
    </row>
    <row r="1673" spans="9:40" ht="15.75" customHeight="1">
      <c r="I1673" s="28"/>
      <c r="AD1673" s="9" t="str">
        <f t="shared" si="30"/>
        <v>Actual</v>
      </c>
      <c r="AE1673" s="9" t="str">
        <f t="shared" si="31"/>
        <v/>
      </c>
      <c r="AF1673" s="9">
        <f>HOUR(O1673)</f>
        <v>0</v>
      </c>
      <c r="AG1673" s="9">
        <f>DAY(O1673)</f>
        <v>0</v>
      </c>
      <c r="AH1673" s="9">
        <f>IFERROR((I1673-K1673)*24*60,0)</f>
        <v>0</v>
      </c>
      <c r="AI1673" s="9">
        <f t="shared" si="32"/>
        <v>0</v>
      </c>
      <c r="AJ1673" s="9">
        <f>C1673</f>
        <v>0</v>
      </c>
      <c r="AK1673" s="9">
        <f>IF(P1673="completed",((V1673-K1673)*24*60),0)</f>
        <v>0</v>
      </c>
      <c r="AL1673" s="9">
        <f>IF(P1673="completed",((U1673-K1673)*24*60),0)</f>
        <v>0</v>
      </c>
      <c r="AM1673" s="9" t="str">
        <f t="shared" si="33"/>
        <v>OTP Breached</v>
      </c>
      <c r="AN1673" s="9" t="str">
        <f t="shared" si="34"/>
        <v>OTP Achieved</v>
      </c>
    </row>
    <row r="1674" spans="9:40" ht="15.75" customHeight="1">
      <c r="I1674" s="28"/>
      <c r="AD1674" s="9" t="str">
        <f t="shared" si="30"/>
        <v>Actual</v>
      </c>
      <c r="AE1674" s="9" t="str">
        <f t="shared" si="31"/>
        <v/>
      </c>
      <c r="AF1674" s="9">
        <f>HOUR(O1674)</f>
        <v>0</v>
      </c>
      <c r="AG1674" s="9">
        <f>DAY(O1674)</f>
        <v>0</v>
      </c>
      <c r="AH1674" s="9">
        <f>IFERROR((I1674-K1674)*24*60,0)</f>
        <v>0</v>
      </c>
      <c r="AI1674" s="9">
        <f t="shared" si="32"/>
        <v>0</v>
      </c>
      <c r="AJ1674" s="9">
        <f>C1674</f>
        <v>0</v>
      </c>
      <c r="AK1674" s="9">
        <f>IF(P1674="completed",((V1674-K1674)*24*60),0)</f>
        <v>0</v>
      </c>
      <c r="AL1674" s="9">
        <f>IF(P1674="completed",((U1674-K1674)*24*60),0)</f>
        <v>0</v>
      </c>
      <c r="AM1674" s="9" t="str">
        <f t="shared" si="33"/>
        <v>OTP Breached</v>
      </c>
      <c r="AN1674" s="9" t="str">
        <f t="shared" si="34"/>
        <v>OTP Achieved</v>
      </c>
    </row>
    <row r="1675" spans="9:40" ht="15.75" customHeight="1">
      <c r="I1675" s="28"/>
      <c r="AD1675" s="9" t="str">
        <f t="shared" si="30"/>
        <v>Actual</v>
      </c>
      <c r="AE1675" s="9" t="str">
        <f t="shared" si="31"/>
        <v/>
      </c>
      <c r="AF1675" s="9">
        <f>HOUR(O1675)</f>
        <v>0</v>
      </c>
      <c r="AG1675" s="9">
        <f>DAY(O1675)</f>
        <v>0</v>
      </c>
      <c r="AH1675" s="9">
        <f>IFERROR((I1675-K1675)*24*60,0)</f>
        <v>0</v>
      </c>
      <c r="AI1675" s="9">
        <f t="shared" si="32"/>
        <v>0</v>
      </c>
      <c r="AJ1675" s="9">
        <f>C1675</f>
        <v>0</v>
      </c>
      <c r="AK1675" s="9">
        <f>IF(P1675="completed",((V1675-K1675)*24*60),0)</f>
        <v>0</v>
      </c>
      <c r="AL1675" s="9">
        <f>IF(P1675="completed",((U1675-K1675)*24*60),0)</f>
        <v>0</v>
      </c>
      <c r="AM1675" s="9" t="str">
        <f t="shared" si="33"/>
        <v>OTP Breached</v>
      </c>
      <c r="AN1675" s="9" t="str">
        <f t="shared" si="34"/>
        <v>OTP Achieved</v>
      </c>
    </row>
    <row r="1676" spans="9:40" ht="15.75" customHeight="1">
      <c r="I1676" s="28"/>
      <c r="AD1676" s="9" t="str">
        <f t="shared" si="30"/>
        <v>Actual</v>
      </c>
      <c r="AE1676" s="9" t="str">
        <f t="shared" si="31"/>
        <v/>
      </c>
      <c r="AF1676" s="9">
        <f>HOUR(O1676)</f>
        <v>0</v>
      </c>
      <c r="AG1676" s="9">
        <f>DAY(O1676)</f>
        <v>0</v>
      </c>
      <c r="AH1676" s="9">
        <f>IFERROR((I1676-K1676)*24*60,0)</f>
        <v>0</v>
      </c>
      <c r="AI1676" s="9">
        <f t="shared" si="32"/>
        <v>0</v>
      </c>
      <c r="AJ1676" s="9">
        <f>C1676</f>
        <v>0</v>
      </c>
      <c r="AK1676" s="9">
        <f>IF(P1676="completed",((V1676-K1676)*24*60),0)</f>
        <v>0</v>
      </c>
      <c r="AL1676" s="9">
        <f>IF(P1676="completed",((U1676-K1676)*24*60),0)</f>
        <v>0</v>
      </c>
      <c r="AM1676" s="9" t="str">
        <f t="shared" si="33"/>
        <v>OTP Breached</v>
      </c>
      <c r="AN1676" s="9" t="str">
        <f t="shared" si="34"/>
        <v>OTP Achieved</v>
      </c>
    </row>
    <row r="1677" spans="9:40" ht="15.75" customHeight="1">
      <c r="I1677" s="28"/>
      <c r="AD1677" s="9" t="str">
        <f t="shared" si="30"/>
        <v>Actual</v>
      </c>
      <c r="AE1677" s="9" t="str">
        <f t="shared" si="31"/>
        <v/>
      </c>
      <c r="AF1677" s="9">
        <f>HOUR(O1677)</f>
        <v>0</v>
      </c>
      <c r="AG1677" s="9">
        <f>DAY(O1677)</f>
        <v>0</v>
      </c>
      <c r="AH1677" s="9">
        <f>IFERROR((I1677-K1677)*24*60,0)</f>
        <v>0</v>
      </c>
      <c r="AI1677" s="9">
        <f t="shared" si="32"/>
        <v>0</v>
      </c>
      <c r="AJ1677" s="9">
        <f>C1677</f>
        <v>0</v>
      </c>
      <c r="AK1677" s="9">
        <f>IF(P1677="completed",((V1677-K1677)*24*60),0)</f>
        <v>0</v>
      </c>
      <c r="AL1677" s="9">
        <f>IF(P1677="completed",((U1677-K1677)*24*60),0)</f>
        <v>0</v>
      </c>
      <c r="AM1677" s="9" t="str">
        <f t="shared" si="33"/>
        <v>OTP Breached</v>
      </c>
      <c r="AN1677" s="9" t="str">
        <f t="shared" si="34"/>
        <v>OTP Achieved</v>
      </c>
    </row>
    <row r="1678" spans="9:40" ht="15.75" customHeight="1">
      <c r="I1678" s="28"/>
      <c r="AD1678" s="9" t="str">
        <f t="shared" si="30"/>
        <v>Actual</v>
      </c>
      <c r="AE1678" s="9" t="str">
        <f t="shared" si="31"/>
        <v/>
      </c>
      <c r="AF1678" s="9">
        <f>HOUR(O1678)</f>
        <v>0</v>
      </c>
      <c r="AG1678" s="9">
        <f>DAY(O1678)</f>
        <v>0</v>
      </c>
      <c r="AH1678" s="9">
        <f>IFERROR((I1678-K1678)*24*60,0)</f>
        <v>0</v>
      </c>
      <c r="AI1678" s="9">
        <f t="shared" si="32"/>
        <v>0</v>
      </c>
      <c r="AJ1678" s="9">
        <f>C1678</f>
        <v>0</v>
      </c>
      <c r="AK1678" s="9">
        <f>IF(P1678="completed",((V1678-K1678)*24*60),0)</f>
        <v>0</v>
      </c>
      <c r="AL1678" s="9">
        <f>IF(P1678="completed",((U1678-K1678)*24*60),0)</f>
        <v>0</v>
      </c>
      <c r="AM1678" s="9" t="str">
        <f t="shared" si="33"/>
        <v>OTP Breached</v>
      </c>
      <c r="AN1678" s="9" t="str">
        <f t="shared" si="34"/>
        <v>OTP Achieved</v>
      </c>
    </row>
    <row r="1679" spans="9:40" ht="15.75" customHeight="1">
      <c r="I1679" s="28"/>
      <c r="AD1679" s="9" t="str">
        <f t="shared" si="30"/>
        <v>Actual</v>
      </c>
      <c r="AE1679" s="9" t="str">
        <f t="shared" si="31"/>
        <v/>
      </c>
      <c r="AF1679" s="9">
        <f>HOUR(O1679)</f>
        <v>0</v>
      </c>
      <c r="AG1679" s="9">
        <f>DAY(O1679)</f>
        <v>0</v>
      </c>
      <c r="AH1679" s="9">
        <f>IFERROR((I1679-K1679)*24*60,0)</f>
        <v>0</v>
      </c>
      <c r="AI1679" s="9">
        <f t="shared" si="32"/>
        <v>0</v>
      </c>
      <c r="AJ1679" s="9">
        <f>C1679</f>
        <v>0</v>
      </c>
      <c r="AK1679" s="9">
        <f>IF(P1679="completed",((V1679-K1679)*24*60),0)</f>
        <v>0</v>
      </c>
      <c r="AL1679" s="9">
        <f>IF(P1679="completed",((U1679-K1679)*24*60),0)</f>
        <v>0</v>
      </c>
      <c r="AM1679" s="9" t="str">
        <f t="shared" si="33"/>
        <v>OTP Breached</v>
      </c>
      <c r="AN1679" s="9" t="str">
        <f t="shared" si="34"/>
        <v>OTP Achieved</v>
      </c>
    </row>
    <row r="1680" spans="9:40" ht="15.75" customHeight="1">
      <c r="I1680" s="28"/>
      <c r="AD1680" s="9" t="str">
        <f t="shared" si="30"/>
        <v>Actual</v>
      </c>
      <c r="AE1680" s="9" t="str">
        <f t="shared" si="31"/>
        <v/>
      </c>
      <c r="AF1680" s="9">
        <f>HOUR(O1680)</f>
        <v>0</v>
      </c>
      <c r="AG1680" s="9">
        <f>DAY(O1680)</f>
        <v>0</v>
      </c>
      <c r="AH1680" s="9">
        <f>IFERROR((I1680-K1680)*24*60,0)</f>
        <v>0</v>
      </c>
      <c r="AI1680" s="9">
        <f t="shared" si="32"/>
        <v>0</v>
      </c>
      <c r="AJ1680" s="9">
        <f>C1680</f>
        <v>0</v>
      </c>
      <c r="AK1680" s="9">
        <f>IF(P1680="completed",((V1680-K1680)*24*60),0)</f>
        <v>0</v>
      </c>
      <c r="AL1680" s="9">
        <f>IF(P1680="completed",((U1680-K1680)*24*60),0)</f>
        <v>0</v>
      </c>
      <c r="AM1680" s="9" t="str">
        <f t="shared" si="33"/>
        <v>OTP Breached</v>
      </c>
      <c r="AN1680" s="9" t="str">
        <f t="shared" si="34"/>
        <v>OTP Achieved</v>
      </c>
    </row>
    <row r="1681" spans="9:40" ht="15.75" customHeight="1">
      <c r="I1681" s="28"/>
      <c r="AD1681" s="9" t="str">
        <f t="shared" si="30"/>
        <v>Actual</v>
      </c>
      <c r="AE1681" s="9" t="str">
        <f t="shared" si="31"/>
        <v/>
      </c>
      <c r="AF1681" s="9">
        <f>HOUR(O1681)</f>
        <v>0</v>
      </c>
      <c r="AG1681" s="9">
        <f>DAY(O1681)</f>
        <v>0</v>
      </c>
      <c r="AH1681" s="9">
        <f>IFERROR((I1681-K1681)*24*60,0)</f>
        <v>0</v>
      </c>
      <c r="AI1681" s="9">
        <f t="shared" si="32"/>
        <v>0</v>
      </c>
      <c r="AJ1681" s="9">
        <f>C1681</f>
        <v>0</v>
      </c>
      <c r="AK1681" s="9">
        <f>IF(P1681="completed",((V1681-K1681)*24*60),0)</f>
        <v>0</v>
      </c>
      <c r="AL1681" s="9">
        <f>IF(P1681="completed",((U1681-K1681)*24*60),0)</f>
        <v>0</v>
      </c>
      <c r="AM1681" s="9" t="str">
        <f t="shared" si="33"/>
        <v>OTP Breached</v>
      </c>
      <c r="AN1681" s="9" t="str">
        <f t="shared" si="34"/>
        <v>OTP Achieved</v>
      </c>
    </row>
    <row r="1682" spans="9:40" ht="15.75" customHeight="1">
      <c r="I1682" s="28"/>
      <c r="AD1682" s="9" t="str">
        <f t="shared" si="30"/>
        <v>Actual</v>
      </c>
      <c r="AE1682" s="9" t="str">
        <f t="shared" si="31"/>
        <v/>
      </c>
      <c r="AF1682" s="9">
        <f>HOUR(O1682)</f>
        <v>0</v>
      </c>
      <c r="AG1682" s="9">
        <f>DAY(O1682)</f>
        <v>0</v>
      </c>
      <c r="AH1682" s="9">
        <f>IFERROR((I1682-K1682)*24*60,0)</f>
        <v>0</v>
      </c>
      <c r="AI1682" s="9">
        <f t="shared" si="32"/>
        <v>0</v>
      </c>
      <c r="AJ1682" s="9">
        <f>C1682</f>
        <v>0</v>
      </c>
      <c r="AK1682" s="9">
        <f>IF(P1682="completed",((V1682-K1682)*24*60),0)</f>
        <v>0</v>
      </c>
      <c r="AL1682" s="9">
        <f>IF(P1682="completed",((U1682-K1682)*24*60),0)</f>
        <v>0</v>
      </c>
      <c r="AM1682" s="9" t="str">
        <f t="shared" si="33"/>
        <v>OTP Breached</v>
      </c>
      <c r="AN1682" s="9" t="str">
        <f t="shared" si="34"/>
        <v>OTP Achieved</v>
      </c>
    </row>
    <row r="1683" spans="9:40" ht="15.75" customHeight="1">
      <c r="I1683" s="28"/>
      <c r="AD1683" s="9" t="str">
        <f t="shared" si="30"/>
        <v>Actual</v>
      </c>
      <c r="AE1683" s="9" t="str">
        <f t="shared" si="31"/>
        <v/>
      </c>
      <c r="AF1683" s="9">
        <f>HOUR(O1683)</f>
        <v>0</v>
      </c>
      <c r="AG1683" s="9">
        <f>DAY(O1683)</f>
        <v>0</v>
      </c>
      <c r="AH1683" s="9">
        <f>IFERROR((I1683-K1683)*24*60,0)</f>
        <v>0</v>
      </c>
      <c r="AI1683" s="9">
        <f t="shared" si="32"/>
        <v>0</v>
      </c>
      <c r="AJ1683" s="9">
        <f>C1683</f>
        <v>0</v>
      </c>
      <c r="AK1683" s="9">
        <f>IF(P1683="completed",((V1683-K1683)*24*60),0)</f>
        <v>0</v>
      </c>
      <c r="AL1683" s="9">
        <f>IF(P1683="completed",((U1683-K1683)*24*60),0)</f>
        <v>0</v>
      </c>
      <c r="AM1683" s="9" t="str">
        <f t="shared" si="33"/>
        <v>OTP Breached</v>
      </c>
      <c r="AN1683" s="9" t="str">
        <f t="shared" si="34"/>
        <v>OTP Achieved</v>
      </c>
    </row>
    <row r="1684" spans="9:40" ht="15.75" customHeight="1">
      <c r="I1684" s="28"/>
      <c r="AD1684" s="9" t="str">
        <f t="shared" si="30"/>
        <v>Actual</v>
      </c>
      <c r="AE1684" s="9" t="str">
        <f t="shared" si="31"/>
        <v/>
      </c>
      <c r="AF1684" s="9">
        <f>HOUR(O1684)</f>
        <v>0</v>
      </c>
      <c r="AG1684" s="9">
        <f>DAY(O1684)</f>
        <v>0</v>
      </c>
      <c r="AH1684" s="9">
        <f>IFERROR((I1684-K1684)*24*60,0)</f>
        <v>0</v>
      </c>
      <c r="AI1684" s="9">
        <f t="shared" si="32"/>
        <v>0</v>
      </c>
      <c r="AJ1684" s="9">
        <f>C1684</f>
        <v>0</v>
      </c>
      <c r="AK1684" s="9">
        <f>IF(P1684="completed",((V1684-K1684)*24*60),0)</f>
        <v>0</v>
      </c>
      <c r="AL1684" s="9">
        <f>IF(P1684="completed",((U1684-K1684)*24*60),0)</f>
        <v>0</v>
      </c>
      <c r="AM1684" s="9" t="str">
        <f t="shared" si="33"/>
        <v>OTP Breached</v>
      </c>
      <c r="AN1684" s="9" t="str">
        <f t="shared" si="34"/>
        <v>OTP Achieved</v>
      </c>
    </row>
    <row r="1685" spans="9:40" ht="15.75" customHeight="1">
      <c r="I1685" s="28"/>
      <c r="AD1685" s="9" t="str">
        <f t="shared" si="30"/>
        <v>Actual</v>
      </c>
      <c r="AE1685" s="9" t="str">
        <f t="shared" si="31"/>
        <v/>
      </c>
      <c r="AF1685" s="9">
        <f>HOUR(O1685)</f>
        <v>0</v>
      </c>
      <c r="AG1685" s="9">
        <f>DAY(O1685)</f>
        <v>0</v>
      </c>
      <c r="AH1685" s="9">
        <f>IFERROR((I1685-K1685)*24*60,0)</f>
        <v>0</v>
      </c>
      <c r="AI1685" s="9">
        <f t="shared" si="32"/>
        <v>0</v>
      </c>
      <c r="AJ1685" s="9">
        <f>C1685</f>
        <v>0</v>
      </c>
      <c r="AK1685" s="9">
        <f>IF(P1685="completed",((V1685-K1685)*24*60),0)</f>
        <v>0</v>
      </c>
      <c r="AL1685" s="9">
        <f>IF(P1685="completed",((U1685-K1685)*24*60),0)</f>
        <v>0</v>
      </c>
      <c r="AM1685" s="9" t="str">
        <f t="shared" si="33"/>
        <v>OTP Breached</v>
      </c>
      <c r="AN1685" s="9" t="str">
        <f t="shared" si="34"/>
        <v>OTP Achieved</v>
      </c>
    </row>
    <row r="1686" spans="9:40" ht="15.75" customHeight="1">
      <c r="I1686" s="28"/>
      <c r="AD1686" s="9" t="str">
        <f t="shared" si="30"/>
        <v>Actual</v>
      </c>
      <c r="AE1686" s="9" t="str">
        <f t="shared" si="31"/>
        <v/>
      </c>
      <c r="AF1686" s="9">
        <f>HOUR(O1686)</f>
        <v>0</v>
      </c>
      <c r="AG1686" s="9">
        <f>DAY(O1686)</f>
        <v>0</v>
      </c>
      <c r="AH1686" s="9">
        <f>IFERROR((I1686-K1686)*24*60,0)</f>
        <v>0</v>
      </c>
      <c r="AI1686" s="9">
        <f t="shared" si="32"/>
        <v>0</v>
      </c>
      <c r="AJ1686" s="9">
        <f>C1686</f>
        <v>0</v>
      </c>
      <c r="AK1686" s="9">
        <f>IF(P1686="completed",((V1686-K1686)*24*60),0)</f>
        <v>0</v>
      </c>
      <c r="AL1686" s="9">
        <f>IF(P1686="completed",((U1686-K1686)*24*60),0)</f>
        <v>0</v>
      </c>
      <c r="AM1686" s="9" t="str">
        <f t="shared" si="33"/>
        <v>OTP Breached</v>
      </c>
      <c r="AN1686" s="9" t="str">
        <f t="shared" si="34"/>
        <v>OTP Achieved</v>
      </c>
    </row>
    <row r="1687" spans="9:40" ht="15.75" customHeight="1">
      <c r="I1687" s="28"/>
      <c r="AD1687" s="9" t="str">
        <f t="shared" si="30"/>
        <v>Actual</v>
      </c>
      <c r="AE1687" s="9" t="str">
        <f t="shared" si="31"/>
        <v/>
      </c>
      <c r="AF1687" s="9">
        <f>HOUR(O1687)</f>
        <v>0</v>
      </c>
      <c r="AG1687" s="9">
        <f>DAY(O1687)</f>
        <v>0</v>
      </c>
      <c r="AH1687" s="9">
        <f>IFERROR((I1687-K1687)*24*60,0)</f>
        <v>0</v>
      </c>
      <c r="AI1687" s="9">
        <f t="shared" si="32"/>
        <v>0</v>
      </c>
      <c r="AJ1687" s="9">
        <f>C1687</f>
        <v>0</v>
      </c>
      <c r="AK1687" s="9">
        <f>IF(P1687="completed",((V1687-K1687)*24*60),0)</f>
        <v>0</v>
      </c>
      <c r="AL1687" s="9">
        <f>IF(P1687="completed",((U1687-K1687)*24*60),0)</f>
        <v>0</v>
      </c>
      <c r="AM1687" s="9" t="str">
        <f t="shared" si="33"/>
        <v>OTP Breached</v>
      </c>
      <c r="AN1687" s="9" t="str">
        <f t="shared" si="34"/>
        <v>OTP Achieved</v>
      </c>
    </row>
    <row r="1688" spans="9:40" ht="15.75" customHeight="1">
      <c r="I1688" s="28"/>
      <c r="AD1688" s="9" t="str">
        <f t="shared" si="30"/>
        <v>Actual</v>
      </c>
      <c r="AE1688" s="9" t="str">
        <f t="shared" si="31"/>
        <v/>
      </c>
      <c r="AF1688" s="9">
        <f>HOUR(O1688)</f>
        <v>0</v>
      </c>
      <c r="AG1688" s="9">
        <f>DAY(O1688)</f>
        <v>0</v>
      </c>
      <c r="AH1688" s="9">
        <f>IFERROR((I1688-K1688)*24*60,0)</f>
        <v>0</v>
      </c>
      <c r="AI1688" s="9">
        <f t="shared" si="32"/>
        <v>0</v>
      </c>
      <c r="AJ1688" s="9">
        <f>C1688</f>
        <v>0</v>
      </c>
      <c r="AK1688" s="9">
        <f>IF(P1688="completed",((V1688-K1688)*24*60),0)</f>
        <v>0</v>
      </c>
      <c r="AL1688" s="9">
        <f>IF(P1688="completed",((U1688-K1688)*24*60),0)</f>
        <v>0</v>
      </c>
      <c r="AM1688" s="9" t="str">
        <f t="shared" si="33"/>
        <v>OTP Breached</v>
      </c>
      <c r="AN1688" s="9" t="str">
        <f t="shared" si="34"/>
        <v>OTP Achieved</v>
      </c>
    </row>
    <row r="1689" spans="9:40" ht="15.75" customHeight="1">
      <c r="I1689" s="28"/>
      <c r="AD1689" s="9" t="str">
        <f t="shared" si="30"/>
        <v>Actual</v>
      </c>
      <c r="AE1689" s="9" t="str">
        <f t="shared" si="31"/>
        <v/>
      </c>
      <c r="AF1689" s="9">
        <f>HOUR(O1689)</f>
        <v>0</v>
      </c>
      <c r="AG1689" s="9">
        <f>DAY(O1689)</f>
        <v>0</v>
      </c>
      <c r="AH1689" s="9">
        <f>IFERROR((I1689-K1689)*24*60,0)</f>
        <v>0</v>
      </c>
      <c r="AI1689" s="9">
        <f t="shared" si="32"/>
        <v>0</v>
      </c>
      <c r="AJ1689" s="9">
        <f>C1689</f>
        <v>0</v>
      </c>
      <c r="AK1689" s="9">
        <f>IF(P1689="completed",((V1689-K1689)*24*60),0)</f>
        <v>0</v>
      </c>
      <c r="AL1689" s="9">
        <f>IF(P1689="completed",((U1689-K1689)*24*60),0)</f>
        <v>0</v>
      </c>
      <c r="AM1689" s="9" t="str">
        <f t="shared" si="33"/>
        <v>OTP Breached</v>
      </c>
      <c r="AN1689" s="9" t="str">
        <f t="shared" si="34"/>
        <v>OTP Achieved</v>
      </c>
    </row>
    <row r="1690" spans="9:40" ht="15.75" customHeight="1">
      <c r="I1690" s="28"/>
      <c r="AD1690" s="9" t="str">
        <f t="shared" si="30"/>
        <v>Actual</v>
      </c>
      <c r="AE1690" s="9" t="str">
        <f t="shared" si="31"/>
        <v/>
      </c>
      <c r="AF1690" s="9">
        <f>HOUR(O1690)</f>
        <v>0</v>
      </c>
      <c r="AG1690" s="9">
        <f>DAY(O1690)</f>
        <v>0</v>
      </c>
      <c r="AH1690" s="9">
        <f>IFERROR((I1690-K1690)*24*60,0)</f>
        <v>0</v>
      </c>
      <c r="AI1690" s="9">
        <f t="shared" si="32"/>
        <v>0</v>
      </c>
      <c r="AJ1690" s="9">
        <f>C1690</f>
        <v>0</v>
      </c>
      <c r="AK1690" s="9">
        <f>IF(P1690="completed",((V1690-K1690)*24*60),0)</f>
        <v>0</v>
      </c>
      <c r="AL1690" s="9">
        <f>IF(P1690="completed",((U1690-K1690)*24*60),0)</f>
        <v>0</v>
      </c>
      <c r="AM1690" s="9" t="str">
        <f t="shared" si="33"/>
        <v>OTP Breached</v>
      </c>
      <c r="AN1690" s="9" t="str">
        <f t="shared" si="34"/>
        <v>OTP Achieved</v>
      </c>
    </row>
    <row r="1691" spans="9:40" ht="15.75" customHeight="1">
      <c r="I1691" s="28"/>
      <c r="AD1691" s="9" t="str">
        <f t="shared" si="30"/>
        <v>Actual</v>
      </c>
      <c r="AE1691" s="9" t="str">
        <f t="shared" si="31"/>
        <v/>
      </c>
      <c r="AF1691" s="9">
        <f>HOUR(O1691)</f>
        <v>0</v>
      </c>
      <c r="AG1691" s="9">
        <f>DAY(O1691)</f>
        <v>0</v>
      </c>
      <c r="AH1691" s="9">
        <f>IFERROR((I1691-K1691)*24*60,0)</f>
        <v>0</v>
      </c>
      <c r="AI1691" s="9">
        <f t="shared" si="32"/>
        <v>0</v>
      </c>
      <c r="AJ1691" s="9">
        <f>C1691</f>
        <v>0</v>
      </c>
      <c r="AK1691" s="9">
        <f>IF(P1691="completed",((V1691-K1691)*24*60),0)</f>
        <v>0</v>
      </c>
      <c r="AL1691" s="9">
        <f>IF(P1691="completed",((U1691-K1691)*24*60),0)</f>
        <v>0</v>
      </c>
      <c r="AM1691" s="9" t="str">
        <f t="shared" si="33"/>
        <v>OTP Breached</v>
      </c>
      <c r="AN1691" s="9" t="str">
        <f t="shared" si="34"/>
        <v>OTP Achieved</v>
      </c>
    </row>
    <row r="1692" spans="9:40" ht="15.75" customHeight="1">
      <c r="I1692" s="28"/>
      <c r="AD1692" s="9" t="str">
        <f t="shared" si="30"/>
        <v>Actual</v>
      </c>
      <c r="AE1692" s="9" t="str">
        <f t="shared" si="31"/>
        <v/>
      </c>
      <c r="AF1692" s="9">
        <f>HOUR(O1692)</f>
        <v>0</v>
      </c>
      <c r="AG1692" s="9">
        <f>DAY(O1692)</f>
        <v>0</v>
      </c>
      <c r="AH1692" s="9">
        <f>IFERROR((I1692-K1692)*24*60,0)</f>
        <v>0</v>
      </c>
      <c r="AI1692" s="9">
        <f t="shared" si="32"/>
        <v>0</v>
      </c>
      <c r="AJ1692" s="9">
        <f>C1692</f>
        <v>0</v>
      </c>
      <c r="AK1692" s="9">
        <f>IF(P1692="completed",((V1692-K1692)*24*60),0)</f>
        <v>0</v>
      </c>
      <c r="AL1692" s="9">
        <f>IF(P1692="completed",((U1692-K1692)*24*60),0)</f>
        <v>0</v>
      </c>
      <c r="AM1692" s="9" t="str">
        <f t="shared" si="33"/>
        <v>OTP Breached</v>
      </c>
      <c r="AN1692" s="9" t="str">
        <f t="shared" si="34"/>
        <v>OTP Achieved</v>
      </c>
    </row>
    <row r="1693" spans="9:40" ht="15.75" customHeight="1">
      <c r="I1693" s="28"/>
      <c r="AD1693" s="9" t="str">
        <f t="shared" si="30"/>
        <v>Actual</v>
      </c>
      <c r="AE1693" s="9" t="str">
        <f t="shared" si="31"/>
        <v/>
      </c>
      <c r="AF1693" s="9">
        <f>HOUR(O1693)</f>
        <v>0</v>
      </c>
      <c r="AG1693" s="9">
        <f>DAY(O1693)</f>
        <v>0</v>
      </c>
      <c r="AH1693" s="9">
        <f>IFERROR((I1693-K1693)*24*60,0)</f>
        <v>0</v>
      </c>
      <c r="AI1693" s="9">
        <f t="shared" si="32"/>
        <v>0</v>
      </c>
      <c r="AJ1693" s="9">
        <f>C1693</f>
        <v>0</v>
      </c>
      <c r="AK1693" s="9">
        <f>IF(P1693="completed",((V1693-K1693)*24*60),0)</f>
        <v>0</v>
      </c>
      <c r="AL1693" s="9">
        <f>IF(P1693="completed",((U1693-K1693)*24*60),0)</f>
        <v>0</v>
      </c>
      <c r="AM1693" s="9" t="str">
        <f t="shared" si="33"/>
        <v>OTP Breached</v>
      </c>
      <c r="AN1693" s="9" t="str">
        <f t="shared" si="34"/>
        <v>OTP Achieved</v>
      </c>
    </row>
    <row r="1694" spans="9:40" ht="15.75" customHeight="1">
      <c r="I1694" s="28"/>
      <c r="AD1694" s="9" t="str">
        <f t="shared" si="30"/>
        <v>Actual</v>
      </c>
      <c r="AE1694" s="9" t="str">
        <f t="shared" si="31"/>
        <v/>
      </c>
      <c r="AF1694" s="9">
        <f>HOUR(O1694)</f>
        <v>0</v>
      </c>
      <c r="AG1694" s="9">
        <f>DAY(O1694)</f>
        <v>0</v>
      </c>
      <c r="AH1694" s="9">
        <f>IFERROR((I1694-K1694)*24*60,0)</f>
        <v>0</v>
      </c>
      <c r="AI1694" s="9">
        <f t="shared" si="32"/>
        <v>0</v>
      </c>
      <c r="AJ1694" s="9">
        <f>C1694</f>
        <v>0</v>
      </c>
      <c r="AK1694" s="9">
        <f>IF(P1694="completed",((V1694-K1694)*24*60),0)</f>
        <v>0</v>
      </c>
      <c r="AL1694" s="9">
        <f>IF(P1694="completed",((U1694-K1694)*24*60),0)</f>
        <v>0</v>
      </c>
      <c r="AM1694" s="9" t="str">
        <f t="shared" si="33"/>
        <v>OTP Breached</v>
      </c>
      <c r="AN1694" s="9" t="str">
        <f t="shared" si="34"/>
        <v>OTP Achieved</v>
      </c>
    </row>
    <row r="1695" spans="9:40" ht="15.75" customHeight="1">
      <c r="I1695" s="28"/>
      <c r="AD1695" s="9" t="str">
        <f t="shared" si="30"/>
        <v>Actual</v>
      </c>
      <c r="AE1695" s="9" t="str">
        <f t="shared" si="31"/>
        <v/>
      </c>
      <c r="AF1695" s="9">
        <f>HOUR(O1695)</f>
        <v>0</v>
      </c>
      <c r="AG1695" s="9">
        <f>DAY(O1695)</f>
        <v>0</v>
      </c>
      <c r="AH1695" s="9">
        <f>IFERROR((I1695-K1695)*24*60,0)</f>
        <v>0</v>
      </c>
      <c r="AI1695" s="9">
        <f t="shared" si="32"/>
        <v>0</v>
      </c>
      <c r="AJ1695" s="9">
        <f>C1695</f>
        <v>0</v>
      </c>
      <c r="AK1695" s="9">
        <f>IF(P1695="completed",((V1695-K1695)*24*60),0)</f>
        <v>0</v>
      </c>
      <c r="AL1695" s="9">
        <f>IF(P1695="completed",((U1695-K1695)*24*60),0)</f>
        <v>0</v>
      </c>
      <c r="AM1695" s="9" t="str">
        <f t="shared" si="33"/>
        <v>OTP Breached</v>
      </c>
      <c r="AN1695" s="9" t="str">
        <f t="shared" si="34"/>
        <v>OTP Achieved</v>
      </c>
    </row>
    <row r="1696" spans="9:40" ht="15.75" customHeight="1">
      <c r="I1696" s="28"/>
      <c r="AD1696" s="9" t="str">
        <f t="shared" si="30"/>
        <v>Actual</v>
      </c>
      <c r="AE1696" s="9" t="str">
        <f t="shared" si="31"/>
        <v/>
      </c>
      <c r="AF1696" s="9">
        <f>HOUR(O1696)</f>
        <v>0</v>
      </c>
      <c r="AG1696" s="9">
        <f>DAY(O1696)</f>
        <v>0</v>
      </c>
      <c r="AH1696" s="9">
        <f>IFERROR((I1696-K1696)*24*60,0)</f>
        <v>0</v>
      </c>
      <c r="AI1696" s="9">
        <f t="shared" si="32"/>
        <v>0</v>
      </c>
      <c r="AJ1696" s="9">
        <f>C1696</f>
        <v>0</v>
      </c>
      <c r="AK1696" s="9">
        <f>IF(P1696="completed",((V1696-K1696)*24*60),0)</f>
        <v>0</v>
      </c>
      <c r="AL1696" s="9">
        <f>IF(P1696="completed",((U1696-K1696)*24*60),0)</f>
        <v>0</v>
      </c>
      <c r="AM1696" s="9" t="str">
        <f t="shared" si="33"/>
        <v>OTP Breached</v>
      </c>
      <c r="AN1696" s="9" t="str">
        <f t="shared" si="34"/>
        <v>OTP Achieved</v>
      </c>
    </row>
    <row r="1697" spans="9:40" ht="15.75" customHeight="1">
      <c r="I1697" s="28"/>
      <c r="AD1697" s="9" t="str">
        <f t="shared" si="30"/>
        <v>Actual</v>
      </c>
      <c r="AE1697" s="9" t="str">
        <f t="shared" si="31"/>
        <v/>
      </c>
      <c r="AF1697" s="9">
        <f>HOUR(O1697)</f>
        <v>0</v>
      </c>
      <c r="AG1697" s="9">
        <f>DAY(O1697)</f>
        <v>0</v>
      </c>
      <c r="AH1697" s="9">
        <f>IFERROR((I1697-K1697)*24*60,0)</f>
        <v>0</v>
      </c>
      <c r="AI1697" s="9">
        <f t="shared" si="32"/>
        <v>0</v>
      </c>
      <c r="AJ1697" s="9">
        <f>C1697</f>
        <v>0</v>
      </c>
      <c r="AK1697" s="9">
        <f>IF(P1697="completed",((V1697-K1697)*24*60),0)</f>
        <v>0</v>
      </c>
      <c r="AL1697" s="9">
        <f>IF(P1697="completed",((U1697-K1697)*24*60),0)</f>
        <v>0</v>
      </c>
      <c r="AM1697" s="9" t="str">
        <f t="shared" si="33"/>
        <v>OTP Breached</v>
      </c>
      <c r="AN1697" s="9" t="str">
        <f t="shared" si="34"/>
        <v>OTP Achieved</v>
      </c>
    </row>
    <row r="1698" spans="9:40" ht="15.75" customHeight="1">
      <c r="I1698" s="28"/>
      <c r="AD1698" s="9" t="str">
        <f t="shared" si="30"/>
        <v>Actual</v>
      </c>
      <c r="AE1698" s="9" t="str">
        <f t="shared" si="31"/>
        <v/>
      </c>
      <c r="AF1698" s="9">
        <f>HOUR(O1698)</f>
        <v>0</v>
      </c>
      <c r="AG1698" s="9">
        <f>DAY(O1698)</f>
        <v>0</v>
      </c>
      <c r="AH1698" s="9">
        <f>IFERROR((I1698-K1698)*24*60,0)</f>
        <v>0</v>
      </c>
      <c r="AI1698" s="9">
        <f t="shared" si="32"/>
        <v>0</v>
      </c>
      <c r="AJ1698" s="9">
        <f>C1698</f>
        <v>0</v>
      </c>
      <c r="AK1698" s="9">
        <f>IF(P1698="completed",((V1698-K1698)*24*60),0)</f>
        <v>0</v>
      </c>
      <c r="AL1698" s="9">
        <f>IF(P1698="completed",((U1698-K1698)*24*60),0)</f>
        <v>0</v>
      </c>
      <c r="AM1698" s="9" t="str">
        <f t="shared" si="33"/>
        <v>OTP Breached</v>
      </c>
      <c r="AN1698" s="9" t="str">
        <f t="shared" si="34"/>
        <v>OTP Achieved</v>
      </c>
    </row>
    <row r="1699" spans="9:40" ht="15.75" customHeight="1">
      <c r="I1699" s="28"/>
      <c r="AD1699" s="9" t="str">
        <f t="shared" si="30"/>
        <v>Actual</v>
      </c>
      <c r="AE1699" s="9" t="str">
        <f t="shared" si="31"/>
        <v/>
      </c>
      <c r="AF1699" s="9">
        <f>HOUR(O1699)</f>
        <v>0</v>
      </c>
      <c r="AG1699" s="9">
        <f>DAY(O1699)</f>
        <v>0</v>
      </c>
      <c r="AH1699" s="9">
        <f>IFERROR((I1699-K1699)*24*60,0)</f>
        <v>0</v>
      </c>
      <c r="AI1699" s="9">
        <f t="shared" si="32"/>
        <v>0</v>
      </c>
      <c r="AJ1699" s="9">
        <f>C1699</f>
        <v>0</v>
      </c>
      <c r="AK1699" s="9">
        <f>IF(P1699="completed",((V1699-K1699)*24*60),0)</f>
        <v>0</v>
      </c>
      <c r="AL1699" s="9">
        <f>IF(P1699="completed",((U1699-K1699)*24*60),0)</f>
        <v>0</v>
      </c>
      <c r="AM1699" s="9" t="str">
        <f t="shared" si="33"/>
        <v>OTP Breached</v>
      </c>
      <c r="AN1699" s="9" t="str">
        <f t="shared" si="34"/>
        <v>OTP Achieved</v>
      </c>
    </row>
    <row r="1700" spans="9:40" ht="15.75" customHeight="1">
      <c r="I1700" s="28"/>
      <c r="AD1700" s="9" t="str">
        <f t="shared" si="30"/>
        <v>Actual</v>
      </c>
      <c r="AE1700" s="9" t="str">
        <f t="shared" si="31"/>
        <v/>
      </c>
      <c r="AF1700" s="9">
        <f>HOUR(O1700)</f>
        <v>0</v>
      </c>
      <c r="AG1700" s="9">
        <f>DAY(O1700)</f>
        <v>0</v>
      </c>
      <c r="AH1700" s="9">
        <f>IFERROR((I1700-K1700)*24*60,0)</f>
        <v>0</v>
      </c>
      <c r="AI1700" s="9">
        <f t="shared" si="32"/>
        <v>0</v>
      </c>
      <c r="AJ1700" s="9">
        <f>C1700</f>
        <v>0</v>
      </c>
      <c r="AK1700" s="9">
        <f>IF(P1700="completed",((V1700-K1700)*24*60),0)</f>
        <v>0</v>
      </c>
      <c r="AL1700" s="9">
        <f>IF(P1700="completed",((U1700-K1700)*24*60),0)</f>
        <v>0</v>
      </c>
      <c r="AM1700" s="9" t="str">
        <f t="shared" si="33"/>
        <v>OTP Breached</v>
      </c>
      <c r="AN1700" s="9" t="str">
        <f t="shared" si="34"/>
        <v>OTP Achieved</v>
      </c>
    </row>
    <row r="1701" spans="9:40" ht="15.75" customHeight="1">
      <c r="I1701" s="28"/>
      <c r="AD1701" s="9" t="str">
        <f t="shared" si="30"/>
        <v>Actual</v>
      </c>
      <c r="AE1701" s="9" t="str">
        <f t="shared" si="31"/>
        <v/>
      </c>
      <c r="AF1701" s="9">
        <f>HOUR(O1701)</f>
        <v>0</v>
      </c>
      <c r="AG1701" s="9">
        <f>DAY(O1701)</f>
        <v>0</v>
      </c>
      <c r="AH1701" s="9">
        <f>IFERROR((I1701-K1701)*24*60,0)</f>
        <v>0</v>
      </c>
      <c r="AI1701" s="9">
        <f t="shared" si="32"/>
        <v>0</v>
      </c>
      <c r="AJ1701" s="9">
        <f>C1701</f>
        <v>0</v>
      </c>
      <c r="AK1701" s="9">
        <f>IF(P1701="completed",((V1701-K1701)*24*60),0)</f>
        <v>0</v>
      </c>
      <c r="AL1701" s="9">
        <f>IF(P1701="completed",((U1701-K1701)*24*60),0)</f>
        <v>0</v>
      </c>
      <c r="AM1701" s="9" t="str">
        <f t="shared" si="33"/>
        <v>OTP Breached</v>
      </c>
      <c r="AN1701" s="9" t="str">
        <f t="shared" si="34"/>
        <v>OTP Achieved</v>
      </c>
    </row>
    <row r="1702" spans="9:40" ht="15.75" customHeight="1">
      <c r="I1702" s="28"/>
      <c r="AD1702" s="9" t="str">
        <f t="shared" si="30"/>
        <v>Actual</v>
      </c>
      <c r="AE1702" s="9" t="str">
        <f t="shared" si="31"/>
        <v/>
      </c>
      <c r="AF1702" s="9">
        <f>HOUR(O1702)</f>
        <v>0</v>
      </c>
      <c r="AG1702" s="9">
        <f>DAY(O1702)</f>
        <v>0</v>
      </c>
      <c r="AH1702" s="9">
        <f>IFERROR((I1702-K1702)*24*60,0)</f>
        <v>0</v>
      </c>
      <c r="AI1702" s="9">
        <f t="shared" si="32"/>
        <v>0</v>
      </c>
      <c r="AJ1702" s="9">
        <f>C1702</f>
        <v>0</v>
      </c>
      <c r="AK1702" s="9">
        <f>IF(P1702="completed",((V1702-K1702)*24*60),0)</f>
        <v>0</v>
      </c>
      <c r="AL1702" s="9">
        <f>IF(P1702="completed",((U1702-K1702)*24*60),0)</f>
        <v>0</v>
      </c>
      <c r="AM1702" s="9" t="str">
        <f t="shared" si="33"/>
        <v>OTP Breached</v>
      </c>
      <c r="AN1702" s="9" t="str">
        <f t="shared" si="34"/>
        <v>OTP Achieved</v>
      </c>
    </row>
    <row r="1703" spans="9:40" ht="15.75" customHeight="1">
      <c r="I1703" s="28"/>
      <c r="AD1703" s="9" t="str">
        <f t="shared" si="30"/>
        <v>Actual</v>
      </c>
      <c r="AE1703" s="9" t="str">
        <f t="shared" si="31"/>
        <v/>
      </c>
      <c r="AF1703" s="9">
        <f>HOUR(O1703)</f>
        <v>0</v>
      </c>
      <c r="AG1703" s="9">
        <f>DAY(O1703)</f>
        <v>0</v>
      </c>
      <c r="AH1703" s="9">
        <f>IFERROR((I1703-K1703)*24*60,0)</f>
        <v>0</v>
      </c>
      <c r="AI1703" s="9">
        <f t="shared" si="32"/>
        <v>0</v>
      </c>
      <c r="AJ1703" s="9">
        <f>C1703</f>
        <v>0</v>
      </c>
      <c r="AK1703" s="9">
        <f>IF(P1703="completed",((V1703-K1703)*24*60),0)</f>
        <v>0</v>
      </c>
      <c r="AL1703" s="9">
        <f>IF(P1703="completed",((U1703-K1703)*24*60),0)</f>
        <v>0</v>
      </c>
      <c r="AM1703" s="9" t="str">
        <f t="shared" si="33"/>
        <v>OTP Breached</v>
      </c>
      <c r="AN1703" s="9" t="str">
        <f t="shared" si="34"/>
        <v>OTP Achieved</v>
      </c>
    </row>
    <row r="1704" spans="9:40" ht="15.75" customHeight="1">
      <c r="I1704" s="28"/>
      <c r="AD1704" s="9" t="str">
        <f t="shared" si="30"/>
        <v>Actual</v>
      </c>
      <c r="AE1704" s="9" t="str">
        <f t="shared" si="31"/>
        <v/>
      </c>
      <c r="AF1704" s="9">
        <f>HOUR(O1704)</f>
        <v>0</v>
      </c>
      <c r="AG1704" s="9">
        <f>DAY(O1704)</f>
        <v>0</v>
      </c>
      <c r="AH1704" s="9">
        <f>IFERROR((I1704-K1704)*24*60,0)</f>
        <v>0</v>
      </c>
      <c r="AI1704" s="9">
        <f t="shared" si="32"/>
        <v>0</v>
      </c>
      <c r="AJ1704" s="9">
        <f>C1704</f>
        <v>0</v>
      </c>
      <c r="AK1704" s="9">
        <f>IF(P1704="completed",((V1704-K1704)*24*60),0)</f>
        <v>0</v>
      </c>
      <c r="AL1704" s="9">
        <f>IF(P1704="completed",((U1704-K1704)*24*60),0)</f>
        <v>0</v>
      </c>
      <c r="AM1704" s="9" t="str">
        <f t="shared" si="33"/>
        <v>OTP Breached</v>
      </c>
      <c r="AN1704" s="9" t="str">
        <f t="shared" si="34"/>
        <v>OTP Achieved</v>
      </c>
    </row>
    <row r="1705" spans="9:40" ht="15.75" customHeight="1">
      <c r="I1705" s="28"/>
      <c r="AD1705" s="9" t="str">
        <f t="shared" si="30"/>
        <v>Actual</v>
      </c>
      <c r="AE1705" s="9" t="str">
        <f t="shared" si="31"/>
        <v/>
      </c>
      <c r="AF1705" s="9">
        <f>HOUR(O1705)</f>
        <v>0</v>
      </c>
      <c r="AG1705" s="9">
        <f>DAY(O1705)</f>
        <v>0</v>
      </c>
      <c r="AH1705" s="9">
        <f>IFERROR((I1705-K1705)*24*60,0)</f>
        <v>0</v>
      </c>
      <c r="AI1705" s="9">
        <f t="shared" si="32"/>
        <v>0</v>
      </c>
      <c r="AJ1705" s="9">
        <f>C1705</f>
        <v>0</v>
      </c>
      <c r="AK1705" s="9">
        <f>IF(P1705="completed",((V1705-K1705)*24*60),0)</f>
        <v>0</v>
      </c>
      <c r="AL1705" s="9">
        <f>IF(P1705="completed",((U1705-K1705)*24*60),0)</f>
        <v>0</v>
      </c>
      <c r="AM1705" s="9" t="str">
        <f t="shared" si="33"/>
        <v>OTP Breached</v>
      </c>
      <c r="AN1705" s="9" t="str">
        <f t="shared" si="34"/>
        <v>OTP Achieved</v>
      </c>
    </row>
    <row r="1706" spans="9:40" ht="15.75" customHeight="1">
      <c r="I1706" s="28"/>
      <c r="AD1706" s="9" t="str">
        <f t="shared" si="30"/>
        <v>Actual</v>
      </c>
      <c r="AE1706" s="9" t="str">
        <f t="shared" si="31"/>
        <v/>
      </c>
      <c r="AF1706" s="9">
        <f>HOUR(O1706)</f>
        <v>0</v>
      </c>
      <c r="AG1706" s="9">
        <f>DAY(O1706)</f>
        <v>0</v>
      </c>
      <c r="AH1706" s="9">
        <f>IFERROR((I1706-K1706)*24*60,0)</f>
        <v>0</v>
      </c>
      <c r="AI1706" s="9">
        <f t="shared" si="32"/>
        <v>0</v>
      </c>
      <c r="AJ1706" s="9">
        <f>C1706</f>
        <v>0</v>
      </c>
      <c r="AK1706" s="9">
        <f>IF(P1706="completed",((V1706-K1706)*24*60),0)</f>
        <v>0</v>
      </c>
      <c r="AL1706" s="9">
        <f>IF(P1706="completed",((U1706-K1706)*24*60),0)</f>
        <v>0</v>
      </c>
      <c r="AM1706" s="9" t="str">
        <f t="shared" si="33"/>
        <v>OTP Breached</v>
      </c>
      <c r="AN1706" s="9" t="str">
        <f t="shared" si="34"/>
        <v>OTP Achieved</v>
      </c>
    </row>
    <row r="1707" spans="9:40" ht="15.75" customHeight="1">
      <c r="I1707" s="28"/>
      <c r="AD1707" s="9" t="str">
        <f t="shared" si="30"/>
        <v>Actual</v>
      </c>
      <c r="AE1707" s="9" t="str">
        <f t="shared" si="31"/>
        <v/>
      </c>
      <c r="AF1707" s="9">
        <f>HOUR(O1707)</f>
        <v>0</v>
      </c>
      <c r="AG1707" s="9">
        <f>DAY(O1707)</f>
        <v>0</v>
      </c>
      <c r="AH1707" s="9">
        <f>IFERROR((I1707-K1707)*24*60,0)</f>
        <v>0</v>
      </c>
      <c r="AI1707" s="9">
        <f t="shared" si="32"/>
        <v>0</v>
      </c>
      <c r="AJ1707" s="9">
        <f>C1707</f>
        <v>0</v>
      </c>
      <c r="AK1707" s="9">
        <f>IF(P1707="completed",((V1707-K1707)*24*60),0)</f>
        <v>0</v>
      </c>
      <c r="AL1707" s="9">
        <f>IF(P1707="completed",((U1707-K1707)*24*60),0)</f>
        <v>0</v>
      </c>
      <c r="AM1707" s="9" t="str">
        <f t="shared" si="33"/>
        <v>OTP Breached</v>
      </c>
      <c r="AN1707" s="9" t="str">
        <f t="shared" si="34"/>
        <v>OTP Achieved</v>
      </c>
    </row>
    <row r="1708" spans="9:40" ht="15.75" customHeight="1">
      <c r="I1708" s="28"/>
      <c r="AD1708" s="9" t="str">
        <f t="shared" si="30"/>
        <v>Actual</v>
      </c>
      <c r="AE1708" s="9" t="str">
        <f t="shared" si="31"/>
        <v/>
      </c>
      <c r="AF1708" s="9">
        <f>HOUR(O1708)</f>
        <v>0</v>
      </c>
      <c r="AG1708" s="9">
        <f>DAY(O1708)</f>
        <v>0</v>
      </c>
      <c r="AH1708" s="9">
        <f>IFERROR((I1708-K1708)*24*60,0)</f>
        <v>0</v>
      </c>
      <c r="AI1708" s="9">
        <f t="shared" si="32"/>
        <v>0</v>
      </c>
      <c r="AJ1708" s="9">
        <f>C1708</f>
        <v>0</v>
      </c>
      <c r="AK1708" s="9">
        <f>IF(P1708="completed",((V1708-K1708)*24*60),0)</f>
        <v>0</v>
      </c>
      <c r="AL1708" s="9">
        <f>IF(P1708="completed",((U1708-K1708)*24*60),0)</f>
        <v>0</v>
      </c>
      <c r="AM1708" s="9" t="str">
        <f t="shared" si="33"/>
        <v>OTP Breached</v>
      </c>
      <c r="AN1708" s="9" t="str">
        <f t="shared" si="34"/>
        <v>OTP Achieved</v>
      </c>
    </row>
    <row r="1709" spans="9:40" ht="15.75" customHeight="1">
      <c r="I1709" s="28"/>
      <c r="AD1709" s="9" t="str">
        <f t="shared" si="30"/>
        <v>Actual</v>
      </c>
      <c r="AE1709" s="9" t="str">
        <f t="shared" si="31"/>
        <v/>
      </c>
      <c r="AF1709" s="9">
        <f>HOUR(O1709)</f>
        <v>0</v>
      </c>
      <c r="AG1709" s="9">
        <f>DAY(O1709)</f>
        <v>0</v>
      </c>
      <c r="AH1709" s="9">
        <f>IFERROR((I1709-K1709)*24*60,0)</f>
        <v>0</v>
      </c>
      <c r="AI1709" s="9">
        <f t="shared" si="32"/>
        <v>0</v>
      </c>
      <c r="AJ1709" s="9">
        <f>C1709</f>
        <v>0</v>
      </c>
      <c r="AK1709" s="9">
        <f>IF(P1709="completed",((V1709-K1709)*24*60),0)</f>
        <v>0</v>
      </c>
      <c r="AL1709" s="9">
        <f>IF(P1709="completed",((U1709-K1709)*24*60),0)</f>
        <v>0</v>
      </c>
      <c r="AM1709" s="9" t="str">
        <f t="shared" si="33"/>
        <v>OTP Breached</v>
      </c>
      <c r="AN1709" s="9" t="str">
        <f t="shared" si="34"/>
        <v>OTP Achieved</v>
      </c>
    </row>
    <row r="1710" spans="9:40" ht="15.75" customHeight="1">
      <c r="I1710" s="28"/>
      <c r="AD1710" s="9" t="str">
        <f t="shared" si="30"/>
        <v>Actual</v>
      </c>
      <c r="AE1710" s="9" t="str">
        <f t="shared" si="31"/>
        <v/>
      </c>
      <c r="AF1710" s="9">
        <f>HOUR(O1710)</f>
        <v>0</v>
      </c>
      <c r="AG1710" s="9">
        <f>DAY(O1710)</f>
        <v>0</v>
      </c>
      <c r="AH1710" s="9">
        <f>IFERROR((I1710-K1710)*24*60,0)</f>
        <v>0</v>
      </c>
      <c r="AI1710" s="9">
        <f t="shared" si="32"/>
        <v>0</v>
      </c>
      <c r="AJ1710" s="9">
        <f>C1710</f>
        <v>0</v>
      </c>
      <c r="AK1710" s="9">
        <f>IF(P1710="completed",((V1710-K1710)*24*60),0)</f>
        <v>0</v>
      </c>
      <c r="AL1710" s="9">
        <f>IF(P1710="completed",((U1710-K1710)*24*60),0)</f>
        <v>0</v>
      </c>
      <c r="AM1710" s="9" t="str">
        <f t="shared" si="33"/>
        <v>OTP Breached</v>
      </c>
      <c r="AN1710" s="9" t="str">
        <f t="shared" si="34"/>
        <v>OTP Achieved</v>
      </c>
    </row>
    <row r="1711" spans="9:40" ht="15.75" customHeight="1">
      <c r="I1711" s="28"/>
      <c r="AD1711" s="9" t="str">
        <f t="shared" si="30"/>
        <v>Actual</v>
      </c>
      <c r="AE1711" s="9" t="str">
        <f t="shared" si="31"/>
        <v/>
      </c>
      <c r="AF1711" s="9">
        <f>HOUR(O1711)</f>
        <v>0</v>
      </c>
      <c r="AG1711" s="9">
        <f>DAY(O1711)</f>
        <v>0</v>
      </c>
      <c r="AH1711" s="9">
        <f>IFERROR((I1711-K1711)*24*60,0)</f>
        <v>0</v>
      </c>
      <c r="AI1711" s="9">
        <f t="shared" si="32"/>
        <v>0</v>
      </c>
      <c r="AJ1711" s="9">
        <f>C1711</f>
        <v>0</v>
      </c>
      <c r="AK1711" s="9">
        <f>IF(P1711="completed",((V1711-K1711)*24*60),0)</f>
        <v>0</v>
      </c>
      <c r="AL1711" s="9">
        <f>IF(P1711="completed",((U1711-K1711)*24*60),0)</f>
        <v>0</v>
      </c>
      <c r="AM1711" s="9" t="str">
        <f t="shared" si="33"/>
        <v>OTP Breached</v>
      </c>
      <c r="AN1711" s="9" t="str">
        <f t="shared" si="34"/>
        <v>OTP Achieved</v>
      </c>
    </row>
    <row r="1712" spans="9:40" ht="15.75" customHeight="1">
      <c r="I1712" s="28"/>
      <c r="AD1712" s="9" t="str">
        <f t="shared" si="30"/>
        <v>Actual</v>
      </c>
      <c r="AE1712" s="9" t="str">
        <f t="shared" si="31"/>
        <v/>
      </c>
      <c r="AF1712" s="9">
        <f>HOUR(O1712)</f>
        <v>0</v>
      </c>
      <c r="AG1712" s="9">
        <f>DAY(O1712)</f>
        <v>0</v>
      </c>
      <c r="AH1712" s="9">
        <f>IFERROR((I1712-K1712)*24*60,0)</f>
        <v>0</v>
      </c>
      <c r="AI1712" s="9">
        <f t="shared" si="32"/>
        <v>0</v>
      </c>
      <c r="AJ1712" s="9">
        <f>C1712</f>
        <v>0</v>
      </c>
      <c r="AK1712" s="9">
        <f>IF(P1712="completed",((V1712-K1712)*24*60),0)</f>
        <v>0</v>
      </c>
      <c r="AL1712" s="9">
        <f>IF(P1712="completed",((U1712-K1712)*24*60),0)</f>
        <v>0</v>
      </c>
      <c r="AM1712" s="9" t="str">
        <f t="shared" si="33"/>
        <v>OTP Breached</v>
      </c>
      <c r="AN1712" s="9" t="str">
        <f t="shared" si="34"/>
        <v>OTP Achieved</v>
      </c>
    </row>
    <row r="1713" spans="9:40" ht="15.75" customHeight="1">
      <c r="I1713" s="28"/>
      <c r="AD1713" s="9" t="str">
        <f t="shared" si="30"/>
        <v>Actual</v>
      </c>
      <c r="AE1713" s="9" t="str">
        <f t="shared" si="31"/>
        <v/>
      </c>
      <c r="AF1713" s="9">
        <f>HOUR(O1713)</f>
        <v>0</v>
      </c>
      <c r="AG1713" s="9">
        <f>DAY(O1713)</f>
        <v>0</v>
      </c>
      <c r="AH1713" s="9">
        <f>IFERROR((I1713-K1713)*24*60,0)</f>
        <v>0</v>
      </c>
      <c r="AI1713" s="9">
        <f t="shared" si="32"/>
        <v>0</v>
      </c>
      <c r="AJ1713" s="9">
        <f>C1713</f>
        <v>0</v>
      </c>
      <c r="AK1713" s="9">
        <f>IF(P1713="completed",((V1713-K1713)*24*60),0)</f>
        <v>0</v>
      </c>
      <c r="AL1713" s="9">
        <f>IF(P1713="completed",((U1713-K1713)*24*60),0)</f>
        <v>0</v>
      </c>
      <c r="AM1713" s="9" t="str">
        <f t="shared" si="33"/>
        <v>OTP Breached</v>
      </c>
      <c r="AN1713" s="9" t="str">
        <f t="shared" si="34"/>
        <v>OTP Achieved</v>
      </c>
    </row>
    <row r="1714" spans="9:40" ht="15.75" customHeight="1">
      <c r="I1714" s="28"/>
      <c r="AD1714" s="9" t="str">
        <f t="shared" si="30"/>
        <v>Actual</v>
      </c>
      <c r="AE1714" s="9" t="str">
        <f t="shared" si="31"/>
        <v/>
      </c>
      <c r="AF1714" s="9">
        <f>HOUR(O1714)</f>
        <v>0</v>
      </c>
      <c r="AG1714" s="9">
        <f>DAY(O1714)</f>
        <v>0</v>
      </c>
      <c r="AH1714" s="9">
        <f>IFERROR((I1714-K1714)*24*60,0)</f>
        <v>0</v>
      </c>
      <c r="AI1714" s="9">
        <f t="shared" si="32"/>
        <v>0</v>
      </c>
      <c r="AJ1714" s="9">
        <f>C1714</f>
        <v>0</v>
      </c>
      <c r="AK1714" s="9">
        <f>IF(P1714="completed",((V1714-K1714)*24*60),0)</f>
        <v>0</v>
      </c>
      <c r="AL1714" s="9">
        <f>IF(P1714="completed",((U1714-K1714)*24*60),0)</f>
        <v>0</v>
      </c>
      <c r="AM1714" s="9" t="str">
        <f t="shared" si="33"/>
        <v>OTP Breached</v>
      </c>
      <c r="AN1714" s="9" t="str">
        <f t="shared" si="34"/>
        <v>OTP Achieved</v>
      </c>
    </row>
    <row r="1715" spans="9:40" ht="15.75" customHeight="1">
      <c r="I1715" s="28"/>
      <c r="AD1715" s="9" t="str">
        <f t="shared" si="30"/>
        <v>Actual</v>
      </c>
      <c r="AE1715" s="9" t="str">
        <f t="shared" si="31"/>
        <v/>
      </c>
      <c r="AF1715" s="9">
        <f>HOUR(O1715)</f>
        <v>0</v>
      </c>
      <c r="AG1715" s="9">
        <f>DAY(O1715)</f>
        <v>0</v>
      </c>
      <c r="AH1715" s="9">
        <f>IFERROR((I1715-K1715)*24*60,0)</f>
        <v>0</v>
      </c>
      <c r="AI1715" s="9">
        <f t="shared" si="32"/>
        <v>0</v>
      </c>
      <c r="AJ1715" s="9">
        <f>C1715</f>
        <v>0</v>
      </c>
      <c r="AK1715" s="9">
        <f>IF(P1715="completed",((V1715-K1715)*24*60),0)</f>
        <v>0</v>
      </c>
      <c r="AL1715" s="9">
        <f>IF(P1715="completed",((U1715-K1715)*24*60),0)</f>
        <v>0</v>
      </c>
      <c r="AM1715" s="9" t="str">
        <f t="shared" si="33"/>
        <v>OTP Breached</v>
      </c>
      <c r="AN1715" s="9" t="str">
        <f t="shared" si="34"/>
        <v>OTP Achieved</v>
      </c>
    </row>
    <row r="1716" spans="9:40" ht="15.75" customHeight="1">
      <c r="I1716" s="28"/>
      <c r="AD1716" s="9" t="str">
        <f t="shared" si="30"/>
        <v>Actual</v>
      </c>
      <c r="AE1716" s="9" t="str">
        <f t="shared" si="31"/>
        <v/>
      </c>
      <c r="AF1716" s="9">
        <f>HOUR(O1716)</f>
        <v>0</v>
      </c>
      <c r="AG1716" s="9">
        <f>DAY(O1716)</f>
        <v>0</v>
      </c>
      <c r="AH1716" s="9">
        <f>IFERROR((I1716-K1716)*24*60,0)</f>
        <v>0</v>
      </c>
      <c r="AI1716" s="9">
        <f t="shared" si="32"/>
        <v>0</v>
      </c>
      <c r="AJ1716" s="9">
        <f>C1716</f>
        <v>0</v>
      </c>
      <c r="AK1716" s="9">
        <f>IF(P1716="completed",((V1716-K1716)*24*60),0)</f>
        <v>0</v>
      </c>
      <c r="AL1716" s="9">
        <f>IF(P1716="completed",((U1716-K1716)*24*60),0)</f>
        <v>0</v>
      </c>
      <c r="AM1716" s="9" t="str">
        <f t="shared" si="33"/>
        <v>OTP Breached</v>
      </c>
      <c r="AN1716" s="9" t="str">
        <f t="shared" si="34"/>
        <v>OTP Achieved</v>
      </c>
    </row>
    <row r="1717" spans="9:40" ht="15.75" customHeight="1">
      <c r="I1717" s="28"/>
      <c r="AD1717" s="9" t="str">
        <f t="shared" si="30"/>
        <v>Actual</v>
      </c>
      <c r="AE1717" s="9" t="str">
        <f t="shared" si="31"/>
        <v/>
      </c>
      <c r="AF1717" s="9">
        <f>HOUR(O1717)</f>
        <v>0</v>
      </c>
      <c r="AG1717" s="9">
        <f>DAY(O1717)</f>
        <v>0</v>
      </c>
      <c r="AH1717" s="9">
        <f>IFERROR((I1717-K1717)*24*60,0)</f>
        <v>0</v>
      </c>
      <c r="AI1717" s="9">
        <f t="shared" si="32"/>
        <v>0</v>
      </c>
      <c r="AJ1717" s="9">
        <f>C1717</f>
        <v>0</v>
      </c>
      <c r="AK1717" s="9">
        <f>IF(P1717="completed",((V1717-K1717)*24*60),0)</f>
        <v>0</v>
      </c>
      <c r="AL1717" s="9">
        <f>IF(P1717="completed",((U1717-K1717)*24*60),0)</f>
        <v>0</v>
      </c>
      <c r="AM1717" s="9" t="str">
        <f t="shared" si="33"/>
        <v>OTP Breached</v>
      </c>
      <c r="AN1717" s="9" t="str">
        <f t="shared" si="34"/>
        <v>OTP Achieved</v>
      </c>
    </row>
    <row r="1718" spans="9:40" ht="15.75" customHeight="1">
      <c r="I1718" s="28"/>
      <c r="AD1718" s="9" t="str">
        <f t="shared" si="30"/>
        <v>Actual</v>
      </c>
      <c r="AE1718" s="9" t="str">
        <f t="shared" si="31"/>
        <v/>
      </c>
      <c r="AF1718" s="9">
        <f>HOUR(O1718)</f>
        <v>0</v>
      </c>
      <c r="AG1718" s="9">
        <f>DAY(O1718)</f>
        <v>0</v>
      </c>
      <c r="AH1718" s="9">
        <f>IFERROR((I1718-K1718)*24*60,0)</f>
        <v>0</v>
      </c>
      <c r="AI1718" s="9">
        <f t="shared" si="32"/>
        <v>0</v>
      </c>
      <c r="AJ1718" s="9">
        <f>C1718</f>
        <v>0</v>
      </c>
      <c r="AK1718" s="9">
        <f>IF(P1718="completed",((V1718-K1718)*24*60),0)</f>
        <v>0</v>
      </c>
      <c r="AL1718" s="9">
        <f>IF(P1718="completed",((U1718-K1718)*24*60),0)</f>
        <v>0</v>
      </c>
      <c r="AM1718" s="9" t="str">
        <f t="shared" si="33"/>
        <v>OTP Breached</v>
      </c>
      <c r="AN1718" s="9" t="str">
        <f t="shared" si="34"/>
        <v>OTP Achieved</v>
      </c>
    </row>
    <row r="1719" spans="9:40" ht="15.75" customHeight="1">
      <c r="I1719" s="28"/>
      <c r="AD1719" s="9" t="str">
        <f t="shared" si="30"/>
        <v>Actual</v>
      </c>
      <c r="AE1719" s="9" t="str">
        <f t="shared" si="31"/>
        <v/>
      </c>
      <c r="AF1719" s="9">
        <f>HOUR(O1719)</f>
        <v>0</v>
      </c>
      <c r="AG1719" s="9">
        <f>DAY(O1719)</f>
        <v>0</v>
      </c>
      <c r="AH1719" s="9">
        <f>IFERROR((I1719-K1719)*24*60,0)</f>
        <v>0</v>
      </c>
      <c r="AI1719" s="9">
        <f t="shared" si="32"/>
        <v>0</v>
      </c>
      <c r="AJ1719" s="9">
        <f>C1719</f>
        <v>0</v>
      </c>
      <c r="AK1719" s="9">
        <f>IF(P1719="completed",((V1719-K1719)*24*60),0)</f>
        <v>0</v>
      </c>
      <c r="AL1719" s="9">
        <f>IF(P1719="completed",((U1719-K1719)*24*60),0)</f>
        <v>0</v>
      </c>
      <c r="AM1719" s="9" t="str">
        <f t="shared" si="33"/>
        <v>OTP Breached</v>
      </c>
      <c r="AN1719" s="9" t="str">
        <f t="shared" si="34"/>
        <v>OTP Achieved</v>
      </c>
    </row>
    <row r="1720" spans="9:40" ht="15.75" customHeight="1">
      <c r="I1720" s="28"/>
      <c r="AD1720" s="9" t="str">
        <f t="shared" si="30"/>
        <v>Actual</v>
      </c>
      <c r="AE1720" s="9" t="str">
        <f t="shared" si="31"/>
        <v/>
      </c>
      <c r="AF1720" s="9">
        <f>HOUR(O1720)</f>
        <v>0</v>
      </c>
      <c r="AG1720" s="9">
        <f>DAY(O1720)</f>
        <v>0</v>
      </c>
      <c r="AH1720" s="9">
        <f>IFERROR((I1720-K1720)*24*60,0)</f>
        <v>0</v>
      </c>
      <c r="AI1720" s="9">
        <f t="shared" si="32"/>
        <v>0</v>
      </c>
      <c r="AJ1720" s="9">
        <f>C1720</f>
        <v>0</v>
      </c>
      <c r="AK1720" s="9">
        <f>IF(P1720="completed",((V1720-K1720)*24*60),0)</f>
        <v>0</v>
      </c>
      <c r="AL1720" s="9">
        <f>IF(P1720="completed",((U1720-K1720)*24*60),0)</f>
        <v>0</v>
      </c>
      <c r="AM1720" s="9" t="str">
        <f t="shared" si="33"/>
        <v>OTP Breached</v>
      </c>
      <c r="AN1720" s="9" t="str">
        <f t="shared" si="34"/>
        <v>OTP Achieved</v>
      </c>
    </row>
    <row r="1721" spans="9:40" ht="15.75" customHeight="1">
      <c r="I1721" s="28"/>
      <c r="AD1721" s="9" t="str">
        <f t="shared" si="30"/>
        <v>Actual</v>
      </c>
      <c r="AE1721" s="9" t="str">
        <f t="shared" si="31"/>
        <v/>
      </c>
      <c r="AF1721" s="9">
        <f>HOUR(O1721)</f>
        <v>0</v>
      </c>
      <c r="AG1721" s="9">
        <f>DAY(O1721)</f>
        <v>0</v>
      </c>
      <c r="AH1721" s="9">
        <f>IFERROR((I1721-K1721)*24*60,0)</f>
        <v>0</v>
      </c>
      <c r="AI1721" s="9">
        <f t="shared" si="32"/>
        <v>0</v>
      </c>
      <c r="AJ1721" s="9">
        <f>C1721</f>
        <v>0</v>
      </c>
      <c r="AK1721" s="9">
        <f>IF(P1721="completed",((V1721-K1721)*24*60),0)</f>
        <v>0</v>
      </c>
      <c r="AL1721" s="9">
        <f>IF(P1721="completed",((U1721-K1721)*24*60),0)</f>
        <v>0</v>
      </c>
      <c r="AM1721" s="9" t="str">
        <f t="shared" si="33"/>
        <v>OTP Breached</v>
      </c>
      <c r="AN1721" s="9" t="str">
        <f t="shared" si="34"/>
        <v>OTP Achieved</v>
      </c>
    </row>
    <row r="1722" spans="9:40" ht="15.75" customHeight="1">
      <c r="I1722" s="28"/>
      <c r="AD1722" s="9" t="str">
        <f t="shared" si="30"/>
        <v>Actual</v>
      </c>
      <c r="AE1722" s="9" t="str">
        <f t="shared" si="31"/>
        <v/>
      </c>
      <c r="AF1722" s="9">
        <f>HOUR(O1722)</f>
        <v>0</v>
      </c>
      <c r="AG1722" s="9">
        <f>DAY(O1722)</f>
        <v>0</v>
      </c>
      <c r="AH1722" s="9">
        <f>IFERROR((I1722-K1722)*24*60,0)</f>
        <v>0</v>
      </c>
      <c r="AI1722" s="9">
        <f t="shared" si="32"/>
        <v>0</v>
      </c>
      <c r="AJ1722" s="9">
        <f>C1722</f>
        <v>0</v>
      </c>
      <c r="AK1722" s="9">
        <f>IF(P1722="completed",((V1722-K1722)*24*60),0)</f>
        <v>0</v>
      </c>
      <c r="AL1722" s="9">
        <f>IF(P1722="completed",((U1722-K1722)*24*60),0)</f>
        <v>0</v>
      </c>
      <c r="AM1722" s="9" t="str">
        <f t="shared" si="33"/>
        <v>OTP Breached</v>
      </c>
      <c r="AN1722" s="9" t="str">
        <f t="shared" si="34"/>
        <v>OTP Achieved</v>
      </c>
    </row>
    <row r="1723" spans="9:40" ht="15.75" customHeight="1">
      <c r="I1723" s="28"/>
      <c r="AD1723" s="9" t="str">
        <f t="shared" si="30"/>
        <v>Actual</v>
      </c>
      <c r="AE1723" s="9" t="str">
        <f t="shared" si="31"/>
        <v/>
      </c>
      <c r="AF1723" s="9">
        <f>HOUR(O1723)</f>
        <v>0</v>
      </c>
      <c r="AG1723" s="9">
        <f>DAY(O1723)</f>
        <v>0</v>
      </c>
      <c r="AH1723" s="9">
        <f>IFERROR((I1723-K1723)*24*60,0)</f>
        <v>0</v>
      </c>
      <c r="AI1723" s="9">
        <f t="shared" si="32"/>
        <v>0</v>
      </c>
      <c r="AJ1723" s="9">
        <f>C1723</f>
        <v>0</v>
      </c>
      <c r="AK1723" s="9">
        <f>IF(P1723="completed",((V1723-K1723)*24*60),0)</f>
        <v>0</v>
      </c>
      <c r="AL1723" s="9">
        <f>IF(P1723="completed",((U1723-K1723)*24*60),0)</f>
        <v>0</v>
      </c>
      <c r="AM1723" s="9" t="str">
        <f t="shared" si="33"/>
        <v>OTP Breached</v>
      </c>
      <c r="AN1723" s="9" t="str">
        <f t="shared" si="34"/>
        <v>OTP Achieved</v>
      </c>
    </row>
    <row r="1724" spans="9:40" ht="15.75" customHeight="1">
      <c r="I1724" s="28"/>
      <c r="AD1724" s="9" t="str">
        <f t="shared" si="30"/>
        <v>Actual</v>
      </c>
      <c r="AE1724" s="9" t="str">
        <f t="shared" si="31"/>
        <v/>
      </c>
      <c r="AF1724" s="9">
        <f>HOUR(O1724)</f>
        <v>0</v>
      </c>
      <c r="AG1724" s="9">
        <f>DAY(O1724)</f>
        <v>0</v>
      </c>
      <c r="AH1724" s="9">
        <f>IFERROR((I1724-K1724)*24*60,0)</f>
        <v>0</v>
      </c>
      <c r="AI1724" s="9">
        <f t="shared" si="32"/>
        <v>0</v>
      </c>
      <c r="AJ1724" s="9">
        <f>C1724</f>
        <v>0</v>
      </c>
      <c r="AK1724" s="9">
        <f>IF(P1724="completed",((V1724-K1724)*24*60),0)</f>
        <v>0</v>
      </c>
      <c r="AL1724" s="9">
        <f>IF(P1724="completed",((U1724-K1724)*24*60),0)</f>
        <v>0</v>
      </c>
      <c r="AM1724" s="9" t="str">
        <f t="shared" si="33"/>
        <v>OTP Breached</v>
      </c>
      <c r="AN1724" s="9" t="str">
        <f t="shared" si="34"/>
        <v>OTP Achieved</v>
      </c>
    </row>
    <row r="1725" spans="9:40" ht="15.75" customHeight="1">
      <c r="I1725" s="28"/>
      <c r="AD1725" s="9" t="str">
        <f t="shared" si="30"/>
        <v>Actual</v>
      </c>
      <c r="AE1725" s="9" t="str">
        <f t="shared" si="31"/>
        <v/>
      </c>
      <c r="AF1725" s="9">
        <f>HOUR(O1725)</f>
        <v>0</v>
      </c>
      <c r="AG1725" s="9">
        <f>DAY(O1725)</f>
        <v>0</v>
      </c>
      <c r="AH1725" s="9">
        <f>IFERROR((I1725-K1725)*24*60,0)</f>
        <v>0</v>
      </c>
      <c r="AI1725" s="9">
        <f t="shared" si="32"/>
        <v>0</v>
      </c>
      <c r="AJ1725" s="9">
        <f>C1725</f>
        <v>0</v>
      </c>
      <c r="AK1725" s="9">
        <f>IF(P1725="completed",((V1725-K1725)*24*60),0)</f>
        <v>0</v>
      </c>
      <c r="AL1725" s="9">
        <f>IF(P1725="completed",((U1725-K1725)*24*60),0)</f>
        <v>0</v>
      </c>
      <c r="AM1725" s="9" t="str">
        <f t="shared" si="33"/>
        <v>OTP Breached</v>
      </c>
      <c r="AN1725" s="9" t="str">
        <f t="shared" si="34"/>
        <v>OTP Achieved</v>
      </c>
    </row>
    <row r="1726" spans="9:40" ht="15.75" customHeight="1">
      <c r="I1726" s="28"/>
      <c r="AD1726" s="9" t="str">
        <f t="shared" si="30"/>
        <v>Actual</v>
      </c>
      <c r="AE1726" s="9" t="str">
        <f t="shared" si="31"/>
        <v/>
      </c>
      <c r="AF1726" s="9">
        <f>HOUR(O1726)</f>
        <v>0</v>
      </c>
      <c r="AG1726" s="9">
        <f>DAY(O1726)</f>
        <v>0</v>
      </c>
      <c r="AH1726" s="9">
        <f>IFERROR((I1726-K1726)*24*60,0)</f>
        <v>0</v>
      </c>
      <c r="AI1726" s="9">
        <f t="shared" si="32"/>
        <v>0</v>
      </c>
      <c r="AJ1726" s="9">
        <f>C1726</f>
        <v>0</v>
      </c>
      <c r="AK1726" s="9">
        <f>IF(P1726="completed",((V1726-K1726)*24*60),0)</f>
        <v>0</v>
      </c>
      <c r="AL1726" s="9">
        <f>IF(P1726="completed",((U1726-K1726)*24*60),0)</f>
        <v>0</v>
      </c>
      <c r="AM1726" s="9" t="str">
        <f t="shared" si="33"/>
        <v>OTP Breached</v>
      </c>
      <c r="AN1726" s="9" t="str">
        <f t="shared" si="34"/>
        <v>OTP Achieved</v>
      </c>
    </row>
    <row r="1727" spans="9:40" ht="15.75" customHeight="1">
      <c r="I1727" s="28"/>
      <c r="AD1727" s="9" t="str">
        <f t="shared" si="30"/>
        <v>Actual</v>
      </c>
      <c r="AE1727" s="9" t="str">
        <f t="shared" si="31"/>
        <v/>
      </c>
      <c r="AF1727" s="9">
        <f>HOUR(O1727)</f>
        <v>0</v>
      </c>
      <c r="AG1727" s="9">
        <f>DAY(O1727)</f>
        <v>0</v>
      </c>
      <c r="AH1727" s="9">
        <f>IFERROR((I1727-K1727)*24*60,0)</f>
        <v>0</v>
      </c>
      <c r="AI1727" s="9">
        <f t="shared" si="32"/>
        <v>0</v>
      </c>
      <c r="AJ1727" s="9">
        <f>C1727</f>
        <v>0</v>
      </c>
      <c r="AK1727" s="9">
        <f>IF(P1727="completed",((V1727-K1727)*24*60),0)</f>
        <v>0</v>
      </c>
      <c r="AL1727" s="9">
        <f>IF(P1727="completed",((U1727-K1727)*24*60),0)</f>
        <v>0</v>
      </c>
      <c r="AM1727" s="9" t="str">
        <f t="shared" si="33"/>
        <v>OTP Breached</v>
      </c>
      <c r="AN1727" s="9" t="str">
        <f t="shared" si="34"/>
        <v>OTP Achieved</v>
      </c>
    </row>
    <row r="1728" spans="9:40" ht="15.75" customHeight="1">
      <c r="I1728" s="28"/>
      <c r="AD1728" s="9" t="str">
        <f t="shared" si="30"/>
        <v>Actual</v>
      </c>
      <c r="AE1728" s="9" t="str">
        <f t="shared" si="31"/>
        <v/>
      </c>
      <c r="AF1728" s="9">
        <f>HOUR(O1728)</f>
        <v>0</v>
      </c>
      <c r="AG1728" s="9">
        <f>DAY(O1728)</f>
        <v>0</v>
      </c>
      <c r="AH1728" s="9">
        <f>IFERROR((I1728-K1728)*24*60,0)</f>
        <v>0</v>
      </c>
      <c r="AI1728" s="9">
        <f t="shared" si="32"/>
        <v>0</v>
      </c>
      <c r="AJ1728" s="9">
        <f>C1728</f>
        <v>0</v>
      </c>
      <c r="AK1728" s="9">
        <f>IF(P1728="completed",((V1728-K1728)*24*60),0)</f>
        <v>0</v>
      </c>
      <c r="AL1728" s="9">
        <f>IF(P1728="completed",((U1728-K1728)*24*60),0)</f>
        <v>0</v>
      </c>
      <c r="AM1728" s="9" t="str">
        <f t="shared" si="33"/>
        <v>OTP Breached</v>
      </c>
      <c r="AN1728" s="9" t="str">
        <f t="shared" si="34"/>
        <v>OTP Achieved</v>
      </c>
    </row>
    <row r="1729" spans="9:40" ht="15.75" customHeight="1">
      <c r="I1729" s="28"/>
      <c r="AD1729" s="9" t="str">
        <f t="shared" si="30"/>
        <v>Actual</v>
      </c>
      <c r="AE1729" s="9" t="str">
        <f t="shared" si="31"/>
        <v/>
      </c>
      <c r="AF1729" s="9">
        <f>HOUR(O1729)</f>
        <v>0</v>
      </c>
      <c r="AG1729" s="9">
        <f>DAY(O1729)</f>
        <v>0</v>
      </c>
      <c r="AH1729" s="9">
        <f>IFERROR((I1729-K1729)*24*60,0)</f>
        <v>0</v>
      </c>
      <c r="AI1729" s="9">
        <f t="shared" si="32"/>
        <v>0</v>
      </c>
      <c r="AJ1729" s="9">
        <f>C1729</f>
        <v>0</v>
      </c>
      <c r="AK1729" s="9">
        <f>IF(P1729="completed",((V1729-K1729)*24*60),0)</f>
        <v>0</v>
      </c>
      <c r="AL1729" s="9">
        <f>IF(P1729="completed",((U1729-K1729)*24*60),0)</f>
        <v>0</v>
      </c>
      <c r="AM1729" s="9" t="str">
        <f t="shared" si="33"/>
        <v>OTP Breached</v>
      </c>
      <c r="AN1729" s="9" t="str">
        <f t="shared" si="34"/>
        <v>OTP Achieved</v>
      </c>
    </row>
    <row r="1730" spans="9:40" ht="15.75" customHeight="1">
      <c r="I1730" s="28"/>
      <c r="AD1730" s="9" t="str">
        <f t="shared" si="30"/>
        <v>Actual</v>
      </c>
      <c r="AE1730" s="9" t="str">
        <f t="shared" si="31"/>
        <v/>
      </c>
      <c r="AF1730" s="9">
        <f>HOUR(O1730)</f>
        <v>0</v>
      </c>
      <c r="AG1730" s="9">
        <f>DAY(O1730)</f>
        <v>0</v>
      </c>
      <c r="AH1730" s="9">
        <f>IFERROR((I1730-K1730)*24*60,0)</f>
        <v>0</v>
      </c>
      <c r="AI1730" s="9">
        <f t="shared" si="32"/>
        <v>0</v>
      </c>
      <c r="AJ1730" s="9">
        <f>C1730</f>
        <v>0</v>
      </c>
      <c r="AK1730" s="9">
        <f>IF(P1730="completed",((V1730-K1730)*24*60),0)</f>
        <v>0</v>
      </c>
      <c r="AL1730" s="9">
        <f>IF(P1730="completed",((U1730-K1730)*24*60),0)</f>
        <v>0</v>
      </c>
      <c r="AM1730" s="9" t="str">
        <f t="shared" si="33"/>
        <v>OTP Breached</v>
      </c>
      <c r="AN1730" s="9" t="str">
        <f t="shared" si="34"/>
        <v>OTP Achieved</v>
      </c>
    </row>
    <row r="1731" spans="9:40" ht="15.75" customHeight="1">
      <c r="I1731" s="28"/>
      <c r="AD1731" s="9" t="str">
        <f t="shared" si="30"/>
        <v>Actual</v>
      </c>
      <c r="AE1731" s="9" t="str">
        <f t="shared" si="31"/>
        <v/>
      </c>
      <c r="AF1731" s="9">
        <f>HOUR(O1731)</f>
        <v>0</v>
      </c>
      <c r="AG1731" s="9">
        <f>DAY(O1731)</f>
        <v>0</v>
      </c>
      <c r="AH1731" s="9">
        <f>IFERROR((I1731-K1731)*24*60,0)</f>
        <v>0</v>
      </c>
      <c r="AI1731" s="9">
        <f t="shared" si="32"/>
        <v>0</v>
      </c>
      <c r="AJ1731" s="9">
        <f>C1731</f>
        <v>0</v>
      </c>
      <c r="AK1731" s="9">
        <f>IF(P1731="completed",((V1731-K1731)*24*60),0)</f>
        <v>0</v>
      </c>
      <c r="AL1731" s="9">
        <f>IF(P1731="completed",((U1731-K1731)*24*60),0)</f>
        <v>0</v>
      </c>
      <c r="AM1731" s="9" t="str">
        <f t="shared" si="33"/>
        <v>OTP Breached</v>
      </c>
      <c r="AN1731" s="9" t="str">
        <f t="shared" si="34"/>
        <v>OTP Achieved</v>
      </c>
    </row>
    <row r="1732" spans="9:40" ht="15.75" customHeight="1">
      <c r="I1732" s="28"/>
      <c r="AD1732" s="9" t="str">
        <f t="shared" si="30"/>
        <v>Actual</v>
      </c>
      <c r="AE1732" s="9" t="str">
        <f t="shared" si="31"/>
        <v/>
      </c>
      <c r="AF1732" s="9">
        <f>HOUR(O1732)</f>
        <v>0</v>
      </c>
      <c r="AG1732" s="9">
        <f>DAY(O1732)</f>
        <v>0</v>
      </c>
      <c r="AH1732" s="9">
        <f>IFERROR((I1732-K1732)*24*60,0)</f>
        <v>0</v>
      </c>
      <c r="AI1732" s="9">
        <f t="shared" si="32"/>
        <v>0</v>
      </c>
      <c r="AJ1732" s="9">
        <f>C1732</f>
        <v>0</v>
      </c>
      <c r="AK1732" s="9">
        <f>IF(P1732="completed",((V1732-K1732)*24*60),0)</f>
        <v>0</v>
      </c>
      <c r="AL1732" s="9">
        <f>IF(P1732="completed",((U1732-K1732)*24*60),0)</f>
        <v>0</v>
      </c>
      <c r="AM1732" s="9" t="str">
        <f t="shared" si="33"/>
        <v>OTP Breached</v>
      </c>
      <c r="AN1732" s="9" t="str">
        <f t="shared" si="34"/>
        <v>OTP Achieved</v>
      </c>
    </row>
    <row r="1733" spans="9:40" ht="15.75" customHeight="1">
      <c r="I1733" s="28"/>
      <c r="AD1733" s="9" t="str">
        <f t="shared" si="30"/>
        <v>Actual</v>
      </c>
      <c r="AE1733" s="9" t="str">
        <f t="shared" si="31"/>
        <v/>
      </c>
      <c r="AF1733" s="9">
        <f>HOUR(O1733)</f>
        <v>0</v>
      </c>
      <c r="AG1733" s="9">
        <f>DAY(O1733)</f>
        <v>0</v>
      </c>
      <c r="AH1733" s="9">
        <f>IFERROR((I1733-K1733)*24*60,0)</f>
        <v>0</v>
      </c>
      <c r="AI1733" s="9">
        <f t="shared" si="32"/>
        <v>0</v>
      </c>
      <c r="AJ1733" s="9">
        <f>C1733</f>
        <v>0</v>
      </c>
      <c r="AK1733" s="9">
        <f>IF(P1733="completed",((V1733-K1733)*24*60),0)</f>
        <v>0</v>
      </c>
      <c r="AL1733" s="9">
        <f>IF(P1733="completed",((U1733-K1733)*24*60),0)</f>
        <v>0</v>
      </c>
      <c r="AM1733" s="9" t="str">
        <f t="shared" si="33"/>
        <v>OTP Breached</v>
      </c>
      <c r="AN1733" s="9" t="str">
        <f t="shared" si="34"/>
        <v>OTP Achieved</v>
      </c>
    </row>
    <row r="1734" spans="9:40" ht="15.75" customHeight="1">
      <c r="I1734" s="28"/>
      <c r="AD1734" s="9" t="str">
        <f t="shared" si="30"/>
        <v>Actual</v>
      </c>
      <c r="AE1734" s="9" t="str">
        <f t="shared" si="31"/>
        <v/>
      </c>
      <c r="AF1734" s="9">
        <f>HOUR(O1734)</f>
        <v>0</v>
      </c>
      <c r="AG1734" s="9">
        <f>DAY(O1734)</f>
        <v>0</v>
      </c>
      <c r="AH1734" s="9">
        <f>IFERROR((I1734-K1734)*24*60,0)</f>
        <v>0</v>
      </c>
      <c r="AI1734" s="9">
        <f t="shared" si="32"/>
        <v>0</v>
      </c>
      <c r="AJ1734" s="9">
        <f>C1734</f>
        <v>0</v>
      </c>
      <c r="AK1734" s="9">
        <f>IF(P1734="completed",((V1734-K1734)*24*60),0)</f>
        <v>0</v>
      </c>
      <c r="AL1734" s="9">
        <f>IF(P1734="completed",((U1734-K1734)*24*60),0)</f>
        <v>0</v>
      </c>
      <c r="AM1734" s="9" t="str">
        <f t="shared" si="33"/>
        <v>OTP Breached</v>
      </c>
      <c r="AN1734" s="9" t="str">
        <f t="shared" si="34"/>
        <v>OTP Achieved</v>
      </c>
    </row>
    <row r="1735" spans="9:40" ht="15.75" customHeight="1">
      <c r="I1735" s="28"/>
      <c r="AD1735" s="9" t="str">
        <f t="shared" si="30"/>
        <v>Actual</v>
      </c>
      <c r="AE1735" s="9" t="str">
        <f t="shared" si="31"/>
        <v/>
      </c>
      <c r="AF1735" s="9">
        <f>HOUR(O1735)</f>
        <v>0</v>
      </c>
      <c r="AG1735" s="9">
        <f>DAY(O1735)</f>
        <v>0</v>
      </c>
      <c r="AH1735" s="9">
        <f>IFERROR((I1735-K1735)*24*60,0)</f>
        <v>0</v>
      </c>
      <c r="AI1735" s="9">
        <f t="shared" si="32"/>
        <v>0</v>
      </c>
      <c r="AJ1735" s="9">
        <f>C1735</f>
        <v>0</v>
      </c>
      <c r="AK1735" s="9">
        <f>IF(P1735="completed",((V1735-K1735)*24*60),0)</f>
        <v>0</v>
      </c>
      <c r="AL1735" s="9">
        <f>IF(P1735="completed",((U1735-K1735)*24*60),0)</f>
        <v>0</v>
      </c>
      <c r="AM1735" s="9" t="str">
        <f t="shared" si="33"/>
        <v>OTP Breached</v>
      </c>
      <c r="AN1735" s="9" t="str">
        <f t="shared" si="34"/>
        <v>OTP Achieved</v>
      </c>
    </row>
    <row r="1736" spans="9:40" ht="15.75" customHeight="1">
      <c r="I1736" s="28"/>
      <c r="AD1736" s="9" t="str">
        <f t="shared" si="30"/>
        <v>Actual</v>
      </c>
      <c r="AE1736" s="9" t="str">
        <f t="shared" si="31"/>
        <v/>
      </c>
      <c r="AF1736" s="9">
        <f>HOUR(O1736)</f>
        <v>0</v>
      </c>
      <c r="AG1736" s="9">
        <f>DAY(O1736)</f>
        <v>0</v>
      </c>
      <c r="AH1736" s="9">
        <f>IFERROR((I1736-K1736)*24*60,0)</f>
        <v>0</v>
      </c>
      <c r="AI1736" s="9">
        <f t="shared" si="32"/>
        <v>0</v>
      </c>
      <c r="AJ1736" s="9">
        <f>C1736</f>
        <v>0</v>
      </c>
      <c r="AK1736" s="9">
        <f>IF(P1736="completed",((V1736-K1736)*24*60),0)</f>
        <v>0</v>
      </c>
      <c r="AL1736" s="9">
        <f>IF(P1736="completed",((U1736-K1736)*24*60),0)</f>
        <v>0</v>
      </c>
      <c r="AM1736" s="9" t="str">
        <f t="shared" si="33"/>
        <v>OTP Breached</v>
      </c>
      <c r="AN1736" s="9" t="str">
        <f t="shared" si="34"/>
        <v>OTP Achieved</v>
      </c>
    </row>
    <row r="1737" spans="9:40" ht="15.75" customHeight="1">
      <c r="I1737" s="28"/>
      <c r="AD1737" s="9" t="str">
        <f t="shared" si="30"/>
        <v>Actual</v>
      </c>
      <c r="AE1737" s="9" t="str">
        <f t="shared" si="31"/>
        <v/>
      </c>
      <c r="AF1737" s="9">
        <f>HOUR(O1737)</f>
        <v>0</v>
      </c>
      <c r="AG1737" s="9">
        <f>DAY(O1737)</f>
        <v>0</v>
      </c>
      <c r="AH1737" s="9">
        <f>IFERROR((I1737-K1737)*24*60,0)</f>
        <v>0</v>
      </c>
      <c r="AI1737" s="9">
        <f t="shared" si="32"/>
        <v>0</v>
      </c>
      <c r="AJ1737" s="9">
        <f>C1737</f>
        <v>0</v>
      </c>
      <c r="AK1737" s="9">
        <f>IF(P1737="completed",((V1737-K1737)*24*60),0)</f>
        <v>0</v>
      </c>
      <c r="AL1737" s="9">
        <f>IF(P1737="completed",((U1737-K1737)*24*60),0)</f>
        <v>0</v>
      </c>
      <c r="AM1737" s="9" t="str">
        <f t="shared" si="33"/>
        <v>OTP Breached</v>
      </c>
      <c r="AN1737" s="9" t="str">
        <f t="shared" si="34"/>
        <v>OTP Achieved</v>
      </c>
    </row>
    <row r="1738" spans="9:40" ht="15.75" customHeight="1">
      <c r="I1738" s="28"/>
      <c r="AD1738" s="9" t="str">
        <f t="shared" si="30"/>
        <v>Actual</v>
      </c>
      <c r="AE1738" s="9" t="str">
        <f t="shared" si="31"/>
        <v/>
      </c>
      <c r="AF1738" s="9">
        <f>HOUR(O1738)</f>
        <v>0</v>
      </c>
      <c r="AG1738" s="9">
        <f>DAY(O1738)</f>
        <v>0</v>
      </c>
      <c r="AH1738" s="9">
        <f>IFERROR((I1738-K1738)*24*60,0)</f>
        <v>0</v>
      </c>
      <c r="AI1738" s="9">
        <f t="shared" si="32"/>
        <v>0</v>
      </c>
      <c r="AJ1738" s="9">
        <f>C1738</f>
        <v>0</v>
      </c>
      <c r="AK1738" s="9">
        <f>IF(P1738="completed",((V1738-K1738)*24*60),0)</f>
        <v>0</v>
      </c>
      <c r="AL1738" s="9">
        <f>IF(P1738="completed",((U1738-K1738)*24*60),0)</f>
        <v>0</v>
      </c>
      <c r="AM1738" s="9" t="str">
        <f t="shared" si="33"/>
        <v>OTP Breached</v>
      </c>
      <c r="AN1738" s="9" t="str">
        <f t="shared" si="34"/>
        <v>OTP Achieved</v>
      </c>
    </row>
    <row r="1739" spans="9:40" ht="15.75" customHeight="1">
      <c r="I1739" s="28"/>
      <c r="AD1739" s="9" t="str">
        <f t="shared" si="30"/>
        <v>Actual</v>
      </c>
      <c r="AE1739" s="9" t="str">
        <f t="shared" si="31"/>
        <v/>
      </c>
      <c r="AF1739" s="9">
        <f>HOUR(O1739)</f>
        <v>0</v>
      </c>
      <c r="AG1739" s="9">
        <f>DAY(O1739)</f>
        <v>0</v>
      </c>
      <c r="AH1739" s="9">
        <f>IFERROR((I1739-K1739)*24*60,0)</f>
        <v>0</v>
      </c>
      <c r="AI1739" s="9">
        <f t="shared" si="32"/>
        <v>0</v>
      </c>
      <c r="AJ1739" s="9">
        <f>C1739</f>
        <v>0</v>
      </c>
      <c r="AK1739" s="9">
        <f>IF(P1739="completed",((V1739-K1739)*24*60),0)</f>
        <v>0</v>
      </c>
      <c r="AL1739" s="9">
        <f>IF(P1739="completed",((U1739-K1739)*24*60),0)</f>
        <v>0</v>
      </c>
      <c r="AM1739" s="9" t="str">
        <f t="shared" si="33"/>
        <v>OTP Breached</v>
      </c>
      <c r="AN1739" s="9" t="str">
        <f t="shared" si="34"/>
        <v>OTP Achieved</v>
      </c>
    </row>
    <row r="1740" spans="9:40" ht="15.75" customHeight="1">
      <c r="I1740" s="28"/>
      <c r="AD1740" s="9" t="str">
        <f t="shared" si="30"/>
        <v>Actual</v>
      </c>
      <c r="AE1740" s="9" t="str">
        <f t="shared" si="31"/>
        <v/>
      </c>
      <c r="AF1740" s="9">
        <f>HOUR(O1740)</f>
        <v>0</v>
      </c>
      <c r="AG1740" s="9">
        <f>DAY(O1740)</f>
        <v>0</v>
      </c>
      <c r="AH1740" s="9">
        <f>IFERROR((I1740-K1740)*24*60,0)</f>
        <v>0</v>
      </c>
      <c r="AI1740" s="9">
        <f t="shared" si="32"/>
        <v>0</v>
      </c>
      <c r="AJ1740" s="9">
        <f>C1740</f>
        <v>0</v>
      </c>
      <c r="AK1740" s="9">
        <f>IF(P1740="completed",((V1740-K1740)*24*60),0)</f>
        <v>0</v>
      </c>
      <c r="AL1740" s="9">
        <f>IF(P1740="completed",((U1740-K1740)*24*60),0)</f>
        <v>0</v>
      </c>
      <c r="AM1740" s="9" t="str">
        <f t="shared" si="33"/>
        <v>OTP Breached</v>
      </c>
      <c r="AN1740" s="9" t="str">
        <f t="shared" si="34"/>
        <v>OTP Achieved</v>
      </c>
    </row>
    <row r="1741" spans="9:40" ht="15.75" customHeight="1">
      <c r="I1741" s="28"/>
      <c r="AD1741" s="9" t="str">
        <f t="shared" si="30"/>
        <v>Actual</v>
      </c>
      <c r="AE1741" s="9" t="str">
        <f t="shared" si="31"/>
        <v/>
      </c>
      <c r="AF1741" s="9">
        <f>HOUR(O1741)</f>
        <v>0</v>
      </c>
      <c r="AG1741" s="9">
        <f>DAY(O1741)</f>
        <v>0</v>
      </c>
      <c r="AH1741" s="9">
        <f>IFERROR((I1741-K1741)*24*60,0)</f>
        <v>0</v>
      </c>
      <c r="AI1741" s="9">
        <f t="shared" si="32"/>
        <v>0</v>
      </c>
      <c r="AJ1741" s="9">
        <f>C1741</f>
        <v>0</v>
      </c>
      <c r="AK1741" s="9">
        <f>IF(P1741="completed",((V1741-K1741)*24*60),0)</f>
        <v>0</v>
      </c>
      <c r="AL1741" s="9">
        <f>IF(P1741="completed",((U1741-K1741)*24*60),0)</f>
        <v>0</v>
      </c>
      <c r="AM1741" s="9" t="str">
        <f t="shared" si="33"/>
        <v>OTP Breached</v>
      </c>
      <c r="AN1741" s="9" t="str">
        <f t="shared" si="34"/>
        <v>OTP Achieved</v>
      </c>
    </row>
    <row r="1742" spans="9:40" ht="15.75" customHeight="1">
      <c r="I1742" s="28"/>
      <c r="AD1742" s="9" t="str">
        <f t="shared" si="30"/>
        <v>Actual</v>
      </c>
      <c r="AE1742" s="9" t="str">
        <f t="shared" si="31"/>
        <v/>
      </c>
      <c r="AF1742" s="9">
        <f>HOUR(O1742)</f>
        <v>0</v>
      </c>
      <c r="AG1742" s="9">
        <f>DAY(O1742)</f>
        <v>0</v>
      </c>
      <c r="AH1742" s="9">
        <f>IFERROR((I1742-K1742)*24*60,0)</f>
        <v>0</v>
      </c>
      <c r="AI1742" s="9">
        <f t="shared" si="32"/>
        <v>0</v>
      </c>
      <c r="AJ1742" s="9">
        <f>C1742</f>
        <v>0</v>
      </c>
      <c r="AK1742" s="9">
        <f>IF(P1742="completed",((V1742-K1742)*24*60),0)</f>
        <v>0</v>
      </c>
      <c r="AL1742" s="9">
        <f>IF(P1742="completed",((U1742-K1742)*24*60),0)</f>
        <v>0</v>
      </c>
      <c r="AM1742" s="9" t="str">
        <f t="shared" si="33"/>
        <v>OTP Breached</v>
      </c>
      <c r="AN1742" s="9" t="str">
        <f t="shared" si="34"/>
        <v>OTP Achieved</v>
      </c>
    </row>
    <row r="1743" spans="9:40" ht="15.75" customHeight="1">
      <c r="I1743" s="28"/>
      <c r="AD1743" s="9" t="str">
        <f t="shared" si="30"/>
        <v>Actual</v>
      </c>
      <c r="AE1743" s="9" t="str">
        <f t="shared" si="31"/>
        <v/>
      </c>
      <c r="AF1743" s="9">
        <f>HOUR(O1743)</f>
        <v>0</v>
      </c>
      <c r="AG1743" s="9">
        <f>DAY(O1743)</f>
        <v>0</v>
      </c>
      <c r="AH1743" s="9">
        <f>IFERROR((I1743-K1743)*24*60,0)</f>
        <v>0</v>
      </c>
      <c r="AI1743" s="9">
        <f t="shared" si="32"/>
        <v>0</v>
      </c>
      <c r="AJ1743" s="9">
        <f>C1743</f>
        <v>0</v>
      </c>
      <c r="AK1743" s="9">
        <f>IF(P1743="completed",((V1743-K1743)*24*60),0)</f>
        <v>0</v>
      </c>
      <c r="AL1743" s="9">
        <f>IF(P1743="completed",((U1743-K1743)*24*60),0)</f>
        <v>0</v>
      </c>
      <c r="AM1743" s="9" t="str">
        <f t="shared" si="33"/>
        <v>OTP Breached</v>
      </c>
      <c r="AN1743" s="9" t="str">
        <f t="shared" si="34"/>
        <v>OTP Achieved</v>
      </c>
    </row>
    <row r="1744" spans="9:40" ht="15.75" customHeight="1">
      <c r="I1744" s="28"/>
      <c r="AD1744" s="9" t="str">
        <f t="shared" si="30"/>
        <v>Actual</v>
      </c>
      <c r="AE1744" s="9" t="str">
        <f t="shared" si="31"/>
        <v/>
      </c>
      <c r="AF1744" s="9">
        <f>HOUR(O1744)</f>
        <v>0</v>
      </c>
      <c r="AG1744" s="9">
        <f>DAY(O1744)</f>
        <v>0</v>
      </c>
      <c r="AH1744" s="9">
        <f>IFERROR((I1744-K1744)*24*60,0)</f>
        <v>0</v>
      </c>
      <c r="AI1744" s="9">
        <f t="shared" si="32"/>
        <v>0</v>
      </c>
      <c r="AJ1744" s="9">
        <f>C1744</f>
        <v>0</v>
      </c>
      <c r="AK1744" s="9">
        <f>IF(P1744="completed",((V1744-K1744)*24*60),0)</f>
        <v>0</v>
      </c>
      <c r="AL1744" s="9">
        <f>IF(P1744="completed",((U1744-K1744)*24*60),0)</f>
        <v>0</v>
      </c>
      <c r="AM1744" s="9" t="str">
        <f t="shared" si="33"/>
        <v>OTP Breached</v>
      </c>
      <c r="AN1744" s="9" t="str">
        <f t="shared" si="34"/>
        <v>OTP Achieved</v>
      </c>
    </row>
    <row r="1745" spans="9:40" ht="15.75" customHeight="1">
      <c r="I1745" s="28"/>
      <c r="AD1745" s="9" t="str">
        <f t="shared" si="30"/>
        <v>Actual</v>
      </c>
      <c r="AE1745" s="9" t="str">
        <f t="shared" si="31"/>
        <v/>
      </c>
      <c r="AF1745" s="9">
        <f>HOUR(O1745)</f>
        <v>0</v>
      </c>
      <c r="AG1745" s="9">
        <f>DAY(O1745)</f>
        <v>0</v>
      </c>
      <c r="AH1745" s="9">
        <f>IFERROR((I1745-K1745)*24*60,0)</f>
        <v>0</v>
      </c>
      <c r="AI1745" s="9">
        <f t="shared" si="32"/>
        <v>0</v>
      </c>
      <c r="AJ1745" s="9">
        <f>C1745</f>
        <v>0</v>
      </c>
      <c r="AK1745" s="9">
        <f>IF(P1745="completed",((V1745-K1745)*24*60),0)</f>
        <v>0</v>
      </c>
      <c r="AL1745" s="9">
        <f>IF(P1745="completed",((U1745-K1745)*24*60),0)</f>
        <v>0</v>
      </c>
      <c r="AM1745" s="9" t="str">
        <f t="shared" si="33"/>
        <v>OTP Breached</v>
      </c>
      <c r="AN1745" s="9" t="str">
        <f t="shared" si="34"/>
        <v>OTP Achieved</v>
      </c>
    </row>
    <row r="1746" spans="9:40" ht="15.75" customHeight="1">
      <c r="I1746" s="28"/>
      <c r="AD1746" s="9" t="str">
        <f t="shared" si="30"/>
        <v>Actual</v>
      </c>
      <c r="AE1746" s="9" t="str">
        <f t="shared" si="31"/>
        <v/>
      </c>
      <c r="AF1746" s="9">
        <f>HOUR(O1746)</f>
        <v>0</v>
      </c>
      <c r="AG1746" s="9">
        <f>DAY(O1746)</f>
        <v>0</v>
      </c>
      <c r="AH1746" s="9">
        <f>IFERROR((I1746-K1746)*24*60,0)</f>
        <v>0</v>
      </c>
      <c r="AI1746" s="9">
        <f t="shared" si="32"/>
        <v>0</v>
      </c>
      <c r="AJ1746" s="9">
        <f>C1746</f>
        <v>0</v>
      </c>
      <c r="AK1746" s="9">
        <f>IF(P1746="completed",((V1746-K1746)*24*60),0)</f>
        <v>0</v>
      </c>
      <c r="AL1746" s="9">
        <f>IF(P1746="completed",((U1746-K1746)*24*60),0)</f>
        <v>0</v>
      </c>
      <c r="AM1746" s="9" t="str">
        <f t="shared" si="33"/>
        <v>OTP Breached</v>
      </c>
      <c r="AN1746" s="9" t="str">
        <f t="shared" si="34"/>
        <v>OTP Achieved</v>
      </c>
    </row>
    <row r="1747" spans="9:40" ht="15.75" customHeight="1">
      <c r="I1747" s="28"/>
      <c r="AD1747" s="9" t="str">
        <f t="shared" si="30"/>
        <v>Actual</v>
      </c>
      <c r="AE1747" s="9" t="str">
        <f t="shared" si="31"/>
        <v/>
      </c>
      <c r="AF1747" s="9">
        <f>HOUR(O1747)</f>
        <v>0</v>
      </c>
      <c r="AG1747" s="9">
        <f>DAY(O1747)</f>
        <v>0</v>
      </c>
      <c r="AH1747" s="9">
        <f>IFERROR((I1747-K1747)*24*60,0)</f>
        <v>0</v>
      </c>
      <c r="AI1747" s="9">
        <f t="shared" si="32"/>
        <v>0</v>
      </c>
      <c r="AJ1747" s="9">
        <f>C1747</f>
        <v>0</v>
      </c>
      <c r="AK1747" s="9">
        <f>IF(P1747="completed",((V1747-K1747)*24*60),0)</f>
        <v>0</v>
      </c>
      <c r="AL1747" s="9">
        <f>IF(P1747="completed",((U1747-K1747)*24*60),0)</f>
        <v>0</v>
      </c>
      <c r="AM1747" s="9" t="str">
        <f t="shared" si="33"/>
        <v>OTP Breached</v>
      </c>
      <c r="AN1747" s="9" t="str">
        <f t="shared" si="34"/>
        <v>OTP Achieved</v>
      </c>
    </row>
    <row r="1748" spans="9:40" ht="15.75" customHeight="1">
      <c r="I1748" s="28"/>
      <c r="AD1748" s="9" t="str">
        <f t="shared" si="30"/>
        <v>Actual</v>
      </c>
      <c r="AE1748" s="9" t="str">
        <f t="shared" si="31"/>
        <v/>
      </c>
      <c r="AF1748" s="9">
        <f>HOUR(O1748)</f>
        <v>0</v>
      </c>
      <c r="AG1748" s="9">
        <f>DAY(O1748)</f>
        <v>0</v>
      </c>
      <c r="AH1748" s="9">
        <f>IFERROR((I1748-K1748)*24*60,0)</f>
        <v>0</v>
      </c>
      <c r="AI1748" s="9">
        <f t="shared" si="32"/>
        <v>0</v>
      </c>
      <c r="AJ1748" s="9">
        <f>C1748</f>
        <v>0</v>
      </c>
      <c r="AK1748" s="9">
        <f>IF(P1748="completed",((V1748-K1748)*24*60),0)</f>
        <v>0</v>
      </c>
      <c r="AL1748" s="9">
        <f>IF(P1748="completed",((U1748-K1748)*24*60),0)</f>
        <v>0</v>
      </c>
      <c r="AM1748" s="9" t="str">
        <f t="shared" si="33"/>
        <v>OTP Breached</v>
      </c>
      <c r="AN1748" s="9" t="str">
        <f t="shared" si="34"/>
        <v>OTP Achieved</v>
      </c>
    </row>
    <row r="1749" spans="9:40" ht="15.75" customHeight="1">
      <c r="I1749" s="28"/>
      <c r="AD1749" s="9" t="str">
        <f t="shared" si="30"/>
        <v>Actual</v>
      </c>
      <c r="AE1749" s="9" t="str">
        <f t="shared" si="31"/>
        <v/>
      </c>
      <c r="AF1749" s="9">
        <f>HOUR(O1749)</f>
        <v>0</v>
      </c>
      <c r="AG1749" s="9">
        <f>DAY(O1749)</f>
        <v>0</v>
      </c>
      <c r="AH1749" s="9">
        <f>IFERROR((I1749-K1749)*24*60,0)</f>
        <v>0</v>
      </c>
      <c r="AI1749" s="9">
        <f t="shared" si="32"/>
        <v>0</v>
      </c>
      <c r="AJ1749" s="9">
        <f>C1749</f>
        <v>0</v>
      </c>
      <c r="AK1749" s="9">
        <f>IF(P1749="completed",((V1749-K1749)*24*60),0)</f>
        <v>0</v>
      </c>
      <c r="AL1749" s="9">
        <f>IF(P1749="completed",((U1749-K1749)*24*60),0)</f>
        <v>0</v>
      </c>
      <c r="AM1749" s="9" t="str">
        <f t="shared" si="33"/>
        <v>OTP Breached</v>
      </c>
      <c r="AN1749" s="9" t="str">
        <f t="shared" si="34"/>
        <v>OTP Achieved</v>
      </c>
    </row>
    <row r="1750" spans="9:40" ht="15.75" customHeight="1">
      <c r="I1750" s="28"/>
      <c r="AD1750" s="9" t="str">
        <f t="shared" si="30"/>
        <v>Actual</v>
      </c>
      <c r="AE1750" s="9" t="str">
        <f t="shared" si="31"/>
        <v/>
      </c>
      <c r="AF1750" s="9">
        <f>HOUR(O1750)</f>
        <v>0</v>
      </c>
      <c r="AG1750" s="9">
        <f>DAY(O1750)</f>
        <v>0</v>
      </c>
      <c r="AH1750" s="9">
        <f>IFERROR((I1750-K1750)*24*60,0)</f>
        <v>0</v>
      </c>
      <c r="AI1750" s="9">
        <f t="shared" si="32"/>
        <v>0</v>
      </c>
      <c r="AJ1750" s="9">
        <f>C1750</f>
        <v>0</v>
      </c>
      <c r="AK1750" s="9">
        <f>IF(P1750="completed",((V1750-K1750)*24*60),0)</f>
        <v>0</v>
      </c>
      <c r="AL1750" s="9">
        <f>IF(P1750="completed",((U1750-K1750)*24*60),0)</f>
        <v>0</v>
      </c>
      <c r="AM1750" s="9" t="str">
        <f t="shared" si="33"/>
        <v>OTP Breached</v>
      </c>
      <c r="AN1750" s="9" t="str">
        <f t="shared" si="34"/>
        <v>OTP Achieved</v>
      </c>
    </row>
    <row r="1751" spans="9:40" ht="15.75" customHeight="1">
      <c r="I1751" s="28"/>
      <c r="AD1751" s="9" t="str">
        <f t="shared" si="30"/>
        <v>Actual</v>
      </c>
      <c r="AE1751" s="9" t="str">
        <f t="shared" si="31"/>
        <v/>
      </c>
      <c r="AF1751" s="9">
        <f>HOUR(O1751)</f>
        <v>0</v>
      </c>
      <c r="AG1751" s="9">
        <f>DAY(O1751)</f>
        <v>0</v>
      </c>
      <c r="AH1751" s="9">
        <f>IFERROR((I1751-K1751)*24*60,0)</f>
        <v>0</v>
      </c>
      <c r="AI1751" s="9">
        <f t="shared" si="32"/>
        <v>0</v>
      </c>
      <c r="AJ1751" s="9">
        <f>C1751</f>
        <v>0</v>
      </c>
      <c r="AK1751" s="9">
        <f>IF(P1751="completed",((V1751-K1751)*24*60),0)</f>
        <v>0</v>
      </c>
      <c r="AL1751" s="9">
        <f>IF(P1751="completed",((U1751-K1751)*24*60),0)</f>
        <v>0</v>
      </c>
      <c r="AM1751" s="9" t="str">
        <f t="shared" si="33"/>
        <v>OTP Breached</v>
      </c>
      <c r="AN1751" s="9" t="str">
        <f t="shared" si="34"/>
        <v>OTP Achieved</v>
      </c>
    </row>
    <row r="1752" spans="9:40" ht="15.75" customHeight="1">
      <c r="I1752" s="28"/>
      <c r="AD1752" s="9" t="str">
        <f t="shared" si="30"/>
        <v>Actual</v>
      </c>
      <c r="AE1752" s="9" t="str">
        <f t="shared" si="31"/>
        <v/>
      </c>
      <c r="AF1752" s="9">
        <f>HOUR(O1752)</f>
        <v>0</v>
      </c>
      <c r="AG1752" s="9">
        <f>DAY(O1752)</f>
        <v>0</v>
      </c>
      <c r="AH1752" s="9">
        <f>IFERROR((I1752-K1752)*24*60,0)</f>
        <v>0</v>
      </c>
      <c r="AI1752" s="9">
        <f t="shared" si="32"/>
        <v>0</v>
      </c>
      <c r="AJ1752" s="9">
        <f>C1752</f>
        <v>0</v>
      </c>
      <c r="AK1752" s="9">
        <f>IF(P1752="completed",((V1752-K1752)*24*60),0)</f>
        <v>0</v>
      </c>
      <c r="AL1752" s="9">
        <f>IF(P1752="completed",((U1752-K1752)*24*60),0)</f>
        <v>0</v>
      </c>
      <c r="AM1752" s="9" t="str">
        <f t="shared" si="33"/>
        <v>OTP Breached</v>
      </c>
      <c r="AN1752" s="9" t="str">
        <f t="shared" si="34"/>
        <v>OTP Achieved</v>
      </c>
    </row>
    <row r="1753" spans="9:40" ht="15.75" customHeight="1">
      <c r="I1753" s="28"/>
      <c r="AD1753" s="9" t="str">
        <f t="shared" si="30"/>
        <v>Actual</v>
      </c>
      <c r="AE1753" s="9" t="str">
        <f t="shared" si="31"/>
        <v/>
      </c>
      <c r="AF1753" s="9">
        <f>HOUR(O1753)</f>
        <v>0</v>
      </c>
      <c r="AG1753" s="9">
        <f>DAY(O1753)</f>
        <v>0</v>
      </c>
      <c r="AH1753" s="9">
        <f>IFERROR((I1753-K1753)*24*60,0)</f>
        <v>0</v>
      </c>
      <c r="AI1753" s="9">
        <f t="shared" si="32"/>
        <v>0</v>
      </c>
      <c r="AJ1753" s="9">
        <f>C1753</f>
        <v>0</v>
      </c>
      <c r="AK1753" s="9">
        <f>IF(P1753="completed",((V1753-K1753)*24*60),0)</f>
        <v>0</v>
      </c>
      <c r="AL1753" s="9">
        <f>IF(P1753="completed",((U1753-K1753)*24*60),0)</f>
        <v>0</v>
      </c>
      <c r="AM1753" s="9" t="str">
        <f t="shared" si="33"/>
        <v>OTP Breached</v>
      </c>
      <c r="AN1753" s="9" t="str">
        <f t="shared" si="34"/>
        <v>OTP Achieved</v>
      </c>
    </row>
    <row r="1754" spans="9:40" ht="15.75" customHeight="1">
      <c r="I1754" s="28"/>
      <c r="AD1754" s="9" t="str">
        <f t="shared" si="30"/>
        <v>Actual</v>
      </c>
      <c r="AE1754" s="9" t="str">
        <f t="shared" si="31"/>
        <v/>
      </c>
      <c r="AF1754" s="9">
        <f>HOUR(O1754)</f>
        <v>0</v>
      </c>
      <c r="AG1754" s="9">
        <f>DAY(O1754)</f>
        <v>0</v>
      </c>
      <c r="AH1754" s="9">
        <f>IFERROR((I1754-K1754)*24*60,0)</f>
        <v>0</v>
      </c>
      <c r="AI1754" s="9">
        <f t="shared" si="32"/>
        <v>0</v>
      </c>
      <c r="AJ1754" s="9">
        <f>C1754</f>
        <v>0</v>
      </c>
      <c r="AK1754" s="9">
        <f>IF(P1754="completed",((V1754-K1754)*24*60),0)</f>
        <v>0</v>
      </c>
      <c r="AL1754" s="9">
        <f>IF(P1754="completed",((U1754-K1754)*24*60),0)</f>
        <v>0</v>
      </c>
      <c r="AM1754" s="9" t="str">
        <f t="shared" si="33"/>
        <v>OTP Breached</v>
      </c>
      <c r="AN1754" s="9" t="str">
        <f t="shared" si="34"/>
        <v>OTP Achieved</v>
      </c>
    </row>
    <row r="1755" spans="9:40" ht="15.75" customHeight="1">
      <c r="I1755" s="28"/>
      <c r="AD1755" s="9" t="str">
        <f t="shared" si="30"/>
        <v>Actual</v>
      </c>
      <c r="AE1755" s="9" t="str">
        <f t="shared" si="31"/>
        <v/>
      </c>
      <c r="AF1755" s="9">
        <f>HOUR(O1755)</f>
        <v>0</v>
      </c>
      <c r="AG1755" s="9">
        <f>DAY(O1755)</f>
        <v>0</v>
      </c>
      <c r="AH1755" s="9">
        <f>IFERROR((I1755-K1755)*24*60,0)</f>
        <v>0</v>
      </c>
      <c r="AI1755" s="9">
        <f t="shared" si="32"/>
        <v>0</v>
      </c>
      <c r="AJ1755" s="9">
        <f>C1755</f>
        <v>0</v>
      </c>
      <c r="AK1755" s="9">
        <f>IF(P1755="completed",((V1755-K1755)*24*60),0)</f>
        <v>0</v>
      </c>
      <c r="AL1755" s="9">
        <f>IF(P1755="completed",((U1755-K1755)*24*60),0)</f>
        <v>0</v>
      </c>
      <c r="AM1755" s="9" t="str">
        <f t="shared" si="33"/>
        <v>OTP Breached</v>
      </c>
      <c r="AN1755" s="9" t="str">
        <f t="shared" si="34"/>
        <v>OTP Achieved</v>
      </c>
    </row>
    <row r="1756" spans="9:40" ht="15.75" customHeight="1">
      <c r="I1756" s="28"/>
      <c r="AD1756" s="9" t="str">
        <f t="shared" si="30"/>
        <v>Actual</v>
      </c>
      <c r="AE1756" s="9" t="str">
        <f t="shared" si="31"/>
        <v/>
      </c>
      <c r="AF1756" s="9">
        <f>HOUR(O1756)</f>
        <v>0</v>
      </c>
      <c r="AG1756" s="9">
        <f>DAY(O1756)</f>
        <v>0</v>
      </c>
      <c r="AH1756" s="9">
        <f>IFERROR((I1756-K1756)*24*60,0)</f>
        <v>0</v>
      </c>
      <c r="AI1756" s="9">
        <f t="shared" si="32"/>
        <v>0</v>
      </c>
      <c r="AJ1756" s="9">
        <f>C1756</f>
        <v>0</v>
      </c>
      <c r="AK1756" s="9">
        <f>IF(P1756="completed",((V1756-K1756)*24*60),0)</f>
        <v>0</v>
      </c>
      <c r="AL1756" s="9">
        <f>IF(P1756="completed",((U1756-K1756)*24*60),0)</f>
        <v>0</v>
      </c>
      <c r="AM1756" s="9" t="str">
        <f t="shared" si="33"/>
        <v>OTP Breached</v>
      </c>
      <c r="AN1756" s="9" t="str">
        <f t="shared" si="34"/>
        <v>OTP Achieved</v>
      </c>
    </row>
    <row r="1757" spans="9:40" ht="15.75" customHeight="1">
      <c r="I1757" s="28"/>
      <c r="AD1757" s="9" t="str">
        <f t="shared" si="30"/>
        <v>Actual</v>
      </c>
      <c r="AE1757" s="9" t="str">
        <f t="shared" si="31"/>
        <v/>
      </c>
      <c r="AF1757" s="9">
        <f>HOUR(O1757)</f>
        <v>0</v>
      </c>
      <c r="AG1757" s="9">
        <f>DAY(O1757)</f>
        <v>0</v>
      </c>
      <c r="AH1757" s="9">
        <f>IFERROR((I1757-K1757)*24*60,0)</f>
        <v>0</v>
      </c>
      <c r="AI1757" s="9">
        <f t="shared" si="32"/>
        <v>0</v>
      </c>
      <c r="AJ1757" s="9">
        <f>C1757</f>
        <v>0</v>
      </c>
      <c r="AK1757" s="9">
        <f>IF(P1757="completed",((V1757-K1757)*24*60),0)</f>
        <v>0</v>
      </c>
      <c r="AL1757" s="9">
        <f>IF(P1757="completed",((U1757-K1757)*24*60),0)</f>
        <v>0</v>
      </c>
      <c r="AM1757" s="9" t="str">
        <f t="shared" si="33"/>
        <v>OTP Breached</v>
      </c>
      <c r="AN1757" s="9" t="str">
        <f t="shared" si="34"/>
        <v>OTP Achieved</v>
      </c>
    </row>
    <row r="1758" spans="9:40" ht="15.75" customHeight="1">
      <c r="I1758" s="28"/>
      <c r="AD1758" s="9" t="str">
        <f t="shared" si="30"/>
        <v>Actual</v>
      </c>
      <c r="AE1758" s="9" t="str">
        <f t="shared" si="31"/>
        <v/>
      </c>
      <c r="AF1758" s="9">
        <f>HOUR(O1758)</f>
        <v>0</v>
      </c>
      <c r="AG1758" s="9">
        <f>DAY(O1758)</f>
        <v>0</v>
      </c>
      <c r="AH1758" s="9">
        <f>IFERROR((I1758-K1758)*24*60,0)</f>
        <v>0</v>
      </c>
      <c r="AI1758" s="9">
        <f t="shared" si="32"/>
        <v>0</v>
      </c>
      <c r="AJ1758" s="9">
        <f>C1758</f>
        <v>0</v>
      </c>
      <c r="AK1758" s="9">
        <f>IF(P1758="completed",((V1758-K1758)*24*60),0)</f>
        <v>0</v>
      </c>
      <c r="AL1758" s="9">
        <f>IF(P1758="completed",((U1758-K1758)*24*60),0)</f>
        <v>0</v>
      </c>
      <c r="AM1758" s="9" t="str">
        <f t="shared" si="33"/>
        <v>OTP Breached</v>
      </c>
      <c r="AN1758" s="9" t="str">
        <f t="shared" si="34"/>
        <v>OTP Achieved</v>
      </c>
    </row>
    <row r="1759" spans="9:40" ht="15.75" customHeight="1">
      <c r="I1759" s="28"/>
      <c r="AD1759" s="9" t="str">
        <f t="shared" si="30"/>
        <v>Actual</v>
      </c>
      <c r="AE1759" s="9" t="str">
        <f t="shared" si="31"/>
        <v/>
      </c>
      <c r="AF1759" s="9">
        <f>HOUR(O1759)</f>
        <v>0</v>
      </c>
      <c r="AG1759" s="9">
        <f>DAY(O1759)</f>
        <v>0</v>
      </c>
      <c r="AH1759" s="9">
        <f>IFERROR((I1759-K1759)*24*60,0)</f>
        <v>0</v>
      </c>
      <c r="AI1759" s="9">
        <f t="shared" si="32"/>
        <v>0</v>
      </c>
      <c r="AJ1759" s="9">
        <f>C1759</f>
        <v>0</v>
      </c>
      <c r="AK1759" s="9">
        <f>IF(P1759="completed",((V1759-K1759)*24*60),0)</f>
        <v>0</v>
      </c>
      <c r="AL1759" s="9">
        <f>IF(P1759="completed",((U1759-K1759)*24*60),0)</f>
        <v>0</v>
      </c>
      <c r="AM1759" s="9" t="str">
        <f t="shared" si="33"/>
        <v>OTP Breached</v>
      </c>
      <c r="AN1759" s="9" t="str">
        <f t="shared" si="34"/>
        <v>OTP Achieved</v>
      </c>
    </row>
    <row r="1760" spans="9:40" ht="15.75" customHeight="1">
      <c r="I1760" s="28"/>
      <c r="AD1760" s="9" t="str">
        <f t="shared" si="30"/>
        <v>Actual</v>
      </c>
      <c r="AE1760" s="9" t="str">
        <f t="shared" si="31"/>
        <v/>
      </c>
      <c r="AF1760" s="9">
        <f>HOUR(O1760)</f>
        <v>0</v>
      </c>
      <c r="AG1760" s="9">
        <f>DAY(O1760)</f>
        <v>0</v>
      </c>
      <c r="AH1760" s="9">
        <f>IFERROR((I1760-K1760)*24*60,0)</f>
        <v>0</v>
      </c>
      <c r="AI1760" s="9">
        <f t="shared" si="32"/>
        <v>0</v>
      </c>
      <c r="AJ1760" s="9">
        <f>C1760</f>
        <v>0</v>
      </c>
      <c r="AK1760" s="9">
        <f>IF(P1760="completed",((V1760-K1760)*24*60),0)</f>
        <v>0</v>
      </c>
      <c r="AL1760" s="9">
        <f>IF(P1760="completed",((U1760-K1760)*24*60),0)</f>
        <v>0</v>
      </c>
      <c r="AM1760" s="9" t="str">
        <f t="shared" si="33"/>
        <v>OTP Breached</v>
      </c>
      <c r="AN1760" s="9" t="str">
        <f t="shared" si="34"/>
        <v>OTP Achieved</v>
      </c>
    </row>
    <row r="1761" spans="9:40" ht="15.75" customHeight="1">
      <c r="I1761" s="28"/>
      <c r="AD1761" s="9" t="str">
        <f t="shared" si="30"/>
        <v>Actual</v>
      </c>
      <c r="AE1761" s="9" t="str">
        <f t="shared" si="31"/>
        <v/>
      </c>
      <c r="AF1761" s="9">
        <f>HOUR(O1761)</f>
        <v>0</v>
      </c>
      <c r="AG1761" s="9">
        <f>DAY(O1761)</f>
        <v>0</v>
      </c>
      <c r="AH1761" s="9">
        <f>IFERROR((I1761-K1761)*24*60,0)</f>
        <v>0</v>
      </c>
      <c r="AI1761" s="9">
        <f t="shared" si="32"/>
        <v>0</v>
      </c>
      <c r="AJ1761" s="9">
        <f>C1761</f>
        <v>0</v>
      </c>
      <c r="AK1761" s="9">
        <f>IF(P1761="completed",((V1761-K1761)*24*60),0)</f>
        <v>0</v>
      </c>
      <c r="AL1761" s="9">
        <f>IF(P1761="completed",((U1761-K1761)*24*60),0)</f>
        <v>0</v>
      </c>
      <c r="AM1761" s="9" t="str">
        <f t="shared" si="33"/>
        <v>OTP Breached</v>
      </c>
      <c r="AN1761" s="9" t="str">
        <f t="shared" si="34"/>
        <v>OTP Achieved</v>
      </c>
    </row>
    <row r="1762" spans="9:40" ht="15.75" customHeight="1">
      <c r="I1762" s="28"/>
      <c r="AD1762" s="9" t="str">
        <f t="shared" si="30"/>
        <v>Actual</v>
      </c>
      <c r="AE1762" s="9" t="str">
        <f t="shared" si="31"/>
        <v/>
      </c>
      <c r="AF1762" s="9">
        <f>HOUR(O1762)</f>
        <v>0</v>
      </c>
      <c r="AG1762" s="9">
        <f>DAY(O1762)</f>
        <v>0</v>
      </c>
      <c r="AH1762" s="9">
        <f>IFERROR((I1762-K1762)*24*60,0)</f>
        <v>0</v>
      </c>
      <c r="AI1762" s="9">
        <f t="shared" si="32"/>
        <v>0</v>
      </c>
      <c r="AJ1762" s="9">
        <f>C1762</f>
        <v>0</v>
      </c>
      <c r="AK1762" s="9">
        <f>IF(P1762="completed",((V1762-K1762)*24*60),0)</f>
        <v>0</v>
      </c>
      <c r="AL1762" s="9">
        <f>IF(P1762="completed",((U1762-K1762)*24*60),0)</f>
        <v>0</v>
      </c>
      <c r="AM1762" s="9" t="str">
        <f t="shared" si="33"/>
        <v>OTP Breached</v>
      </c>
      <c r="AN1762" s="9" t="str">
        <f t="shared" si="34"/>
        <v>OTP Achieved</v>
      </c>
    </row>
    <row r="1763" spans="9:40" ht="15.75" customHeight="1">
      <c r="I1763" s="28"/>
      <c r="AD1763" s="9" t="str">
        <f t="shared" si="30"/>
        <v>Actual</v>
      </c>
      <c r="AE1763" s="9" t="str">
        <f t="shared" si="31"/>
        <v/>
      </c>
      <c r="AF1763" s="9">
        <f>HOUR(O1763)</f>
        <v>0</v>
      </c>
      <c r="AG1763" s="9">
        <f>DAY(O1763)</f>
        <v>0</v>
      </c>
      <c r="AH1763" s="9">
        <f>IFERROR((I1763-K1763)*24*60,0)</f>
        <v>0</v>
      </c>
      <c r="AI1763" s="9">
        <f t="shared" si="32"/>
        <v>0</v>
      </c>
      <c r="AJ1763" s="9">
        <f>C1763</f>
        <v>0</v>
      </c>
      <c r="AK1763" s="9">
        <f>IF(P1763="completed",((V1763-K1763)*24*60),0)</f>
        <v>0</v>
      </c>
      <c r="AL1763" s="9">
        <f>IF(P1763="completed",((U1763-K1763)*24*60),0)</f>
        <v>0</v>
      </c>
      <c r="AM1763" s="9" t="str">
        <f t="shared" si="33"/>
        <v>OTP Breached</v>
      </c>
      <c r="AN1763" s="9" t="str">
        <f t="shared" si="34"/>
        <v>OTP Achieved</v>
      </c>
    </row>
    <row r="1764" spans="9:40" ht="15.75" customHeight="1">
      <c r="I1764" s="28"/>
      <c r="AD1764" s="9" t="str">
        <f t="shared" si="30"/>
        <v>Actual</v>
      </c>
      <c r="AE1764" s="9" t="str">
        <f t="shared" si="31"/>
        <v/>
      </c>
      <c r="AF1764" s="9">
        <f>HOUR(O1764)</f>
        <v>0</v>
      </c>
      <c r="AG1764" s="9">
        <f>DAY(O1764)</f>
        <v>0</v>
      </c>
      <c r="AH1764" s="9">
        <f>IFERROR((I1764-K1764)*24*60,0)</f>
        <v>0</v>
      </c>
      <c r="AI1764" s="9">
        <f t="shared" si="32"/>
        <v>0</v>
      </c>
      <c r="AJ1764" s="9">
        <f>C1764</f>
        <v>0</v>
      </c>
      <c r="AK1764" s="9">
        <f>IF(P1764="completed",((V1764-K1764)*24*60),0)</f>
        <v>0</v>
      </c>
      <c r="AL1764" s="9">
        <f>IF(P1764="completed",((U1764-K1764)*24*60),0)</f>
        <v>0</v>
      </c>
      <c r="AM1764" s="9" t="str">
        <f t="shared" si="33"/>
        <v>OTP Breached</v>
      </c>
      <c r="AN1764" s="9" t="str">
        <f t="shared" si="34"/>
        <v>OTP Achieved</v>
      </c>
    </row>
    <row r="1765" spans="9:40" ht="15.75" customHeight="1">
      <c r="I1765" s="28"/>
      <c r="AD1765" s="9" t="str">
        <f t="shared" si="30"/>
        <v>Actual</v>
      </c>
      <c r="AE1765" s="9" t="str">
        <f t="shared" si="31"/>
        <v/>
      </c>
      <c r="AF1765" s="9">
        <f>HOUR(O1765)</f>
        <v>0</v>
      </c>
      <c r="AG1765" s="9">
        <f>DAY(O1765)</f>
        <v>0</v>
      </c>
      <c r="AH1765" s="9">
        <f>IFERROR((I1765-K1765)*24*60,0)</f>
        <v>0</v>
      </c>
      <c r="AI1765" s="9">
        <f t="shared" si="32"/>
        <v>0</v>
      </c>
      <c r="AJ1765" s="9">
        <f>C1765</f>
        <v>0</v>
      </c>
      <c r="AK1765" s="9">
        <f>IF(P1765="completed",((V1765-K1765)*24*60),0)</f>
        <v>0</v>
      </c>
      <c r="AL1765" s="9">
        <f>IF(P1765="completed",((U1765-K1765)*24*60),0)</f>
        <v>0</v>
      </c>
      <c r="AM1765" s="9" t="str">
        <f t="shared" si="33"/>
        <v>OTP Breached</v>
      </c>
      <c r="AN1765" s="9" t="str">
        <f t="shared" si="34"/>
        <v>OTP Achieved</v>
      </c>
    </row>
    <row r="1766" spans="9:40" ht="15.75" customHeight="1">
      <c r="I1766" s="28"/>
      <c r="AD1766" s="9" t="str">
        <f t="shared" si="30"/>
        <v>Actual</v>
      </c>
      <c r="AE1766" s="9" t="str">
        <f t="shared" si="31"/>
        <v/>
      </c>
      <c r="AF1766" s="9">
        <f>HOUR(O1766)</f>
        <v>0</v>
      </c>
      <c r="AG1766" s="9">
        <f>DAY(O1766)</f>
        <v>0</v>
      </c>
      <c r="AH1766" s="9">
        <f>IFERROR((I1766-K1766)*24*60,0)</f>
        <v>0</v>
      </c>
      <c r="AI1766" s="9">
        <f t="shared" si="32"/>
        <v>0</v>
      </c>
      <c r="AJ1766" s="9">
        <f>C1766</f>
        <v>0</v>
      </c>
      <c r="AK1766" s="9">
        <f>IF(P1766="completed",((V1766-K1766)*24*60),0)</f>
        <v>0</v>
      </c>
      <c r="AL1766" s="9">
        <f>IF(P1766="completed",((U1766-K1766)*24*60),0)</f>
        <v>0</v>
      </c>
      <c r="AM1766" s="9" t="str">
        <f t="shared" si="33"/>
        <v>OTP Breached</v>
      </c>
      <c r="AN1766" s="9" t="str">
        <f t="shared" si="34"/>
        <v>OTP Achieved</v>
      </c>
    </row>
    <row r="1767" spans="9:40" ht="15.75" customHeight="1">
      <c r="I1767" s="28"/>
      <c r="AD1767" s="9" t="str">
        <f t="shared" si="30"/>
        <v>Actual</v>
      </c>
      <c r="AE1767" s="9" t="str">
        <f t="shared" si="31"/>
        <v/>
      </c>
      <c r="AF1767" s="9">
        <f>HOUR(O1767)</f>
        <v>0</v>
      </c>
      <c r="AG1767" s="9">
        <f>DAY(O1767)</f>
        <v>0</v>
      </c>
      <c r="AH1767" s="9">
        <f>IFERROR((I1767-K1767)*24*60,0)</f>
        <v>0</v>
      </c>
      <c r="AI1767" s="9">
        <f t="shared" si="32"/>
        <v>0</v>
      </c>
      <c r="AJ1767" s="9">
        <f>C1767</f>
        <v>0</v>
      </c>
      <c r="AK1767" s="9">
        <f>IF(P1767="completed",((V1767-K1767)*24*60),0)</f>
        <v>0</v>
      </c>
      <c r="AL1767" s="9">
        <f>IF(P1767="completed",((U1767-K1767)*24*60),0)</f>
        <v>0</v>
      </c>
      <c r="AM1767" s="9" t="str">
        <f t="shared" si="33"/>
        <v>OTP Breached</v>
      </c>
      <c r="AN1767" s="9" t="str">
        <f t="shared" si="34"/>
        <v>OTP Achieved</v>
      </c>
    </row>
    <row r="1768" spans="9:40" ht="15.75" customHeight="1">
      <c r="I1768" s="28"/>
      <c r="AD1768" s="9" t="str">
        <f t="shared" si="30"/>
        <v>Actual</v>
      </c>
      <c r="AE1768" s="9" t="str">
        <f t="shared" si="31"/>
        <v/>
      </c>
      <c r="AF1768" s="9">
        <f>HOUR(O1768)</f>
        <v>0</v>
      </c>
      <c r="AG1768" s="9">
        <f>DAY(O1768)</f>
        <v>0</v>
      </c>
      <c r="AH1768" s="9">
        <f>IFERROR((I1768-K1768)*24*60,0)</f>
        <v>0</v>
      </c>
      <c r="AI1768" s="9">
        <f t="shared" si="32"/>
        <v>0</v>
      </c>
      <c r="AJ1768" s="9">
        <f>C1768</f>
        <v>0</v>
      </c>
      <c r="AK1768" s="9">
        <f>IF(P1768="completed",((V1768-K1768)*24*60),0)</f>
        <v>0</v>
      </c>
      <c r="AL1768" s="9">
        <f>IF(P1768="completed",((U1768-K1768)*24*60),0)</f>
        <v>0</v>
      </c>
      <c r="AM1768" s="9" t="str">
        <f t="shared" si="33"/>
        <v>OTP Breached</v>
      </c>
      <c r="AN1768" s="9" t="str">
        <f t="shared" si="34"/>
        <v>OTP Achieved</v>
      </c>
    </row>
    <row r="1769" spans="9:40" ht="15.75" customHeight="1">
      <c r="I1769" s="28"/>
      <c r="AD1769" s="9" t="str">
        <f t="shared" si="30"/>
        <v>Actual</v>
      </c>
      <c r="AE1769" s="9" t="str">
        <f t="shared" si="31"/>
        <v/>
      </c>
      <c r="AF1769" s="9">
        <f>HOUR(O1769)</f>
        <v>0</v>
      </c>
      <c r="AG1769" s="9">
        <f>DAY(O1769)</f>
        <v>0</v>
      </c>
      <c r="AH1769" s="9">
        <f>IFERROR((I1769-K1769)*24*60,0)</f>
        <v>0</v>
      </c>
      <c r="AI1769" s="9">
        <f t="shared" si="32"/>
        <v>0</v>
      </c>
      <c r="AJ1769" s="9">
        <f>C1769</f>
        <v>0</v>
      </c>
      <c r="AK1769" s="9">
        <f>IF(P1769="completed",((V1769-K1769)*24*60),0)</f>
        <v>0</v>
      </c>
      <c r="AL1769" s="9">
        <f>IF(P1769="completed",((U1769-K1769)*24*60),0)</f>
        <v>0</v>
      </c>
      <c r="AM1769" s="9" t="str">
        <f t="shared" si="33"/>
        <v>OTP Breached</v>
      </c>
      <c r="AN1769" s="9" t="str">
        <f t="shared" si="34"/>
        <v>OTP Achieved</v>
      </c>
    </row>
    <row r="1770" spans="9:40" ht="15.75" customHeight="1">
      <c r="I1770" s="28"/>
      <c r="AD1770" s="9" t="str">
        <f t="shared" si="30"/>
        <v>Actual</v>
      </c>
      <c r="AE1770" s="9" t="str">
        <f t="shared" si="31"/>
        <v/>
      </c>
      <c r="AF1770" s="9">
        <f>HOUR(O1770)</f>
        <v>0</v>
      </c>
      <c r="AG1770" s="9">
        <f>DAY(O1770)</f>
        <v>0</v>
      </c>
      <c r="AH1770" s="9">
        <f>IFERROR((I1770-K1770)*24*60,0)</f>
        <v>0</v>
      </c>
      <c r="AI1770" s="9">
        <f t="shared" si="32"/>
        <v>0</v>
      </c>
      <c r="AJ1770" s="9">
        <f>C1770</f>
        <v>0</v>
      </c>
      <c r="AK1770" s="9">
        <f>IF(P1770="completed",((V1770-K1770)*24*60),0)</f>
        <v>0</v>
      </c>
      <c r="AL1770" s="9">
        <f>IF(P1770="completed",((U1770-K1770)*24*60),0)</f>
        <v>0</v>
      </c>
      <c r="AM1770" s="9" t="str">
        <f t="shared" si="33"/>
        <v>OTP Breached</v>
      </c>
      <c r="AN1770" s="9" t="str">
        <f t="shared" si="34"/>
        <v>OTP Achieved</v>
      </c>
    </row>
    <row r="1771" spans="9:40" ht="15.75" customHeight="1">
      <c r="I1771" s="28"/>
      <c r="AD1771" s="9" t="str">
        <f t="shared" si="30"/>
        <v>Actual</v>
      </c>
      <c r="AE1771" s="9" t="str">
        <f t="shared" si="31"/>
        <v/>
      </c>
      <c r="AF1771" s="9">
        <f>HOUR(O1771)</f>
        <v>0</v>
      </c>
      <c r="AG1771" s="9">
        <f>DAY(O1771)</f>
        <v>0</v>
      </c>
      <c r="AH1771" s="9">
        <f>IFERROR((I1771-K1771)*24*60,0)</f>
        <v>0</v>
      </c>
      <c r="AI1771" s="9">
        <f t="shared" si="32"/>
        <v>0</v>
      </c>
      <c r="AJ1771" s="9">
        <f>C1771</f>
        <v>0</v>
      </c>
      <c r="AK1771" s="9">
        <f>IF(P1771="completed",((V1771-K1771)*24*60),0)</f>
        <v>0</v>
      </c>
      <c r="AL1771" s="9">
        <f>IF(P1771="completed",((U1771-K1771)*24*60),0)</f>
        <v>0</v>
      </c>
      <c r="AM1771" s="9" t="str">
        <f t="shared" si="33"/>
        <v>OTP Breached</v>
      </c>
      <c r="AN1771" s="9" t="str">
        <f t="shared" si="34"/>
        <v>OTP Achieved</v>
      </c>
    </row>
    <row r="1772" spans="9:40" ht="15.75" customHeight="1">
      <c r="I1772" s="28"/>
      <c r="AD1772" s="9" t="str">
        <f t="shared" si="30"/>
        <v>Actual</v>
      </c>
      <c r="AE1772" s="9" t="str">
        <f t="shared" si="31"/>
        <v/>
      </c>
      <c r="AF1772" s="9">
        <f>HOUR(O1772)</f>
        <v>0</v>
      </c>
      <c r="AG1772" s="9">
        <f>DAY(O1772)</f>
        <v>0</v>
      </c>
      <c r="AH1772" s="9">
        <f>IFERROR((I1772-K1772)*24*60,0)</f>
        <v>0</v>
      </c>
      <c r="AI1772" s="9">
        <f t="shared" si="32"/>
        <v>0</v>
      </c>
      <c r="AJ1772" s="9">
        <f>C1772</f>
        <v>0</v>
      </c>
      <c r="AK1772" s="9">
        <f>IF(P1772="completed",((V1772-K1772)*24*60),0)</f>
        <v>0</v>
      </c>
      <c r="AL1772" s="9">
        <f>IF(P1772="completed",((U1772-K1772)*24*60),0)</f>
        <v>0</v>
      </c>
      <c r="AM1772" s="9" t="str">
        <f t="shared" si="33"/>
        <v>OTP Breached</v>
      </c>
      <c r="AN1772" s="9" t="str">
        <f t="shared" si="34"/>
        <v>OTP Achieved</v>
      </c>
    </row>
    <row r="1773" spans="9:40" ht="15.75" customHeight="1">
      <c r="I1773" s="28"/>
      <c r="AD1773" s="9" t="str">
        <f t="shared" si="30"/>
        <v>Actual</v>
      </c>
      <c r="AE1773" s="9" t="str">
        <f t="shared" si="31"/>
        <v/>
      </c>
      <c r="AF1773" s="9">
        <f>HOUR(O1773)</f>
        <v>0</v>
      </c>
      <c r="AG1773" s="9">
        <f>DAY(O1773)</f>
        <v>0</v>
      </c>
      <c r="AH1773" s="9">
        <f>IFERROR((I1773-K1773)*24*60,0)</f>
        <v>0</v>
      </c>
      <c r="AI1773" s="9">
        <f t="shared" si="32"/>
        <v>0</v>
      </c>
      <c r="AJ1773" s="9">
        <f>C1773</f>
        <v>0</v>
      </c>
      <c r="AK1773" s="9">
        <f>IF(P1773="completed",((V1773-K1773)*24*60),0)</f>
        <v>0</v>
      </c>
      <c r="AL1773" s="9">
        <f>IF(P1773="completed",((U1773-K1773)*24*60),0)</f>
        <v>0</v>
      </c>
      <c r="AM1773" s="9" t="str">
        <f t="shared" si="33"/>
        <v>OTP Breached</v>
      </c>
      <c r="AN1773" s="9" t="str">
        <f t="shared" si="34"/>
        <v>OTP Achieved</v>
      </c>
    </row>
    <row r="1774" spans="9:40" ht="15.75" customHeight="1">
      <c r="I1774" s="28"/>
      <c r="AD1774" s="9" t="str">
        <f t="shared" si="30"/>
        <v>Actual</v>
      </c>
      <c r="AE1774" s="9" t="str">
        <f t="shared" si="31"/>
        <v/>
      </c>
      <c r="AF1774" s="9">
        <f>HOUR(O1774)</f>
        <v>0</v>
      </c>
      <c r="AG1774" s="9">
        <f>DAY(O1774)</f>
        <v>0</v>
      </c>
      <c r="AH1774" s="9">
        <f>IFERROR((I1774-K1774)*24*60,0)</f>
        <v>0</v>
      </c>
      <c r="AI1774" s="9">
        <f t="shared" si="32"/>
        <v>0</v>
      </c>
      <c r="AJ1774" s="9">
        <f>C1774</f>
        <v>0</v>
      </c>
      <c r="AK1774" s="9">
        <f>IF(P1774="completed",((V1774-K1774)*24*60),0)</f>
        <v>0</v>
      </c>
      <c r="AL1774" s="9">
        <f>IF(P1774="completed",((U1774-K1774)*24*60),0)</f>
        <v>0</v>
      </c>
      <c r="AM1774" s="9" t="str">
        <f t="shared" si="33"/>
        <v>OTP Breached</v>
      </c>
      <c r="AN1774" s="9" t="str">
        <f t="shared" si="34"/>
        <v>OTP Achieved</v>
      </c>
    </row>
    <row r="1775" spans="9:40" ht="15.75" customHeight="1">
      <c r="I1775" s="28"/>
      <c r="AD1775" s="9" t="str">
        <f t="shared" si="30"/>
        <v>Actual</v>
      </c>
      <c r="AE1775" s="9" t="str">
        <f t="shared" si="31"/>
        <v/>
      </c>
      <c r="AF1775" s="9">
        <f>HOUR(O1775)</f>
        <v>0</v>
      </c>
      <c r="AG1775" s="9">
        <f>DAY(O1775)</f>
        <v>0</v>
      </c>
      <c r="AH1775" s="9">
        <f>IFERROR((I1775-K1775)*24*60,0)</f>
        <v>0</v>
      </c>
      <c r="AI1775" s="9">
        <f t="shared" si="32"/>
        <v>0</v>
      </c>
      <c r="AJ1775" s="9">
        <f>C1775</f>
        <v>0</v>
      </c>
      <c r="AK1775" s="9">
        <f>IF(P1775="completed",((V1775-K1775)*24*60),0)</f>
        <v>0</v>
      </c>
      <c r="AL1775" s="9">
        <f>IF(P1775="completed",((U1775-K1775)*24*60),0)</f>
        <v>0</v>
      </c>
      <c r="AM1775" s="9" t="str">
        <f t="shared" si="33"/>
        <v>OTP Breached</v>
      </c>
      <c r="AN1775" s="9" t="str">
        <f t="shared" si="34"/>
        <v>OTP Achieved</v>
      </c>
    </row>
    <row r="1776" spans="9:40" ht="15.75" customHeight="1">
      <c r="I1776" s="28"/>
      <c r="AD1776" s="9" t="str">
        <f t="shared" si="30"/>
        <v>Actual</v>
      </c>
      <c r="AE1776" s="9" t="str">
        <f t="shared" si="31"/>
        <v/>
      </c>
      <c r="AF1776" s="9">
        <f>HOUR(O1776)</f>
        <v>0</v>
      </c>
      <c r="AG1776" s="9">
        <f>DAY(O1776)</f>
        <v>0</v>
      </c>
      <c r="AH1776" s="9">
        <f>IFERROR((I1776-K1776)*24*60,0)</f>
        <v>0</v>
      </c>
      <c r="AI1776" s="9">
        <f t="shared" si="32"/>
        <v>0</v>
      </c>
      <c r="AJ1776" s="9">
        <f>C1776</f>
        <v>0</v>
      </c>
      <c r="AK1776" s="9">
        <f>IF(P1776="completed",((V1776-K1776)*24*60),0)</f>
        <v>0</v>
      </c>
      <c r="AL1776" s="9">
        <f>IF(P1776="completed",((U1776-K1776)*24*60),0)</f>
        <v>0</v>
      </c>
      <c r="AM1776" s="9" t="str">
        <f t="shared" si="33"/>
        <v>OTP Breached</v>
      </c>
      <c r="AN1776" s="9" t="str">
        <f t="shared" si="34"/>
        <v>OTP Achieved</v>
      </c>
    </row>
    <row r="1777" spans="9:40" ht="15.75" customHeight="1">
      <c r="I1777" s="28"/>
      <c r="AD1777" s="9" t="str">
        <f t="shared" si="30"/>
        <v>Actual</v>
      </c>
      <c r="AE1777" s="9" t="str">
        <f t="shared" si="31"/>
        <v/>
      </c>
      <c r="AF1777" s="9">
        <f>HOUR(O1777)</f>
        <v>0</v>
      </c>
      <c r="AG1777" s="9">
        <f>DAY(O1777)</f>
        <v>0</v>
      </c>
      <c r="AH1777" s="9">
        <f>IFERROR((I1777-K1777)*24*60,0)</f>
        <v>0</v>
      </c>
      <c r="AI1777" s="9">
        <f t="shared" si="32"/>
        <v>0</v>
      </c>
      <c r="AJ1777" s="9">
        <f>C1777</f>
        <v>0</v>
      </c>
      <c r="AK1777" s="9">
        <f>IF(P1777="completed",((V1777-K1777)*24*60),0)</f>
        <v>0</v>
      </c>
      <c r="AL1777" s="9">
        <f>IF(P1777="completed",((U1777-K1777)*24*60),0)</f>
        <v>0</v>
      </c>
      <c r="AM1777" s="9" t="str">
        <f t="shared" si="33"/>
        <v>OTP Breached</v>
      </c>
      <c r="AN1777" s="9" t="str">
        <f t="shared" si="34"/>
        <v>OTP Achieved</v>
      </c>
    </row>
    <row r="1778" spans="9:40" ht="15.75" customHeight="1">
      <c r="I1778" s="28"/>
      <c r="AD1778" s="9" t="str">
        <f t="shared" si="30"/>
        <v>Actual</v>
      </c>
      <c r="AE1778" s="9" t="str">
        <f t="shared" si="31"/>
        <v/>
      </c>
      <c r="AF1778" s="9">
        <f>HOUR(O1778)</f>
        <v>0</v>
      </c>
      <c r="AG1778" s="9">
        <f>DAY(O1778)</f>
        <v>0</v>
      </c>
      <c r="AH1778" s="9">
        <f>IFERROR((I1778-K1778)*24*60,0)</f>
        <v>0</v>
      </c>
      <c r="AI1778" s="9">
        <f t="shared" si="32"/>
        <v>0</v>
      </c>
      <c r="AJ1778" s="9">
        <f>C1778</f>
        <v>0</v>
      </c>
      <c r="AK1778" s="9">
        <f>IF(P1778="completed",((V1778-K1778)*24*60),0)</f>
        <v>0</v>
      </c>
      <c r="AL1778" s="9">
        <f>IF(P1778="completed",((U1778-K1778)*24*60),0)</f>
        <v>0</v>
      </c>
      <c r="AM1778" s="9" t="str">
        <f t="shared" si="33"/>
        <v>OTP Breached</v>
      </c>
      <c r="AN1778" s="9" t="str">
        <f t="shared" si="34"/>
        <v>OTP Achieved</v>
      </c>
    </row>
    <row r="1779" spans="9:40" ht="15.75" customHeight="1">
      <c r="I1779" s="28"/>
      <c r="AD1779" s="9" t="str">
        <f t="shared" si="30"/>
        <v>Actual</v>
      </c>
      <c r="AE1779" s="9" t="str">
        <f t="shared" si="31"/>
        <v/>
      </c>
      <c r="AF1779" s="9">
        <f>HOUR(O1779)</f>
        <v>0</v>
      </c>
      <c r="AG1779" s="9">
        <f>DAY(O1779)</f>
        <v>0</v>
      </c>
      <c r="AH1779" s="9">
        <f>IFERROR((I1779-K1779)*24*60,0)</f>
        <v>0</v>
      </c>
      <c r="AI1779" s="9">
        <f t="shared" si="32"/>
        <v>0</v>
      </c>
      <c r="AJ1779" s="9">
        <f>C1779</f>
        <v>0</v>
      </c>
      <c r="AK1779" s="9">
        <f>IF(P1779="completed",((V1779-K1779)*24*60),0)</f>
        <v>0</v>
      </c>
      <c r="AL1779" s="9">
        <f>IF(P1779="completed",((U1779-K1779)*24*60),0)</f>
        <v>0</v>
      </c>
      <c r="AM1779" s="9" t="str">
        <f t="shared" si="33"/>
        <v>OTP Breached</v>
      </c>
      <c r="AN1779" s="9" t="str">
        <f t="shared" si="34"/>
        <v>OTP Achieved</v>
      </c>
    </row>
    <row r="1780" spans="9:40" ht="15.75" customHeight="1">
      <c r="I1780" s="28"/>
      <c r="AD1780" s="9" t="str">
        <f t="shared" si="30"/>
        <v>Actual</v>
      </c>
      <c r="AE1780" s="9" t="str">
        <f t="shared" si="31"/>
        <v/>
      </c>
      <c r="AF1780" s="9">
        <f>HOUR(O1780)</f>
        <v>0</v>
      </c>
      <c r="AG1780" s="9">
        <f>DAY(O1780)</f>
        <v>0</v>
      </c>
      <c r="AH1780" s="9">
        <f>IFERROR((I1780-K1780)*24*60,0)</f>
        <v>0</v>
      </c>
      <c r="AI1780" s="9">
        <f t="shared" si="32"/>
        <v>0</v>
      </c>
      <c r="AJ1780" s="9">
        <f>C1780</f>
        <v>0</v>
      </c>
      <c r="AK1780" s="9">
        <f>IF(P1780="completed",((V1780-K1780)*24*60),0)</f>
        <v>0</v>
      </c>
      <c r="AL1780" s="9">
        <f>IF(P1780="completed",((U1780-K1780)*24*60),0)</f>
        <v>0</v>
      </c>
      <c r="AM1780" s="9" t="str">
        <f t="shared" si="33"/>
        <v>OTP Breached</v>
      </c>
      <c r="AN1780" s="9" t="str">
        <f t="shared" si="34"/>
        <v>OTP Achieved</v>
      </c>
    </row>
    <row r="1781" spans="9:40" ht="15.75" customHeight="1">
      <c r="I1781" s="28"/>
      <c r="AD1781" s="9" t="str">
        <f t="shared" si="30"/>
        <v>Actual</v>
      </c>
      <c r="AE1781" s="9" t="str">
        <f t="shared" si="31"/>
        <v/>
      </c>
      <c r="AF1781" s="9">
        <f>HOUR(O1781)</f>
        <v>0</v>
      </c>
      <c r="AG1781" s="9">
        <f>DAY(O1781)</f>
        <v>0</v>
      </c>
      <c r="AH1781" s="9">
        <f>IFERROR((I1781-K1781)*24*60,0)</f>
        <v>0</v>
      </c>
      <c r="AI1781" s="9">
        <f t="shared" si="32"/>
        <v>0</v>
      </c>
      <c r="AJ1781" s="9">
        <f>C1781</f>
        <v>0</v>
      </c>
      <c r="AK1781" s="9">
        <f>IF(P1781="completed",((V1781-K1781)*24*60),0)</f>
        <v>0</v>
      </c>
      <c r="AL1781" s="9">
        <f>IF(P1781="completed",((U1781-K1781)*24*60),0)</f>
        <v>0</v>
      </c>
      <c r="AM1781" s="9" t="str">
        <f t="shared" si="33"/>
        <v>OTP Breached</v>
      </c>
      <c r="AN1781" s="9" t="str">
        <f t="shared" si="34"/>
        <v>OTP Achieved</v>
      </c>
    </row>
    <row r="1782" spans="9:40" ht="15.75" customHeight="1">
      <c r="I1782" s="28"/>
      <c r="AD1782" s="9" t="str">
        <f t="shared" si="30"/>
        <v>Actual</v>
      </c>
      <c r="AE1782" s="9" t="str">
        <f t="shared" si="31"/>
        <v/>
      </c>
      <c r="AF1782" s="9">
        <f>HOUR(O1782)</f>
        <v>0</v>
      </c>
      <c r="AG1782" s="9">
        <f>DAY(O1782)</f>
        <v>0</v>
      </c>
      <c r="AH1782" s="9">
        <f>IFERROR((I1782-K1782)*24*60,0)</f>
        <v>0</v>
      </c>
      <c r="AI1782" s="9">
        <f t="shared" si="32"/>
        <v>0</v>
      </c>
      <c r="AJ1782" s="9">
        <f>C1782</f>
        <v>0</v>
      </c>
      <c r="AK1782" s="9">
        <f>IF(P1782="completed",((V1782-K1782)*24*60),0)</f>
        <v>0</v>
      </c>
      <c r="AL1782" s="9">
        <f>IF(P1782="completed",((U1782-K1782)*24*60),0)</f>
        <v>0</v>
      </c>
      <c r="AM1782" s="9" t="str">
        <f t="shared" si="33"/>
        <v>OTP Breached</v>
      </c>
      <c r="AN1782" s="9" t="str">
        <f t="shared" si="34"/>
        <v>OTP Achieved</v>
      </c>
    </row>
    <row r="1783" spans="9:40" ht="15.75" customHeight="1">
      <c r="I1783" s="28"/>
      <c r="AD1783" s="9" t="str">
        <f t="shared" si="30"/>
        <v>Actual</v>
      </c>
      <c r="AE1783" s="9" t="str">
        <f t="shared" si="31"/>
        <v/>
      </c>
      <c r="AF1783" s="9">
        <f>HOUR(O1783)</f>
        <v>0</v>
      </c>
      <c r="AG1783" s="9">
        <f>DAY(O1783)</f>
        <v>0</v>
      </c>
      <c r="AH1783" s="9">
        <f>IFERROR((I1783-K1783)*24*60,0)</f>
        <v>0</v>
      </c>
      <c r="AI1783" s="9">
        <f t="shared" si="32"/>
        <v>0</v>
      </c>
      <c r="AJ1783" s="9">
        <f>C1783</f>
        <v>0</v>
      </c>
      <c r="AK1783" s="9">
        <f>IF(P1783="completed",((V1783-K1783)*24*60),0)</f>
        <v>0</v>
      </c>
      <c r="AL1783" s="9">
        <f>IF(P1783="completed",((U1783-K1783)*24*60),0)</f>
        <v>0</v>
      </c>
      <c r="AM1783" s="9" t="str">
        <f t="shared" si="33"/>
        <v>OTP Breached</v>
      </c>
      <c r="AN1783" s="9" t="str">
        <f t="shared" si="34"/>
        <v>OTP Achieved</v>
      </c>
    </row>
    <row r="1784" spans="9:40" ht="15.75" customHeight="1">
      <c r="I1784" s="28"/>
      <c r="AD1784" s="9" t="str">
        <f t="shared" si="30"/>
        <v>Actual</v>
      </c>
      <c r="AE1784" s="9" t="str">
        <f t="shared" si="31"/>
        <v/>
      </c>
      <c r="AF1784" s="9">
        <f>HOUR(O1784)</f>
        <v>0</v>
      </c>
      <c r="AG1784" s="9">
        <f>DAY(O1784)</f>
        <v>0</v>
      </c>
      <c r="AH1784" s="9">
        <f>IFERROR((I1784-K1784)*24*60,0)</f>
        <v>0</v>
      </c>
      <c r="AI1784" s="9">
        <f t="shared" si="32"/>
        <v>0</v>
      </c>
      <c r="AJ1784" s="9">
        <f>C1784</f>
        <v>0</v>
      </c>
      <c r="AK1784" s="9">
        <f>IF(P1784="completed",((V1784-K1784)*24*60),0)</f>
        <v>0</v>
      </c>
      <c r="AL1784" s="9">
        <f>IF(P1784="completed",((U1784-K1784)*24*60),0)</f>
        <v>0</v>
      </c>
      <c r="AM1784" s="9" t="str">
        <f t="shared" si="33"/>
        <v>OTP Breached</v>
      </c>
      <c r="AN1784" s="9" t="str">
        <f t="shared" si="34"/>
        <v>OTP Achieved</v>
      </c>
    </row>
    <row r="1785" spans="9:40" ht="15.75" customHeight="1">
      <c r="I1785" s="28"/>
      <c r="AD1785" s="9" t="str">
        <f t="shared" si="30"/>
        <v>Actual</v>
      </c>
      <c r="AE1785" s="9" t="str">
        <f t="shared" si="31"/>
        <v/>
      </c>
      <c r="AF1785" s="9">
        <f>HOUR(O1785)</f>
        <v>0</v>
      </c>
      <c r="AG1785" s="9">
        <f>DAY(O1785)</f>
        <v>0</v>
      </c>
      <c r="AH1785" s="9">
        <f>IFERROR((I1785-K1785)*24*60,0)</f>
        <v>0</v>
      </c>
      <c r="AI1785" s="9">
        <f t="shared" si="32"/>
        <v>0</v>
      </c>
      <c r="AJ1785" s="9">
        <f>C1785</f>
        <v>0</v>
      </c>
      <c r="AK1785" s="9">
        <f>IF(P1785="completed",((V1785-K1785)*24*60),0)</f>
        <v>0</v>
      </c>
      <c r="AL1785" s="9">
        <f>IF(P1785="completed",((U1785-K1785)*24*60),0)</f>
        <v>0</v>
      </c>
      <c r="AM1785" s="9" t="str">
        <f t="shared" si="33"/>
        <v>OTP Breached</v>
      </c>
      <c r="AN1785" s="9" t="str">
        <f t="shared" si="34"/>
        <v>OTP Achieved</v>
      </c>
    </row>
    <row r="1786" spans="9:40" ht="15.75" customHeight="1">
      <c r="I1786" s="28"/>
      <c r="AD1786" s="9" t="str">
        <f t="shared" si="30"/>
        <v>Actual</v>
      </c>
      <c r="AE1786" s="9" t="str">
        <f t="shared" si="31"/>
        <v/>
      </c>
      <c r="AF1786" s="9">
        <f>HOUR(O1786)</f>
        <v>0</v>
      </c>
      <c r="AG1786" s="9">
        <f>DAY(O1786)</f>
        <v>0</v>
      </c>
      <c r="AH1786" s="9">
        <f>IFERROR((I1786-K1786)*24*60,0)</f>
        <v>0</v>
      </c>
      <c r="AI1786" s="9">
        <f t="shared" si="32"/>
        <v>0</v>
      </c>
      <c r="AJ1786" s="9">
        <f>C1786</f>
        <v>0</v>
      </c>
      <c r="AK1786" s="9">
        <f>IF(P1786="completed",((V1786-K1786)*24*60),0)</f>
        <v>0</v>
      </c>
      <c r="AL1786" s="9">
        <f>IF(P1786="completed",((U1786-K1786)*24*60),0)</f>
        <v>0</v>
      </c>
      <c r="AM1786" s="9" t="str">
        <f t="shared" si="33"/>
        <v>OTP Breached</v>
      </c>
      <c r="AN1786" s="9" t="str">
        <f t="shared" si="34"/>
        <v>OTP Achieved</v>
      </c>
    </row>
    <row r="1787" spans="9:40" ht="15.75" customHeight="1">
      <c r="I1787" s="28"/>
      <c r="AD1787" s="9" t="str">
        <f t="shared" ref="AD1787:AD2000" si="35">IF(LEFT(R1787,2)="AM","Dummy","Actual")</f>
        <v>Actual</v>
      </c>
      <c r="AE1787" s="9" t="str">
        <f t="shared" ref="AE1787:AE2000" si="36">LEFT(H1787,4)</f>
        <v/>
      </c>
      <c r="AF1787" s="9">
        <f>HOUR(O1787)</f>
        <v>0</v>
      </c>
      <c r="AG1787" s="9">
        <f>DAY(O1787)</f>
        <v>0</v>
      </c>
      <c r="AH1787" s="9">
        <f>IFERROR((I1787-K1787)*24*60,0)</f>
        <v>0</v>
      </c>
      <c r="AI1787" s="9">
        <f t="shared" ref="AI1787:AI2000" si="37">IF(AH1787&gt;0,AH1787,0)</f>
        <v>0</v>
      </c>
      <c r="AJ1787" s="9">
        <f>C1787</f>
        <v>0</v>
      </c>
      <c r="AK1787" s="9">
        <f>IF(P1787="completed",((V1787-K1787)*24*60),0)</f>
        <v>0</v>
      </c>
      <c r="AL1787" s="9">
        <f>IF(P1787="completed",((U1787-K1787)*24*60),0)</f>
        <v>0</v>
      </c>
      <c r="AM1787" s="9" t="str">
        <f t="shared" ref="AM1787:AM2000" si="38">IF(AK1787&lt;AL1787,"OTP Achieved","OTP Breached")</f>
        <v>OTP Breached</v>
      </c>
      <c r="AN1787" s="9" t="str">
        <f t="shared" ref="AN1787:AN2000" si="39">IF(AK1787&lt;(AL1787+3),"OTP Achieved","OTP Breached")</f>
        <v>OTP Achieved</v>
      </c>
    </row>
    <row r="1788" spans="9:40" ht="15.75" customHeight="1">
      <c r="I1788" s="28"/>
      <c r="AD1788" s="9" t="str">
        <f t="shared" si="35"/>
        <v>Actual</v>
      </c>
      <c r="AE1788" s="9" t="str">
        <f t="shared" si="36"/>
        <v/>
      </c>
      <c r="AF1788" s="9">
        <f>HOUR(O1788)</f>
        <v>0</v>
      </c>
      <c r="AG1788" s="9">
        <f>DAY(O1788)</f>
        <v>0</v>
      </c>
      <c r="AH1788" s="9">
        <f>IFERROR((I1788-K1788)*24*60,0)</f>
        <v>0</v>
      </c>
      <c r="AI1788" s="9">
        <f t="shared" si="37"/>
        <v>0</v>
      </c>
      <c r="AJ1788" s="9">
        <f>C1788</f>
        <v>0</v>
      </c>
      <c r="AK1788" s="9">
        <f>IF(P1788="completed",((V1788-K1788)*24*60),0)</f>
        <v>0</v>
      </c>
      <c r="AL1788" s="9">
        <f>IF(P1788="completed",((U1788-K1788)*24*60),0)</f>
        <v>0</v>
      </c>
      <c r="AM1788" s="9" t="str">
        <f t="shared" si="38"/>
        <v>OTP Breached</v>
      </c>
      <c r="AN1788" s="9" t="str">
        <f t="shared" si="39"/>
        <v>OTP Achieved</v>
      </c>
    </row>
    <row r="1789" spans="9:40" ht="15.75" customHeight="1">
      <c r="I1789" s="28"/>
      <c r="AD1789" s="9" t="str">
        <f t="shared" si="35"/>
        <v>Actual</v>
      </c>
      <c r="AE1789" s="9" t="str">
        <f t="shared" si="36"/>
        <v/>
      </c>
      <c r="AF1789" s="9">
        <f>HOUR(O1789)</f>
        <v>0</v>
      </c>
      <c r="AG1789" s="9">
        <f>DAY(O1789)</f>
        <v>0</v>
      </c>
      <c r="AH1789" s="9">
        <f>IFERROR((I1789-K1789)*24*60,0)</f>
        <v>0</v>
      </c>
      <c r="AI1789" s="9">
        <f t="shared" si="37"/>
        <v>0</v>
      </c>
      <c r="AJ1789" s="9">
        <f>C1789</f>
        <v>0</v>
      </c>
      <c r="AK1789" s="9">
        <f>IF(P1789="completed",((V1789-K1789)*24*60),0)</f>
        <v>0</v>
      </c>
      <c r="AL1789" s="9">
        <f>IF(P1789="completed",((U1789-K1789)*24*60),0)</f>
        <v>0</v>
      </c>
      <c r="AM1789" s="9" t="str">
        <f t="shared" si="38"/>
        <v>OTP Breached</v>
      </c>
      <c r="AN1789" s="9" t="str">
        <f t="shared" si="39"/>
        <v>OTP Achieved</v>
      </c>
    </row>
    <row r="1790" spans="9:40" ht="15.75" customHeight="1">
      <c r="I1790" s="28"/>
      <c r="AD1790" s="9" t="str">
        <f t="shared" si="35"/>
        <v>Actual</v>
      </c>
      <c r="AE1790" s="9" t="str">
        <f t="shared" si="36"/>
        <v/>
      </c>
      <c r="AF1790" s="9">
        <f>HOUR(O1790)</f>
        <v>0</v>
      </c>
      <c r="AG1790" s="9">
        <f>DAY(O1790)</f>
        <v>0</v>
      </c>
      <c r="AH1790" s="9">
        <f>IFERROR((I1790-K1790)*24*60,0)</f>
        <v>0</v>
      </c>
      <c r="AI1790" s="9">
        <f t="shared" si="37"/>
        <v>0</v>
      </c>
      <c r="AJ1790" s="9">
        <f>C1790</f>
        <v>0</v>
      </c>
      <c r="AK1790" s="9">
        <f>IF(P1790="completed",((V1790-K1790)*24*60),0)</f>
        <v>0</v>
      </c>
      <c r="AL1790" s="9">
        <f>IF(P1790="completed",((U1790-K1790)*24*60),0)</f>
        <v>0</v>
      </c>
      <c r="AM1790" s="9" t="str">
        <f t="shared" si="38"/>
        <v>OTP Breached</v>
      </c>
      <c r="AN1790" s="9" t="str">
        <f t="shared" si="39"/>
        <v>OTP Achieved</v>
      </c>
    </row>
    <row r="1791" spans="9:40" ht="15.75" customHeight="1">
      <c r="I1791" s="28"/>
      <c r="AD1791" s="9" t="str">
        <f t="shared" si="35"/>
        <v>Actual</v>
      </c>
      <c r="AE1791" s="9" t="str">
        <f t="shared" si="36"/>
        <v/>
      </c>
      <c r="AF1791" s="9">
        <f>HOUR(O1791)</f>
        <v>0</v>
      </c>
      <c r="AG1791" s="9">
        <f>DAY(O1791)</f>
        <v>0</v>
      </c>
      <c r="AH1791" s="9">
        <f>IFERROR((I1791-K1791)*24*60,0)</f>
        <v>0</v>
      </c>
      <c r="AI1791" s="9">
        <f t="shared" si="37"/>
        <v>0</v>
      </c>
      <c r="AJ1791" s="9">
        <f>C1791</f>
        <v>0</v>
      </c>
      <c r="AK1791" s="9">
        <f>IF(P1791="completed",((V1791-K1791)*24*60),0)</f>
        <v>0</v>
      </c>
      <c r="AL1791" s="9">
        <f>IF(P1791="completed",((U1791-K1791)*24*60),0)</f>
        <v>0</v>
      </c>
      <c r="AM1791" s="9" t="str">
        <f t="shared" si="38"/>
        <v>OTP Breached</v>
      </c>
      <c r="AN1791" s="9" t="str">
        <f t="shared" si="39"/>
        <v>OTP Achieved</v>
      </c>
    </row>
    <row r="1792" spans="9:40" ht="15.75" customHeight="1">
      <c r="I1792" s="28"/>
      <c r="AD1792" s="9" t="str">
        <f t="shared" si="35"/>
        <v>Actual</v>
      </c>
      <c r="AE1792" s="9" t="str">
        <f t="shared" si="36"/>
        <v/>
      </c>
      <c r="AF1792" s="9">
        <f>HOUR(O1792)</f>
        <v>0</v>
      </c>
      <c r="AG1792" s="9">
        <f>DAY(O1792)</f>
        <v>0</v>
      </c>
      <c r="AH1792" s="9">
        <f>IFERROR((I1792-K1792)*24*60,0)</f>
        <v>0</v>
      </c>
      <c r="AI1792" s="9">
        <f t="shared" si="37"/>
        <v>0</v>
      </c>
      <c r="AJ1792" s="9">
        <f>C1792</f>
        <v>0</v>
      </c>
      <c r="AK1792" s="9">
        <f>IF(P1792="completed",((V1792-K1792)*24*60),0)</f>
        <v>0</v>
      </c>
      <c r="AL1792" s="9">
        <f>IF(P1792="completed",((U1792-K1792)*24*60),0)</f>
        <v>0</v>
      </c>
      <c r="AM1792" s="9" t="str">
        <f t="shared" si="38"/>
        <v>OTP Breached</v>
      </c>
      <c r="AN1792" s="9" t="str">
        <f t="shared" si="39"/>
        <v>OTP Achieved</v>
      </c>
    </row>
    <row r="1793" spans="9:40" ht="15.75" customHeight="1">
      <c r="I1793" s="28"/>
      <c r="AD1793" s="9" t="str">
        <f t="shared" si="35"/>
        <v>Actual</v>
      </c>
      <c r="AE1793" s="9" t="str">
        <f t="shared" si="36"/>
        <v/>
      </c>
      <c r="AF1793" s="9">
        <f>HOUR(O1793)</f>
        <v>0</v>
      </c>
      <c r="AG1793" s="9">
        <f>DAY(O1793)</f>
        <v>0</v>
      </c>
      <c r="AH1793" s="9">
        <f>IFERROR((I1793-K1793)*24*60,0)</f>
        <v>0</v>
      </c>
      <c r="AI1793" s="9">
        <f t="shared" si="37"/>
        <v>0</v>
      </c>
      <c r="AJ1793" s="9">
        <f>C1793</f>
        <v>0</v>
      </c>
      <c r="AK1793" s="9">
        <f>IF(P1793="completed",((V1793-K1793)*24*60),0)</f>
        <v>0</v>
      </c>
      <c r="AL1793" s="9">
        <f>IF(P1793="completed",((U1793-K1793)*24*60),0)</f>
        <v>0</v>
      </c>
      <c r="AM1793" s="9" t="str">
        <f t="shared" si="38"/>
        <v>OTP Breached</v>
      </c>
      <c r="AN1793" s="9" t="str">
        <f t="shared" si="39"/>
        <v>OTP Achieved</v>
      </c>
    </row>
    <row r="1794" spans="9:40" ht="15.75" customHeight="1">
      <c r="I1794" s="28"/>
      <c r="AD1794" s="9" t="str">
        <f t="shared" si="35"/>
        <v>Actual</v>
      </c>
      <c r="AE1794" s="9" t="str">
        <f t="shared" si="36"/>
        <v/>
      </c>
      <c r="AF1794" s="9">
        <f>HOUR(O1794)</f>
        <v>0</v>
      </c>
      <c r="AG1794" s="9">
        <f>DAY(O1794)</f>
        <v>0</v>
      </c>
      <c r="AH1794" s="9">
        <f>IFERROR((I1794-K1794)*24*60,0)</f>
        <v>0</v>
      </c>
      <c r="AI1794" s="9">
        <f t="shared" si="37"/>
        <v>0</v>
      </c>
      <c r="AJ1794" s="9">
        <f>C1794</f>
        <v>0</v>
      </c>
      <c r="AK1794" s="9">
        <f>IF(P1794="completed",((V1794-K1794)*24*60),0)</f>
        <v>0</v>
      </c>
      <c r="AL1794" s="9">
        <f>IF(P1794="completed",((U1794-K1794)*24*60),0)</f>
        <v>0</v>
      </c>
      <c r="AM1794" s="9" t="str">
        <f t="shared" si="38"/>
        <v>OTP Breached</v>
      </c>
      <c r="AN1794" s="9" t="str">
        <f t="shared" si="39"/>
        <v>OTP Achieved</v>
      </c>
    </row>
    <row r="1795" spans="9:40" ht="15.75" customHeight="1">
      <c r="I1795" s="28"/>
      <c r="AD1795" s="9" t="str">
        <f t="shared" si="35"/>
        <v>Actual</v>
      </c>
      <c r="AE1795" s="9" t="str">
        <f t="shared" si="36"/>
        <v/>
      </c>
      <c r="AF1795" s="9">
        <f>HOUR(O1795)</f>
        <v>0</v>
      </c>
      <c r="AG1795" s="9">
        <f>DAY(O1795)</f>
        <v>0</v>
      </c>
      <c r="AH1795" s="9">
        <f>IFERROR((I1795-K1795)*24*60,0)</f>
        <v>0</v>
      </c>
      <c r="AI1795" s="9">
        <f t="shared" si="37"/>
        <v>0</v>
      </c>
      <c r="AJ1795" s="9">
        <f>C1795</f>
        <v>0</v>
      </c>
      <c r="AK1795" s="9">
        <f>IF(P1795="completed",((V1795-K1795)*24*60),0)</f>
        <v>0</v>
      </c>
      <c r="AL1795" s="9">
        <f>IF(P1795="completed",((U1795-K1795)*24*60),0)</f>
        <v>0</v>
      </c>
      <c r="AM1795" s="9" t="str">
        <f t="shared" si="38"/>
        <v>OTP Breached</v>
      </c>
      <c r="AN1795" s="9" t="str">
        <f t="shared" si="39"/>
        <v>OTP Achieved</v>
      </c>
    </row>
    <row r="1796" spans="9:40" ht="15.75" customHeight="1">
      <c r="I1796" s="28"/>
      <c r="AD1796" s="9" t="str">
        <f t="shared" si="35"/>
        <v>Actual</v>
      </c>
      <c r="AE1796" s="9" t="str">
        <f t="shared" si="36"/>
        <v/>
      </c>
      <c r="AF1796" s="9">
        <f>HOUR(O1796)</f>
        <v>0</v>
      </c>
      <c r="AG1796" s="9">
        <f>DAY(O1796)</f>
        <v>0</v>
      </c>
      <c r="AH1796" s="9">
        <f>IFERROR((I1796-K1796)*24*60,0)</f>
        <v>0</v>
      </c>
      <c r="AI1796" s="9">
        <f t="shared" si="37"/>
        <v>0</v>
      </c>
      <c r="AJ1796" s="9">
        <f>C1796</f>
        <v>0</v>
      </c>
      <c r="AK1796" s="9">
        <f>IF(P1796="completed",((V1796-K1796)*24*60),0)</f>
        <v>0</v>
      </c>
      <c r="AL1796" s="9">
        <f>IF(P1796="completed",((U1796-K1796)*24*60),0)</f>
        <v>0</v>
      </c>
      <c r="AM1796" s="9" t="str">
        <f t="shared" si="38"/>
        <v>OTP Breached</v>
      </c>
      <c r="AN1796" s="9" t="str">
        <f t="shared" si="39"/>
        <v>OTP Achieved</v>
      </c>
    </row>
    <row r="1797" spans="9:40" ht="15.75" customHeight="1">
      <c r="I1797" s="28"/>
      <c r="AD1797" s="9" t="str">
        <f t="shared" si="35"/>
        <v>Actual</v>
      </c>
      <c r="AE1797" s="9" t="str">
        <f t="shared" si="36"/>
        <v/>
      </c>
      <c r="AF1797" s="9">
        <f>HOUR(O1797)</f>
        <v>0</v>
      </c>
      <c r="AG1797" s="9">
        <f>DAY(O1797)</f>
        <v>0</v>
      </c>
      <c r="AH1797" s="9">
        <f>IFERROR((I1797-K1797)*24*60,0)</f>
        <v>0</v>
      </c>
      <c r="AI1797" s="9">
        <f t="shared" si="37"/>
        <v>0</v>
      </c>
      <c r="AJ1797" s="9">
        <f>C1797</f>
        <v>0</v>
      </c>
      <c r="AK1797" s="9">
        <f>IF(P1797="completed",((V1797-K1797)*24*60),0)</f>
        <v>0</v>
      </c>
      <c r="AL1797" s="9">
        <f>IF(P1797="completed",((U1797-K1797)*24*60),0)</f>
        <v>0</v>
      </c>
      <c r="AM1797" s="9" t="str">
        <f t="shared" si="38"/>
        <v>OTP Breached</v>
      </c>
      <c r="AN1797" s="9" t="str">
        <f t="shared" si="39"/>
        <v>OTP Achieved</v>
      </c>
    </row>
    <row r="1798" spans="9:40" ht="15.75" customHeight="1">
      <c r="I1798" s="28"/>
      <c r="AD1798" s="9" t="str">
        <f t="shared" si="35"/>
        <v>Actual</v>
      </c>
      <c r="AE1798" s="9" t="str">
        <f t="shared" si="36"/>
        <v/>
      </c>
      <c r="AF1798" s="9">
        <f>HOUR(O1798)</f>
        <v>0</v>
      </c>
      <c r="AG1798" s="9">
        <f>DAY(O1798)</f>
        <v>0</v>
      </c>
      <c r="AH1798" s="9">
        <f>IFERROR((I1798-K1798)*24*60,0)</f>
        <v>0</v>
      </c>
      <c r="AI1798" s="9">
        <f t="shared" si="37"/>
        <v>0</v>
      </c>
      <c r="AJ1798" s="9">
        <f>C1798</f>
        <v>0</v>
      </c>
      <c r="AK1798" s="9">
        <f>IF(P1798="completed",((V1798-K1798)*24*60),0)</f>
        <v>0</v>
      </c>
      <c r="AL1798" s="9">
        <f>IF(P1798="completed",((U1798-K1798)*24*60),0)</f>
        <v>0</v>
      </c>
      <c r="AM1798" s="9" t="str">
        <f t="shared" si="38"/>
        <v>OTP Breached</v>
      </c>
      <c r="AN1798" s="9" t="str">
        <f t="shared" si="39"/>
        <v>OTP Achieved</v>
      </c>
    </row>
    <row r="1799" spans="9:40" ht="15.75" customHeight="1">
      <c r="I1799" s="28"/>
      <c r="AD1799" s="9" t="str">
        <f t="shared" si="35"/>
        <v>Actual</v>
      </c>
      <c r="AE1799" s="9" t="str">
        <f t="shared" si="36"/>
        <v/>
      </c>
      <c r="AF1799" s="9">
        <f>HOUR(O1799)</f>
        <v>0</v>
      </c>
      <c r="AG1799" s="9">
        <f>DAY(O1799)</f>
        <v>0</v>
      </c>
      <c r="AH1799" s="9">
        <f>IFERROR((I1799-K1799)*24*60,0)</f>
        <v>0</v>
      </c>
      <c r="AI1799" s="9">
        <f t="shared" si="37"/>
        <v>0</v>
      </c>
      <c r="AJ1799" s="9">
        <f>C1799</f>
        <v>0</v>
      </c>
      <c r="AK1799" s="9">
        <f>IF(P1799="completed",((V1799-K1799)*24*60),0)</f>
        <v>0</v>
      </c>
      <c r="AL1799" s="9">
        <f>IF(P1799="completed",((U1799-K1799)*24*60),0)</f>
        <v>0</v>
      </c>
      <c r="AM1799" s="9" t="str">
        <f t="shared" si="38"/>
        <v>OTP Breached</v>
      </c>
      <c r="AN1799" s="9" t="str">
        <f t="shared" si="39"/>
        <v>OTP Achieved</v>
      </c>
    </row>
    <row r="1800" spans="9:40" ht="15.75" customHeight="1">
      <c r="I1800" s="28"/>
      <c r="AD1800" s="9" t="str">
        <f t="shared" si="35"/>
        <v>Actual</v>
      </c>
      <c r="AE1800" s="9" t="str">
        <f t="shared" si="36"/>
        <v/>
      </c>
      <c r="AF1800" s="9">
        <f>HOUR(O1800)</f>
        <v>0</v>
      </c>
      <c r="AG1800" s="9">
        <f>DAY(O1800)</f>
        <v>0</v>
      </c>
      <c r="AH1800" s="9">
        <f>IFERROR((I1800-K1800)*24*60,0)</f>
        <v>0</v>
      </c>
      <c r="AI1800" s="9">
        <f t="shared" si="37"/>
        <v>0</v>
      </c>
      <c r="AJ1800" s="9">
        <f>C1800</f>
        <v>0</v>
      </c>
      <c r="AK1800" s="9">
        <f>IF(P1800="completed",((V1800-K1800)*24*60),0)</f>
        <v>0</v>
      </c>
      <c r="AL1800" s="9">
        <f>IF(P1800="completed",((U1800-K1800)*24*60),0)</f>
        <v>0</v>
      </c>
      <c r="AM1800" s="9" t="str">
        <f t="shared" si="38"/>
        <v>OTP Breached</v>
      </c>
      <c r="AN1800" s="9" t="str">
        <f t="shared" si="39"/>
        <v>OTP Achieved</v>
      </c>
    </row>
    <row r="1801" spans="9:40" ht="15.75" customHeight="1">
      <c r="I1801" s="28"/>
      <c r="AD1801" s="9" t="str">
        <f t="shared" si="35"/>
        <v>Actual</v>
      </c>
      <c r="AE1801" s="9" t="str">
        <f t="shared" si="36"/>
        <v/>
      </c>
      <c r="AF1801" s="9">
        <f>HOUR(O1801)</f>
        <v>0</v>
      </c>
      <c r="AG1801" s="9">
        <f>DAY(O1801)</f>
        <v>0</v>
      </c>
      <c r="AH1801" s="9">
        <f>IFERROR((I1801-K1801)*24*60,0)</f>
        <v>0</v>
      </c>
      <c r="AI1801" s="9">
        <f t="shared" si="37"/>
        <v>0</v>
      </c>
      <c r="AJ1801" s="9">
        <f>C1801</f>
        <v>0</v>
      </c>
      <c r="AK1801" s="9">
        <f>IF(P1801="completed",((V1801-K1801)*24*60),0)</f>
        <v>0</v>
      </c>
      <c r="AL1801" s="9">
        <f>IF(P1801="completed",((U1801-K1801)*24*60),0)</f>
        <v>0</v>
      </c>
      <c r="AM1801" s="9" t="str">
        <f t="shared" si="38"/>
        <v>OTP Breached</v>
      </c>
      <c r="AN1801" s="9" t="str">
        <f t="shared" si="39"/>
        <v>OTP Achieved</v>
      </c>
    </row>
    <row r="1802" spans="9:40" ht="15.75" customHeight="1">
      <c r="I1802" s="28"/>
      <c r="AD1802" s="9" t="str">
        <f t="shared" si="35"/>
        <v>Actual</v>
      </c>
      <c r="AE1802" s="9" t="str">
        <f t="shared" si="36"/>
        <v/>
      </c>
      <c r="AF1802" s="9">
        <f>HOUR(O1802)</f>
        <v>0</v>
      </c>
      <c r="AG1802" s="9">
        <f>DAY(O1802)</f>
        <v>0</v>
      </c>
      <c r="AH1802" s="9">
        <f>IFERROR((I1802-K1802)*24*60,0)</f>
        <v>0</v>
      </c>
      <c r="AI1802" s="9">
        <f t="shared" si="37"/>
        <v>0</v>
      </c>
      <c r="AJ1802" s="9">
        <f>C1802</f>
        <v>0</v>
      </c>
      <c r="AK1802" s="9">
        <f>IF(P1802="completed",((V1802-K1802)*24*60),0)</f>
        <v>0</v>
      </c>
      <c r="AL1802" s="9">
        <f>IF(P1802="completed",((U1802-K1802)*24*60),0)</f>
        <v>0</v>
      </c>
      <c r="AM1802" s="9" t="str">
        <f t="shared" si="38"/>
        <v>OTP Breached</v>
      </c>
      <c r="AN1802" s="9" t="str">
        <f t="shared" si="39"/>
        <v>OTP Achieved</v>
      </c>
    </row>
    <row r="1803" spans="9:40" ht="15.75" customHeight="1">
      <c r="I1803" s="28"/>
      <c r="AD1803" s="9" t="str">
        <f t="shared" si="35"/>
        <v>Actual</v>
      </c>
      <c r="AE1803" s="9" t="str">
        <f t="shared" si="36"/>
        <v/>
      </c>
      <c r="AF1803" s="9">
        <f>HOUR(O1803)</f>
        <v>0</v>
      </c>
      <c r="AG1803" s="9">
        <f>DAY(O1803)</f>
        <v>0</v>
      </c>
      <c r="AH1803" s="9">
        <f>IFERROR((I1803-K1803)*24*60,0)</f>
        <v>0</v>
      </c>
      <c r="AI1803" s="9">
        <f t="shared" si="37"/>
        <v>0</v>
      </c>
      <c r="AJ1803" s="9">
        <f>C1803</f>
        <v>0</v>
      </c>
      <c r="AK1803" s="9">
        <f>IF(P1803="completed",((V1803-K1803)*24*60),0)</f>
        <v>0</v>
      </c>
      <c r="AL1803" s="9">
        <f>IF(P1803="completed",((U1803-K1803)*24*60),0)</f>
        <v>0</v>
      </c>
      <c r="AM1803" s="9" t="str">
        <f t="shared" si="38"/>
        <v>OTP Breached</v>
      </c>
      <c r="AN1803" s="9" t="str">
        <f t="shared" si="39"/>
        <v>OTP Achieved</v>
      </c>
    </row>
    <row r="1804" spans="9:40" ht="15.75" customHeight="1">
      <c r="I1804" s="28"/>
      <c r="AD1804" s="9" t="str">
        <f t="shared" si="35"/>
        <v>Actual</v>
      </c>
      <c r="AE1804" s="9" t="str">
        <f t="shared" si="36"/>
        <v/>
      </c>
      <c r="AF1804" s="9">
        <f>HOUR(O1804)</f>
        <v>0</v>
      </c>
      <c r="AG1804" s="9">
        <f>DAY(O1804)</f>
        <v>0</v>
      </c>
      <c r="AH1804" s="9">
        <f>IFERROR((I1804-K1804)*24*60,0)</f>
        <v>0</v>
      </c>
      <c r="AI1804" s="9">
        <f t="shared" si="37"/>
        <v>0</v>
      </c>
      <c r="AJ1804" s="9">
        <f>C1804</f>
        <v>0</v>
      </c>
      <c r="AK1804" s="9">
        <f>IF(P1804="completed",((V1804-K1804)*24*60),0)</f>
        <v>0</v>
      </c>
      <c r="AL1804" s="9">
        <f>IF(P1804="completed",((U1804-K1804)*24*60),0)</f>
        <v>0</v>
      </c>
      <c r="AM1804" s="9" t="str">
        <f t="shared" si="38"/>
        <v>OTP Breached</v>
      </c>
      <c r="AN1804" s="9" t="str">
        <f t="shared" si="39"/>
        <v>OTP Achieved</v>
      </c>
    </row>
    <row r="1805" spans="9:40" ht="15.75" customHeight="1">
      <c r="I1805" s="28"/>
      <c r="AD1805" s="9" t="str">
        <f t="shared" si="35"/>
        <v>Actual</v>
      </c>
      <c r="AE1805" s="9" t="str">
        <f t="shared" si="36"/>
        <v/>
      </c>
      <c r="AF1805" s="9">
        <f>HOUR(O1805)</f>
        <v>0</v>
      </c>
      <c r="AG1805" s="9">
        <f>DAY(O1805)</f>
        <v>0</v>
      </c>
      <c r="AH1805" s="9">
        <f>IFERROR((I1805-K1805)*24*60,0)</f>
        <v>0</v>
      </c>
      <c r="AI1805" s="9">
        <f t="shared" si="37"/>
        <v>0</v>
      </c>
      <c r="AJ1805" s="9">
        <f>C1805</f>
        <v>0</v>
      </c>
      <c r="AK1805" s="9">
        <f>IF(P1805="completed",((V1805-K1805)*24*60),0)</f>
        <v>0</v>
      </c>
      <c r="AL1805" s="9">
        <f>IF(P1805="completed",((U1805-K1805)*24*60),0)</f>
        <v>0</v>
      </c>
      <c r="AM1805" s="9" t="str">
        <f t="shared" si="38"/>
        <v>OTP Breached</v>
      </c>
      <c r="AN1805" s="9" t="str">
        <f t="shared" si="39"/>
        <v>OTP Achieved</v>
      </c>
    </row>
    <row r="1806" spans="9:40" ht="15.75" customHeight="1">
      <c r="I1806" s="28"/>
      <c r="AD1806" s="9" t="str">
        <f t="shared" si="35"/>
        <v>Actual</v>
      </c>
      <c r="AE1806" s="9" t="str">
        <f t="shared" si="36"/>
        <v/>
      </c>
      <c r="AF1806" s="9">
        <f>HOUR(O1806)</f>
        <v>0</v>
      </c>
      <c r="AG1806" s="9">
        <f>DAY(O1806)</f>
        <v>0</v>
      </c>
      <c r="AH1806" s="9">
        <f>IFERROR((I1806-K1806)*24*60,0)</f>
        <v>0</v>
      </c>
      <c r="AI1806" s="9">
        <f t="shared" si="37"/>
        <v>0</v>
      </c>
      <c r="AJ1806" s="9">
        <f>C1806</f>
        <v>0</v>
      </c>
      <c r="AK1806" s="9">
        <f>IF(P1806="completed",((V1806-K1806)*24*60),0)</f>
        <v>0</v>
      </c>
      <c r="AL1806" s="9">
        <f>IF(P1806="completed",((U1806-K1806)*24*60),0)</f>
        <v>0</v>
      </c>
      <c r="AM1806" s="9" t="str">
        <f t="shared" si="38"/>
        <v>OTP Breached</v>
      </c>
      <c r="AN1806" s="9" t="str">
        <f t="shared" si="39"/>
        <v>OTP Achieved</v>
      </c>
    </row>
    <row r="1807" spans="9:40" ht="15.75" customHeight="1">
      <c r="I1807" s="28"/>
      <c r="AD1807" s="9" t="str">
        <f t="shared" si="35"/>
        <v>Actual</v>
      </c>
      <c r="AE1807" s="9" t="str">
        <f t="shared" si="36"/>
        <v/>
      </c>
      <c r="AF1807" s="9">
        <f>HOUR(O1807)</f>
        <v>0</v>
      </c>
      <c r="AG1807" s="9">
        <f>DAY(O1807)</f>
        <v>0</v>
      </c>
      <c r="AH1807" s="9">
        <f>IFERROR((I1807-K1807)*24*60,0)</f>
        <v>0</v>
      </c>
      <c r="AI1807" s="9">
        <f t="shared" si="37"/>
        <v>0</v>
      </c>
      <c r="AJ1807" s="9">
        <f>C1807</f>
        <v>0</v>
      </c>
      <c r="AK1807" s="9">
        <f>IF(P1807="completed",((V1807-K1807)*24*60),0)</f>
        <v>0</v>
      </c>
      <c r="AL1807" s="9">
        <f>IF(P1807="completed",((U1807-K1807)*24*60),0)</f>
        <v>0</v>
      </c>
      <c r="AM1807" s="9" t="str">
        <f t="shared" si="38"/>
        <v>OTP Breached</v>
      </c>
      <c r="AN1807" s="9" t="str">
        <f t="shared" si="39"/>
        <v>OTP Achieved</v>
      </c>
    </row>
    <row r="1808" spans="9:40" ht="15.75" customHeight="1">
      <c r="I1808" s="28"/>
      <c r="AD1808" s="9" t="str">
        <f t="shared" si="35"/>
        <v>Actual</v>
      </c>
      <c r="AE1808" s="9" t="str">
        <f t="shared" si="36"/>
        <v/>
      </c>
      <c r="AF1808" s="9">
        <f>HOUR(O1808)</f>
        <v>0</v>
      </c>
      <c r="AG1808" s="9">
        <f>DAY(O1808)</f>
        <v>0</v>
      </c>
      <c r="AH1808" s="9">
        <f>IFERROR((I1808-K1808)*24*60,0)</f>
        <v>0</v>
      </c>
      <c r="AI1808" s="9">
        <f t="shared" si="37"/>
        <v>0</v>
      </c>
      <c r="AJ1808" s="9">
        <f>C1808</f>
        <v>0</v>
      </c>
      <c r="AK1808" s="9">
        <f>IF(P1808="completed",((V1808-K1808)*24*60),0)</f>
        <v>0</v>
      </c>
      <c r="AL1808" s="9">
        <f>IF(P1808="completed",((U1808-K1808)*24*60),0)</f>
        <v>0</v>
      </c>
      <c r="AM1808" s="9" t="str">
        <f t="shared" si="38"/>
        <v>OTP Breached</v>
      </c>
      <c r="AN1808" s="9" t="str">
        <f t="shared" si="39"/>
        <v>OTP Achieved</v>
      </c>
    </row>
    <row r="1809" spans="9:40" ht="15.75" customHeight="1">
      <c r="I1809" s="28"/>
      <c r="AD1809" s="9" t="str">
        <f t="shared" si="35"/>
        <v>Actual</v>
      </c>
      <c r="AE1809" s="9" t="str">
        <f t="shared" si="36"/>
        <v/>
      </c>
      <c r="AF1809" s="9">
        <f>HOUR(O1809)</f>
        <v>0</v>
      </c>
      <c r="AG1809" s="9">
        <f>DAY(O1809)</f>
        <v>0</v>
      </c>
      <c r="AH1809" s="9">
        <f>IFERROR((I1809-K1809)*24*60,0)</f>
        <v>0</v>
      </c>
      <c r="AI1809" s="9">
        <f t="shared" si="37"/>
        <v>0</v>
      </c>
      <c r="AJ1809" s="9">
        <f>C1809</f>
        <v>0</v>
      </c>
      <c r="AK1809" s="9">
        <f>IF(P1809="completed",((V1809-K1809)*24*60),0)</f>
        <v>0</v>
      </c>
      <c r="AL1809" s="9">
        <f>IF(P1809="completed",((U1809-K1809)*24*60),0)</f>
        <v>0</v>
      </c>
      <c r="AM1809" s="9" t="str">
        <f t="shared" si="38"/>
        <v>OTP Breached</v>
      </c>
      <c r="AN1809" s="9" t="str">
        <f t="shared" si="39"/>
        <v>OTP Achieved</v>
      </c>
    </row>
    <row r="1810" spans="9:40" ht="15.75" customHeight="1">
      <c r="I1810" s="28"/>
      <c r="AD1810" s="9" t="str">
        <f t="shared" si="35"/>
        <v>Actual</v>
      </c>
      <c r="AE1810" s="9" t="str">
        <f t="shared" si="36"/>
        <v/>
      </c>
      <c r="AF1810" s="9">
        <f>HOUR(O1810)</f>
        <v>0</v>
      </c>
      <c r="AG1810" s="9">
        <f>DAY(O1810)</f>
        <v>0</v>
      </c>
      <c r="AH1810" s="9">
        <f>IFERROR((I1810-K1810)*24*60,0)</f>
        <v>0</v>
      </c>
      <c r="AI1810" s="9">
        <f t="shared" si="37"/>
        <v>0</v>
      </c>
      <c r="AJ1810" s="9">
        <f>C1810</f>
        <v>0</v>
      </c>
      <c r="AK1810" s="9">
        <f>IF(P1810="completed",((V1810-K1810)*24*60),0)</f>
        <v>0</v>
      </c>
      <c r="AL1810" s="9">
        <f>IF(P1810="completed",((U1810-K1810)*24*60),0)</f>
        <v>0</v>
      </c>
      <c r="AM1810" s="9" t="str">
        <f t="shared" si="38"/>
        <v>OTP Breached</v>
      </c>
      <c r="AN1810" s="9" t="str">
        <f t="shared" si="39"/>
        <v>OTP Achieved</v>
      </c>
    </row>
    <row r="1811" spans="9:40" ht="15.75" customHeight="1">
      <c r="I1811" s="28"/>
      <c r="AD1811" s="9" t="str">
        <f t="shared" si="35"/>
        <v>Actual</v>
      </c>
      <c r="AE1811" s="9" t="str">
        <f t="shared" si="36"/>
        <v/>
      </c>
      <c r="AF1811" s="9">
        <f>HOUR(O1811)</f>
        <v>0</v>
      </c>
      <c r="AG1811" s="9">
        <f>DAY(O1811)</f>
        <v>0</v>
      </c>
      <c r="AH1811" s="9">
        <f>IFERROR((I1811-K1811)*24*60,0)</f>
        <v>0</v>
      </c>
      <c r="AI1811" s="9">
        <f t="shared" si="37"/>
        <v>0</v>
      </c>
      <c r="AJ1811" s="9">
        <f>C1811</f>
        <v>0</v>
      </c>
      <c r="AK1811" s="9">
        <f>IF(P1811="completed",((V1811-K1811)*24*60),0)</f>
        <v>0</v>
      </c>
      <c r="AL1811" s="9">
        <f>IF(P1811="completed",((U1811-K1811)*24*60),0)</f>
        <v>0</v>
      </c>
      <c r="AM1811" s="9" t="str">
        <f t="shared" si="38"/>
        <v>OTP Breached</v>
      </c>
      <c r="AN1811" s="9" t="str">
        <f t="shared" si="39"/>
        <v>OTP Achieved</v>
      </c>
    </row>
    <row r="1812" spans="9:40" ht="15.75" customHeight="1">
      <c r="I1812" s="28"/>
      <c r="AD1812" s="9" t="str">
        <f t="shared" si="35"/>
        <v>Actual</v>
      </c>
      <c r="AE1812" s="9" t="str">
        <f t="shared" si="36"/>
        <v/>
      </c>
      <c r="AF1812" s="9">
        <f>HOUR(O1812)</f>
        <v>0</v>
      </c>
      <c r="AG1812" s="9">
        <f>DAY(O1812)</f>
        <v>0</v>
      </c>
      <c r="AH1812" s="9">
        <f>IFERROR((I1812-K1812)*24*60,0)</f>
        <v>0</v>
      </c>
      <c r="AI1812" s="9">
        <f t="shared" si="37"/>
        <v>0</v>
      </c>
      <c r="AJ1812" s="9">
        <f>C1812</f>
        <v>0</v>
      </c>
      <c r="AK1812" s="9">
        <f>IF(P1812="completed",((V1812-K1812)*24*60),0)</f>
        <v>0</v>
      </c>
      <c r="AL1812" s="9">
        <f>IF(P1812="completed",((U1812-K1812)*24*60),0)</f>
        <v>0</v>
      </c>
      <c r="AM1812" s="9" t="str">
        <f t="shared" si="38"/>
        <v>OTP Breached</v>
      </c>
      <c r="AN1812" s="9" t="str">
        <f t="shared" si="39"/>
        <v>OTP Achieved</v>
      </c>
    </row>
    <row r="1813" spans="9:40" ht="15.75" customHeight="1">
      <c r="I1813" s="28"/>
      <c r="AD1813" s="9" t="str">
        <f t="shared" si="35"/>
        <v>Actual</v>
      </c>
      <c r="AE1813" s="9" t="str">
        <f t="shared" si="36"/>
        <v/>
      </c>
      <c r="AF1813" s="9">
        <f>HOUR(O1813)</f>
        <v>0</v>
      </c>
      <c r="AG1813" s="9">
        <f>DAY(O1813)</f>
        <v>0</v>
      </c>
      <c r="AH1813" s="9">
        <f>IFERROR((I1813-K1813)*24*60,0)</f>
        <v>0</v>
      </c>
      <c r="AI1813" s="9">
        <f t="shared" si="37"/>
        <v>0</v>
      </c>
      <c r="AJ1813" s="9">
        <f>C1813</f>
        <v>0</v>
      </c>
      <c r="AK1813" s="9">
        <f>IF(P1813="completed",((V1813-K1813)*24*60),0)</f>
        <v>0</v>
      </c>
      <c r="AL1813" s="9">
        <f>IF(P1813="completed",((U1813-K1813)*24*60),0)</f>
        <v>0</v>
      </c>
      <c r="AM1813" s="9" t="str">
        <f t="shared" si="38"/>
        <v>OTP Breached</v>
      </c>
      <c r="AN1813" s="9" t="str">
        <f t="shared" si="39"/>
        <v>OTP Achieved</v>
      </c>
    </row>
    <row r="1814" spans="9:40" ht="15.75" customHeight="1">
      <c r="I1814" s="28"/>
      <c r="AD1814" s="9" t="str">
        <f t="shared" si="35"/>
        <v>Actual</v>
      </c>
      <c r="AE1814" s="9" t="str">
        <f t="shared" si="36"/>
        <v/>
      </c>
      <c r="AF1814" s="9">
        <f>HOUR(O1814)</f>
        <v>0</v>
      </c>
      <c r="AG1814" s="9">
        <f>DAY(O1814)</f>
        <v>0</v>
      </c>
      <c r="AH1814" s="9">
        <f>IFERROR((I1814-K1814)*24*60,0)</f>
        <v>0</v>
      </c>
      <c r="AI1814" s="9">
        <f t="shared" si="37"/>
        <v>0</v>
      </c>
      <c r="AJ1814" s="9">
        <f>C1814</f>
        <v>0</v>
      </c>
      <c r="AK1814" s="9">
        <f>IF(P1814="completed",((V1814-K1814)*24*60),0)</f>
        <v>0</v>
      </c>
      <c r="AL1814" s="9">
        <f>IF(P1814="completed",((U1814-K1814)*24*60),0)</f>
        <v>0</v>
      </c>
      <c r="AM1814" s="9" t="str">
        <f t="shared" si="38"/>
        <v>OTP Breached</v>
      </c>
      <c r="AN1814" s="9" t="str">
        <f t="shared" si="39"/>
        <v>OTP Achieved</v>
      </c>
    </row>
    <row r="1815" spans="9:40" ht="15.75" customHeight="1">
      <c r="I1815" s="28"/>
      <c r="AD1815" s="9" t="str">
        <f t="shared" si="35"/>
        <v>Actual</v>
      </c>
      <c r="AE1815" s="9" t="str">
        <f t="shared" si="36"/>
        <v/>
      </c>
      <c r="AF1815" s="9">
        <f>HOUR(O1815)</f>
        <v>0</v>
      </c>
      <c r="AG1815" s="9">
        <f>DAY(O1815)</f>
        <v>0</v>
      </c>
      <c r="AH1815" s="9">
        <f>IFERROR((I1815-K1815)*24*60,0)</f>
        <v>0</v>
      </c>
      <c r="AI1815" s="9">
        <f t="shared" si="37"/>
        <v>0</v>
      </c>
      <c r="AJ1815" s="9">
        <f>C1815</f>
        <v>0</v>
      </c>
      <c r="AK1815" s="9">
        <f>IF(P1815="completed",((V1815-K1815)*24*60),0)</f>
        <v>0</v>
      </c>
      <c r="AL1815" s="9">
        <f>IF(P1815="completed",((U1815-K1815)*24*60),0)</f>
        <v>0</v>
      </c>
      <c r="AM1815" s="9" t="str">
        <f t="shared" si="38"/>
        <v>OTP Breached</v>
      </c>
      <c r="AN1815" s="9" t="str">
        <f t="shared" si="39"/>
        <v>OTP Achieved</v>
      </c>
    </row>
    <row r="1816" spans="9:40" ht="15.75" customHeight="1">
      <c r="I1816" s="28"/>
      <c r="AD1816" s="9" t="str">
        <f t="shared" si="35"/>
        <v>Actual</v>
      </c>
      <c r="AE1816" s="9" t="str">
        <f t="shared" si="36"/>
        <v/>
      </c>
      <c r="AF1816" s="9">
        <f>HOUR(O1816)</f>
        <v>0</v>
      </c>
      <c r="AG1816" s="9">
        <f>DAY(O1816)</f>
        <v>0</v>
      </c>
      <c r="AH1816" s="9">
        <f>IFERROR((I1816-K1816)*24*60,0)</f>
        <v>0</v>
      </c>
      <c r="AI1816" s="9">
        <f t="shared" si="37"/>
        <v>0</v>
      </c>
      <c r="AJ1816" s="9">
        <f>C1816</f>
        <v>0</v>
      </c>
      <c r="AK1816" s="9">
        <f>IF(P1816="completed",((V1816-K1816)*24*60),0)</f>
        <v>0</v>
      </c>
      <c r="AL1816" s="9">
        <f>IF(P1816="completed",((U1816-K1816)*24*60),0)</f>
        <v>0</v>
      </c>
      <c r="AM1816" s="9" t="str">
        <f t="shared" si="38"/>
        <v>OTP Breached</v>
      </c>
      <c r="AN1816" s="9" t="str">
        <f t="shared" si="39"/>
        <v>OTP Achieved</v>
      </c>
    </row>
    <row r="1817" spans="9:40" ht="15.75" customHeight="1">
      <c r="I1817" s="28"/>
      <c r="AD1817" s="9" t="str">
        <f t="shared" si="35"/>
        <v>Actual</v>
      </c>
      <c r="AE1817" s="9" t="str">
        <f t="shared" si="36"/>
        <v/>
      </c>
      <c r="AF1817" s="9">
        <f>HOUR(O1817)</f>
        <v>0</v>
      </c>
      <c r="AG1817" s="9">
        <f>DAY(O1817)</f>
        <v>0</v>
      </c>
      <c r="AH1817" s="9">
        <f>IFERROR((I1817-K1817)*24*60,0)</f>
        <v>0</v>
      </c>
      <c r="AI1817" s="9">
        <f t="shared" si="37"/>
        <v>0</v>
      </c>
      <c r="AJ1817" s="9">
        <f>C1817</f>
        <v>0</v>
      </c>
      <c r="AK1817" s="9">
        <f>IF(P1817="completed",((V1817-K1817)*24*60),0)</f>
        <v>0</v>
      </c>
      <c r="AL1817" s="9">
        <f>IF(P1817="completed",((U1817-K1817)*24*60),0)</f>
        <v>0</v>
      </c>
      <c r="AM1817" s="9" t="str">
        <f t="shared" si="38"/>
        <v>OTP Breached</v>
      </c>
      <c r="AN1817" s="9" t="str">
        <f t="shared" si="39"/>
        <v>OTP Achieved</v>
      </c>
    </row>
    <row r="1818" spans="9:40" ht="15.75" customHeight="1">
      <c r="I1818" s="28"/>
      <c r="AD1818" s="9" t="str">
        <f t="shared" si="35"/>
        <v>Actual</v>
      </c>
      <c r="AE1818" s="9" t="str">
        <f t="shared" si="36"/>
        <v/>
      </c>
      <c r="AF1818" s="9">
        <f>HOUR(O1818)</f>
        <v>0</v>
      </c>
      <c r="AG1818" s="9">
        <f>DAY(O1818)</f>
        <v>0</v>
      </c>
      <c r="AH1818" s="9">
        <f>IFERROR((I1818-K1818)*24*60,0)</f>
        <v>0</v>
      </c>
      <c r="AI1818" s="9">
        <f t="shared" si="37"/>
        <v>0</v>
      </c>
      <c r="AJ1818" s="9">
        <f>C1818</f>
        <v>0</v>
      </c>
      <c r="AK1818" s="9">
        <f>IF(P1818="completed",((V1818-K1818)*24*60),0)</f>
        <v>0</v>
      </c>
      <c r="AL1818" s="9">
        <f>IF(P1818="completed",((U1818-K1818)*24*60),0)</f>
        <v>0</v>
      </c>
      <c r="AM1818" s="9" t="str">
        <f t="shared" si="38"/>
        <v>OTP Breached</v>
      </c>
      <c r="AN1818" s="9" t="str">
        <f t="shared" si="39"/>
        <v>OTP Achieved</v>
      </c>
    </row>
    <row r="1819" spans="9:40" ht="15.75" customHeight="1">
      <c r="I1819" s="28"/>
      <c r="AD1819" s="9" t="str">
        <f t="shared" si="35"/>
        <v>Actual</v>
      </c>
      <c r="AE1819" s="9" t="str">
        <f t="shared" si="36"/>
        <v/>
      </c>
      <c r="AF1819" s="9">
        <f>HOUR(O1819)</f>
        <v>0</v>
      </c>
      <c r="AG1819" s="9">
        <f>DAY(O1819)</f>
        <v>0</v>
      </c>
      <c r="AH1819" s="9">
        <f>IFERROR((I1819-K1819)*24*60,0)</f>
        <v>0</v>
      </c>
      <c r="AI1819" s="9">
        <f t="shared" si="37"/>
        <v>0</v>
      </c>
      <c r="AJ1819" s="9">
        <f>C1819</f>
        <v>0</v>
      </c>
      <c r="AK1819" s="9">
        <f>IF(P1819="completed",((V1819-K1819)*24*60),0)</f>
        <v>0</v>
      </c>
      <c r="AL1819" s="9">
        <f>IF(P1819="completed",((U1819-K1819)*24*60),0)</f>
        <v>0</v>
      </c>
      <c r="AM1819" s="9" t="str">
        <f t="shared" si="38"/>
        <v>OTP Breached</v>
      </c>
      <c r="AN1819" s="9" t="str">
        <f t="shared" si="39"/>
        <v>OTP Achieved</v>
      </c>
    </row>
    <row r="1820" spans="9:40" ht="15.75" customHeight="1">
      <c r="I1820" s="28"/>
      <c r="AD1820" s="9" t="str">
        <f t="shared" si="35"/>
        <v>Actual</v>
      </c>
      <c r="AE1820" s="9" t="str">
        <f t="shared" si="36"/>
        <v/>
      </c>
      <c r="AF1820" s="9">
        <f>HOUR(O1820)</f>
        <v>0</v>
      </c>
      <c r="AG1820" s="9">
        <f>DAY(O1820)</f>
        <v>0</v>
      </c>
      <c r="AH1820" s="9">
        <f>IFERROR((I1820-K1820)*24*60,0)</f>
        <v>0</v>
      </c>
      <c r="AI1820" s="9">
        <f t="shared" si="37"/>
        <v>0</v>
      </c>
      <c r="AJ1820" s="9">
        <f>C1820</f>
        <v>0</v>
      </c>
      <c r="AK1820" s="9">
        <f>IF(P1820="completed",((V1820-K1820)*24*60),0)</f>
        <v>0</v>
      </c>
      <c r="AL1820" s="9">
        <f>IF(P1820="completed",((U1820-K1820)*24*60),0)</f>
        <v>0</v>
      </c>
      <c r="AM1820" s="9" t="str">
        <f t="shared" si="38"/>
        <v>OTP Breached</v>
      </c>
      <c r="AN1820" s="9" t="str">
        <f t="shared" si="39"/>
        <v>OTP Achieved</v>
      </c>
    </row>
    <row r="1821" spans="9:40" ht="15.75" customHeight="1">
      <c r="I1821" s="28"/>
      <c r="AD1821" s="9" t="str">
        <f t="shared" si="35"/>
        <v>Actual</v>
      </c>
      <c r="AE1821" s="9" t="str">
        <f t="shared" si="36"/>
        <v/>
      </c>
      <c r="AF1821" s="9">
        <f>HOUR(O1821)</f>
        <v>0</v>
      </c>
      <c r="AG1821" s="9">
        <f>DAY(O1821)</f>
        <v>0</v>
      </c>
      <c r="AH1821" s="9">
        <f>IFERROR((I1821-K1821)*24*60,0)</f>
        <v>0</v>
      </c>
      <c r="AI1821" s="9">
        <f t="shared" si="37"/>
        <v>0</v>
      </c>
      <c r="AJ1821" s="9">
        <f>C1821</f>
        <v>0</v>
      </c>
      <c r="AK1821" s="9">
        <f>IF(P1821="completed",((V1821-K1821)*24*60),0)</f>
        <v>0</v>
      </c>
      <c r="AL1821" s="9">
        <f>IF(P1821="completed",((U1821-K1821)*24*60),0)</f>
        <v>0</v>
      </c>
      <c r="AM1821" s="9" t="str">
        <f t="shared" si="38"/>
        <v>OTP Breached</v>
      </c>
      <c r="AN1821" s="9" t="str">
        <f t="shared" si="39"/>
        <v>OTP Achieved</v>
      </c>
    </row>
    <row r="1822" spans="9:40" ht="15.75" customHeight="1">
      <c r="I1822" s="28"/>
      <c r="AD1822" s="9" t="str">
        <f t="shared" si="35"/>
        <v>Actual</v>
      </c>
      <c r="AE1822" s="9" t="str">
        <f t="shared" si="36"/>
        <v/>
      </c>
      <c r="AF1822" s="9">
        <f>HOUR(O1822)</f>
        <v>0</v>
      </c>
      <c r="AG1822" s="9">
        <f>DAY(O1822)</f>
        <v>0</v>
      </c>
      <c r="AH1822" s="9">
        <f>IFERROR((I1822-K1822)*24*60,0)</f>
        <v>0</v>
      </c>
      <c r="AI1822" s="9">
        <f t="shared" si="37"/>
        <v>0</v>
      </c>
      <c r="AJ1822" s="9">
        <f>C1822</f>
        <v>0</v>
      </c>
      <c r="AK1822" s="9">
        <f>IF(P1822="completed",((V1822-K1822)*24*60),0)</f>
        <v>0</v>
      </c>
      <c r="AL1822" s="9">
        <f>IF(P1822="completed",((U1822-K1822)*24*60),0)</f>
        <v>0</v>
      </c>
      <c r="AM1822" s="9" t="str">
        <f t="shared" si="38"/>
        <v>OTP Breached</v>
      </c>
      <c r="AN1822" s="9" t="str">
        <f t="shared" si="39"/>
        <v>OTP Achieved</v>
      </c>
    </row>
    <row r="1823" spans="9:40" ht="15.75" customHeight="1">
      <c r="I1823" s="28"/>
      <c r="AD1823" s="9" t="str">
        <f t="shared" si="35"/>
        <v>Actual</v>
      </c>
      <c r="AE1823" s="9" t="str">
        <f t="shared" si="36"/>
        <v/>
      </c>
      <c r="AF1823" s="9">
        <f>HOUR(O1823)</f>
        <v>0</v>
      </c>
      <c r="AG1823" s="9">
        <f>DAY(O1823)</f>
        <v>0</v>
      </c>
      <c r="AH1823" s="9">
        <f>IFERROR((I1823-K1823)*24*60,0)</f>
        <v>0</v>
      </c>
      <c r="AI1823" s="9">
        <f t="shared" si="37"/>
        <v>0</v>
      </c>
      <c r="AJ1823" s="9">
        <f>C1823</f>
        <v>0</v>
      </c>
      <c r="AK1823" s="9">
        <f>IF(P1823="completed",((V1823-K1823)*24*60),0)</f>
        <v>0</v>
      </c>
      <c r="AL1823" s="9">
        <f>IF(P1823="completed",((U1823-K1823)*24*60),0)</f>
        <v>0</v>
      </c>
      <c r="AM1823" s="9" t="str">
        <f t="shared" si="38"/>
        <v>OTP Breached</v>
      </c>
      <c r="AN1823" s="9" t="str">
        <f t="shared" si="39"/>
        <v>OTP Achieved</v>
      </c>
    </row>
    <row r="1824" spans="9:40" ht="15.75" customHeight="1">
      <c r="I1824" s="28"/>
      <c r="AD1824" s="9" t="str">
        <f t="shared" si="35"/>
        <v>Actual</v>
      </c>
      <c r="AE1824" s="9" t="str">
        <f t="shared" si="36"/>
        <v/>
      </c>
      <c r="AF1824" s="9">
        <f>HOUR(O1824)</f>
        <v>0</v>
      </c>
      <c r="AG1824" s="9">
        <f>DAY(O1824)</f>
        <v>0</v>
      </c>
      <c r="AH1824" s="9">
        <f>IFERROR((I1824-K1824)*24*60,0)</f>
        <v>0</v>
      </c>
      <c r="AI1824" s="9">
        <f t="shared" si="37"/>
        <v>0</v>
      </c>
      <c r="AJ1824" s="9">
        <f>C1824</f>
        <v>0</v>
      </c>
      <c r="AK1824" s="9">
        <f>IF(P1824="completed",((V1824-K1824)*24*60),0)</f>
        <v>0</v>
      </c>
      <c r="AL1824" s="9">
        <f>IF(P1824="completed",((U1824-K1824)*24*60),0)</f>
        <v>0</v>
      </c>
      <c r="AM1824" s="9" t="str">
        <f t="shared" si="38"/>
        <v>OTP Breached</v>
      </c>
      <c r="AN1824" s="9" t="str">
        <f t="shared" si="39"/>
        <v>OTP Achieved</v>
      </c>
    </row>
    <row r="1825" spans="9:40" ht="15.75" customHeight="1">
      <c r="I1825" s="28"/>
      <c r="AD1825" s="9" t="str">
        <f t="shared" si="35"/>
        <v>Actual</v>
      </c>
      <c r="AE1825" s="9" t="str">
        <f t="shared" si="36"/>
        <v/>
      </c>
      <c r="AF1825" s="9">
        <f>HOUR(O1825)</f>
        <v>0</v>
      </c>
      <c r="AG1825" s="9">
        <f>DAY(O1825)</f>
        <v>0</v>
      </c>
      <c r="AH1825" s="9">
        <f>IFERROR((I1825-K1825)*24*60,0)</f>
        <v>0</v>
      </c>
      <c r="AI1825" s="9">
        <f t="shared" si="37"/>
        <v>0</v>
      </c>
      <c r="AJ1825" s="9">
        <f>C1825</f>
        <v>0</v>
      </c>
      <c r="AK1825" s="9">
        <f>IF(P1825="completed",((V1825-K1825)*24*60),0)</f>
        <v>0</v>
      </c>
      <c r="AL1825" s="9">
        <f>IF(P1825="completed",((U1825-K1825)*24*60),0)</f>
        <v>0</v>
      </c>
      <c r="AM1825" s="9" t="str">
        <f t="shared" si="38"/>
        <v>OTP Breached</v>
      </c>
      <c r="AN1825" s="9" t="str">
        <f t="shared" si="39"/>
        <v>OTP Achieved</v>
      </c>
    </row>
    <row r="1826" spans="9:40" ht="15.75" customHeight="1">
      <c r="I1826" s="28"/>
      <c r="AD1826" s="9" t="str">
        <f t="shared" si="35"/>
        <v>Actual</v>
      </c>
      <c r="AE1826" s="9" t="str">
        <f t="shared" si="36"/>
        <v/>
      </c>
      <c r="AF1826" s="9">
        <f>HOUR(O1826)</f>
        <v>0</v>
      </c>
      <c r="AG1826" s="9">
        <f>DAY(O1826)</f>
        <v>0</v>
      </c>
      <c r="AH1826" s="9">
        <f>IFERROR((I1826-K1826)*24*60,0)</f>
        <v>0</v>
      </c>
      <c r="AI1826" s="9">
        <f t="shared" si="37"/>
        <v>0</v>
      </c>
      <c r="AJ1826" s="9">
        <f>C1826</f>
        <v>0</v>
      </c>
      <c r="AK1826" s="9">
        <f>IF(P1826="completed",((V1826-K1826)*24*60),0)</f>
        <v>0</v>
      </c>
      <c r="AL1826" s="9">
        <f>IF(P1826="completed",((U1826-K1826)*24*60),0)</f>
        <v>0</v>
      </c>
      <c r="AM1826" s="9" t="str">
        <f t="shared" si="38"/>
        <v>OTP Breached</v>
      </c>
      <c r="AN1826" s="9" t="str">
        <f t="shared" si="39"/>
        <v>OTP Achieved</v>
      </c>
    </row>
    <row r="1827" spans="9:40" ht="15.75" customHeight="1">
      <c r="I1827" s="28"/>
      <c r="AD1827" s="9" t="str">
        <f t="shared" si="35"/>
        <v>Actual</v>
      </c>
      <c r="AE1827" s="9" t="str">
        <f t="shared" si="36"/>
        <v/>
      </c>
      <c r="AF1827" s="9">
        <f>HOUR(O1827)</f>
        <v>0</v>
      </c>
      <c r="AG1827" s="9">
        <f>DAY(O1827)</f>
        <v>0</v>
      </c>
      <c r="AH1827" s="9">
        <f>IFERROR((I1827-K1827)*24*60,0)</f>
        <v>0</v>
      </c>
      <c r="AI1827" s="9">
        <f t="shared" si="37"/>
        <v>0</v>
      </c>
      <c r="AJ1827" s="9">
        <f>C1827</f>
        <v>0</v>
      </c>
      <c r="AK1827" s="9">
        <f>IF(P1827="completed",((V1827-K1827)*24*60),0)</f>
        <v>0</v>
      </c>
      <c r="AL1827" s="9">
        <f>IF(P1827="completed",((U1827-K1827)*24*60),0)</f>
        <v>0</v>
      </c>
      <c r="AM1827" s="9" t="str">
        <f t="shared" si="38"/>
        <v>OTP Breached</v>
      </c>
      <c r="AN1827" s="9" t="str">
        <f t="shared" si="39"/>
        <v>OTP Achieved</v>
      </c>
    </row>
    <row r="1828" spans="9:40" ht="15.75" customHeight="1">
      <c r="I1828" s="28"/>
      <c r="AD1828" s="9" t="str">
        <f t="shared" si="35"/>
        <v>Actual</v>
      </c>
      <c r="AE1828" s="9" t="str">
        <f t="shared" si="36"/>
        <v/>
      </c>
      <c r="AF1828" s="9">
        <f>HOUR(O1828)</f>
        <v>0</v>
      </c>
      <c r="AG1828" s="9">
        <f>DAY(O1828)</f>
        <v>0</v>
      </c>
      <c r="AH1828" s="9">
        <f>IFERROR((I1828-K1828)*24*60,0)</f>
        <v>0</v>
      </c>
      <c r="AI1828" s="9">
        <f t="shared" si="37"/>
        <v>0</v>
      </c>
      <c r="AJ1828" s="9">
        <f>C1828</f>
        <v>0</v>
      </c>
      <c r="AK1828" s="9">
        <f>IF(P1828="completed",((V1828-K1828)*24*60),0)</f>
        <v>0</v>
      </c>
      <c r="AL1828" s="9">
        <f>IF(P1828="completed",((U1828-K1828)*24*60),0)</f>
        <v>0</v>
      </c>
      <c r="AM1828" s="9" t="str">
        <f t="shared" si="38"/>
        <v>OTP Breached</v>
      </c>
      <c r="AN1828" s="9" t="str">
        <f t="shared" si="39"/>
        <v>OTP Achieved</v>
      </c>
    </row>
    <row r="1829" spans="9:40" ht="15.75" customHeight="1">
      <c r="I1829" s="28"/>
      <c r="AD1829" s="9" t="str">
        <f t="shared" si="35"/>
        <v>Actual</v>
      </c>
      <c r="AE1829" s="9" t="str">
        <f t="shared" si="36"/>
        <v/>
      </c>
      <c r="AF1829" s="9">
        <f>HOUR(O1829)</f>
        <v>0</v>
      </c>
      <c r="AG1829" s="9">
        <f>DAY(O1829)</f>
        <v>0</v>
      </c>
      <c r="AH1829" s="9">
        <f>IFERROR((I1829-K1829)*24*60,0)</f>
        <v>0</v>
      </c>
      <c r="AI1829" s="9">
        <f t="shared" si="37"/>
        <v>0</v>
      </c>
      <c r="AJ1829" s="9">
        <f>C1829</f>
        <v>0</v>
      </c>
      <c r="AK1829" s="9">
        <f>IF(P1829="completed",((V1829-K1829)*24*60),0)</f>
        <v>0</v>
      </c>
      <c r="AL1829" s="9">
        <f>IF(P1829="completed",((U1829-K1829)*24*60),0)</f>
        <v>0</v>
      </c>
      <c r="AM1829" s="9" t="str">
        <f t="shared" si="38"/>
        <v>OTP Breached</v>
      </c>
      <c r="AN1829" s="9" t="str">
        <f t="shared" si="39"/>
        <v>OTP Achieved</v>
      </c>
    </row>
    <row r="1830" spans="9:40" ht="15.75" customHeight="1">
      <c r="I1830" s="28"/>
      <c r="AD1830" s="9" t="str">
        <f t="shared" si="35"/>
        <v>Actual</v>
      </c>
      <c r="AE1830" s="9" t="str">
        <f t="shared" si="36"/>
        <v/>
      </c>
      <c r="AF1830" s="9">
        <f>HOUR(O1830)</f>
        <v>0</v>
      </c>
      <c r="AG1830" s="9">
        <f>DAY(O1830)</f>
        <v>0</v>
      </c>
      <c r="AH1830" s="9">
        <f>IFERROR((I1830-K1830)*24*60,0)</f>
        <v>0</v>
      </c>
      <c r="AI1830" s="9">
        <f t="shared" si="37"/>
        <v>0</v>
      </c>
      <c r="AJ1830" s="9">
        <f>C1830</f>
        <v>0</v>
      </c>
      <c r="AK1830" s="9">
        <f>IF(P1830="completed",((V1830-K1830)*24*60),0)</f>
        <v>0</v>
      </c>
      <c r="AL1830" s="9">
        <f>IF(P1830="completed",((U1830-K1830)*24*60),0)</f>
        <v>0</v>
      </c>
      <c r="AM1830" s="9" t="str">
        <f t="shared" si="38"/>
        <v>OTP Breached</v>
      </c>
      <c r="AN1830" s="9" t="str">
        <f t="shared" si="39"/>
        <v>OTP Achieved</v>
      </c>
    </row>
    <row r="1831" spans="9:40" ht="15.75" customHeight="1">
      <c r="I1831" s="28"/>
      <c r="AD1831" s="9" t="str">
        <f t="shared" si="35"/>
        <v>Actual</v>
      </c>
      <c r="AE1831" s="9" t="str">
        <f t="shared" si="36"/>
        <v/>
      </c>
      <c r="AF1831" s="9">
        <f>HOUR(O1831)</f>
        <v>0</v>
      </c>
      <c r="AG1831" s="9">
        <f>DAY(O1831)</f>
        <v>0</v>
      </c>
      <c r="AH1831" s="9">
        <f>IFERROR((I1831-K1831)*24*60,0)</f>
        <v>0</v>
      </c>
      <c r="AI1831" s="9">
        <f t="shared" si="37"/>
        <v>0</v>
      </c>
      <c r="AJ1831" s="9">
        <f>C1831</f>
        <v>0</v>
      </c>
      <c r="AK1831" s="9">
        <f>IF(P1831="completed",((V1831-K1831)*24*60),0)</f>
        <v>0</v>
      </c>
      <c r="AL1831" s="9">
        <f>IF(P1831="completed",((U1831-K1831)*24*60),0)</f>
        <v>0</v>
      </c>
      <c r="AM1831" s="9" t="str">
        <f t="shared" si="38"/>
        <v>OTP Breached</v>
      </c>
      <c r="AN1831" s="9" t="str">
        <f t="shared" si="39"/>
        <v>OTP Achieved</v>
      </c>
    </row>
    <row r="1832" spans="9:40" ht="15.75" customHeight="1">
      <c r="I1832" s="28"/>
      <c r="AD1832" s="9" t="str">
        <f t="shared" si="35"/>
        <v>Actual</v>
      </c>
      <c r="AE1832" s="9" t="str">
        <f t="shared" si="36"/>
        <v/>
      </c>
      <c r="AF1832" s="9">
        <f>HOUR(O1832)</f>
        <v>0</v>
      </c>
      <c r="AG1832" s="9">
        <f>DAY(O1832)</f>
        <v>0</v>
      </c>
      <c r="AH1832" s="9">
        <f>IFERROR((I1832-K1832)*24*60,0)</f>
        <v>0</v>
      </c>
      <c r="AI1832" s="9">
        <f t="shared" si="37"/>
        <v>0</v>
      </c>
      <c r="AJ1832" s="9">
        <f>C1832</f>
        <v>0</v>
      </c>
      <c r="AK1832" s="9">
        <f>IF(P1832="completed",((V1832-K1832)*24*60),0)</f>
        <v>0</v>
      </c>
      <c r="AL1832" s="9">
        <f>IF(P1832="completed",((U1832-K1832)*24*60),0)</f>
        <v>0</v>
      </c>
      <c r="AM1832" s="9" t="str">
        <f t="shared" si="38"/>
        <v>OTP Breached</v>
      </c>
      <c r="AN1832" s="9" t="str">
        <f t="shared" si="39"/>
        <v>OTP Achieved</v>
      </c>
    </row>
    <row r="1833" spans="9:40" ht="15.75" customHeight="1">
      <c r="I1833" s="28"/>
      <c r="AD1833" s="9" t="str">
        <f t="shared" si="35"/>
        <v>Actual</v>
      </c>
      <c r="AE1833" s="9" t="str">
        <f t="shared" si="36"/>
        <v/>
      </c>
      <c r="AF1833" s="9">
        <f>HOUR(O1833)</f>
        <v>0</v>
      </c>
      <c r="AG1833" s="9">
        <f>DAY(O1833)</f>
        <v>0</v>
      </c>
      <c r="AH1833" s="9">
        <f>IFERROR((I1833-K1833)*24*60,0)</f>
        <v>0</v>
      </c>
      <c r="AI1833" s="9">
        <f t="shared" si="37"/>
        <v>0</v>
      </c>
      <c r="AJ1833" s="9">
        <f>C1833</f>
        <v>0</v>
      </c>
      <c r="AK1833" s="9">
        <f>IF(P1833="completed",((V1833-K1833)*24*60),0)</f>
        <v>0</v>
      </c>
      <c r="AL1833" s="9">
        <f>IF(P1833="completed",((U1833-K1833)*24*60),0)</f>
        <v>0</v>
      </c>
      <c r="AM1833" s="9" t="str">
        <f t="shared" si="38"/>
        <v>OTP Breached</v>
      </c>
      <c r="AN1833" s="9" t="str">
        <f t="shared" si="39"/>
        <v>OTP Achieved</v>
      </c>
    </row>
    <row r="1834" spans="9:40" ht="15.75" customHeight="1">
      <c r="I1834" s="28"/>
      <c r="AD1834" s="9" t="str">
        <f t="shared" si="35"/>
        <v>Actual</v>
      </c>
      <c r="AE1834" s="9" t="str">
        <f t="shared" si="36"/>
        <v/>
      </c>
      <c r="AF1834" s="9">
        <f>HOUR(O1834)</f>
        <v>0</v>
      </c>
      <c r="AG1834" s="9">
        <f>DAY(O1834)</f>
        <v>0</v>
      </c>
      <c r="AH1834" s="9">
        <f>IFERROR((I1834-K1834)*24*60,0)</f>
        <v>0</v>
      </c>
      <c r="AI1834" s="9">
        <f t="shared" si="37"/>
        <v>0</v>
      </c>
      <c r="AJ1834" s="9">
        <f>C1834</f>
        <v>0</v>
      </c>
      <c r="AK1834" s="9">
        <f>IF(P1834="completed",((V1834-K1834)*24*60),0)</f>
        <v>0</v>
      </c>
      <c r="AL1834" s="9">
        <f>IF(P1834="completed",((U1834-K1834)*24*60),0)</f>
        <v>0</v>
      </c>
      <c r="AM1834" s="9" t="str">
        <f t="shared" si="38"/>
        <v>OTP Breached</v>
      </c>
      <c r="AN1834" s="9" t="str">
        <f t="shared" si="39"/>
        <v>OTP Achieved</v>
      </c>
    </row>
    <row r="1835" spans="9:40" ht="15.75" customHeight="1">
      <c r="I1835" s="28"/>
      <c r="AD1835" s="9" t="str">
        <f t="shared" si="35"/>
        <v>Actual</v>
      </c>
      <c r="AE1835" s="9" t="str">
        <f t="shared" si="36"/>
        <v/>
      </c>
      <c r="AF1835" s="9">
        <f>HOUR(O1835)</f>
        <v>0</v>
      </c>
      <c r="AG1835" s="9">
        <f>DAY(O1835)</f>
        <v>0</v>
      </c>
      <c r="AH1835" s="9">
        <f>IFERROR((I1835-K1835)*24*60,0)</f>
        <v>0</v>
      </c>
      <c r="AI1835" s="9">
        <f t="shared" si="37"/>
        <v>0</v>
      </c>
      <c r="AJ1835" s="9">
        <f>C1835</f>
        <v>0</v>
      </c>
      <c r="AK1835" s="9">
        <f>IF(P1835="completed",((V1835-K1835)*24*60),0)</f>
        <v>0</v>
      </c>
      <c r="AL1835" s="9">
        <f>IF(P1835="completed",((U1835-K1835)*24*60),0)</f>
        <v>0</v>
      </c>
      <c r="AM1835" s="9" t="str">
        <f t="shared" si="38"/>
        <v>OTP Breached</v>
      </c>
      <c r="AN1835" s="9" t="str">
        <f t="shared" si="39"/>
        <v>OTP Achieved</v>
      </c>
    </row>
    <row r="1836" spans="9:40" ht="15.75" customHeight="1">
      <c r="I1836" s="28"/>
      <c r="AD1836" s="9" t="str">
        <f t="shared" si="35"/>
        <v>Actual</v>
      </c>
      <c r="AE1836" s="9" t="str">
        <f t="shared" si="36"/>
        <v/>
      </c>
      <c r="AF1836" s="9">
        <f>HOUR(O1836)</f>
        <v>0</v>
      </c>
      <c r="AG1836" s="9">
        <f>DAY(O1836)</f>
        <v>0</v>
      </c>
      <c r="AH1836" s="9">
        <f>IFERROR((I1836-K1836)*24*60,0)</f>
        <v>0</v>
      </c>
      <c r="AI1836" s="9">
        <f t="shared" si="37"/>
        <v>0</v>
      </c>
      <c r="AJ1836" s="9">
        <f>C1836</f>
        <v>0</v>
      </c>
      <c r="AK1836" s="9">
        <f>IF(P1836="completed",((V1836-K1836)*24*60),0)</f>
        <v>0</v>
      </c>
      <c r="AL1836" s="9">
        <f>IF(P1836="completed",((U1836-K1836)*24*60),0)</f>
        <v>0</v>
      </c>
      <c r="AM1836" s="9" t="str">
        <f t="shared" si="38"/>
        <v>OTP Breached</v>
      </c>
      <c r="AN1836" s="9" t="str">
        <f t="shared" si="39"/>
        <v>OTP Achieved</v>
      </c>
    </row>
    <row r="1837" spans="9:40" ht="15.75" customHeight="1">
      <c r="I1837" s="28"/>
      <c r="AD1837" s="9" t="str">
        <f t="shared" si="35"/>
        <v>Actual</v>
      </c>
      <c r="AE1837" s="9" t="str">
        <f t="shared" si="36"/>
        <v/>
      </c>
      <c r="AF1837" s="9">
        <f>HOUR(O1837)</f>
        <v>0</v>
      </c>
      <c r="AG1837" s="9">
        <f>DAY(O1837)</f>
        <v>0</v>
      </c>
      <c r="AH1837" s="9">
        <f>IFERROR((I1837-K1837)*24*60,0)</f>
        <v>0</v>
      </c>
      <c r="AI1837" s="9">
        <f t="shared" si="37"/>
        <v>0</v>
      </c>
      <c r="AJ1837" s="9">
        <f>C1837</f>
        <v>0</v>
      </c>
      <c r="AK1837" s="9">
        <f>IF(P1837="completed",((V1837-K1837)*24*60),0)</f>
        <v>0</v>
      </c>
      <c r="AL1837" s="9">
        <f>IF(P1837="completed",((U1837-K1837)*24*60),0)</f>
        <v>0</v>
      </c>
      <c r="AM1837" s="9" t="str">
        <f t="shared" si="38"/>
        <v>OTP Breached</v>
      </c>
      <c r="AN1837" s="9" t="str">
        <f t="shared" si="39"/>
        <v>OTP Achieved</v>
      </c>
    </row>
    <row r="1838" spans="9:40" ht="15.75" customHeight="1">
      <c r="I1838" s="28"/>
      <c r="AD1838" s="9" t="str">
        <f t="shared" si="35"/>
        <v>Actual</v>
      </c>
      <c r="AE1838" s="9" t="str">
        <f t="shared" si="36"/>
        <v/>
      </c>
      <c r="AF1838" s="9">
        <f>HOUR(O1838)</f>
        <v>0</v>
      </c>
      <c r="AG1838" s="9">
        <f>DAY(O1838)</f>
        <v>0</v>
      </c>
      <c r="AH1838" s="9">
        <f>IFERROR((I1838-K1838)*24*60,0)</f>
        <v>0</v>
      </c>
      <c r="AI1838" s="9">
        <f t="shared" si="37"/>
        <v>0</v>
      </c>
      <c r="AJ1838" s="9">
        <f>C1838</f>
        <v>0</v>
      </c>
      <c r="AK1838" s="9">
        <f>IF(P1838="completed",((V1838-K1838)*24*60),0)</f>
        <v>0</v>
      </c>
      <c r="AL1838" s="9">
        <f>IF(P1838="completed",((U1838-K1838)*24*60),0)</f>
        <v>0</v>
      </c>
      <c r="AM1838" s="9" t="str">
        <f t="shared" si="38"/>
        <v>OTP Breached</v>
      </c>
      <c r="AN1838" s="9" t="str">
        <f t="shared" si="39"/>
        <v>OTP Achieved</v>
      </c>
    </row>
    <row r="1839" spans="9:40" ht="15.75" customHeight="1">
      <c r="I1839" s="28"/>
      <c r="AD1839" s="9" t="str">
        <f t="shared" si="35"/>
        <v>Actual</v>
      </c>
      <c r="AE1839" s="9" t="str">
        <f t="shared" si="36"/>
        <v/>
      </c>
      <c r="AF1839" s="9">
        <f>HOUR(O1839)</f>
        <v>0</v>
      </c>
      <c r="AG1839" s="9">
        <f>DAY(O1839)</f>
        <v>0</v>
      </c>
      <c r="AH1839" s="9">
        <f>IFERROR((I1839-K1839)*24*60,0)</f>
        <v>0</v>
      </c>
      <c r="AI1839" s="9">
        <f t="shared" si="37"/>
        <v>0</v>
      </c>
      <c r="AJ1839" s="9">
        <f>C1839</f>
        <v>0</v>
      </c>
      <c r="AK1839" s="9">
        <f>IF(P1839="completed",((V1839-K1839)*24*60),0)</f>
        <v>0</v>
      </c>
      <c r="AL1839" s="9">
        <f>IF(P1839="completed",((U1839-K1839)*24*60),0)</f>
        <v>0</v>
      </c>
      <c r="AM1839" s="9" t="str">
        <f t="shared" si="38"/>
        <v>OTP Breached</v>
      </c>
      <c r="AN1839" s="9" t="str">
        <f t="shared" si="39"/>
        <v>OTP Achieved</v>
      </c>
    </row>
    <row r="1840" spans="9:40" ht="15.75" customHeight="1">
      <c r="I1840" s="28"/>
      <c r="AD1840" s="9" t="str">
        <f t="shared" si="35"/>
        <v>Actual</v>
      </c>
      <c r="AE1840" s="9" t="str">
        <f t="shared" si="36"/>
        <v/>
      </c>
      <c r="AF1840" s="9">
        <f>HOUR(O1840)</f>
        <v>0</v>
      </c>
      <c r="AG1840" s="9">
        <f>DAY(O1840)</f>
        <v>0</v>
      </c>
      <c r="AH1840" s="9">
        <f>IFERROR((I1840-K1840)*24*60,0)</f>
        <v>0</v>
      </c>
      <c r="AI1840" s="9">
        <f t="shared" si="37"/>
        <v>0</v>
      </c>
      <c r="AJ1840" s="9">
        <f>C1840</f>
        <v>0</v>
      </c>
      <c r="AK1840" s="9">
        <f>IF(P1840="completed",((V1840-K1840)*24*60),0)</f>
        <v>0</v>
      </c>
      <c r="AL1840" s="9">
        <f>IF(P1840="completed",((U1840-K1840)*24*60),0)</f>
        <v>0</v>
      </c>
      <c r="AM1840" s="9" t="str">
        <f t="shared" si="38"/>
        <v>OTP Breached</v>
      </c>
      <c r="AN1840" s="9" t="str">
        <f t="shared" si="39"/>
        <v>OTP Achieved</v>
      </c>
    </row>
    <row r="1841" spans="9:40" ht="15.75" customHeight="1">
      <c r="I1841" s="28"/>
      <c r="AD1841" s="9" t="str">
        <f t="shared" si="35"/>
        <v>Actual</v>
      </c>
      <c r="AE1841" s="9" t="str">
        <f t="shared" si="36"/>
        <v/>
      </c>
      <c r="AF1841" s="9">
        <f>HOUR(O1841)</f>
        <v>0</v>
      </c>
      <c r="AG1841" s="9">
        <f>DAY(O1841)</f>
        <v>0</v>
      </c>
      <c r="AH1841" s="9">
        <f>IFERROR((I1841-K1841)*24*60,0)</f>
        <v>0</v>
      </c>
      <c r="AI1841" s="9">
        <f t="shared" si="37"/>
        <v>0</v>
      </c>
      <c r="AJ1841" s="9">
        <f>C1841</f>
        <v>0</v>
      </c>
      <c r="AK1841" s="9">
        <f>IF(P1841="completed",((V1841-K1841)*24*60),0)</f>
        <v>0</v>
      </c>
      <c r="AL1841" s="9">
        <f>IF(P1841="completed",((U1841-K1841)*24*60),0)</f>
        <v>0</v>
      </c>
      <c r="AM1841" s="9" t="str">
        <f t="shared" si="38"/>
        <v>OTP Breached</v>
      </c>
      <c r="AN1841" s="9" t="str">
        <f t="shared" si="39"/>
        <v>OTP Achieved</v>
      </c>
    </row>
    <row r="1842" spans="9:40" ht="15.75" customHeight="1">
      <c r="I1842" s="28"/>
      <c r="AD1842" s="9" t="str">
        <f t="shared" si="35"/>
        <v>Actual</v>
      </c>
      <c r="AE1842" s="9" t="str">
        <f t="shared" si="36"/>
        <v/>
      </c>
      <c r="AF1842" s="9">
        <f>HOUR(O1842)</f>
        <v>0</v>
      </c>
      <c r="AG1842" s="9">
        <f>DAY(O1842)</f>
        <v>0</v>
      </c>
      <c r="AH1842" s="9">
        <f>IFERROR((I1842-K1842)*24*60,0)</f>
        <v>0</v>
      </c>
      <c r="AI1842" s="9">
        <f t="shared" si="37"/>
        <v>0</v>
      </c>
      <c r="AJ1842" s="9">
        <f>C1842</f>
        <v>0</v>
      </c>
      <c r="AK1842" s="9">
        <f>IF(P1842="completed",((V1842-K1842)*24*60),0)</f>
        <v>0</v>
      </c>
      <c r="AL1842" s="9">
        <f>IF(P1842="completed",((U1842-K1842)*24*60),0)</f>
        <v>0</v>
      </c>
      <c r="AM1842" s="9" t="str">
        <f t="shared" si="38"/>
        <v>OTP Breached</v>
      </c>
      <c r="AN1842" s="9" t="str">
        <f t="shared" si="39"/>
        <v>OTP Achieved</v>
      </c>
    </row>
    <row r="1843" spans="9:40" ht="15.75" customHeight="1">
      <c r="I1843" s="28"/>
      <c r="AD1843" s="9" t="str">
        <f t="shared" si="35"/>
        <v>Actual</v>
      </c>
      <c r="AE1843" s="9" t="str">
        <f t="shared" si="36"/>
        <v/>
      </c>
      <c r="AF1843" s="9">
        <f>HOUR(O1843)</f>
        <v>0</v>
      </c>
      <c r="AG1843" s="9">
        <f>DAY(O1843)</f>
        <v>0</v>
      </c>
      <c r="AH1843" s="9">
        <f>IFERROR((I1843-K1843)*24*60,0)</f>
        <v>0</v>
      </c>
      <c r="AI1843" s="9">
        <f t="shared" si="37"/>
        <v>0</v>
      </c>
      <c r="AJ1843" s="9">
        <f>C1843</f>
        <v>0</v>
      </c>
      <c r="AK1843" s="9">
        <f>IF(P1843="completed",((V1843-K1843)*24*60),0)</f>
        <v>0</v>
      </c>
      <c r="AL1843" s="9">
        <f>IF(P1843="completed",((U1843-K1843)*24*60),0)</f>
        <v>0</v>
      </c>
      <c r="AM1843" s="9" t="str">
        <f t="shared" si="38"/>
        <v>OTP Breached</v>
      </c>
      <c r="AN1843" s="9" t="str">
        <f t="shared" si="39"/>
        <v>OTP Achieved</v>
      </c>
    </row>
    <row r="1844" spans="9:40" ht="15.75" customHeight="1">
      <c r="I1844" s="28"/>
      <c r="AD1844" s="9" t="str">
        <f t="shared" si="35"/>
        <v>Actual</v>
      </c>
      <c r="AE1844" s="9" t="str">
        <f t="shared" si="36"/>
        <v/>
      </c>
      <c r="AF1844" s="9">
        <f>HOUR(O1844)</f>
        <v>0</v>
      </c>
      <c r="AG1844" s="9">
        <f>DAY(O1844)</f>
        <v>0</v>
      </c>
      <c r="AH1844" s="9">
        <f>IFERROR((I1844-K1844)*24*60,0)</f>
        <v>0</v>
      </c>
      <c r="AI1844" s="9">
        <f t="shared" si="37"/>
        <v>0</v>
      </c>
      <c r="AJ1844" s="9">
        <f>C1844</f>
        <v>0</v>
      </c>
      <c r="AK1844" s="9">
        <f>IF(P1844="completed",((V1844-K1844)*24*60),0)</f>
        <v>0</v>
      </c>
      <c r="AL1844" s="9">
        <f>IF(P1844="completed",((U1844-K1844)*24*60),0)</f>
        <v>0</v>
      </c>
      <c r="AM1844" s="9" t="str">
        <f t="shared" si="38"/>
        <v>OTP Breached</v>
      </c>
      <c r="AN1844" s="9" t="str">
        <f t="shared" si="39"/>
        <v>OTP Achieved</v>
      </c>
    </row>
    <row r="1845" spans="9:40" ht="15.75" customHeight="1">
      <c r="I1845" s="28"/>
      <c r="AD1845" s="9" t="str">
        <f t="shared" si="35"/>
        <v>Actual</v>
      </c>
      <c r="AE1845" s="9" t="str">
        <f t="shared" si="36"/>
        <v/>
      </c>
      <c r="AF1845" s="9">
        <f>HOUR(O1845)</f>
        <v>0</v>
      </c>
      <c r="AG1845" s="9">
        <f>DAY(O1845)</f>
        <v>0</v>
      </c>
      <c r="AH1845" s="9">
        <f>IFERROR((I1845-K1845)*24*60,0)</f>
        <v>0</v>
      </c>
      <c r="AI1845" s="9">
        <f t="shared" si="37"/>
        <v>0</v>
      </c>
      <c r="AJ1845" s="9">
        <f>C1845</f>
        <v>0</v>
      </c>
      <c r="AK1845" s="9">
        <f>IF(P1845="completed",((V1845-K1845)*24*60),0)</f>
        <v>0</v>
      </c>
      <c r="AL1845" s="9">
        <f>IF(P1845="completed",((U1845-K1845)*24*60),0)</f>
        <v>0</v>
      </c>
      <c r="AM1845" s="9" t="str">
        <f t="shared" si="38"/>
        <v>OTP Breached</v>
      </c>
      <c r="AN1845" s="9" t="str">
        <f t="shared" si="39"/>
        <v>OTP Achieved</v>
      </c>
    </row>
    <row r="1846" spans="9:40" ht="15.75" customHeight="1">
      <c r="I1846" s="28"/>
      <c r="AD1846" s="9" t="str">
        <f t="shared" si="35"/>
        <v>Actual</v>
      </c>
      <c r="AE1846" s="9" t="str">
        <f t="shared" si="36"/>
        <v/>
      </c>
      <c r="AF1846" s="9">
        <f>HOUR(O1846)</f>
        <v>0</v>
      </c>
      <c r="AG1846" s="9">
        <f>DAY(O1846)</f>
        <v>0</v>
      </c>
      <c r="AH1846" s="9">
        <f>IFERROR((I1846-K1846)*24*60,0)</f>
        <v>0</v>
      </c>
      <c r="AI1846" s="9">
        <f t="shared" si="37"/>
        <v>0</v>
      </c>
      <c r="AJ1846" s="9">
        <f>C1846</f>
        <v>0</v>
      </c>
      <c r="AK1846" s="9">
        <f>IF(P1846="completed",((V1846-K1846)*24*60),0)</f>
        <v>0</v>
      </c>
      <c r="AL1846" s="9">
        <f>IF(P1846="completed",((U1846-K1846)*24*60),0)</f>
        <v>0</v>
      </c>
      <c r="AM1846" s="9" t="str">
        <f t="shared" si="38"/>
        <v>OTP Breached</v>
      </c>
      <c r="AN1846" s="9" t="str">
        <f t="shared" si="39"/>
        <v>OTP Achieved</v>
      </c>
    </row>
    <row r="1847" spans="9:40" ht="15.75" customHeight="1">
      <c r="I1847" s="28"/>
      <c r="AD1847" s="9" t="str">
        <f t="shared" si="35"/>
        <v>Actual</v>
      </c>
      <c r="AE1847" s="9" t="str">
        <f t="shared" si="36"/>
        <v/>
      </c>
      <c r="AF1847" s="9">
        <f>HOUR(O1847)</f>
        <v>0</v>
      </c>
      <c r="AG1847" s="9">
        <f>DAY(O1847)</f>
        <v>0</v>
      </c>
      <c r="AH1847" s="9">
        <f>IFERROR((I1847-K1847)*24*60,0)</f>
        <v>0</v>
      </c>
      <c r="AI1847" s="9">
        <f t="shared" si="37"/>
        <v>0</v>
      </c>
      <c r="AJ1847" s="9">
        <f>C1847</f>
        <v>0</v>
      </c>
      <c r="AK1847" s="9">
        <f>IF(P1847="completed",((V1847-K1847)*24*60),0)</f>
        <v>0</v>
      </c>
      <c r="AL1847" s="9">
        <f>IF(P1847="completed",((U1847-K1847)*24*60),0)</f>
        <v>0</v>
      </c>
      <c r="AM1847" s="9" t="str">
        <f t="shared" si="38"/>
        <v>OTP Breached</v>
      </c>
      <c r="AN1847" s="9" t="str">
        <f t="shared" si="39"/>
        <v>OTP Achieved</v>
      </c>
    </row>
    <row r="1848" spans="9:40" ht="15.75" customHeight="1">
      <c r="I1848" s="28"/>
      <c r="AD1848" s="9" t="str">
        <f t="shared" si="35"/>
        <v>Actual</v>
      </c>
      <c r="AE1848" s="9" t="str">
        <f t="shared" si="36"/>
        <v/>
      </c>
      <c r="AF1848" s="9">
        <f>HOUR(O1848)</f>
        <v>0</v>
      </c>
      <c r="AG1848" s="9">
        <f>DAY(O1848)</f>
        <v>0</v>
      </c>
      <c r="AH1848" s="9">
        <f>IFERROR((I1848-K1848)*24*60,0)</f>
        <v>0</v>
      </c>
      <c r="AI1848" s="9">
        <f t="shared" si="37"/>
        <v>0</v>
      </c>
      <c r="AJ1848" s="9">
        <f>C1848</f>
        <v>0</v>
      </c>
      <c r="AK1848" s="9">
        <f>IF(P1848="completed",((V1848-K1848)*24*60),0)</f>
        <v>0</v>
      </c>
      <c r="AL1848" s="9">
        <f>IF(P1848="completed",((U1848-K1848)*24*60),0)</f>
        <v>0</v>
      </c>
      <c r="AM1848" s="9" t="str">
        <f t="shared" si="38"/>
        <v>OTP Breached</v>
      </c>
      <c r="AN1848" s="9" t="str">
        <f t="shared" si="39"/>
        <v>OTP Achieved</v>
      </c>
    </row>
    <row r="1849" spans="9:40" ht="15.75" customHeight="1">
      <c r="I1849" s="28"/>
      <c r="AD1849" s="9" t="str">
        <f t="shared" si="35"/>
        <v>Actual</v>
      </c>
      <c r="AE1849" s="9" t="str">
        <f t="shared" si="36"/>
        <v/>
      </c>
      <c r="AF1849" s="9">
        <f>HOUR(O1849)</f>
        <v>0</v>
      </c>
      <c r="AG1849" s="9">
        <f>DAY(O1849)</f>
        <v>0</v>
      </c>
      <c r="AH1849" s="9">
        <f>IFERROR((I1849-K1849)*24*60,0)</f>
        <v>0</v>
      </c>
      <c r="AI1849" s="9">
        <f t="shared" si="37"/>
        <v>0</v>
      </c>
      <c r="AJ1849" s="9">
        <f>C1849</f>
        <v>0</v>
      </c>
      <c r="AK1849" s="9">
        <f>IF(P1849="completed",((V1849-K1849)*24*60),0)</f>
        <v>0</v>
      </c>
      <c r="AL1849" s="9">
        <f>IF(P1849="completed",((U1849-K1849)*24*60),0)</f>
        <v>0</v>
      </c>
      <c r="AM1849" s="9" t="str">
        <f t="shared" si="38"/>
        <v>OTP Breached</v>
      </c>
      <c r="AN1849" s="9" t="str">
        <f t="shared" si="39"/>
        <v>OTP Achieved</v>
      </c>
    </row>
    <row r="1850" spans="9:40" ht="15.75" customHeight="1">
      <c r="I1850" s="28"/>
      <c r="AD1850" s="9" t="str">
        <f t="shared" si="35"/>
        <v>Actual</v>
      </c>
      <c r="AE1850" s="9" t="str">
        <f t="shared" si="36"/>
        <v/>
      </c>
      <c r="AF1850" s="9">
        <f>HOUR(O1850)</f>
        <v>0</v>
      </c>
      <c r="AG1850" s="9">
        <f>DAY(O1850)</f>
        <v>0</v>
      </c>
      <c r="AH1850" s="9">
        <f>IFERROR((I1850-K1850)*24*60,0)</f>
        <v>0</v>
      </c>
      <c r="AI1850" s="9">
        <f t="shared" si="37"/>
        <v>0</v>
      </c>
      <c r="AJ1850" s="9">
        <f>C1850</f>
        <v>0</v>
      </c>
      <c r="AK1850" s="9">
        <f>IF(P1850="completed",((V1850-K1850)*24*60),0)</f>
        <v>0</v>
      </c>
      <c r="AL1850" s="9">
        <f>IF(P1850="completed",((U1850-K1850)*24*60),0)</f>
        <v>0</v>
      </c>
      <c r="AM1850" s="9" t="str">
        <f t="shared" si="38"/>
        <v>OTP Breached</v>
      </c>
      <c r="AN1850" s="9" t="str">
        <f t="shared" si="39"/>
        <v>OTP Achieved</v>
      </c>
    </row>
    <row r="1851" spans="9:40" ht="15.75" customHeight="1">
      <c r="I1851" s="28"/>
      <c r="AD1851" s="9" t="str">
        <f t="shared" si="35"/>
        <v>Actual</v>
      </c>
      <c r="AE1851" s="9" t="str">
        <f t="shared" si="36"/>
        <v/>
      </c>
      <c r="AF1851" s="9">
        <f>HOUR(O1851)</f>
        <v>0</v>
      </c>
      <c r="AG1851" s="9">
        <f>DAY(O1851)</f>
        <v>0</v>
      </c>
      <c r="AH1851" s="9">
        <f>IFERROR((I1851-K1851)*24*60,0)</f>
        <v>0</v>
      </c>
      <c r="AI1851" s="9">
        <f t="shared" si="37"/>
        <v>0</v>
      </c>
      <c r="AJ1851" s="9">
        <f>C1851</f>
        <v>0</v>
      </c>
      <c r="AK1851" s="9">
        <f>IF(P1851="completed",((V1851-K1851)*24*60),0)</f>
        <v>0</v>
      </c>
      <c r="AL1851" s="9">
        <f>IF(P1851="completed",((U1851-K1851)*24*60),0)</f>
        <v>0</v>
      </c>
      <c r="AM1851" s="9" t="str">
        <f t="shared" si="38"/>
        <v>OTP Breached</v>
      </c>
      <c r="AN1851" s="9" t="str">
        <f t="shared" si="39"/>
        <v>OTP Achieved</v>
      </c>
    </row>
    <row r="1852" spans="9:40" ht="15.75" customHeight="1">
      <c r="I1852" s="28"/>
      <c r="AD1852" s="9" t="str">
        <f t="shared" si="35"/>
        <v>Actual</v>
      </c>
      <c r="AE1852" s="9" t="str">
        <f t="shared" si="36"/>
        <v/>
      </c>
      <c r="AF1852" s="9">
        <f>HOUR(O1852)</f>
        <v>0</v>
      </c>
      <c r="AG1852" s="9">
        <f>DAY(O1852)</f>
        <v>0</v>
      </c>
      <c r="AH1852" s="9">
        <f>IFERROR((I1852-K1852)*24*60,0)</f>
        <v>0</v>
      </c>
      <c r="AI1852" s="9">
        <f t="shared" si="37"/>
        <v>0</v>
      </c>
      <c r="AJ1852" s="9">
        <f>C1852</f>
        <v>0</v>
      </c>
      <c r="AK1852" s="9">
        <f>IF(P1852="completed",((V1852-K1852)*24*60),0)</f>
        <v>0</v>
      </c>
      <c r="AL1852" s="9">
        <f>IF(P1852="completed",((U1852-K1852)*24*60),0)</f>
        <v>0</v>
      </c>
      <c r="AM1852" s="9" t="str">
        <f t="shared" si="38"/>
        <v>OTP Breached</v>
      </c>
      <c r="AN1852" s="9" t="str">
        <f t="shared" si="39"/>
        <v>OTP Achieved</v>
      </c>
    </row>
    <row r="1853" spans="9:40" ht="15.75" customHeight="1">
      <c r="I1853" s="28"/>
      <c r="AD1853" s="9" t="str">
        <f t="shared" si="35"/>
        <v>Actual</v>
      </c>
      <c r="AE1853" s="9" t="str">
        <f t="shared" si="36"/>
        <v/>
      </c>
      <c r="AF1853" s="9">
        <f>HOUR(O1853)</f>
        <v>0</v>
      </c>
      <c r="AG1853" s="9">
        <f>DAY(O1853)</f>
        <v>0</v>
      </c>
      <c r="AH1853" s="9">
        <f>IFERROR((I1853-K1853)*24*60,0)</f>
        <v>0</v>
      </c>
      <c r="AI1853" s="9">
        <f t="shared" si="37"/>
        <v>0</v>
      </c>
      <c r="AJ1853" s="9">
        <f>C1853</f>
        <v>0</v>
      </c>
      <c r="AK1853" s="9">
        <f>IF(P1853="completed",((V1853-K1853)*24*60),0)</f>
        <v>0</v>
      </c>
      <c r="AL1853" s="9">
        <f>IF(P1853="completed",((U1853-K1853)*24*60),0)</f>
        <v>0</v>
      </c>
      <c r="AM1853" s="9" t="str">
        <f t="shared" si="38"/>
        <v>OTP Breached</v>
      </c>
      <c r="AN1853" s="9" t="str">
        <f t="shared" si="39"/>
        <v>OTP Achieved</v>
      </c>
    </row>
    <row r="1854" spans="9:40" ht="15.75" customHeight="1">
      <c r="I1854" s="28"/>
      <c r="AD1854" s="9" t="str">
        <f t="shared" si="35"/>
        <v>Actual</v>
      </c>
      <c r="AE1854" s="9" t="str">
        <f t="shared" si="36"/>
        <v/>
      </c>
      <c r="AF1854" s="9">
        <f>HOUR(O1854)</f>
        <v>0</v>
      </c>
      <c r="AG1854" s="9">
        <f>DAY(O1854)</f>
        <v>0</v>
      </c>
      <c r="AH1854" s="9">
        <f>IFERROR((I1854-K1854)*24*60,0)</f>
        <v>0</v>
      </c>
      <c r="AI1854" s="9">
        <f t="shared" si="37"/>
        <v>0</v>
      </c>
      <c r="AJ1854" s="9">
        <f>C1854</f>
        <v>0</v>
      </c>
      <c r="AK1854" s="9">
        <f>IF(P1854="completed",((V1854-K1854)*24*60),0)</f>
        <v>0</v>
      </c>
      <c r="AL1854" s="9">
        <f>IF(P1854="completed",((U1854-K1854)*24*60),0)</f>
        <v>0</v>
      </c>
      <c r="AM1854" s="9" t="str">
        <f t="shared" si="38"/>
        <v>OTP Breached</v>
      </c>
      <c r="AN1854" s="9" t="str">
        <f t="shared" si="39"/>
        <v>OTP Achieved</v>
      </c>
    </row>
    <row r="1855" spans="9:40" ht="15.75" customHeight="1">
      <c r="I1855" s="28"/>
      <c r="AD1855" s="9" t="str">
        <f t="shared" si="35"/>
        <v>Actual</v>
      </c>
      <c r="AE1855" s="9" t="str">
        <f t="shared" si="36"/>
        <v/>
      </c>
      <c r="AF1855" s="9">
        <f>HOUR(O1855)</f>
        <v>0</v>
      </c>
      <c r="AG1855" s="9">
        <f>DAY(O1855)</f>
        <v>0</v>
      </c>
      <c r="AH1855" s="9">
        <f>IFERROR((I1855-K1855)*24*60,0)</f>
        <v>0</v>
      </c>
      <c r="AI1855" s="9">
        <f t="shared" si="37"/>
        <v>0</v>
      </c>
      <c r="AJ1855" s="9">
        <f>C1855</f>
        <v>0</v>
      </c>
      <c r="AK1855" s="9">
        <f>IF(P1855="completed",((V1855-K1855)*24*60),0)</f>
        <v>0</v>
      </c>
      <c r="AL1855" s="9">
        <f>IF(P1855="completed",((U1855-K1855)*24*60),0)</f>
        <v>0</v>
      </c>
      <c r="AM1855" s="9" t="str">
        <f t="shared" si="38"/>
        <v>OTP Breached</v>
      </c>
      <c r="AN1855" s="9" t="str">
        <f t="shared" si="39"/>
        <v>OTP Achieved</v>
      </c>
    </row>
    <row r="1856" spans="9:40" ht="15.75" customHeight="1">
      <c r="I1856" s="28"/>
      <c r="AD1856" s="9" t="str">
        <f t="shared" si="35"/>
        <v>Actual</v>
      </c>
      <c r="AE1856" s="9" t="str">
        <f t="shared" si="36"/>
        <v/>
      </c>
      <c r="AF1856" s="9">
        <f>HOUR(O1856)</f>
        <v>0</v>
      </c>
      <c r="AG1856" s="9">
        <f>DAY(O1856)</f>
        <v>0</v>
      </c>
      <c r="AH1856" s="9">
        <f>IFERROR((I1856-K1856)*24*60,0)</f>
        <v>0</v>
      </c>
      <c r="AI1856" s="9">
        <f t="shared" si="37"/>
        <v>0</v>
      </c>
      <c r="AJ1856" s="9">
        <f>C1856</f>
        <v>0</v>
      </c>
      <c r="AK1856" s="9">
        <f>IF(P1856="completed",((V1856-K1856)*24*60),0)</f>
        <v>0</v>
      </c>
      <c r="AL1856" s="9">
        <f>IF(P1856="completed",((U1856-K1856)*24*60),0)</f>
        <v>0</v>
      </c>
      <c r="AM1856" s="9" t="str">
        <f t="shared" si="38"/>
        <v>OTP Breached</v>
      </c>
      <c r="AN1856" s="9" t="str">
        <f t="shared" si="39"/>
        <v>OTP Achieved</v>
      </c>
    </row>
    <row r="1857" spans="9:40" ht="15.75" customHeight="1">
      <c r="I1857" s="28"/>
      <c r="AD1857" s="9" t="str">
        <f t="shared" si="35"/>
        <v>Actual</v>
      </c>
      <c r="AE1857" s="9" t="str">
        <f t="shared" si="36"/>
        <v/>
      </c>
      <c r="AF1857" s="9">
        <f>HOUR(O1857)</f>
        <v>0</v>
      </c>
      <c r="AG1857" s="9">
        <f>DAY(O1857)</f>
        <v>0</v>
      </c>
      <c r="AH1857" s="9">
        <f>IFERROR((I1857-K1857)*24*60,0)</f>
        <v>0</v>
      </c>
      <c r="AI1857" s="9">
        <f t="shared" si="37"/>
        <v>0</v>
      </c>
      <c r="AJ1857" s="9">
        <f>C1857</f>
        <v>0</v>
      </c>
      <c r="AK1857" s="9">
        <f>IF(P1857="completed",((V1857-K1857)*24*60),0)</f>
        <v>0</v>
      </c>
      <c r="AL1857" s="9">
        <f>IF(P1857="completed",((U1857-K1857)*24*60),0)</f>
        <v>0</v>
      </c>
      <c r="AM1857" s="9" t="str">
        <f t="shared" si="38"/>
        <v>OTP Breached</v>
      </c>
      <c r="AN1857" s="9" t="str">
        <f t="shared" si="39"/>
        <v>OTP Achieved</v>
      </c>
    </row>
    <row r="1858" spans="9:40" ht="15.75" customHeight="1">
      <c r="I1858" s="28"/>
      <c r="AD1858" s="9" t="str">
        <f t="shared" si="35"/>
        <v>Actual</v>
      </c>
      <c r="AE1858" s="9" t="str">
        <f t="shared" si="36"/>
        <v/>
      </c>
      <c r="AF1858" s="9">
        <f>HOUR(O1858)</f>
        <v>0</v>
      </c>
      <c r="AG1858" s="9">
        <f>DAY(O1858)</f>
        <v>0</v>
      </c>
      <c r="AH1858" s="9">
        <f>IFERROR((I1858-K1858)*24*60,0)</f>
        <v>0</v>
      </c>
      <c r="AI1858" s="9">
        <f t="shared" si="37"/>
        <v>0</v>
      </c>
      <c r="AJ1858" s="9">
        <f>C1858</f>
        <v>0</v>
      </c>
      <c r="AK1858" s="9">
        <f>IF(P1858="completed",((V1858-K1858)*24*60),0)</f>
        <v>0</v>
      </c>
      <c r="AL1858" s="9">
        <f>IF(P1858="completed",((U1858-K1858)*24*60),0)</f>
        <v>0</v>
      </c>
      <c r="AM1858" s="9" t="str">
        <f t="shared" si="38"/>
        <v>OTP Breached</v>
      </c>
      <c r="AN1858" s="9" t="str">
        <f t="shared" si="39"/>
        <v>OTP Achieved</v>
      </c>
    </row>
    <row r="1859" spans="9:40" ht="15.75" customHeight="1">
      <c r="I1859" s="28"/>
      <c r="AD1859" s="9" t="str">
        <f t="shared" si="35"/>
        <v>Actual</v>
      </c>
      <c r="AE1859" s="9" t="str">
        <f t="shared" si="36"/>
        <v/>
      </c>
      <c r="AF1859" s="9">
        <f>HOUR(O1859)</f>
        <v>0</v>
      </c>
      <c r="AG1859" s="9">
        <f>DAY(O1859)</f>
        <v>0</v>
      </c>
      <c r="AH1859" s="9">
        <f>IFERROR((I1859-K1859)*24*60,0)</f>
        <v>0</v>
      </c>
      <c r="AI1859" s="9">
        <f t="shared" si="37"/>
        <v>0</v>
      </c>
      <c r="AJ1859" s="9">
        <f>C1859</f>
        <v>0</v>
      </c>
      <c r="AK1859" s="9">
        <f>IF(P1859="completed",((V1859-K1859)*24*60),0)</f>
        <v>0</v>
      </c>
      <c r="AL1859" s="9">
        <f>IF(P1859="completed",((U1859-K1859)*24*60),0)</f>
        <v>0</v>
      </c>
      <c r="AM1859" s="9" t="str">
        <f t="shared" si="38"/>
        <v>OTP Breached</v>
      </c>
      <c r="AN1859" s="9" t="str">
        <f t="shared" si="39"/>
        <v>OTP Achieved</v>
      </c>
    </row>
    <row r="1860" spans="9:40" ht="15.75" customHeight="1">
      <c r="I1860" s="28"/>
      <c r="AD1860" s="9" t="str">
        <f t="shared" si="35"/>
        <v>Actual</v>
      </c>
      <c r="AE1860" s="9" t="str">
        <f t="shared" si="36"/>
        <v/>
      </c>
      <c r="AF1860" s="9">
        <f>HOUR(O1860)</f>
        <v>0</v>
      </c>
      <c r="AG1860" s="9">
        <f>DAY(O1860)</f>
        <v>0</v>
      </c>
      <c r="AH1860" s="9">
        <f>IFERROR((I1860-K1860)*24*60,0)</f>
        <v>0</v>
      </c>
      <c r="AI1860" s="9">
        <f t="shared" si="37"/>
        <v>0</v>
      </c>
      <c r="AJ1860" s="9">
        <f>C1860</f>
        <v>0</v>
      </c>
      <c r="AK1860" s="9">
        <f>IF(P1860="completed",((V1860-K1860)*24*60),0)</f>
        <v>0</v>
      </c>
      <c r="AL1860" s="9">
        <f>IF(P1860="completed",((U1860-K1860)*24*60),0)</f>
        <v>0</v>
      </c>
      <c r="AM1860" s="9" t="str">
        <f t="shared" si="38"/>
        <v>OTP Breached</v>
      </c>
      <c r="AN1860" s="9" t="str">
        <f t="shared" si="39"/>
        <v>OTP Achieved</v>
      </c>
    </row>
    <row r="1861" spans="9:40" ht="15.75" customHeight="1">
      <c r="I1861" s="28"/>
      <c r="AD1861" s="9" t="str">
        <f t="shared" si="35"/>
        <v>Actual</v>
      </c>
      <c r="AE1861" s="9" t="str">
        <f t="shared" si="36"/>
        <v/>
      </c>
      <c r="AF1861" s="9">
        <f>HOUR(O1861)</f>
        <v>0</v>
      </c>
      <c r="AG1861" s="9">
        <f>DAY(O1861)</f>
        <v>0</v>
      </c>
      <c r="AH1861" s="9">
        <f>IFERROR((I1861-K1861)*24*60,0)</f>
        <v>0</v>
      </c>
      <c r="AI1861" s="9">
        <f t="shared" si="37"/>
        <v>0</v>
      </c>
      <c r="AJ1861" s="9">
        <f>C1861</f>
        <v>0</v>
      </c>
      <c r="AK1861" s="9">
        <f>IF(P1861="completed",((V1861-K1861)*24*60),0)</f>
        <v>0</v>
      </c>
      <c r="AL1861" s="9">
        <f>IF(P1861="completed",((U1861-K1861)*24*60),0)</f>
        <v>0</v>
      </c>
      <c r="AM1861" s="9" t="str">
        <f t="shared" si="38"/>
        <v>OTP Breached</v>
      </c>
      <c r="AN1861" s="9" t="str">
        <f t="shared" si="39"/>
        <v>OTP Achieved</v>
      </c>
    </row>
    <row r="1862" spans="9:40" ht="15.75" customHeight="1">
      <c r="I1862" s="28"/>
      <c r="AD1862" s="9" t="str">
        <f t="shared" si="35"/>
        <v>Actual</v>
      </c>
      <c r="AE1862" s="9" t="str">
        <f t="shared" si="36"/>
        <v/>
      </c>
      <c r="AF1862" s="9">
        <f>HOUR(O1862)</f>
        <v>0</v>
      </c>
      <c r="AG1862" s="9">
        <f>DAY(O1862)</f>
        <v>0</v>
      </c>
      <c r="AH1862" s="9">
        <f>IFERROR((I1862-K1862)*24*60,0)</f>
        <v>0</v>
      </c>
      <c r="AI1862" s="9">
        <f t="shared" si="37"/>
        <v>0</v>
      </c>
      <c r="AJ1862" s="9">
        <f>C1862</f>
        <v>0</v>
      </c>
      <c r="AK1862" s="9">
        <f>IF(P1862="completed",((V1862-K1862)*24*60),0)</f>
        <v>0</v>
      </c>
      <c r="AL1862" s="9">
        <f>IF(P1862="completed",((U1862-K1862)*24*60),0)</f>
        <v>0</v>
      </c>
      <c r="AM1862" s="9" t="str">
        <f t="shared" si="38"/>
        <v>OTP Breached</v>
      </c>
      <c r="AN1862" s="9" t="str">
        <f t="shared" si="39"/>
        <v>OTP Achieved</v>
      </c>
    </row>
    <row r="1863" spans="9:40" ht="15.75" customHeight="1">
      <c r="I1863" s="28"/>
      <c r="AD1863" s="9" t="str">
        <f t="shared" si="35"/>
        <v>Actual</v>
      </c>
      <c r="AE1863" s="9" t="str">
        <f t="shared" si="36"/>
        <v/>
      </c>
      <c r="AF1863" s="9">
        <f>HOUR(O1863)</f>
        <v>0</v>
      </c>
      <c r="AG1863" s="9">
        <f>DAY(O1863)</f>
        <v>0</v>
      </c>
      <c r="AH1863" s="9">
        <f>IFERROR((I1863-K1863)*24*60,0)</f>
        <v>0</v>
      </c>
      <c r="AI1863" s="9">
        <f t="shared" si="37"/>
        <v>0</v>
      </c>
      <c r="AJ1863" s="9">
        <f>C1863</f>
        <v>0</v>
      </c>
      <c r="AK1863" s="9">
        <f>IF(P1863="completed",((V1863-K1863)*24*60),0)</f>
        <v>0</v>
      </c>
      <c r="AL1863" s="9">
        <f>IF(P1863="completed",((U1863-K1863)*24*60),0)</f>
        <v>0</v>
      </c>
      <c r="AM1863" s="9" t="str">
        <f t="shared" si="38"/>
        <v>OTP Breached</v>
      </c>
      <c r="AN1863" s="9" t="str">
        <f t="shared" si="39"/>
        <v>OTP Achieved</v>
      </c>
    </row>
    <row r="1864" spans="9:40" ht="15.75" customHeight="1">
      <c r="I1864" s="28"/>
      <c r="AD1864" s="9" t="str">
        <f t="shared" si="35"/>
        <v>Actual</v>
      </c>
      <c r="AE1864" s="9" t="str">
        <f t="shared" si="36"/>
        <v/>
      </c>
      <c r="AF1864" s="9">
        <f>HOUR(O1864)</f>
        <v>0</v>
      </c>
      <c r="AG1864" s="9">
        <f>DAY(O1864)</f>
        <v>0</v>
      </c>
      <c r="AH1864" s="9">
        <f>IFERROR((I1864-K1864)*24*60,0)</f>
        <v>0</v>
      </c>
      <c r="AI1864" s="9">
        <f t="shared" si="37"/>
        <v>0</v>
      </c>
      <c r="AJ1864" s="9">
        <f>C1864</f>
        <v>0</v>
      </c>
      <c r="AK1864" s="9">
        <f>IF(P1864="completed",((V1864-K1864)*24*60),0)</f>
        <v>0</v>
      </c>
      <c r="AL1864" s="9">
        <f>IF(P1864="completed",((U1864-K1864)*24*60),0)</f>
        <v>0</v>
      </c>
      <c r="AM1864" s="9" t="str">
        <f t="shared" si="38"/>
        <v>OTP Breached</v>
      </c>
      <c r="AN1864" s="9" t="str">
        <f t="shared" si="39"/>
        <v>OTP Achieved</v>
      </c>
    </row>
    <row r="1865" spans="9:40" ht="15.75" customHeight="1">
      <c r="I1865" s="28"/>
      <c r="AD1865" s="9" t="str">
        <f t="shared" si="35"/>
        <v>Actual</v>
      </c>
      <c r="AE1865" s="9" t="str">
        <f t="shared" si="36"/>
        <v/>
      </c>
      <c r="AF1865" s="9">
        <f>HOUR(O1865)</f>
        <v>0</v>
      </c>
      <c r="AG1865" s="9">
        <f>DAY(O1865)</f>
        <v>0</v>
      </c>
      <c r="AH1865" s="9">
        <f>IFERROR((I1865-K1865)*24*60,0)</f>
        <v>0</v>
      </c>
      <c r="AI1865" s="9">
        <f t="shared" si="37"/>
        <v>0</v>
      </c>
      <c r="AJ1865" s="9">
        <f>C1865</f>
        <v>0</v>
      </c>
      <c r="AK1865" s="9">
        <f>IF(P1865="completed",((V1865-K1865)*24*60),0)</f>
        <v>0</v>
      </c>
      <c r="AL1865" s="9">
        <f>IF(P1865="completed",((U1865-K1865)*24*60),0)</f>
        <v>0</v>
      </c>
      <c r="AM1865" s="9" t="str">
        <f t="shared" si="38"/>
        <v>OTP Breached</v>
      </c>
      <c r="AN1865" s="9" t="str">
        <f t="shared" si="39"/>
        <v>OTP Achieved</v>
      </c>
    </row>
    <row r="1866" spans="9:40" ht="15.75" customHeight="1">
      <c r="I1866" s="28"/>
      <c r="AD1866" s="9" t="str">
        <f t="shared" si="35"/>
        <v>Actual</v>
      </c>
      <c r="AE1866" s="9" t="str">
        <f t="shared" si="36"/>
        <v/>
      </c>
      <c r="AF1866" s="9">
        <f>HOUR(O1866)</f>
        <v>0</v>
      </c>
      <c r="AG1866" s="9">
        <f>DAY(O1866)</f>
        <v>0</v>
      </c>
      <c r="AH1866" s="9">
        <f>IFERROR((I1866-K1866)*24*60,0)</f>
        <v>0</v>
      </c>
      <c r="AI1866" s="9">
        <f t="shared" si="37"/>
        <v>0</v>
      </c>
      <c r="AJ1866" s="9">
        <f>C1866</f>
        <v>0</v>
      </c>
      <c r="AK1866" s="9">
        <f>IF(P1866="completed",((V1866-K1866)*24*60),0)</f>
        <v>0</v>
      </c>
      <c r="AL1866" s="9">
        <f>IF(P1866="completed",((U1866-K1866)*24*60),0)</f>
        <v>0</v>
      </c>
      <c r="AM1866" s="9" t="str">
        <f t="shared" si="38"/>
        <v>OTP Breached</v>
      </c>
      <c r="AN1866" s="9" t="str">
        <f t="shared" si="39"/>
        <v>OTP Achieved</v>
      </c>
    </row>
    <row r="1867" spans="9:40" ht="15.75" customHeight="1">
      <c r="I1867" s="28"/>
      <c r="AD1867" s="9" t="str">
        <f t="shared" si="35"/>
        <v>Actual</v>
      </c>
      <c r="AE1867" s="9" t="str">
        <f t="shared" si="36"/>
        <v/>
      </c>
      <c r="AF1867" s="9">
        <f>HOUR(O1867)</f>
        <v>0</v>
      </c>
      <c r="AG1867" s="9">
        <f>DAY(O1867)</f>
        <v>0</v>
      </c>
      <c r="AH1867" s="9">
        <f>IFERROR((I1867-K1867)*24*60,0)</f>
        <v>0</v>
      </c>
      <c r="AI1867" s="9">
        <f t="shared" si="37"/>
        <v>0</v>
      </c>
      <c r="AJ1867" s="9">
        <f>C1867</f>
        <v>0</v>
      </c>
      <c r="AK1867" s="9">
        <f>IF(P1867="completed",((V1867-K1867)*24*60),0)</f>
        <v>0</v>
      </c>
      <c r="AL1867" s="9">
        <f>IF(P1867="completed",((U1867-K1867)*24*60),0)</f>
        <v>0</v>
      </c>
      <c r="AM1867" s="9" t="str">
        <f t="shared" si="38"/>
        <v>OTP Breached</v>
      </c>
      <c r="AN1867" s="9" t="str">
        <f t="shared" si="39"/>
        <v>OTP Achieved</v>
      </c>
    </row>
    <row r="1868" spans="9:40" ht="15.75" customHeight="1">
      <c r="I1868" s="28"/>
      <c r="AD1868" s="9" t="str">
        <f t="shared" si="35"/>
        <v>Actual</v>
      </c>
      <c r="AE1868" s="9" t="str">
        <f t="shared" si="36"/>
        <v/>
      </c>
      <c r="AF1868" s="9">
        <f>HOUR(O1868)</f>
        <v>0</v>
      </c>
      <c r="AG1868" s="9">
        <f>DAY(O1868)</f>
        <v>0</v>
      </c>
      <c r="AH1868" s="9">
        <f>IFERROR((I1868-K1868)*24*60,0)</f>
        <v>0</v>
      </c>
      <c r="AI1868" s="9">
        <f t="shared" si="37"/>
        <v>0</v>
      </c>
      <c r="AJ1868" s="9">
        <f>C1868</f>
        <v>0</v>
      </c>
      <c r="AK1868" s="9">
        <f>IF(P1868="completed",((V1868-K1868)*24*60),0)</f>
        <v>0</v>
      </c>
      <c r="AL1868" s="9">
        <f>IF(P1868="completed",((U1868-K1868)*24*60),0)</f>
        <v>0</v>
      </c>
      <c r="AM1868" s="9" t="str">
        <f t="shared" si="38"/>
        <v>OTP Breached</v>
      </c>
      <c r="AN1868" s="9" t="str">
        <f t="shared" si="39"/>
        <v>OTP Achieved</v>
      </c>
    </row>
    <row r="1869" spans="9:40" ht="15.75" customHeight="1">
      <c r="I1869" s="28"/>
      <c r="AD1869" s="9" t="str">
        <f t="shared" si="35"/>
        <v>Actual</v>
      </c>
      <c r="AE1869" s="9" t="str">
        <f t="shared" si="36"/>
        <v/>
      </c>
      <c r="AF1869" s="9">
        <f>HOUR(O1869)</f>
        <v>0</v>
      </c>
      <c r="AG1869" s="9">
        <f>DAY(O1869)</f>
        <v>0</v>
      </c>
      <c r="AH1869" s="9">
        <f>IFERROR((I1869-K1869)*24*60,0)</f>
        <v>0</v>
      </c>
      <c r="AI1869" s="9">
        <f t="shared" si="37"/>
        <v>0</v>
      </c>
      <c r="AJ1869" s="9">
        <f>C1869</f>
        <v>0</v>
      </c>
      <c r="AK1869" s="9">
        <f>IF(P1869="completed",((V1869-K1869)*24*60),0)</f>
        <v>0</v>
      </c>
      <c r="AL1869" s="9">
        <f>IF(P1869="completed",((U1869-K1869)*24*60),0)</f>
        <v>0</v>
      </c>
      <c r="AM1869" s="9" t="str">
        <f t="shared" si="38"/>
        <v>OTP Breached</v>
      </c>
      <c r="AN1869" s="9" t="str">
        <f t="shared" si="39"/>
        <v>OTP Achieved</v>
      </c>
    </row>
    <row r="1870" spans="9:40" ht="15.75" customHeight="1">
      <c r="I1870" s="28"/>
      <c r="AD1870" s="9" t="str">
        <f t="shared" si="35"/>
        <v>Actual</v>
      </c>
      <c r="AE1870" s="9" t="str">
        <f t="shared" si="36"/>
        <v/>
      </c>
      <c r="AF1870" s="9">
        <f>HOUR(O1870)</f>
        <v>0</v>
      </c>
      <c r="AG1870" s="9">
        <f>DAY(O1870)</f>
        <v>0</v>
      </c>
      <c r="AH1870" s="9">
        <f>IFERROR((I1870-K1870)*24*60,0)</f>
        <v>0</v>
      </c>
      <c r="AI1870" s="9">
        <f t="shared" si="37"/>
        <v>0</v>
      </c>
      <c r="AJ1870" s="9">
        <f>C1870</f>
        <v>0</v>
      </c>
      <c r="AK1870" s="9">
        <f>IF(P1870="completed",((V1870-K1870)*24*60),0)</f>
        <v>0</v>
      </c>
      <c r="AL1870" s="9">
        <f>IF(P1870="completed",((U1870-K1870)*24*60),0)</f>
        <v>0</v>
      </c>
      <c r="AM1870" s="9" t="str">
        <f t="shared" si="38"/>
        <v>OTP Breached</v>
      </c>
      <c r="AN1870" s="9" t="str">
        <f t="shared" si="39"/>
        <v>OTP Achieved</v>
      </c>
    </row>
    <row r="1871" spans="9:40" ht="15.75" customHeight="1">
      <c r="I1871" s="28"/>
      <c r="AD1871" s="9" t="str">
        <f t="shared" si="35"/>
        <v>Actual</v>
      </c>
      <c r="AE1871" s="9" t="str">
        <f t="shared" si="36"/>
        <v/>
      </c>
      <c r="AF1871" s="9">
        <f>HOUR(O1871)</f>
        <v>0</v>
      </c>
      <c r="AG1871" s="9">
        <f>DAY(O1871)</f>
        <v>0</v>
      </c>
      <c r="AH1871" s="9">
        <f>IFERROR((I1871-K1871)*24*60,0)</f>
        <v>0</v>
      </c>
      <c r="AI1871" s="9">
        <f t="shared" si="37"/>
        <v>0</v>
      </c>
      <c r="AJ1871" s="9">
        <f>C1871</f>
        <v>0</v>
      </c>
      <c r="AK1871" s="9">
        <f>IF(P1871="completed",((V1871-K1871)*24*60),0)</f>
        <v>0</v>
      </c>
      <c r="AL1871" s="9">
        <f>IF(P1871="completed",((U1871-K1871)*24*60),0)</f>
        <v>0</v>
      </c>
      <c r="AM1871" s="9" t="str">
        <f t="shared" si="38"/>
        <v>OTP Breached</v>
      </c>
      <c r="AN1871" s="9" t="str">
        <f t="shared" si="39"/>
        <v>OTP Achieved</v>
      </c>
    </row>
    <row r="1872" spans="9:40" ht="15.75" customHeight="1">
      <c r="I1872" s="28"/>
      <c r="AD1872" s="9" t="str">
        <f t="shared" si="35"/>
        <v>Actual</v>
      </c>
      <c r="AE1872" s="9" t="str">
        <f t="shared" si="36"/>
        <v/>
      </c>
      <c r="AF1872" s="9">
        <f>HOUR(O1872)</f>
        <v>0</v>
      </c>
      <c r="AG1872" s="9">
        <f>DAY(O1872)</f>
        <v>0</v>
      </c>
      <c r="AH1872" s="9">
        <f>IFERROR((I1872-K1872)*24*60,0)</f>
        <v>0</v>
      </c>
      <c r="AI1872" s="9">
        <f t="shared" si="37"/>
        <v>0</v>
      </c>
      <c r="AJ1872" s="9">
        <f>C1872</f>
        <v>0</v>
      </c>
      <c r="AK1872" s="9">
        <f>IF(P1872="completed",((V1872-K1872)*24*60),0)</f>
        <v>0</v>
      </c>
      <c r="AL1872" s="9">
        <f>IF(P1872="completed",((U1872-K1872)*24*60),0)</f>
        <v>0</v>
      </c>
      <c r="AM1872" s="9" t="str">
        <f t="shared" si="38"/>
        <v>OTP Breached</v>
      </c>
      <c r="AN1872" s="9" t="str">
        <f t="shared" si="39"/>
        <v>OTP Achieved</v>
      </c>
    </row>
    <row r="1873" spans="9:40" ht="15.75" customHeight="1">
      <c r="I1873" s="28"/>
      <c r="AD1873" s="9" t="str">
        <f t="shared" si="35"/>
        <v>Actual</v>
      </c>
      <c r="AE1873" s="9" t="str">
        <f t="shared" si="36"/>
        <v/>
      </c>
      <c r="AF1873" s="9">
        <f>HOUR(O1873)</f>
        <v>0</v>
      </c>
      <c r="AG1873" s="9">
        <f>DAY(O1873)</f>
        <v>0</v>
      </c>
      <c r="AH1873" s="9">
        <f>IFERROR((I1873-K1873)*24*60,0)</f>
        <v>0</v>
      </c>
      <c r="AI1873" s="9">
        <f t="shared" si="37"/>
        <v>0</v>
      </c>
      <c r="AJ1873" s="9">
        <f>C1873</f>
        <v>0</v>
      </c>
      <c r="AK1873" s="9">
        <f>IF(P1873="completed",((V1873-K1873)*24*60),0)</f>
        <v>0</v>
      </c>
      <c r="AL1873" s="9">
        <f>IF(P1873="completed",((U1873-K1873)*24*60),0)</f>
        <v>0</v>
      </c>
      <c r="AM1873" s="9" t="str">
        <f t="shared" si="38"/>
        <v>OTP Breached</v>
      </c>
      <c r="AN1873" s="9" t="str">
        <f t="shared" si="39"/>
        <v>OTP Achieved</v>
      </c>
    </row>
    <row r="1874" spans="9:40" ht="15.75" customHeight="1">
      <c r="I1874" s="28"/>
      <c r="AD1874" s="9" t="str">
        <f t="shared" si="35"/>
        <v>Actual</v>
      </c>
      <c r="AE1874" s="9" t="str">
        <f t="shared" si="36"/>
        <v/>
      </c>
      <c r="AF1874" s="9">
        <f>HOUR(O1874)</f>
        <v>0</v>
      </c>
      <c r="AG1874" s="9">
        <f>DAY(O1874)</f>
        <v>0</v>
      </c>
      <c r="AH1874" s="9">
        <f>IFERROR((I1874-K1874)*24*60,0)</f>
        <v>0</v>
      </c>
      <c r="AI1874" s="9">
        <f t="shared" si="37"/>
        <v>0</v>
      </c>
      <c r="AJ1874" s="9">
        <f>C1874</f>
        <v>0</v>
      </c>
      <c r="AK1874" s="9">
        <f>IF(P1874="completed",((V1874-K1874)*24*60),0)</f>
        <v>0</v>
      </c>
      <c r="AL1874" s="9">
        <f>IF(P1874="completed",((U1874-K1874)*24*60),0)</f>
        <v>0</v>
      </c>
      <c r="AM1874" s="9" t="str">
        <f t="shared" si="38"/>
        <v>OTP Breached</v>
      </c>
      <c r="AN1874" s="9" t="str">
        <f t="shared" si="39"/>
        <v>OTP Achieved</v>
      </c>
    </row>
    <row r="1875" spans="9:40" ht="15.75" customHeight="1">
      <c r="I1875" s="28"/>
      <c r="AD1875" s="9" t="str">
        <f t="shared" si="35"/>
        <v>Actual</v>
      </c>
      <c r="AE1875" s="9" t="str">
        <f t="shared" si="36"/>
        <v/>
      </c>
      <c r="AF1875" s="9">
        <f>HOUR(O1875)</f>
        <v>0</v>
      </c>
      <c r="AG1875" s="9">
        <f>DAY(O1875)</f>
        <v>0</v>
      </c>
      <c r="AH1875" s="9">
        <f>IFERROR((I1875-K1875)*24*60,0)</f>
        <v>0</v>
      </c>
      <c r="AI1875" s="9">
        <f t="shared" si="37"/>
        <v>0</v>
      </c>
      <c r="AJ1875" s="9">
        <f>C1875</f>
        <v>0</v>
      </c>
      <c r="AK1875" s="9">
        <f>IF(P1875="completed",((V1875-K1875)*24*60),0)</f>
        <v>0</v>
      </c>
      <c r="AL1875" s="9">
        <f>IF(P1875="completed",((U1875-K1875)*24*60),0)</f>
        <v>0</v>
      </c>
      <c r="AM1875" s="9" t="str">
        <f t="shared" si="38"/>
        <v>OTP Breached</v>
      </c>
      <c r="AN1875" s="9" t="str">
        <f t="shared" si="39"/>
        <v>OTP Achieved</v>
      </c>
    </row>
    <row r="1876" spans="9:40" ht="15.75" customHeight="1">
      <c r="I1876" s="28"/>
      <c r="AD1876" s="9" t="str">
        <f t="shared" si="35"/>
        <v>Actual</v>
      </c>
      <c r="AE1876" s="9" t="str">
        <f t="shared" si="36"/>
        <v/>
      </c>
      <c r="AF1876" s="9">
        <f>HOUR(O1876)</f>
        <v>0</v>
      </c>
      <c r="AG1876" s="9">
        <f>DAY(O1876)</f>
        <v>0</v>
      </c>
      <c r="AH1876" s="9">
        <f>IFERROR((I1876-K1876)*24*60,0)</f>
        <v>0</v>
      </c>
      <c r="AI1876" s="9">
        <f t="shared" si="37"/>
        <v>0</v>
      </c>
      <c r="AJ1876" s="9">
        <f>C1876</f>
        <v>0</v>
      </c>
      <c r="AK1876" s="9">
        <f>IF(P1876="completed",((V1876-K1876)*24*60),0)</f>
        <v>0</v>
      </c>
      <c r="AL1876" s="9">
        <f>IF(P1876="completed",((U1876-K1876)*24*60),0)</f>
        <v>0</v>
      </c>
      <c r="AM1876" s="9" t="str">
        <f t="shared" si="38"/>
        <v>OTP Breached</v>
      </c>
      <c r="AN1876" s="9" t="str">
        <f t="shared" si="39"/>
        <v>OTP Achieved</v>
      </c>
    </row>
    <row r="1877" spans="9:40" ht="15.75" customHeight="1">
      <c r="I1877" s="28"/>
      <c r="AD1877" s="9" t="str">
        <f t="shared" si="35"/>
        <v>Actual</v>
      </c>
      <c r="AE1877" s="9" t="str">
        <f t="shared" si="36"/>
        <v/>
      </c>
      <c r="AF1877" s="9">
        <f>HOUR(O1877)</f>
        <v>0</v>
      </c>
      <c r="AG1877" s="9">
        <f>DAY(O1877)</f>
        <v>0</v>
      </c>
      <c r="AH1877" s="9">
        <f>IFERROR((I1877-K1877)*24*60,0)</f>
        <v>0</v>
      </c>
      <c r="AI1877" s="9">
        <f t="shared" si="37"/>
        <v>0</v>
      </c>
      <c r="AJ1877" s="9">
        <f>C1877</f>
        <v>0</v>
      </c>
      <c r="AK1877" s="9">
        <f>IF(P1877="completed",((V1877-K1877)*24*60),0)</f>
        <v>0</v>
      </c>
      <c r="AL1877" s="9">
        <f>IF(P1877="completed",((U1877-K1877)*24*60),0)</f>
        <v>0</v>
      </c>
      <c r="AM1877" s="9" t="str">
        <f t="shared" si="38"/>
        <v>OTP Breached</v>
      </c>
      <c r="AN1877" s="9" t="str">
        <f t="shared" si="39"/>
        <v>OTP Achieved</v>
      </c>
    </row>
    <row r="1878" spans="9:40" ht="15.75" customHeight="1">
      <c r="I1878" s="28"/>
      <c r="AD1878" s="9" t="str">
        <f t="shared" si="35"/>
        <v>Actual</v>
      </c>
      <c r="AE1878" s="9" t="str">
        <f t="shared" si="36"/>
        <v/>
      </c>
      <c r="AF1878" s="9">
        <f>HOUR(O1878)</f>
        <v>0</v>
      </c>
      <c r="AG1878" s="9">
        <f>DAY(O1878)</f>
        <v>0</v>
      </c>
      <c r="AH1878" s="9">
        <f>IFERROR((I1878-K1878)*24*60,0)</f>
        <v>0</v>
      </c>
      <c r="AI1878" s="9">
        <f t="shared" si="37"/>
        <v>0</v>
      </c>
      <c r="AJ1878" s="9">
        <f>C1878</f>
        <v>0</v>
      </c>
      <c r="AK1878" s="9">
        <f>IF(P1878="completed",((V1878-K1878)*24*60),0)</f>
        <v>0</v>
      </c>
      <c r="AL1878" s="9">
        <f>IF(P1878="completed",((U1878-K1878)*24*60),0)</f>
        <v>0</v>
      </c>
      <c r="AM1878" s="9" t="str">
        <f t="shared" si="38"/>
        <v>OTP Breached</v>
      </c>
      <c r="AN1878" s="9" t="str">
        <f t="shared" si="39"/>
        <v>OTP Achieved</v>
      </c>
    </row>
    <row r="1879" spans="9:40" ht="15.75" customHeight="1">
      <c r="I1879" s="28"/>
      <c r="AD1879" s="9" t="str">
        <f t="shared" si="35"/>
        <v>Actual</v>
      </c>
      <c r="AE1879" s="9" t="str">
        <f t="shared" si="36"/>
        <v/>
      </c>
      <c r="AF1879" s="9">
        <f>HOUR(O1879)</f>
        <v>0</v>
      </c>
      <c r="AG1879" s="9">
        <f>DAY(O1879)</f>
        <v>0</v>
      </c>
      <c r="AH1879" s="9">
        <f>IFERROR((I1879-K1879)*24*60,0)</f>
        <v>0</v>
      </c>
      <c r="AI1879" s="9">
        <f t="shared" si="37"/>
        <v>0</v>
      </c>
      <c r="AJ1879" s="9">
        <f>C1879</f>
        <v>0</v>
      </c>
      <c r="AK1879" s="9">
        <f>IF(P1879="completed",((V1879-K1879)*24*60),0)</f>
        <v>0</v>
      </c>
      <c r="AL1879" s="9">
        <f>IF(P1879="completed",((U1879-K1879)*24*60),0)</f>
        <v>0</v>
      </c>
      <c r="AM1879" s="9" t="str">
        <f t="shared" si="38"/>
        <v>OTP Breached</v>
      </c>
      <c r="AN1879" s="9" t="str">
        <f t="shared" si="39"/>
        <v>OTP Achieved</v>
      </c>
    </row>
    <row r="1880" spans="9:40" ht="15.75" customHeight="1">
      <c r="I1880" s="28"/>
      <c r="AD1880" s="9" t="str">
        <f t="shared" si="35"/>
        <v>Actual</v>
      </c>
      <c r="AE1880" s="9" t="str">
        <f t="shared" si="36"/>
        <v/>
      </c>
      <c r="AF1880" s="9">
        <f>HOUR(O1880)</f>
        <v>0</v>
      </c>
      <c r="AG1880" s="9">
        <f>DAY(O1880)</f>
        <v>0</v>
      </c>
      <c r="AH1880" s="9">
        <f>IFERROR((I1880-K1880)*24*60,0)</f>
        <v>0</v>
      </c>
      <c r="AI1880" s="9">
        <f t="shared" si="37"/>
        <v>0</v>
      </c>
      <c r="AJ1880" s="9">
        <f>C1880</f>
        <v>0</v>
      </c>
      <c r="AK1880" s="9">
        <f>IF(P1880="completed",((V1880-K1880)*24*60),0)</f>
        <v>0</v>
      </c>
      <c r="AL1880" s="9">
        <f>IF(P1880="completed",((U1880-K1880)*24*60),0)</f>
        <v>0</v>
      </c>
      <c r="AM1880" s="9" t="str">
        <f t="shared" si="38"/>
        <v>OTP Breached</v>
      </c>
      <c r="AN1880" s="9" t="str">
        <f t="shared" si="39"/>
        <v>OTP Achieved</v>
      </c>
    </row>
    <row r="1881" spans="9:40" ht="15.75" customHeight="1">
      <c r="I1881" s="28"/>
      <c r="AD1881" s="9" t="str">
        <f t="shared" si="35"/>
        <v>Actual</v>
      </c>
      <c r="AE1881" s="9" t="str">
        <f t="shared" si="36"/>
        <v/>
      </c>
      <c r="AF1881" s="9">
        <f>HOUR(O1881)</f>
        <v>0</v>
      </c>
      <c r="AG1881" s="9">
        <f>DAY(O1881)</f>
        <v>0</v>
      </c>
      <c r="AH1881" s="9">
        <f>IFERROR((I1881-K1881)*24*60,0)</f>
        <v>0</v>
      </c>
      <c r="AI1881" s="9">
        <f t="shared" si="37"/>
        <v>0</v>
      </c>
      <c r="AJ1881" s="9">
        <f>C1881</f>
        <v>0</v>
      </c>
      <c r="AK1881" s="9">
        <f>IF(P1881="completed",((V1881-K1881)*24*60),0)</f>
        <v>0</v>
      </c>
      <c r="AL1881" s="9">
        <f>IF(P1881="completed",((U1881-K1881)*24*60),0)</f>
        <v>0</v>
      </c>
      <c r="AM1881" s="9" t="str">
        <f t="shared" si="38"/>
        <v>OTP Breached</v>
      </c>
      <c r="AN1881" s="9" t="str">
        <f t="shared" si="39"/>
        <v>OTP Achieved</v>
      </c>
    </row>
    <row r="1882" spans="9:40" ht="15.75" customHeight="1">
      <c r="I1882" s="28"/>
      <c r="AD1882" s="9" t="str">
        <f t="shared" si="35"/>
        <v>Actual</v>
      </c>
      <c r="AE1882" s="9" t="str">
        <f t="shared" si="36"/>
        <v/>
      </c>
      <c r="AF1882" s="9">
        <f>HOUR(O1882)</f>
        <v>0</v>
      </c>
      <c r="AG1882" s="9">
        <f>DAY(O1882)</f>
        <v>0</v>
      </c>
      <c r="AH1882" s="9">
        <f>IFERROR((I1882-K1882)*24*60,0)</f>
        <v>0</v>
      </c>
      <c r="AI1882" s="9">
        <f t="shared" si="37"/>
        <v>0</v>
      </c>
      <c r="AJ1882" s="9">
        <f>C1882</f>
        <v>0</v>
      </c>
      <c r="AK1882" s="9">
        <f>IF(P1882="completed",((V1882-K1882)*24*60),0)</f>
        <v>0</v>
      </c>
      <c r="AL1882" s="9">
        <f>IF(P1882="completed",((U1882-K1882)*24*60),0)</f>
        <v>0</v>
      </c>
      <c r="AM1882" s="9" t="str">
        <f t="shared" si="38"/>
        <v>OTP Breached</v>
      </c>
      <c r="AN1882" s="9" t="str">
        <f t="shared" si="39"/>
        <v>OTP Achieved</v>
      </c>
    </row>
    <row r="1883" spans="9:40" ht="15.75" customHeight="1">
      <c r="I1883" s="28"/>
      <c r="AD1883" s="9" t="str">
        <f t="shared" si="35"/>
        <v>Actual</v>
      </c>
      <c r="AE1883" s="9" t="str">
        <f t="shared" si="36"/>
        <v/>
      </c>
      <c r="AF1883" s="9">
        <f>HOUR(O1883)</f>
        <v>0</v>
      </c>
      <c r="AG1883" s="9">
        <f>DAY(O1883)</f>
        <v>0</v>
      </c>
      <c r="AH1883" s="9">
        <f>IFERROR((I1883-K1883)*24*60,0)</f>
        <v>0</v>
      </c>
      <c r="AI1883" s="9">
        <f t="shared" si="37"/>
        <v>0</v>
      </c>
      <c r="AJ1883" s="9">
        <f>C1883</f>
        <v>0</v>
      </c>
      <c r="AK1883" s="9">
        <f>IF(P1883="completed",((V1883-K1883)*24*60),0)</f>
        <v>0</v>
      </c>
      <c r="AL1883" s="9">
        <f>IF(P1883="completed",((U1883-K1883)*24*60),0)</f>
        <v>0</v>
      </c>
      <c r="AM1883" s="9" t="str">
        <f t="shared" si="38"/>
        <v>OTP Breached</v>
      </c>
      <c r="AN1883" s="9" t="str">
        <f t="shared" si="39"/>
        <v>OTP Achieved</v>
      </c>
    </row>
    <row r="1884" spans="9:40" ht="15.75" customHeight="1">
      <c r="I1884" s="28"/>
      <c r="AD1884" s="9" t="str">
        <f t="shared" si="35"/>
        <v>Actual</v>
      </c>
      <c r="AE1884" s="9" t="str">
        <f t="shared" si="36"/>
        <v/>
      </c>
      <c r="AF1884" s="9">
        <f>HOUR(O1884)</f>
        <v>0</v>
      </c>
      <c r="AG1884" s="9">
        <f>DAY(O1884)</f>
        <v>0</v>
      </c>
      <c r="AH1884" s="9">
        <f>IFERROR((I1884-K1884)*24*60,0)</f>
        <v>0</v>
      </c>
      <c r="AI1884" s="9">
        <f t="shared" si="37"/>
        <v>0</v>
      </c>
      <c r="AJ1884" s="9">
        <f>C1884</f>
        <v>0</v>
      </c>
      <c r="AK1884" s="9">
        <f>IF(P1884="completed",((V1884-K1884)*24*60),0)</f>
        <v>0</v>
      </c>
      <c r="AL1884" s="9">
        <f>IF(P1884="completed",((U1884-K1884)*24*60),0)</f>
        <v>0</v>
      </c>
      <c r="AM1884" s="9" t="str">
        <f t="shared" si="38"/>
        <v>OTP Breached</v>
      </c>
      <c r="AN1884" s="9" t="str">
        <f t="shared" si="39"/>
        <v>OTP Achieved</v>
      </c>
    </row>
    <row r="1885" spans="9:40" ht="15.75" customHeight="1">
      <c r="I1885" s="28"/>
      <c r="AD1885" s="9" t="str">
        <f t="shared" si="35"/>
        <v>Actual</v>
      </c>
      <c r="AE1885" s="9" t="str">
        <f t="shared" si="36"/>
        <v/>
      </c>
      <c r="AF1885" s="9">
        <f>HOUR(O1885)</f>
        <v>0</v>
      </c>
      <c r="AG1885" s="9">
        <f>DAY(O1885)</f>
        <v>0</v>
      </c>
      <c r="AH1885" s="9">
        <f>IFERROR((I1885-K1885)*24*60,0)</f>
        <v>0</v>
      </c>
      <c r="AI1885" s="9">
        <f t="shared" si="37"/>
        <v>0</v>
      </c>
      <c r="AJ1885" s="9">
        <f>C1885</f>
        <v>0</v>
      </c>
      <c r="AK1885" s="9">
        <f>IF(P1885="completed",((V1885-K1885)*24*60),0)</f>
        <v>0</v>
      </c>
      <c r="AL1885" s="9">
        <f>IF(P1885="completed",((U1885-K1885)*24*60),0)</f>
        <v>0</v>
      </c>
      <c r="AM1885" s="9" t="str">
        <f t="shared" si="38"/>
        <v>OTP Breached</v>
      </c>
      <c r="AN1885" s="9" t="str">
        <f t="shared" si="39"/>
        <v>OTP Achieved</v>
      </c>
    </row>
    <row r="1886" spans="9:40" ht="15.75" customHeight="1">
      <c r="I1886" s="28"/>
      <c r="AD1886" s="9" t="str">
        <f t="shared" si="35"/>
        <v>Actual</v>
      </c>
      <c r="AE1886" s="9" t="str">
        <f t="shared" si="36"/>
        <v/>
      </c>
      <c r="AF1886" s="9">
        <f>HOUR(O1886)</f>
        <v>0</v>
      </c>
      <c r="AG1886" s="9">
        <f>DAY(O1886)</f>
        <v>0</v>
      </c>
      <c r="AH1886" s="9">
        <f>IFERROR((I1886-K1886)*24*60,0)</f>
        <v>0</v>
      </c>
      <c r="AI1886" s="9">
        <f t="shared" si="37"/>
        <v>0</v>
      </c>
      <c r="AJ1886" s="9">
        <f>C1886</f>
        <v>0</v>
      </c>
      <c r="AK1886" s="9">
        <f>IF(P1886="completed",((V1886-K1886)*24*60),0)</f>
        <v>0</v>
      </c>
      <c r="AL1886" s="9">
        <f>IF(P1886="completed",((U1886-K1886)*24*60),0)</f>
        <v>0</v>
      </c>
      <c r="AM1886" s="9" t="str">
        <f t="shared" si="38"/>
        <v>OTP Breached</v>
      </c>
      <c r="AN1886" s="9" t="str">
        <f t="shared" si="39"/>
        <v>OTP Achieved</v>
      </c>
    </row>
    <row r="1887" spans="9:40" ht="15.75" customHeight="1">
      <c r="I1887" s="28"/>
      <c r="AD1887" s="9" t="str">
        <f t="shared" si="35"/>
        <v>Actual</v>
      </c>
      <c r="AE1887" s="9" t="str">
        <f t="shared" si="36"/>
        <v/>
      </c>
      <c r="AF1887" s="9">
        <f>HOUR(O1887)</f>
        <v>0</v>
      </c>
      <c r="AG1887" s="9">
        <f>DAY(O1887)</f>
        <v>0</v>
      </c>
      <c r="AH1887" s="9">
        <f>IFERROR((I1887-K1887)*24*60,0)</f>
        <v>0</v>
      </c>
      <c r="AI1887" s="9">
        <f t="shared" si="37"/>
        <v>0</v>
      </c>
      <c r="AJ1887" s="9">
        <f>C1887</f>
        <v>0</v>
      </c>
      <c r="AK1887" s="9">
        <f>IF(P1887="completed",((V1887-K1887)*24*60),0)</f>
        <v>0</v>
      </c>
      <c r="AL1887" s="9">
        <f>IF(P1887="completed",((U1887-K1887)*24*60),0)</f>
        <v>0</v>
      </c>
      <c r="AM1887" s="9" t="str">
        <f t="shared" si="38"/>
        <v>OTP Breached</v>
      </c>
      <c r="AN1887" s="9" t="str">
        <f t="shared" si="39"/>
        <v>OTP Achieved</v>
      </c>
    </row>
    <row r="1888" spans="9:40" ht="15.75" customHeight="1">
      <c r="I1888" s="28"/>
      <c r="AD1888" s="9" t="str">
        <f t="shared" si="35"/>
        <v>Actual</v>
      </c>
      <c r="AE1888" s="9" t="str">
        <f t="shared" si="36"/>
        <v/>
      </c>
      <c r="AF1888" s="9">
        <f>HOUR(O1888)</f>
        <v>0</v>
      </c>
      <c r="AG1888" s="9">
        <f>DAY(O1888)</f>
        <v>0</v>
      </c>
      <c r="AH1888" s="9">
        <f>IFERROR((I1888-K1888)*24*60,0)</f>
        <v>0</v>
      </c>
      <c r="AI1888" s="9">
        <f t="shared" si="37"/>
        <v>0</v>
      </c>
      <c r="AJ1888" s="9">
        <f>C1888</f>
        <v>0</v>
      </c>
      <c r="AK1888" s="9">
        <f>IF(P1888="completed",((V1888-K1888)*24*60),0)</f>
        <v>0</v>
      </c>
      <c r="AL1888" s="9">
        <f>IF(P1888="completed",((U1888-K1888)*24*60),0)</f>
        <v>0</v>
      </c>
      <c r="AM1888" s="9" t="str">
        <f t="shared" si="38"/>
        <v>OTP Breached</v>
      </c>
      <c r="AN1888" s="9" t="str">
        <f t="shared" si="39"/>
        <v>OTP Achieved</v>
      </c>
    </row>
    <row r="1889" spans="9:40" ht="15.75" customHeight="1">
      <c r="I1889" s="28"/>
      <c r="AD1889" s="9" t="str">
        <f t="shared" si="35"/>
        <v>Actual</v>
      </c>
      <c r="AE1889" s="9" t="str">
        <f t="shared" si="36"/>
        <v/>
      </c>
      <c r="AF1889" s="9">
        <f>HOUR(O1889)</f>
        <v>0</v>
      </c>
      <c r="AG1889" s="9">
        <f>DAY(O1889)</f>
        <v>0</v>
      </c>
      <c r="AH1889" s="9">
        <f>IFERROR((I1889-K1889)*24*60,0)</f>
        <v>0</v>
      </c>
      <c r="AI1889" s="9">
        <f t="shared" si="37"/>
        <v>0</v>
      </c>
      <c r="AJ1889" s="9">
        <f>C1889</f>
        <v>0</v>
      </c>
      <c r="AK1889" s="9">
        <f>IF(P1889="completed",((V1889-K1889)*24*60),0)</f>
        <v>0</v>
      </c>
      <c r="AL1889" s="9">
        <f>IF(P1889="completed",((U1889-K1889)*24*60),0)</f>
        <v>0</v>
      </c>
      <c r="AM1889" s="9" t="str">
        <f t="shared" si="38"/>
        <v>OTP Breached</v>
      </c>
      <c r="AN1889" s="9" t="str">
        <f t="shared" si="39"/>
        <v>OTP Achieved</v>
      </c>
    </row>
    <row r="1890" spans="9:40" ht="15.75" customHeight="1">
      <c r="I1890" s="28"/>
      <c r="AD1890" s="9" t="str">
        <f t="shared" si="35"/>
        <v>Actual</v>
      </c>
      <c r="AE1890" s="9" t="str">
        <f t="shared" si="36"/>
        <v/>
      </c>
      <c r="AF1890" s="9">
        <f>HOUR(O1890)</f>
        <v>0</v>
      </c>
      <c r="AG1890" s="9">
        <f>DAY(O1890)</f>
        <v>0</v>
      </c>
      <c r="AH1890" s="9">
        <f>IFERROR((I1890-K1890)*24*60,0)</f>
        <v>0</v>
      </c>
      <c r="AI1890" s="9">
        <f t="shared" si="37"/>
        <v>0</v>
      </c>
      <c r="AJ1890" s="9">
        <f>C1890</f>
        <v>0</v>
      </c>
      <c r="AK1890" s="9">
        <f>IF(P1890="completed",((V1890-K1890)*24*60),0)</f>
        <v>0</v>
      </c>
      <c r="AL1890" s="9">
        <f>IF(P1890="completed",((U1890-K1890)*24*60),0)</f>
        <v>0</v>
      </c>
      <c r="AM1890" s="9" t="str">
        <f t="shared" si="38"/>
        <v>OTP Breached</v>
      </c>
      <c r="AN1890" s="9" t="str">
        <f t="shared" si="39"/>
        <v>OTP Achieved</v>
      </c>
    </row>
    <row r="1891" spans="9:40" ht="15.75" customHeight="1">
      <c r="I1891" s="28"/>
      <c r="AD1891" s="9" t="str">
        <f t="shared" si="35"/>
        <v>Actual</v>
      </c>
      <c r="AE1891" s="9" t="str">
        <f t="shared" si="36"/>
        <v/>
      </c>
      <c r="AF1891" s="9">
        <f>HOUR(O1891)</f>
        <v>0</v>
      </c>
      <c r="AG1891" s="9">
        <f>DAY(O1891)</f>
        <v>0</v>
      </c>
      <c r="AH1891" s="9">
        <f>IFERROR((I1891-K1891)*24*60,0)</f>
        <v>0</v>
      </c>
      <c r="AI1891" s="9">
        <f t="shared" si="37"/>
        <v>0</v>
      </c>
      <c r="AJ1891" s="9">
        <f>C1891</f>
        <v>0</v>
      </c>
      <c r="AK1891" s="9">
        <f>IF(P1891="completed",((V1891-K1891)*24*60),0)</f>
        <v>0</v>
      </c>
      <c r="AL1891" s="9">
        <f>IF(P1891="completed",((U1891-K1891)*24*60),0)</f>
        <v>0</v>
      </c>
      <c r="AM1891" s="9" t="str">
        <f t="shared" si="38"/>
        <v>OTP Breached</v>
      </c>
      <c r="AN1891" s="9" t="str">
        <f t="shared" si="39"/>
        <v>OTP Achieved</v>
      </c>
    </row>
    <row r="1892" spans="9:40" ht="15.75" customHeight="1">
      <c r="I1892" s="28"/>
      <c r="AD1892" s="9" t="str">
        <f t="shared" si="35"/>
        <v>Actual</v>
      </c>
      <c r="AE1892" s="9" t="str">
        <f t="shared" si="36"/>
        <v/>
      </c>
      <c r="AF1892" s="9">
        <f>HOUR(O1892)</f>
        <v>0</v>
      </c>
      <c r="AG1892" s="9">
        <f>DAY(O1892)</f>
        <v>0</v>
      </c>
      <c r="AH1892" s="9">
        <f>IFERROR((I1892-K1892)*24*60,0)</f>
        <v>0</v>
      </c>
      <c r="AI1892" s="9">
        <f t="shared" si="37"/>
        <v>0</v>
      </c>
      <c r="AJ1892" s="9">
        <f>C1892</f>
        <v>0</v>
      </c>
      <c r="AK1892" s="9">
        <f>IF(P1892="completed",((V1892-K1892)*24*60),0)</f>
        <v>0</v>
      </c>
      <c r="AL1892" s="9">
        <f>IF(P1892="completed",((U1892-K1892)*24*60),0)</f>
        <v>0</v>
      </c>
      <c r="AM1892" s="9" t="str">
        <f t="shared" si="38"/>
        <v>OTP Breached</v>
      </c>
      <c r="AN1892" s="9" t="str">
        <f t="shared" si="39"/>
        <v>OTP Achieved</v>
      </c>
    </row>
    <row r="1893" spans="9:40" ht="15.75" customHeight="1">
      <c r="I1893" s="28"/>
      <c r="AD1893" s="9" t="str">
        <f t="shared" si="35"/>
        <v>Actual</v>
      </c>
      <c r="AE1893" s="9" t="str">
        <f t="shared" si="36"/>
        <v/>
      </c>
      <c r="AF1893" s="9">
        <f>HOUR(O1893)</f>
        <v>0</v>
      </c>
      <c r="AG1893" s="9">
        <f>DAY(O1893)</f>
        <v>0</v>
      </c>
      <c r="AH1893" s="9">
        <f>IFERROR((I1893-K1893)*24*60,0)</f>
        <v>0</v>
      </c>
      <c r="AI1893" s="9">
        <f t="shared" si="37"/>
        <v>0</v>
      </c>
      <c r="AJ1893" s="9">
        <f>C1893</f>
        <v>0</v>
      </c>
      <c r="AK1893" s="9">
        <f>IF(P1893="completed",((V1893-K1893)*24*60),0)</f>
        <v>0</v>
      </c>
      <c r="AL1893" s="9">
        <f>IF(P1893="completed",((U1893-K1893)*24*60),0)</f>
        <v>0</v>
      </c>
      <c r="AM1893" s="9" t="str">
        <f t="shared" si="38"/>
        <v>OTP Breached</v>
      </c>
      <c r="AN1893" s="9" t="str">
        <f t="shared" si="39"/>
        <v>OTP Achieved</v>
      </c>
    </row>
    <row r="1894" spans="9:40" ht="15.75" customHeight="1">
      <c r="I1894" s="28"/>
      <c r="AD1894" s="9" t="str">
        <f t="shared" si="35"/>
        <v>Actual</v>
      </c>
      <c r="AE1894" s="9" t="str">
        <f t="shared" si="36"/>
        <v/>
      </c>
      <c r="AF1894" s="9">
        <f>HOUR(O1894)</f>
        <v>0</v>
      </c>
      <c r="AG1894" s="9">
        <f>DAY(O1894)</f>
        <v>0</v>
      </c>
      <c r="AH1894" s="9">
        <f>IFERROR((I1894-K1894)*24*60,0)</f>
        <v>0</v>
      </c>
      <c r="AI1894" s="9">
        <f t="shared" si="37"/>
        <v>0</v>
      </c>
      <c r="AJ1894" s="9">
        <f>C1894</f>
        <v>0</v>
      </c>
      <c r="AK1894" s="9">
        <f>IF(P1894="completed",((V1894-K1894)*24*60),0)</f>
        <v>0</v>
      </c>
      <c r="AL1894" s="9">
        <f>IF(P1894="completed",((U1894-K1894)*24*60),0)</f>
        <v>0</v>
      </c>
      <c r="AM1894" s="9" t="str">
        <f t="shared" si="38"/>
        <v>OTP Breached</v>
      </c>
      <c r="AN1894" s="9" t="str">
        <f t="shared" si="39"/>
        <v>OTP Achieved</v>
      </c>
    </row>
    <row r="1895" spans="9:40" ht="15.75" customHeight="1">
      <c r="I1895" s="28"/>
      <c r="AD1895" s="9" t="str">
        <f t="shared" si="35"/>
        <v>Actual</v>
      </c>
      <c r="AE1895" s="9" t="str">
        <f t="shared" si="36"/>
        <v/>
      </c>
      <c r="AF1895" s="9">
        <f>HOUR(O1895)</f>
        <v>0</v>
      </c>
      <c r="AG1895" s="9">
        <f>DAY(O1895)</f>
        <v>0</v>
      </c>
      <c r="AH1895" s="9">
        <f>IFERROR((I1895-K1895)*24*60,0)</f>
        <v>0</v>
      </c>
      <c r="AI1895" s="9">
        <f t="shared" si="37"/>
        <v>0</v>
      </c>
      <c r="AJ1895" s="9">
        <f>C1895</f>
        <v>0</v>
      </c>
      <c r="AK1895" s="9">
        <f>IF(P1895="completed",((V1895-K1895)*24*60),0)</f>
        <v>0</v>
      </c>
      <c r="AL1895" s="9">
        <f>IF(P1895="completed",((U1895-K1895)*24*60),0)</f>
        <v>0</v>
      </c>
      <c r="AM1895" s="9" t="str">
        <f t="shared" si="38"/>
        <v>OTP Breached</v>
      </c>
      <c r="AN1895" s="9" t="str">
        <f t="shared" si="39"/>
        <v>OTP Achieved</v>
      </c>
    </row>
    <row r="1896" spans="9:40" ht="15.75" customHeight="1">
      <c r="I1896" s="28"/>
      <c r="AD1896" s="9" t="str">
        <f t="shared" si="35"/>
        <v>Actual</v>
      </c>
      <c r="AE1896" s="9" t="str">
        <f t="shared" si="36"/>
        <v/>
      </c>
      <c r="AF1896" s="9">
        <f>HOUR(O1896)</f>
        <v>0</v>
      </c>
      <c r="AG1896" s="9">
        <f>DAY(O1896)</f>
        <v>0</v>
      </c>
      <c r="AH1896" s="9">
        <f>IFERROR((I1896-K1896)*24*60,0)</f>
        <v>0</v>
      </c>
      <c r="AI1896" s="9">
        <f t="shared" si="37"/>
        <v>0</v>
      </c>
      <c r="AJ1896" s="9">
        <f>C1896</f>
        <v>0</v>
      </c>
      <c r="AK1896" s="9">
        <f>IF(P1896="completed",((V1896-K1896)*24*60),0)</f>
        <v>0</v>
      </c>
      <c r="AL1896" s="9">
        <f>IF(P1896="completed",((U1896-K1896)*24*60),0)</f>
        <v>0</v>
      </c>
      <c r="AM1896" s="9" t="str">
        <f t="shared" si="38"/>
        <v>OTP Breached</v>
      </c>
      <c r="AN1896" s="9" t="str">
        <f t="shared" si="39"/>
        <v>OTP Achieved</v>
      </c>
    </row>
    <row r="1897" spans="9:40" ht="15.75" customHeight="1">
      <c r="I1897" s="28"/>
      <c r="AD1897" s="9" t="str">
        <f t="shared" si="35"/>
        <v>Actual</v>
      </c>
      <c r="AE1897" s="9" t="str">
        <f t="shared" si="36"/>
        <v/>
      </c>
      <c r="AF1897" s="9">
        <f>HOUR(O1897)</f>
        <v>0</v>
      </c>
      <c r="AG1897" s="9">
        <f>DAY(O1897)</f>
        <v>0</v>
      </c>
      <c r="AH1897" s="9">
        <f>IFERROR((I1897-K1897)*24*60,0)</f>
        <v>0</v>
      </c>
      <c r="AI1897" s="9">
        <f t="shared" si="37"/>
        <v>0</v>
      </c>
      <c r="AJ1897" s="9">
        <f>C1897</f>
        <v>0</v>
      </c>
      <c r="AK1897" s="9">
        <f>IF(P1897="completed",((V1897-K1897)*24*60),0)</f>
        <v>0</v>
      </c>
      <c r="AL1897" s="9">
        <f>IF(P1897="completed",((U1897-K1897)*24*60),0)</f>
        <v>0</v>
      </c>
      <c r="AM1897" s="9" t="str">
        <f t="shared" si="38"/>
        <v>OTP Breached</v>
      </c>
      <c r="AN1897" s="9" t="str">
        <f t="shared" si="39"/>
        <v>OTP Achieved</v>
      </c>
    </row>
    <row r="1898" spans="9:40" ht="15.75" customHeight="1">
      <c r="I1898" s="28"/>
      <c r="AD1898" s="9" t="str">
        <f t="shared" si="35"/>
        <v>Actual</v>
      </c>
      <c r="AE1898" s="9" t="str">
        <f t="shared" si="36"/>
        <v/>
      </c>
      <c r="AF1898" s="9">
        <f>HOUR(O1898)</f>
        <v>0</v>
      </c>
      <c r="AG1898" s="9">
        <f>DAY(O1898)</f>
        <v>0</v>
      </c>
      <c r="AH1898" s="9">
        <f>IFERROR((I1898-K1898)*24*60,0)</f>
        <v>0</v>
      </c>
      <c r="AI1898" s="9">
        <f t="shared" si="37"/>
        <v>0</v>
      </c>
      <c r="AJ1898" s="9">
        <f>C1898</f>
        <v>0</v>
      </c>
      <c r="AK1898" s="9">
        <f>IF(P1898="completed",((V1898-K1898)*24*60),0)</f>
        <v>0</v>
      </c>
      <c r="AL1898" s="9">
        <f>IF(P1898="completed",((U1898-K1898)*24*60),0)</f>
        <v>0</v>
      </c>
      <c r="AM1898" s="9" t="str">
        <f t="shared" si="38"/>
        <v>OTP Breached</v>
      </c>
      <c r="AN1898" s="9" t="str">
        <f t="shared" si="39"/>
        <v>OTP Achieved</v>
      </c>
    </row>
    <row r="1899" spans="9:40" ht="15.75" customHeight="1">
      <c r="I1899" s="28"/>
      <c r="AD1899" s="9" t="str">
        <f t="shared" si="35"/>
        <v>Actual</v>
      </c>
      <c r="AE1899" s="9" t="str">
        <f t="shared" si="36"/>
        <v/>
      </c>
      <c r="AF1899" s="9">
        <f>HOUR(O1899)</f>
        <v>0</v>
      </c>
      <c r="AG1899" s="9">
        <f>DAY(O1899)</f>
        <v>0</v>
      </c>
      <c r="AH1899" s="9">
        <f>IFERROR((I1899-K1899)*24*60,0)</f>
        <v>0</v>
      </c>
      <c r="AI1899" s="9">
        <f t="shared" si="37"/>
        <v>0</v>
      </c>
      <c r="AJ1899" s="9">
        <f>C1899</f>
        <v>0</v>
      </c>
      <c r="AK1899" s="9">
        <f>IF(P1899="completed",((V1899-K1899)*24*60),0)</f>
        <v>0</v>
      </c>
      <c r="AL1899" s="9">
        <f>IF(P1899="completed",((U1899-K1899)*24*60),0)</f>
        <v>0</v>
      </c>
      <c r="AM1899" s="9" t="str">
        <f t="shared" si="38"/>
        <v>OTP Breached</v>
      </c>
      <c r="AN1899" s="9" t="str">
        <f t="shared" si="39"/>
        <v>OTP Achieved</v>
      </c>
    </row>
    <row r="1900" spans="9:40" ht="15.75" customHeight="1">
      <c r="I1900" s="28"/>
      <c r="AD1900" s="9" t="str">
        <f t="shared" si="35"/>
        <v>Actual</v>
      </c>
      <c r="AE1900" s="9" t="str">
        <f t="shared" si="36"/>
        <v/>
      </c>
      <c r="AF1900" s="9">
        <f>HOUR(O1900)</f>
        <v>0</v>
      </c>
      <c r="AG1900" s="9">
        <f>DAY(O1900)</f>
        <v>0</v>
      </c>
      <c r="AH1900" s="9">
        <f>IFERROR((I1900-K1900)*24*60,0)</f>
        <v>0</v>
      </c>
      <c r="AI1900" s="9">
        <f t="shared" si="37"/>
        <v>0</v>
      </c>
      <c r="AJ1900" s="9">
        <f>C1900</f>
        <v>0</v>
      </c>
      <c r="AK1900" s="9">
        <f>IF(P1900="completed",((V1900-K1900)*24*60),0)</f>
        <v>0</v>
      </c>
      <c r="AL1900" s="9">
        <f>IF(P1900="completed",((U1900-K1900)*24*60),0)</f>
        <v>0</v>
      </c>
      <c r="AM1900" s="9" t="str">
        <f t="shared" si="38"/>
        <v>OTP Breached</v>
      </c>
      <c r="AN1900" s="9" t="str">
        <f t="shared" si="39"/>
        <v>OTP Achieved</v>
      </c>
    </row>
    <row r="1901" spans="9:40" ht="15.75" customHeight="1">
      <c r="I1901" s="28"/>
      <c r="AD1901" s="9" t="str">
        <f t="shared" si="35"/>
        <v>Actual</v>
      </c>
      <c r="AE1901" s="9" t="str">
        <f t="shared" si="36"/>
        <v/>
      </c>
      <c r="AF1901" s="9">
        <f>HOUR(O1901)</f>
        <v>0</v>
      </c>
      <c r="AG1901" s="9">
        <f>DAY(O1901)</f>
        <v>0</v>
      </c>
      <c r="AH1901" s="9">
        <f>IFERROR((I1901-K1901)*24*60,0)</f>
        <v>0</v>
      </c>
      <c r="AI1901" s="9">
        <f t="shared" si="37"/>
        <v>0</v>
      </c>
      <c r="AJ1901" s="9">
        <f>C1901</f>
        <v>0</v>
      </c>
      <c r="AK1901" s="9">
        <f>IF(P1901="completed",((V1901-K1901)*24*60),0)</f>
        <v>0</v>
      </c>
      <c r="AL1901" s="9">
        <f>IF(P1901="completed",((U1901-K1901)*24*60),0)</f>
        <v>0</v>
      </c>
      <c r="AM1901" s="9" t="str">
        <f t="shared" si="38"/>
        <v>OTP Breached</v>
      </c>
      <c r="AN1901" s="9" t="str">
        <f t="shared" si="39"/>
        <v>OTP Achieved</v>
      </c>
    </row>
    <row r="1902" spans="9:40" ht="15.75" customHeight="1">
      <c r="I1902" s="28"/>
      <c r="AD1902" s="9" t="str">
        <f t="shared" si="35"/>
        <v>Actual</v>
      </c>
      <c r="AE1902" s="9" t="str">
        <f t="shared" si="36"/>
        <v/>
      </c>
      <c r="AF1902" s="9">
        <f>HOUR(O1902)</f>
        <v>0</v>
      </c>
      <c r="AG1902" s="9">
        <f>DAY(O1902)</f>
        <v>0</v>
      </c>
      <c r="AH1902" s="9">
        <f>IFERROR((I1902-K1902)*24*60,0)</f>
        <v>0</v>
      </c>
      <c r="AI1902" s="9">
        <f t="shared" si="37"/>
        <v>0</v>
      </c>
      <c r="AJ1902" s="9">
        <f>C1902</f>
        <v>0</v>
      </c>
      <c r="AK1902" s="9">
        <f>IF(P1902="completed",((V1902-K1902)*24*60),0)</f>
        <v>0</v>
      </c>
      <c r="AL1902" s="9">
        <f>IF(P1902="completed",((U1902-K1902)*24*60),0)</f>
        <v>0</v>
      </c>
      <c r="AM1902" s="9" t="str">
        <f t="shared" si="38"/>
        <v>OTP Breached</v>
      </c>
      <c r="AN1902" s="9" t="str">
        <f t="shared" si="39"/>
        <v>OTP Achieved</v>
      </c>
    </row>
    <row r="1903" spans="9:40" ht="15.75" customHeight="1">
      <c r="I1903" s="28"/>
      <c r="AD1903" s="9" t="str">
        <f t="shared" si="35"/>
        <v>Actual</v>
      </c>
      <c r="AE1903" s="9" t="str">
        <f t="shared" si="36"/>
        <v/>
      </c>
      <c r="AF1903" s="9">
        <f>HOUR(O1903)</f>
        <v>0</v>
      </c>
      <c r="AG1903" s="9">
        <f>DAY(O1903)</f>
        <v>0</v>
      </c>
      <c r="AH1903" s="9">
        <f>IFERROR((I1903-K1903)*24*60,0)</f>
        <v>0</v>
      </c>
      <c r="AI1903" s="9">
        <f t="shared" si="37"/>
        <v>0</v>
      </c>
      <c r="AJ1903" s="9">
        <f>C1903</f>
        <v>0</v>
      </c>
      <c r="AK1903" s="9">
        <f>IF(P1903="completed",((V1903-K1903)*24*60),0)</f>
        <v>0</v>
      </c>
      <c r="AL1903" s="9">
        <f>IF(P1903="completed",((U1903-K1903)*24*60),0)</f>
        <v>0</v>
      </c>
      <c r="AM1903" s="9" t="str">
        <f t="shared" si="38"/>
        <v>OTP Breached</v>
      </c>
      <c r="AN1903" s="9" t="str">
        <f t="shared" si="39"/>
        <v>OTP Achieved</v>
      </c>
    </row>
    <row r="1904" spans="9:40" ht="15.75" customHeight="1">
      <c r="I1904" s="28"/>
      <c r="AD1904" s="9" t="str">
        <f t="shared" si="35"/>
        <v>Actual</v>
      </c>
      <c r="AE1904" s="9" t="str">
        <f t="shared" si="36"/>
        <v/>
      </c>
      <c r="AF1904" s="9">
        <f>HOUR(O1904)</f>
        <v>0</v>
      </c>
      <c r="AG1904" s="9">
        <f>DAY(O1904)</f>
        <v>0</v>
      </c>
      <c r="AH1904" s="9">
        <f>IFERROR((I1904-K1904)*24*60,0)</f>
        <v>0</v>
      </c>
      <c r="AI1904" s="9">
        <f t="shared" si="37"/>
        <v>0</v>
      </c>
      <c r="AJ1904" s="9">
        <f>C1904</f>
        <v>0</v>
      </c>
      <c r="AK1904" s="9">
        <f>IF(P1904="completed",((V1904-K1904)*24*60),0)</f>
        <v>0</v>
      </c>
      <c r="AL1904" s="9">
        <f>IF(P1904="completed",((U1904-K1904)*24*60),0)</f>
        <v>0</v>
      </c>
      <c r="AM1904" s="9" t="str">
        <f t="shared" si="38"/>
        <v>OTP Breached</v>
      </c>
      <c r="AN1904" s="9" t="str">
        <f t="shared" si="39"/>
        <v>OTP Achieved</v>
      </c>
    </row>
    <row r="1905" spans="9:40" ht="15.75" customHeight="1">
      <c r="I1905" s="28"/>
      <c r="AD1905" s="9" t="str">
        <f t="shared" si="35"/>
        <v>Actual</v>
      </c>
      <c r="AE1905" s="9" t="str">
        <f t="shared" si="36"/>
        <v/>
      </c>
      <c r="AF1905" s="9">
        <f>HOUR(O1905)</f>
        <v>0</v>
      </c>
      <c r="AG1905" s="9">
        <f>DAY(O1905)</f>
        <v>0</v>
      </c>
      <c r="AH1905" s="9">
        <f>IFERROR((I1905-K1905)*24*60,0)</f>
        <v>0</v>
      </c>
      <c r="AI1905" s="9">
        <f t="shared" si="37"/>
        <v>0</v>
      </c>
      <c r="AJ1905" s="9">
        <f>C1905</f>
        <v>0</v>
      </c>
      <c r="AK1905" s="9">
        <f>IF(P1905="completed",((V1905-K1905)*24*60),0)</f>
        <v>0</v>
      </c>
      <c r="AL1905" s="9">
        <f>IF(P1905="completed",((U1905-K1905)*24*60),0)</f>
        <v>0</v>
      </c>
      <c r="AM1905" s="9" t="str">
        <f t="shared" si="38"/>
        <v>OTP Breached</v>
      </c>
      <c r="AN1905" s="9" t="str">
        <f t="shared" si="39"/>
        <v>OTP Achieved</v>
      </c>
    </row>
    <row r="1906" spans="9:40" ht="15.75" customHeight="1">
      <c r="I1906" s="28"/>
      <c r="AD1906" s="9" t="str">
        <f t="shared" si="35"/>
        <v>Actual</v>
      </c>
      <c r="AE1906" s="9" t="str">
        <f t="shared" si="36"/>
        <v/>
      </c>
      <c r="AF1906" s="9">
        <f>HOUR(O1906)</f>
        <v>0</v>
      </c>
      <c r="AG1906" s="9">
        <f>DAY(O1906)</f>
        <v>0</v>
      </c>
      <c r="AH1906" s="9">
        <f>IFERROR((I1906-K1906)*24*60,0)</f>
        <v>0</v>
      </c>
      <c r="AI1906" s="9">
        <f t="shared" si="37"/>
        <v>0</v>
      </c>
      <c r="AJ1906" s="9">
        <f>C1906</f>
        <v>0</v>
      </c>
      <c r="AK1906" s="9">
        <f>IF(P1906="completed",((V1906-K1906)*24*60),0)</f>
        <v>0</v>
      </c>
      <c r="AL1906" s="9">
        <f>IF(P1906="completed",((U1906-K1906)*24*60),0)</f>
        <v>0</v>
      </c>
      <c r="AM1906" s="9" t="str">
        <f t="shared" si="38"/>
        <v>OTP Breached</v>
      </c>
      <c r="AN1906" s="9" t="str">
        <f t="shared" si="39"/>
        <v>OTP Achieved</v>
      </c>
    </row>
    <row r="1907" spans="9:40" ht="15.75" customHeight="1">
      <c r="I1907" s="28"/>
      <c r="AD1907" s="9" t="str">
        <f t="shared" si="35"/>
        <v>Actual</v>
      </c>
      <c r="AE1907" s="9" t="str">
        <f t="shared" si="36"/>
        <v/>
      </c>
      <c r="AF1907" s="9">
        <f>HOUR(O1907)</f>
        <v>0</v>
      </c>
      <c r="AG1907" s="9">
        <f>DAY(O1907)</f>
        <v>0</v>
      </c>
      <c r="AH1907" s="9">
        <f>IFERROR((I1907-K1907)*24*60,0)</f>
        <v>0</v>
      </c>
      <c r="AI1907" s="9">
        <f t="shared" si="37"/>
        <v>0</v>
      </c>
      <c r="AJ1907" s="9">
        <f>C1907</f>
        <v>0</v>
      </c>
      <c r="AK1907" s="9">
        <f>IF(P1907="completed",((V1907-K1907)*24*60),0)</f>
        <v>0</v>
      </c>
      <c r="AL1907" s="9">
        <f>IF(P1907="completed",((U1907-K1907)*24*60),0)</f>
        <v>0</v>
      </c>
      <c r="AM1907" s="9" t="str">
        <f t="shared" si="38"/>
        <v>OTP Breached</v>
      </c>
      <c r="AN1907" s="9" t="str">
        <f t="shared" si="39"/>
        <v>OTP Achieved</v>
      </c>
    </row>
    <row r="1908" spans="9:40" ht="15.75" customHeight="1">
      <c r="I1908" s="28"/>
      <c r="AD1908" s="9" t="str">
        <f t="shared" si="35"/>
        <v>Actual</v>
      </c>
      <c r="AE1908" s="9" t="str">
        <f t="shared" si="36"/>
        <v/>
      </c>
      <c r="AF1908" s="9">
        <f>HOUR(O1908)</f>
        <v>0</v>
      </c>
      <c r="AG1908" s="9">
        <f>DAY(O1908)</f>
        <v>0</v>
      </c>
      <c r="AH1908" s="9">
        <f>IFERROR((I1908-K1908)*24*60,0)</f>
        <v>0</v>
      </c>
      <c r="AI1908" s="9">
        <f t="shared" si="37"/>
        <v>0</v>
      </c>
      <c r="AJ1908" s="9">
        <f>C1908</f>
        <v>0</v>
      </c>
      <c r="AK1908" s="9">
        <f>IF(P1908="completed",((V1908-K1908)*24*60),0)</f>
        <v>0</v>
      </c>
      <c r="AL1908" s="9">
        <f>IF(P1908="completed",((U1908-K1908)*24*60),0)</f>
        <v>0</v>
      </c>
      <c r="AM1908" s="9" t="str">
        <f t="shared" si="38"/>
        <v>OTP Breached</v>
      </c>
      <c r="AN1908" s="9" t="str">
        <f t="shared" si="39"/>
        <v>OTP Achieved</v>
      </c>
    </row>
    <row r="1909" spans="9:40" ht="15.75" customHeight="1">
      <c r="I1909" s="28"/>
      <c r="AD1909" s="9" t="str">
        <f t="shared" si="35"/>
        <v>Actual</v>
      </c>
      <c r="AE1909" s="9" t="str">
        <f t="shared" si="36"/>
        <v/>
      </c>
      <c r="AF1909" s="9">
        <f>HOUR(O1909)</f>
        <v>0</v>
      </c>
      <c r="AG1909" s="9">
        <f>DAY(O1909)</f>
        <v>0</v>
      </c>
      <c r="AH1909" s="9">
        <f>IFERROR((I1909-K1909)*24*60,0)</f>
        <v>0</v>
      </c>
      <c r="AI1909" s="9">
        <f t="shared" si="37"/>
        <v>0</v>
      </c>
      <c r="AJ1909" s="9">
        <f>C1909</f>
        <v>0</v>
      </c>
      <c r="AK1909" s="9">
        <f>IF(P1909="completed",((V1909-K1909)*24*60),0)</f>
        <v>0</v>
      </c>
      <c r="AL1909" s="9">
        <f>IF(P1909="completed",((U1909-K1909)*24*60),0)</f>
        <v>0</v>
      </c>
      <c r="AM1909" s="9" t="str">
        <f t="shared" si="38"/>
        <v>OTP Breached</v>
      </c>
      <c r="AN1909" s="9" t="str">
        <f t="shared" si="39"/>
        <v>OTP Achieved</v>
      </c>
    </row>
    <row r="1910" spans="9:40" ht="15.75" customHeight="1">
      <c r="I1910" s="28"/>
      <c r="AD1910" s="9" t="str">
        <f t="shared" si="35"/>
        <v>Actual</v>
      </c>
      <c r="AE1910" s="9" t="str">
        <f t="shared" si="36"/>
        <v/>
      </c>
      <c r="AF1910" s="9">
        <f>HOUR(O1910)</f>
        <v>0</v>
      </c>
      <c r="AG1910" s="9">
        <f>DAY(O1910)</f>
        <v>0</v>
      </c>
      <c r="AH1910" s="9">
        <f>IFERROR((I1910-K1910)*24*60,0)</f>
        <v>0</v>
      </c>
      <c r="AI1910" s="9">
        <f t="shared" si="37"/>
        <v>0</v>
      </c>
      <c r="AJ1910" s="9">
        <f>C1910</f>
        <v>0</v>
      </c>
      <c r="AK1910" s="9">
        <f>IF(P1910="completed",((V1910-K1910)*24*60),0)</f>
        <v>0</v>
      </c>
      <c r="AL1910" s="9">
        <f>IF(P1910="completed",((U1910-K1910)*24*60),0)</f>
        <v>0</v>
      </c>
      <c r="AM1910" s="9" t="str">
        <f t="shared" si="38"/>
        <v>OTP Breached</v>
      </c>
      <c r="AN1910" s="9" t="str">
        <f t="shared" si="39"/>
        <v>OTP Achieved</v>
      </c>
    </row>
    <row r="1911" spans="9:40" ht="15.75" customHeight="1">
      <c r="I1911" s="28"/>
      <c r="AD1911" s="9" t="str">
        <f t="shared" si="35"/>
        <v>Actual</v>
      </c>
      <c r="AE1911" s="9" t="str">
        <f t="shared" si="36"/>
        <v/>
      </c>
      <c r="AF1911" s="9">
        <f>HOUR(O1911)</f>
        <v>0</v>
      </c>
      <c r="AG1911" s="9">
        <f>DAY(O1911)</f>
        <v>0</v>
      </c>
      <c r="AH1911" s="9">
        <f>IFERROR((I1911-K1911)*24*60,0)</f>
        <v>0</v>
      </c>
      <c r="AI1911" s="9">
        <f t="shared" si="37"/>
        <v>0</v>
      </c>
      <c r="AJ1911" s="9">
        <f>C1911</f>
        <v>0</v>
      </c>
      <c r="AK1911" s="9">
        <f>IF(P1911="completed",((V1911-K1911)*24*60),0)</f>
        <v>0</v>
      </c>
      <c r="AL1911" s="9">
        <f>IF(P1911="completed",((U1911-K1911)*24*60),0)</f>
        <v>0</v>
      </c>
      <c r="AM1911" s="9" t="str">
        <f t="shared" si="38"/>
        <v>OTP Breached</v>
      </c>
      <c r="AN1911" s="9" t="str">
        <f t="shared" si="39"/>
        <v>OTP Achieved</v>
      </c>
    </row>
    <row r="1912" spans="9:40" ht="15.75" customHeight="1">
      <c r="I1912" s="28"/>
      <c r="AD1912" s="9" t="str">
        <f t="shared" si="35"/>
        <v>Actual</v>
      </c>
      <c r="AE1912" s="9" t="str">
        <f t="shared" si="36"/>
        <v/>
      </c>
      <c r="AF1912" s="9">
        <f>HOUR(O1912)</f>
        <v>0</v>
      </c>
      <c r="AG1912" s="9">
        <f>DAY(O1912)</f>
        <v>0</v>
      </c>
      <c r="AH1912" s="9">
        <f>IFERROR((I1912-K1912)*24*60,0)</f>
        <v>0</v>
      </c>
      <c r="AI1912" s="9">
        <f t="shared" si="37"/>
        <v>0</v>
      </c>
      <c r="AJ1912" s="9">
        <f>C1912</f>
        <v>0</v>
      </c>
      <c r="AK1912" s="9">
        <f>IF(P1912="completed",((V1912-K1912)*24*60),0)</f>
        <v>0</v>
      </c>
      <c r="AL1912" s="9">
        <f>IF(P1912="completed",((U1912-K1912)*24*60),0)</f>
        <v>0</v>
      </c>
      <c r="AM1912" s="9" t="str">
        <f t="shared" si="38"/>
        <v>OTP Breached</v>
      </c>
      <c r="AN1912" s="9" t="str">
        <f t="shared" si="39"/>
        <v>OTP Achieved</v>
      </c>
    </row>
    <row r="1913" spans="9:40" ht="15.75" customHeight="1">
      <c r="I1913" s="28"/>
      <c r="AD1913" s="9" t="str">
        <f t="shared" si="35"/>
        <v>Actual</v>
      </c>
      <c r="AE1913" s="9" t="str">
        <f t="shared" si="36"/>
        <v/>
      </c>
      <c r="AF1913" s="9">
        <f>HOUR(O1913)</f>
        <v>0</v>
      </c>
      <c r="AG1913" s="9">
        <f>DAY(O1913)</f>
        <v>0</v>
      </c>
      <c r="AH1913" s="9">
        <f>IFERROR((I1913-K1913)*24*60,0)</f>
        <v>0</v>
      </c>
      <c r="AI1913" s="9">
        <f t="shared" si="37"/>
        <v>0</v>
      </c>
      <c r="AJ1913" s="9">
        <f>C1913</f>
        <v>0</v>
      </c>
      <c r="AK1913" s="9">
        <f>IF(P1913="completed",((V1913-K1913)*24*60),0)</f>
        <v>0</v>
      </c>
      <c r="AL1913" s="9">
        <f>IF(P1913="completed",((U1913-K1913)*24*60),0)</f>
        <v>0</v>
      </c>
      <c r="AM1913" s="9" t="str">
        <f t="shared" si="38"/>
        <v>OTP Breached</v>
      </c>
      <c r="AN1913" s="9" t="str">
        <f t="shared" si="39"/>
        <v>OTP Achieved</v>
      </c>
    </row>
    <row r="1914" spans="9:40" ht="15.75" customHeight="1">
      <c r="I1914" s="28"/>
      <c r="AD1914" s="9" t="str">
        <f t="shared" si="35"/>
        <v>Actual</v>
      </c>
      <c r="AE1914" s="9" t="str">
        <f t="shared" si="36"/>
        <v/>
      </c>
      <c r="AF1914" s="9">
        <f>HOUR(O1914)</f>
        <v>0</v>
      </c>
      <c r="AG1914" s="9">
        <f>DAY(O1914)</f>
        <v>0</v>
      </c>
      <c r="AH1914" s="9">
        <f>IFERROR((I1914-K1914)*24*60,0)</f>
        <v>0</v>
      </c>
      <c r="AI1914" s="9">
        <f t="shared" si="37"/>
        <v>0</v>
      </c>
      <c r="AJ1914" s="9">
        <f>C1914</f>
        <v>0</v>
      </c>
      <c r="AK1914" s="9">
        <f>IF(P1914="completed",((V1914-K1914)*24*60),0)</f>
        <v>0</v>
      </c>
      <c r="AL1914" s="9">
        <f>IF(P1914="completed",((U1914-K1914)*24*60),0)</f>
        <v>0</v>
      </c>
      <c r="AM1914" s="9" t="str">
        <f t="shared" si="38"/>
        <v>OTP Breached</v>
      </c>
      <c r="AN1914" s="9" t="str">
        <f t="shared" si="39"/>
        <v>OTP Achieved</v>
      </c>
    </row>
    <row r="1915" spans="9:40" ht="15.75" customHeight="1">
      <c r="I1915" s="28"/>
      <c r="AD1915" s="9" t="str">
        <f t="shared" si="35"/>
        <v>Actual</v>
      </c>
      <c r="AE1915" s="9" t="str">
        <f t="shared" si="36"/>
        <v/>
      </c>
      <c r="AF1915" s="9">
        <f>HOUR(O1915)</f>
        <v>0</v>
      </c>
      <c r="AG1915" s="9">
        <f>DAY(O1915)</f>
        <v>0</v>
      </c>
      <c r="AH1915" s="9">
        <f>IFERROR((I1915-K1915)*24*60,0)</f>
        <v>0</v>
      </c>
      <c r="AI1915" s="9">
        <f t="shared" si="37"/>
        <v>0</v>
      </c>
      <c r="AJ1915" s="9">
        <f>C1915</f>
        <v>0</v>
      </c>
      <c r="AK1915" s="9">
        <f>IF(P1915="completed",((V1915-K1915)*24*60),0)</f>
        <v>0</v>
      </c>
      <c r="AL1915" s="9">
        <f>IF(P1915="completed",((U1915-K1915)*24*60),0)</f>
        <v>0</v>
      </c>
      <c r="AM1915" s="9" t="str">
        <f t="shared" si="38"/>
        <v>OTP Breached</v>
      </c>
      <c r="AN1915" s="9" t="str">
        <f t="shared" si="39"/>
        <v>OTP Achieved</v>
      </c>
    </row>
    <row r="1916" spans="9:40" ht="15.75" customHeight="1">
      <c r="I1916" s="28"/>
      <c r="AD1916" s="9" t="str">
        <f t="shared" si="35"/>
        <v>Actual</v>
      </c>
      <c r="AE1916" s="9" t="str">
        <f t="shared" si="36"/>
        <v/>
      </c>
      <c r="AF1916" s="9">
        <f>HOUR(O1916)</f>
        <v>0</v>
      </c>
      <c r="AG1916" s="9">
        <f>DAY(O1916)</f>
        <v>0</v>
      </c>
      <c r="AH1916" s="9">
        <f>IFERROR((I1916-K1916)*24*60,0)</f>
        <v>0</v>
      </c>
      <c r="AI1916" s="9">
        <f t="shared" si="37"/>
        <v>0</v>
      </c>
      <c r="AJ1916" s="9">
        <f>C1916</f>
        <v>0</v>
      </c>
      <c r="AK1916" s="9">
        <f>IF(P1916="completed",((V1916-K1916)*24*60),0)</f>
        <v>0</v>
      </c>
      <c r="AL1916" s="9">
        <f>IF(P1916="completed",((U1916-K1916)*24*60),0)</f>
        <v>0</v>
      </c>
      <c r="AM1916" s="9" t="str">
        <f t="shared" si="38"/>
        <v>OTP Breached</v>
      </c>
      <c r="AN1916" s="9" t="str">
        <f t="shared" si="39"/>
        <v>OTP Achieved</v>
      </c>
    </row>
    <row r="1917" spans="9:40" ht="15.75" customHeight="1">
      <c r="I1917" s="28"/>
      <c r="AD1917" s="9" t="str">
        <f t="shared" si="35"/>
        <v>Actual</v>
      </c>
      <c r="AE1917" s="9" t="str">
        <f t="shared" si="36"/>
        <v/>
      </c>
      <c r="AF1917" s="9">
        <f>HOUR(O1917)</f>
        <v>0</v>
      </c>
      <c r="AG1917" s="9">
        <f>DAY(O1917)</f>
        <v>0</v>
      </c>
      <c r="AH1917" s="9">
        <f>IFERROR((I1917-K1917)*24*60,0)</f>
        <v>0</v>
      </c>
      <c r="AI1917" s="9">
        <f t="shared" si="37"/>
        <v>0</v>
      </c>
      <c r="AJ1917" s="9">
        <f>C1917</f>
        <v>0</v>
      </c>
      <c r="AK1917" s="9">
        <f>IF(P1917="completed",((V1917-K1917)*24*60),0)</f>
        <v>0</v>
      </c>
      <c r="AL1917" s="9">
        <f>IF(P1917="completed",((U1917-K1917)*24*60),0)</f>
        <v>0</v>
      </c>
      <c r="AM1917" s="9" t="str">
        <f t="shared" si="38"/>
        <v>OTP Breached</v>
      </c>
      <c r="AN1917" s="9" t="str">
        <f t="shared" si="39"/>
        <v>OTP Achieved</v>
      </c>
    </row>
    <row r="1918" spans="9:40" ht="15.75" customHeight="1">
      <c r="I1918" s="28"/>
      <c r="AD1918" s="9" t="str">
        <f t="shared" si="35"/>
        <v>Actual</v>
      </c>
      <c r="AE1918" s="9" t="str">
        <f t="shared" si="36"/>
        <v/>
      </c>
      <c r="AF1918" s="9">
        <f>HOUR(O1918)</f>
        <v>0</v>
      </c>
      <c r="AG1918" s="9">
        <f>DAY(O1918)</f>
        <v>0</v>
      </c>
      <c r="AH1918" s="9">
        <f>IFERROR((I1918-K1918)*24*60,0)</f>
        <v>0</v>
      </c>
      <c r="AI1918" s="9">
        <f t="shared" si="37"/>
        <v>0</v>
      </c>
      <c r="AJ1918" s="9">
        <f>C1918</f>
        <v>0</v>
      </c>
      <c r="AK1918" s="9">
        <f>IF(P1918="completed",((V1918-K1918)*24*60),0)</f>
        <v>0</v>
      </c>
      <c r="AL1918" s="9">
        <f>IF(P1918="completed",((U1918-K1918)*24*60),0)</f>
        <v>0</v>
      </c>
      <c r="AM1918" s="9" t="str">
        <f t="shared" si="38"/>
        <v>OTP Breached</v>
      </c>
      <c r="AN1918" s="9" t="str">
        <f t="shared" si="39"/>
        <v>OTP Achieved</v>
      </c>
    </row>
    <row r="1919" spans="9:40" ht="15.75" customHeight="1">
      <c r="I1919" s="28"/>
      <c r="AD1919" s="9" t="str">
        <f t="shared" si="35"/>
        <v>Actual</v>
      </c>
      <c r="AE1919" s="9" t="str">
        <f t="shared" si="36"/>
        <v/>
      </c>
      <c r="AF1919" s="9">
        <f>HOUR(O1919)</f>
        <v>0</v>
      </c>
      <c r="AG1919" s="9">
        <f>DAY(O1919)</f>
        <v>0</v>
      </c>
      <c r="AH1919" s="9">
        <f>IFERROR((I1919-K1919)*24*60,0)</f>
        <v>0</v>
      </c>
      <c r="AI1919" s="9">
        <f t="shared" si="37"/>
        <v>0</v>
      </c>
      <c r="AJ1919" s="9">
        <f>C1919</f>
        <v>0</v>
      </c>
      <c r="AK1919" s="9">
        <f>IF(P1919="completed",((V1919-K1919)*24*60),0)</f>
        <v>0</v>
      </c>
      <c r="AL1919" s="9">
        <f>IF(P1919="completed",((U1919-K1919)*24*60),0)</f>
        <v>0</v>
      </c>
      <c r="AM1919" s="9" t="str">
        <f t="shared" si="38"/>
        <v>OTP Breached</v>
      </c>
      <c r="AN1919" s="9" t="str">
        <f t="shared" si="39"/>
        <v>OTP Achieved</v>
      </c>
    </row>
    <row r="1920" spans="9:40" ht="15.75" customHeight="1">
      <c r="I1920" s="28"/>
      <c r="AD1920" s="9" t="str">
        <f t="shared" si="35"/>
        <v>Actual</v>
      </c>
      <c r="AE1920" s="9" t="str">
        <f t="shared" si="36"/>
        <v/>
      </c>
      <c r="AF1920" s="9">
        <f>HOUR(O1920)</f>
        <v>0</v>
      </c>
      <c r="AG1920" s="9">
        <f>DAY(O1920)</f>
        <v>0</v>
      </c>
      <c r="AH1920" s="9">
        <f>IFERROR((I1920-K1920)*24*60,0)</f>
        <v>0</v>
      </c>
      <c r="AI1920" s="9">
        <f t="shared" si="37"/>
        <v>0</v>
      </c>
      <c r="AJ1920" s="9">
        <f>C1920</f>
        <v>0</v>
      </c>
      <c r="AK1920" s="9">
        <f>IF(P1920="completed",((V1920-K1920)*24*60),0)</f>
        <v>0</v>
      </c>
      <c r="AL1920" s="9">
        <f>IF(P1920="completed",((U1920-K1920)*24*60),0)</f>
        <v>0</v>
      </c>
      <c r="AM1920" s="9" t="str">
        <f t="shared" si="38"/>
        <v>OTP Breached</v>
      </c>
      <c r="AN1920" s="9" t="str">
        <f t="shared" si="39"/>
        <v>OTP Achieved</v>
      </c>
    </row>
    <row r="1921" spans="9:40" ht="15.75" customHeight="1">
      <c r="I1921" s="28"/>
      <c r="AD1921" s="9" t="str">
        <f t="shared" si="35"/>
        <v>Actual</v>
      </c>
      <c r="AE1921" s="9" t="str">
        <f t="shared" si="36"/>
        <v/>
      </c>
      <c r="AF1921" s="9">
        <f>HOUR(O1921)</f>
        <v>0</v>
      </c>
      <c r="AG1921" s="9">
        <f>DAY(O1921)</f>
        <v>0</v>
      </c>
      <c r="AH1921" s="9">
        <f>IFERROR((I1921-K1921)*24*60,0)</f>
        <v>0</v>
      </c>
      <c r="AI1921" s="9">
        <f t="shared" si="37"/>
        <v>0</v>
      </c>
      <c r="AJ1921" s="9">
        <f>C1921</f>
        <v>0</v>
      </c>
      <c r="AK1921" s="9">
        <f>IF(P1921="completed",((V1921-K1921)*24*60),0)</f>
        <v>0</v>
      </c>
      <c r="AL1921" s="9">
        <f>IF(P1921="completed",((U1921-K1921)*24*60),0)</f>
        <v>0</v>
      </c>
      <c r="AM1921" s="9" t="str">
        <f t="shared" si="38"/>
        <v>OTP Breached</v>
      </c>
      <c r="AN1921" s="9" t="str">
        <f t="shared" si="39"/>
        <v>OTP Achieved</v>
      </c>
    </row>
    <row r="1922" spans="9:40" ht="15.75" customHeight="1">
      <c r="I1922" s="28"/>
      <c r="AD1922" s="9" t="str">
        <f t="shared" si="35"/>
        <v>Actual</v>
      </c>
      <c r="AE1922" s="9" t="str">
        <f t="shared" si="36"/>
        <v/>
      </c>
      <c r="AF1922" s="9">
        <f>HOUR(O1922)</f>
        <v>0</v>
      </c>
      <c r="AG1922" s="9">
        <f>DAY(O1922)</f>
        <v>0</v>
      </c>
      <c r="AH1922" s="9">
        <f>IFERROR((I1922-K1922)*24*60,0)</f>
        <v>0</v>
      </c>
      <c r="AI1922" s="9">
        <f t="shared" si="37"/>
        <v>0</v>
      </c>
      <c r="AJ1922" s="9">
        <f>C1922</f>
        <v>0</v>
      </c>
      <c r="AK1922" s="9">
        <f>IF(P1922="completed",((V1922-K1922)*24*60),0)</f>
        <v>0</v>
      </c>
      <c r="AL1922" s="9">
        <f>IF(P1922="completed",((U1922-K1922)*24*60),0)</f>
        <v>0</v>
      </c>
      <c r="AM1922" s="9" t="str">
        <f t="shared" si="38"/>
        <v>OTP Breached</v>
      </c>
      <c r="AN1922" s="9" t="str">
        <f t="shared" si="39"/>
        <v>OTP Achieved</v>
      </c>
    </row>
    <row r="1923" spans="9:40" ht="15.75" customHeight="1">
      <c r="I1923" s="28"/>
      <c r="AD1923" s="9" t="str">
        <f t="shared" si="35"/>
        <v>Actual</v>
      </c>
      <c r="AE1923" s="9" t="str">
        <f t="shared" si="36"/>
        <v/>
      </c>
      <c r="AF1923" s="9">
        <f>HOUR(O1923)</f>
        <v>0</v>
      </c>
      <c r="AG1923" s="9">
        <f>DAY(O1923)</f>
        <v>0</v>
      </c>
      <c r="AH1923" s="9">
        <f>IFERROR((I1923-K1923)*24*60,0)</f>
        <v>0</v>
      </c>
      <c r="AI1923" s="9">
        <f t="shared" si="37"/>
        <v>0</v>
      </c>
      <c r="AJ1923" s="9">
        <f>C1923</f>
        <v>0</v>
      </c>
      <c r="AK1923" s="9">
        <f>IF(P1923="completed",((V1923-K1923)*24*60),0)</f>
        <v>0</v>
      </c>
      <c r="AL1923" s="9">
        <f>IF(P1923="completed",((U1923-K1923)*24*60),0)</f>
        <v>0</v>
      </c>
      <c r="AM1923" s="9" t="str">
        <f t="shared" si="38"/>
        <v>OTP Breached</v>
      </c>
      <c r="AN1923" s="9" t="str">
        <f t="shared" si="39"/>
        <v>OTP Achieved</v>
      </c>
    </row>
    <row r="1924" spans="9:40" ht="15.75" customHeight="1">
      <c r="I1924" s="28"/>
      <c r="AD1924" s="9" t="str">
        <f t="shared" si="35"/>
        <v>Actual</v>
      </c>
      <c r="AE1924" s="9" t="str">
        <f t="shared" si="36"/>
        <v/>
      </c>
      <c r="AF1924" s="9">
        <f>HOUR(O1924)</f>
        <v>0</v>
      </c>
      <c r="AG1924" s="9">
        <f>DAY(O1924)</f>
        <v>0</v>
      </c>
      <c r="AH1924" s="9">
        <f>IFERROR((I1924-K1924)*24*60,0)</f>
        <v>0</v>
      </c>
      <c r="AI1924" s="9">
        <f t="shared" si="37"/>
        <v>0</v>
      </c>
      <c r="AJ1924" s="9">
        <f>C1924</f>
        <v>0</v>
      </c>
      <c r="AK1924" s="9">
        <f>IF(P1924="completed",((V1924-K1924)*24*60),0)</f>
        <v>0</v>
      </c>
      <c r="AL1924" s="9">
        <f>IF(P1924="completed",((U1924-K1924)*24*60),0)</f>
        <v>0</v>
      </c>
      <c r="AM1924" s="9" t="str">
        <f t="shared" si="38"/>
        <v>OTP Breached</v>
      </c>
      <c r="AN1924" s="9" t="str">
        <f t="shared" si="39"/>
        <v>OTP Achieved</v>
      </c>
    </row>
    <row r="1925" spans="9:40" ht="15.75" customHeight="1">
      <c r="I1925" s="28"/>
      <c r="AD1925" s="9" t="str">
        <f t="shared" si="35"/>
        <v>Actual</v>
      </c>
      <c r="AE1925" s="9" t="str">
        <f t="shared" si="36"/>
        <v/>
      </c>
      <c r="AF1925" s="9">
        <f>HOUR(O1925)</f>
        <v>0</v>
      </c>
      <c r="AG1925" s="9">
        <f>DAY(O1925)</f>
        <v>0</v>
      </c>
      <c r="AH1925" s="9">
        <f>IFERROR((I1925-K1925)*24*60,0)</f>
        <v>0</v>
      </c>
      <c r="AI1925" s="9">
        <f t="shared" si="37"/>
        <v>0</v>
      </c>
      <c r="AJ1925" s="9">
        <f>C1925</f>
        <v>0</v>
      </c>
      <c r="AK1925" s="9">
        <f>IF(P1925="completed",((V1925-K1925)*24*60),0)</f>
        <v>0</v>
      </c>
      <c r="AL1925" s="9">
        <f>IF(P1925="completed",((U1925-K1925)*24*60),0)</f>
        <v>0</v>
      </c>
      <c r="AM1925" s="9" t="str">
        <f t="shared" si="38"/>
        <v>OTP Breached</v>
      </c>
      <c r="AN1925" s="9" t="str">
        <f t="shared" si="39"/>
        <v>OTP Achieved</v>
      </c>
    </row>
    <row r="1926" spans="9:40" ht="15.75" customHeight="1">
      <c r="I1926" s="28"/>
      <c r="AD1926" s="9" t="str">
        <f t="shared" si="35"/>
        <v>Actual</v>
      </c>
      <c r="AE1926" s="9" t="str">
        <f t="shared" si="36"/>
        <v/>
      </c>
      <c r="AF1926" s="9">
        <f>HOUR(O1926)</f>
        <v>0</v>
      </c>
      <c r="AG1926" s="9">
        <f>DAY(O1926)</f>
        <v>0</v>
      </c>
      <c r="AH1926" s="9">
        <f>IFERROR((I1926-K1926)*24*60,0)</f>
        <v>0</v>
      </c>
      <c r="AI1926" s="9">
        <f t="shared" si="37"/>
        <v>0</v>
      </c>
      <c r="AJ1926" s="9">
        <f>C1926</f>
        <v>0</v>
      </c>
      <c r="AK1926" s="9">
        <f>IF(P1926="completed",((V1926-K1926)*24*60),0)</f>
        <v>0</v>
      </c>
      <c r="AL1926" s="9">
        <f>IF(P1926="completed",((U1926-K1926)*24*60),0)</f>
        <v>0</v>
      </c>
      <c r="AM1926" s="9" t="str">
        <f t="shared" si="38"/>
        <v>OTP Breached</v>
      </c>
      <c r="AN1926" s="9" t="str">
        <f t="shared" si="39"/>
        <v>OTP Achieved</v>
      </c>
    </row>
    <row r="1927" spans="9:40" ht="15.75" customHeight="1">
      <c r="I1927" s="28"/>
      <c r="AD1927" s="9" t="str">
        <f t="shared" si="35"/>
        <v>Actual</v>
      </c>
      <c r="AE1927" s="9" t="str">
        <f t="shared" si="36"/>
        <v/>
      </c>
      <c r="AF1927" s="9">
        <f>HOUR(O1927)</f>
        <v>0</v>
      </c>
      <c r="AG1927" s="9">
        <f>DAY(O1927)</f>
        <v>0</v>
      </c>
      <c r="AH1927" s="9">
        <f>IFERROR((I1927-K1927)*24*60,0)</f>
        <v>0</v>
      </c>
      <c r="AI1927" s="9">
        <f t="shared" si="37"/>
        <v>0</v>
      </c>
      <c r="AJ1927" s="9">
        <f>C1927</f>
        <v>0</v>
      </c>
      <c r="AK1927" s="9">
        <f>IF(P1927="completed",((V1927-K1927)*24*60),0)</f>
        <v>0</v>
      </c>
      <c r="AL1927" s="9">
        <f>IF(P1927="completed",((U1927-K1927)*24*60),0)</f>
        <v>0</v>
      </c>
      <c r="AM1927" s="9" t="str">
        <f t="shared" si="38"/>
        <v>OTP Breached</v>
      </c>
      <c r="AN1927" s="9" t="str">
        <f t="shared" si="39"/>
        <v>OTP Achieved</v>
      </c>
    </row>
    <row r="1928" spans="9:40" ht="15.75" customHeight="1">
      <c r="I1928" s="28"/>
      <c r="AD1928" s="9" t="str">
        <f t="shared" si="35"/>
        <v>Actual</v>
      </c>
      <c r="AE1928" s="9" t="str">
        <f t="shared" si="36"/>
        <v/>
      </c>
      <c r="AF1928" s="9">
        <f>HOUR(O1928)</f>
        <v>0</v>
      </c>
      <c r="AG1928" s="9">
        <f>DAY(O1928)</f>
        <v>0</v>
      </c>
      <c r="AH1928" s="9">
        <f>IFERROR((I1928-K1928)*24*60,0)</f>
        <v>0</v>
      </c>
      <c r="AI1928" s="9">
        <f t="shared" si="37"/>
        <v>0</v>
      </c>
      <c r="AJ1928" s="9">
        <f>C1928</f>
        <v>0</v>
      </c>
      <c r="AK1928" s="9">
        <f>IF(P1928="completed",((V1928-K1928)*24*60),0)</f>
        <v>0</v>
      </c>
      <c r="AL1928" s="9">
        <f>IF(P1928="completed",((U1928-K1928)*24*60),0)</f>
        <v>0</v>
      </c>
      <c r="AM1928" s="9" t="str">
        <f t="shared" si="38"/>
        <v>OTP Breached</v>
      </c>
      <c r="AN1928" s="9" t="str">
        <f t="shared" si="39"/>
        <v>OTP Achieved</v>
      </c>
    </row>
    <row r="1929" spans="9:40" ht="15.75" customHeight="1">
      <c r="I1929" s="28"/>
      <c r="AD1929" s="9" t="str">
        <f t="shared" si="35"/>
        <v>Actual</v>
      </c>
      <c r="AE1929" s="9" t="str">
        <f t="shared" si="36"/>
        <v/>
      </c>
      <c r="AF1929" s="9">
        <f>HOUR(O1929)</f>
        <v>0</v>
      </c>
      <c r="AG1929" s="9">
        <f>DAY(O1929)</f>
        <v>0</v>
      </c>
      <c r="AH1929" s="9">
        <f>IFERROR((I1929-K1929)*24*60,0)</f>
        <v>0</v>
      </c>
      <c r="AI1929" s="9">
        <f t="shared" si="37"/>
        <v>0</v>
      </c>
      <c r="AJ1929" s="9">
        <f>C1929</f>
        <v>0</v>
      </c>
      <c r="AK1929" s="9">
        <f>IF(P1929="completed",((V1929-K1929)*24*60),0)</f>
        <v>0</v>
      </c>
      <c r="AL1929" s="9">
        <f>IF(P1929="completed",((U1929-K1929)*24*60),0)</f>
        <v>0</v>
      </c>
      <c r="AM1929" s="9" t="str">
        <f t="shared" si="38"/>
        <v>OTP Breached</v>
      </c>
      <c r="AN1929" s="9" t="str">
        <f t="shared" si="39"/>
        <v>OTP Achieved</v>
      </c>
    </row>
    <row r="1930" spans="9:40" ht="15.75" customHeight="1">
      <c r="I1930" s="28"/>
      <c r="AD1930" s="9" t="str">
        <f t="shared" si="35"/>
        <v>Actual</v>
      </c>
      <c r="AE1930" s="9" t="str">
        <f t="shared" si="36"/>
        <v/>
      </c>
      <c r="AF1930" s="9">
        <f>HOUR(O1930)</f>
        <v>0</v>
      </c>
      <c r="AG1930" s="9">
        <f>DAY(O1930)</f>
        <v>0</v>
      </c>
      <c r="AH1930" s="9">
        <f>IFERROR((I1930-K1930)*24*60,0)</f>
        <v>0</v>
      </c>
      <c r="AI1930" s="9">
        <f t="shared" si="37"/>
        <v>0</v>
      </c>
      <c r="AJ1930" s="9">
        <f>C1930</f>
        <v>0</v>
      </c>
      <c r="AK1930" s="9">
        <f>IF(P1930="completed",((V1930-K1930)*24*60),0)</f>
        <v>0</v>
      </c>
      <c r="AL1930" s="9">
        <f>IF(P1930="completed",((U1930-K1930)*24*60),0)</f>
        <v>0</v>
      </c>
      <c r="AM1930" s="9" t="str">
        <f t="shared" si="38"/>
        <v>OTP Breached</v>
      </c>
      <c r="AN1930" s="9" t="str">
        <f t="shared" si="39"/>
        <v>OTP Achieved</v>
      </c>
    </row>
    <row r="1931" spans="9:40" ht="15.75" customHeight="1">
      <c r="I1931" s="28"/>
      <c r="AD1931" s="9" t="str">
        <f t="shared" si="35"/>
        <v>Actual</v>
      </c>
      <c r="AE1931" s="9" t="str">
        <f t="shared" si="36"/>
        <v/>
      </c>
      <c r="AF1931" s="9">
        <f>HOUR(O1931)</f>
        <v>0</v>
      </c>
      <c r="AG1931" s="9">
        <f>DAY(O1931)</f>
        <v>0</v>
      </c>
      <c r="AH1931" s="9">
        <f>IFERROR((I1931-K1931)*24*60,0)</f>
        <v>0</v>
      </c>
      <c r="AI1931" s="9">
        <f t="shared" si="37"/>
        <v>0</v>
      </c>
      <c r="AJ1931" s="9">
        <f>C1931</f>
        <v>0</v>
      </c>
      <c r="AK1931" s="9">
        <f>IF(P1931="completed",((V1931-K1931)*24*60),0)</f>
        <v>0</v>
      </c>
      <c r="AL1931" s="9">
        <f>IF(P1931="completed",((U1931-K1931)*24*60),0)</f>
        <v>0</v>
      </c>
      <c r="AM1931" s="9" t="str">
        <f t="shared" si="38"/>
        <v>OTP Breached</v>
      </c>
      <c r="AN1931" s="9" t="str">
        <f t="shared" si="39"/>
        <v>OTP Achieved</v>
      </c>
    </row>
    <row r="1932" spans="9:40" ht="15.75" customHeight="1">
      <c r="I1932" s="28"/>
      <c r="AD1932" s="9" t="str">
        <f t="shared" si="35"/>
        <v>Actual</v>
      </c>
      <c r="AE1932" s="9" t="str">
        <f t="shared" si="36"/>
        <v/>
      </c>
      <c r="AF1932" s="9">
        <f>HOUR(O1932)</f>
        <v>0</v>
      </c>
      <c r="AG1932" s="9">
        <f>DAY(O1932)</f>
        <v>0</v>
      </c>
      <c r="AH1932" s="9">
        <f>IFERROR((I1932-K1932)*24*60,0)</f>
        <v>0</v>
      </c>
      <c r="AI1932" s="9">
        <f t="shared" si="37"/>
        <v>0</v>
      </c>
      <c r="AJ1932" s="9">
        <f>C1932</f>
        <v>0</v>
      </c>
      <c r="AK1932" s="9">
        <f>IF(P1932="completed",((V1932-K1932)*24*60),0)</f>
        <v>0</v>
      </c>
      <c r="AL1932" s="9">
        <f>IF(P1932="completed",((U1932-K1932)*24*60),0)</f>
        <v>0</v>
      </c>
      <c r="AM1932" s="9" t="str">
        <f t="shared" si="38"/>
        <v>OTP Breached</v>
      </c>
      <c r="AN1932" s="9" t="str">
        <f t="shared" si="39"/>
        <v>OTP Achieved</v>
      </c>
    </row>
    <row r="1933" spans="9:40" ht="15.75" customHeight="1">
      <c r="I1933" s="28"/>
      <c r="AD1933" s="9" t="str">
        <f t="shared" si="35"/>
        <v>Actual</v>
      </c>
      <c r="AE1933" s="9" t="str">
        <f t="shared" si="36"/>
        <v/>
      </c>
      <c r="AF1933" s="9">
        <f>HOUR(O1933)</f>
        <v>0</v>
      </c>
      <c r="AG1933" s="9">
        <f>DAY(O1933)</f>
        <v>0</v>
      </c>
      <c r="AH1933" s="9">
        <f>IFERROR((I1933-K1933)*24*60,0)</f>
        <v>0</v>
      </c>
      <c r="AI1933" s="9">
        <f t="shared" si="37"/>
        <v>0</v>
      </c>
      <c r="AJ1933" s="9">
        <f>C1933</f>
        <v>0</v>
      </c>
      <c r="AK1933" s="9">
        <f>IF(P1933="completed",((V1933-K1933)*24*60),0)</f>
        <v>0</v>
      </c>
      <c r="AL1933" s="9">
        <f>IF(P1933="completed",((U1933-K1933)*24*60),0)</f>
        <v>0</v>
      </c>
      <c r="AM1933" s="9" t="str">
        <f t="shared" si="38"/>
        <v>OTP Breached</v>
      </c>
      <c r="AN1933" s="9" t="str">
        <f t="shared" si="39"/>
        <v>OTP Achieved</v>
      </c>
    </row>
    <row r="1934" spans="9:40" ht="15.75" customHeight="1">
      <c r="I1934" s="28"/>
      <c r="AD1934" s="9" t="str">
        <f t="shared" si="35"/>
        <v>Actual</v>
      </c>
      <c r="AE1934" s="9" t="str">
        <f t="shared" si="36"/>
        <v/>
      </c>
      <c r="AF1934" s="9">
        <f>HOUR(O1934)</f>
        <v>0</v>
      </c>
      <c r="AG1934" s="9">
        <f>DAY(O1934)</f>
        <v>0</v>
      </c>
      <c r="AH1934" s="9">
        <f>IFERROR((I1934-K1934)*24*60,0)</f>
        <v>0</v>
      </c>
      <c r="AI1934" s="9">
        <f t="shared" si="37"/>
        <v>0</v>
      </c>
      <c r="AJ1934" s="9">
        <f>C1934</f>
        <v>0</v>
      </c>
      <c r="AK1934" s="9">
        <f>IF(P1934="completed",((V1934-K1934)*24*60),0)</f>
        <v>0</v>
      </c>
      <c r="AL1934" s="9">
        <f>IF(P1934="completed",((U1934-K1934)*24*60),0)</f>
        <v>0</v>
      </c>
      <c r="AM1934" s="9" t="str">
        <f t="shared" si="38"/>
        <v>OTP Breached</v>
      </c>
      <c r="AN1934" s="9" t="str">
        <f t="shared" si="39"/>
        <v>OTP Achieved</v>
      </c>
    </row>
    <row r="1935" spans="9:40" ht="15.75" customHeight="1">
      <c r="I1935" s="28"/>
      <c r="AD1935" s="9" t="str">
        <f t="shared" si="35"/>
        <v>Actual</v>
      </c>
      <c r="AE1935" s="9" t="str">
        <f t="shared" si="36"/>
        <v/>
      </c>
      <c r="AF1935" s="9">
        <f>HOUR(O1935)</f>
        <v>0</v>
      </c>
      <c r="AG1935" s="9">
        <f>DAY(O1935)</f>
        <v>0</v>
      </c>
      <c r="AH1935" s="9">
        <f>IFERROR((I1935-K1935)*24*60,0)</f>
        <v>0</v>
      </c>
      <c r="AI1935" s="9">
        <f t="shared" si="37"/>
        <v>0</v>
      </c>
      <c r="AJ1935" s="9">
        <f>C1935</f>
        <v>0</v>
      </c>
      <c r="AK1935" s="9">
        <f>IF(P1935="completed",((V1935-K1935)*24*60),0)</f>
        <v>0</v>
      </c>
      <c r="AL1935" s="9">
        <f>IF(P1935="completed",((U1935-K1935)*24*60),0)</f>
        <v>0</v>
      </c>
      <c r="AM1935" s="9" t="str">
        <f t="shared" si="38"/>
        <v>OTP Breached</v>
      </c>
      <c r="AN1935" s="9" t="str">
        <f t="shared" si="39"/>
        <v>OTP Achieved</v>
      </c>
    </row>
    <row r="1936" spans="9:40" ht="15.75" customHeight="1">
      <c r="I1936" s="28"/>
      <c r="AD1936" s="9" t="str">
        <f t="shared" si="35"/>
        <v>Actual</v>
      </c>
      <c r="AE1936" s="9" t="str">
        <f t="shared" si="36"/>
        <v/>
      </c>
      <c r="AF1936" s="9">
        <f>HOUR(O1936)</f>
        <v>0</v>
      </c>
      <c r="AG1936" s="9">
        <f>DAY(O1936)</f>
        <v>0</v>
      </c>
      <c r="AH1936" s="9">
        <f>IFERROR((I1936-K1936)*24*60,0)</f>
        <v>0</v>
      </c>
      <c r="AI1936" s="9">
        <f t="shared" si="37"/>
        <v>0</v>
      </c>
      <c r="AJ1936" s="9">
        <f>C1936</f>
        <v>0</v>
      </c>
      <c r="AK1936" s="9">
        <f>IF(P1936="completed",((V1936-K1936)*24*60),0)</f>
        <v>0</v>
      </c>
      <c r="AL1936" s="9">
        <f>IF(P1936="completed",((U1936-K1936)*24*60),0)</f>
        <v>0</v>
      </c>
      <c r="AM1936" s="9" t="str">
        <f t="shared" si="38"/>
        <v>OTP Breached</v>
      </c>
      <c r="AN1936" s="9" t="str">
        <f t="shared" si="39"/>
        <v>OTP Achieved</v>
      </c>
    </row>
    <row r="1937" spans="9:40" ht="15.75" customHeight="1">
      <c r="I1937" s="28"/>
      <c r="AD1937" s="9" t="str">
        <f t="shared" si="35"/>
        <v>Actual</v>
      </c>
      <c r="AE1937" s="9" t="str">
        <f t="shared" si="36"/>
        <v/>
      </c>
      <c r="AF1937" s="9">
        <f>HOUR(O1937)</f>
        <v>0</v>
      </c>
      <c r="AG1937" s="9">
        <f>DAY(O1937)</f>
        <v>0</v>
      </c>
      <c r="AH1937" s="9">
        <f>IFERROR((I1937-K1937)*24*60,0)</f>
        <v>0</v>
      </c>
      <c r="AI1937" s="9">
        <f t="shared" si="37"/>
        <v>0</v>
      </c>
      <c r="AJ1937" s="9">
        <f>C1937</f>
        <v>0</v>
      </c>
      <c r="AK1937" s="9">
        <f>IF(P1937="completed",((V1937-K1937)*24*60),0)</f>
        <v>0</v>
      </c>
      <c r="AL1937" s="9">
        <f>IF(P1937="completed",((U1937-K1937)*24*60),0)</f>
        <v>0</v>
      </c>
      <c r="AM1937" s="9" t="str">
        <f t="shared" si="38"/>
        <v>OTP Breached</v>
      </c>
      <c r="AN1937" s="9" t="str">
        <f t="shared" si="39"/>
        <v>OTP Achieved</v>
      </c>
    </row>
    <row r="1938" spans="9:40" ht="15.75" customHeight="1">
      <c r="I1938" s="28"/>
      <c r="AD1938" s="9" t="str">
        <f t="shared" si="35"/>
        <v>Actual</v>
      </c>
      <c r="AE1938" s="9" t="str">
        <f t="shared" si="36"/>
        <v/>
      </c>
      <c r="AF1938" s="9">
        <f>HOUR(O1938)</f>
        <v>0</v>
      </c>
      <c r="AG1938" s="9">
        <f>DAY(O1938)</f>
        <v>0</v>
      </c>
      <c r="AH1938" s="9">
        <f>IFERROR((I1938-K1938)*24*60,0)</f>
        <v>0</v>
      </c>
      <c r="AI1938" s="9">
        <f t="shared" si="37"/>
        <v>0</v>
      </c>
      <c r="AJ1938" s="9">
        <f>C1938</f>
        <v>0</v>
      </c>
      <c r="AK1938" s="9">
        <f>IF(P1938="completed",((V1938-K1938)*24*60),0)</f>
        <v>0</v>
      </c>
      <c r="AL1938" s="9">
        <f>IF(P1938="completed",((U1938-K1938)*24*60),0)</f>
        <v>0</v>
      </c>
      <c r="AM1938" s="9" t="str">
        <f t="shared" si="38"/>
        <v>OTP Breached</v>
      </c>
      <c r="AN1938" s="9" t="str">
        <f t="shared" si="39"/>
        <v>OTP Achieved</v>
      </c>
    </row>
    <row r="1939" spans="9:40" ht="15.75" customHeight="1">
      <c r="I1939" s="28"/>
      <c r="AD1939" s="9" t="str">
        <f t="shared" si="35"/>
        <v>Actual</v>
      </c>
      <c r="AE1939" s="9" t="str">
        <f t="shared" si="36"/>
        <v/>
      </c>
      <c r="AF1939" s="9">
        <f>HOUR(O1939)</f>
        <v>0</v>
      </c>
      <c r="AG1939" s="9">
        <f>DAY(O1939)</f>
        <v>0</v>
      </c>
      <c r="AH1939" s="9">
        <f>IFERROR((I1939-K1939)*24*60,0)</f>
        <v>0</v>
      </c>
      <c r="AI1939" s="9">
        <f t="shared" si="37"/>
        <v>0</v>
      </c>
      <c r="AJ1939" s="9">
        <f>C1939</f>
        <v>0</v>
      </c>
      <c r="AK1939" s="9">
        <f>IF(P1939="completed",((V1939-K1939)*24*60),0)</f>
        <v>0</v>
      </c>
      <c r="AL1939" s="9">
        <f>IF(P1939="completed",((U1939-K1939)*24*60),0)</f>
        <v>0</v>
      </c>
      <c r="AM1939" s="9" t="str">
        <f t="shared" si="38"/>
        <v>OTP Breached</v>
      </c>
      <c r="AN1939" s="9" t="str">
        <f t="shared" si="39"/>
        <v>OTP Achieved</v>
      </c>
    </row>
    <row r="1940" spans="9:40" ht="15.75" customHeight="1">
      <c r="I1940" s="28"/>
      <c r="AD1940" s="9" t="str">
        <f t="shared" si="35"/>
        <v>Actual</v>
      </c>
      <c r="AE1940" s="9" t="str">
        <f t="shared" si="36"/>
        <v/>
      </c>
      <c r="AF1940" s="9">
        <f>HOUR(O1940)</f>
        <v>0</v>
      </c>
      <c r="AG1940" s="9">
        <f>DAY(O1940)</f>
        <v>0</v>
      </c>
      <c r="AH1940" s="9">
        <f>IFERROR((I1940-K1940)*24*60,0)</f>
        <v>0</v>
      </c>
      <c r="AI1940" s="9">
        <f t="shared" si="37"/>
        <v>0</v>
      </c>
      <c r="AJ1940" s="9">
        <f>C1940</f>
        <v>0</v>
      </c>
      <c r="AK1940" s="9">
        <f>IF(P1940="completed",((V1940-K1940)*24*60),0)</f>
        <v>0</v>
      </c>
      <c r="AL1940" s="9">
        <f>IF(P1940="completed",((U1940-K1940)*24*60),0)</f>
        <v>0</v>
      </c>
      <c r="AM1940" s="9" t="str">
        <f t="shared" si="38"/>
        <v>OTP Breached</v>
      </c>
      <c r="AN1940" s="9" t="str">
        <f t="shared" si="39"/>
        <v>OTP Achieved</v>
      </c>
    </row>
    <row r="1941" spans="9:40" ht="15.75" customHeight="1">
      <c r="I1941" s="28"/>
      <c r="AD1941" s="9" t="str">
        <f t="shared" si="35"/>
        <v>Actual</v>
      </c>
      <c r="AE1941" s="9" t="str">
        <f t="shared" si="36"/>
        <v/>
      </c>
      <c r="AF1941" s="9">
        <f>HOUR(O1941)</f>
        <v>0</v>
      </c>
      <c r="AG1941" s="9">
        <f>DAY(O1941)</f>
        <v>0</v>
      </c>
      <c r="AH1941" s="9">
        <f>IFERROR((I1941-K1941)*24*60,0)</f>
        <v>0</v>
      </c>
      <c r="AI1941" s="9">
        <f t="shared" si="37"/>
        <v>0</v>
      </c>
      <c r="AJ1941" s="9">
        <f>C1941</f>
        <v>0</v>
      </c>
      <c r="AK1941" s="9">
        <f>IF(P1941="completed",((V1941-K1941)*24*60),0)</f>
        <v>0</v>
      </c>
      <c r="AL1941" s="9">
        <f>IF(P1941="completed",((U1941-K1941)*24*60),0)</f>
        <v>0</v>
      </c>
      <c r="AM1941" s="9" t="str">
        <f t="shared" si="38"/>
        <v>OTP Breached</v>
      </c>
      <c r="AN1941" s="9" t="str">
        <f t="shared" si="39"/>
        <v>OTP Achieved</v>
      </c>
    </row>
    <row r="1942" spans="9:40" ht="15.75" customHeight="1">
      <c r="I1942" s="28"/>
      <c r="AD1942" s="9" t="str">
        <f t="shared" si="35"/>
        <v>Actual</v>
      </c>
      <c r="AE1942" s="9" t="str">
        <f t="shared" si="36"/>
        <v/>
      </c>
      <c r="AF1942" s="9">
        <f>HOUR(O1942)</f>
        <v>0</v>
      </c>
      <c r="AG1942" s="9">
        <f>DAY(O1942)</f>
        <v>0</v>
      </c>
      <c r="AH1942" s="9">
        <f>IFERROR((I1942-K1942)*24*60,0)</f>
        <v>0</v>
      </c>
      <c r="AI1942" s="9">
        <f t="shared" si="37"/>
        <v>0</v>
      </c>
      <c r="AJ1942" s="9">
        <f>C1942</f>
        <v>0</v>
      </c>
      <c r="AK1942" s="9">
        <f>IF(P1942="completed",((V1942-K1942)*24*60),0)</f>
        <v>0</v>
      </c>
      <c r="AL1942" s="9">
        <f>IF(P1942="completed",((U1942-K1942)*24*60),0)</f>
        <v>0</v>
      </c>
      <c r="AM1942" s="9" t="str">
        <f t="shared" si="38"/>
        <v>OTP Breached</v>
      </c>
      <c r="AN1942" s="9" t="str">
        <f t="shared" si="39"/>
        <v>OTP Achieved</v>
      </c>
    </row>
    <row r="1943" spans="9:40" ht="15.75" customHeight="1">
      <c r="I1943" s="28"/>
      <c r="AD1943" s="9" t="str">
        <f t="shared" si="35"/>
        <v>Actual</v>
      </c>
      <c r="AE1943" s="9" t="str">
        <f t="shared" si="36"/>
        <v/>
      </c>
      <c r="AF1943" s="9">
        <f>HOUR(O1943)</f>
        <v>0</v>
      </c>
      <c r="AG1943" s="9">
        <f>DAY(O1943)</f>
        <v>0</v>
      </c>
      <c r="AH1943" s="9">
        <f>IFERROR((I1943-K1943)*24*60,0)</f>
        <v>0</v>
      </c>
      <c r="AI1943" s="9">
        <f t="shared" si="37"/>
        <v>0</v>
      </c>
      <c r="AJ1943" s="9">
        <f>C1943</f>
        <v>0</v>
      </c>
      <c r="AK1943" s="9">
        <f>IF(P1943="completed",((V1943-K1943)*24*60),0)</f>
        <v>0</v>
      </c>
      <c r="AL1943" s="9">
        <f>IF(P1943="completed",((U1943-K1943)*24*60),0)</f>
        <v>0</v>
      </c>
      <c r="AM1943" s="9" t="str">
        <f t="shared" si="38"/>
        <v>OTP Breached</v>
      </c>
      <c r="AN1943" s="9" t="str">
        <f t="shared" si="39"/>
        <v>OTP Achieved</v>
      </c>
    </row>
    <row r="1944" spans="9:40" ht="15.75" customHeight="1">
      <c r="I1944" s="28"/>
      <c r="AD1944" s="9" t="str">
        <f t="shared" si="35"/>
        <v>Actual</v>
      </c>
      <c r="AE1944" s="9" t="str">
        <f t="shared" si="36"/>
        <v/>
      </c>
      <c r="AF1944" s="9">
        <f>HOUR(O1944)</f>
        <v>0</v>
      </c>
      <c r="AG1944" s="9">
        <f>DAY(O1944)</f>
        <v>0</v>
      </c>
      <c r="AH1944" s="9">
        <f>IFERROR((I1944-K1944)*24*60,0)</f>
        <v>0</v>
      </c>
      <c r="AI1944" s="9">
        <f t="shared" si="37"/>
        <v>0</v>
      </c>
      <c r="AJ1944" s="9">
        <f>C1944</f>
        <v>0</v>
      </c>
      <c r="AK1944" s="9">
        <f>IF(P1944="completed",((V1944-K1944)*24*60),0)</f>
        <v>0</v>
      </c>
      <c r="AL1944" s="9">
        <f>IF(P1944="completed",((U1944-K1944)*24*60),0)</f>
        <v>0</v>
      </c>
      <c r="AM1944" s="9" t="str">
        <f t="shared" si="38"/>
        <v>OTP Breached</v>
      </c>
      <c r="AN1944" s="9" t="str">
        <f t="shared" si="39"/>
        <v>OTP Achieved</v>
      </c>
    </row>
    <row r="1945" spans="9:40" ht="15.75" customHeight="1">
      <c r="I1945" s="28"/>
      <c r="AD1945" s="9" t="str">
        <f t="shared" si="35"/>
        <v>Actual</v>
      </c>
      <c r="AE1945" s="9" t="str">
        <f t="shared" si="36"/>
        <v/>
      </c>
      <c r="AF1945" s="9">
        <f>HOUR(O1945)</f>
        <v>0</v>
      </c>
      <c r="AG1945" s="9">
        <f>DAY(O1945)</f>
        <v>0</v>
      </c>
      <c r="AH1945" s="9">
        <f>IFERROR((I1945-K1945)*24*60,0)</f>
        <v>0</v>
      </c>
      <c r="AI1945" s="9">
        <f t="shared" si="37"/>
        <v>0</v>
      </c>
      <c r="AJ1945" s="9">
        <f>C1945</f>
        <v>0</v>
      </c>
      <c r="AK1945" s="9">
        <f>IF(P1945="completed",((V1945-K1945)*24*60),0)</f>
        <v>0</v>
      </c>
      <c r="AL1945" s="9">
        <f>IF(P1945="completed",((U1945-K1945)*24*60),0)</f>
        <v>0</v>
      </c>
      <c r="AM1945" s="9" t="str">
        <f t="shared" si="38"/>
        <v>OTP Breached</v>
      </c>
      <c r="AN1945" s="9" t="str">
        <f t="shared" si="39"/>
        <v>OTP Achieved</v>
      </c>
    </row>
    <row r="1946" spans="9:40" ht="15.75" customHeight="1">
      <c r="I1946" s="28"/>
      <c r="AD1946" s="9" t="str">
        <f t="shared" si="35"/>
        <v>Actual</v>
      </c>
      <c r="AE1946" s="9" t="str">
        <f t="shared" si="36"/>
        <v/>
      </c>
      <c r="AF1946" s="9">
        <f>HOUR(O1946)</f>
        <v>0</v>
      </c>
      <c r="AG1946" s="9">
        <f>DAY(O1946)</f>
        <v>0</v>
      </c>
      <c r="AH1946" s="9">
        <f>IFERROR((I1946-K1946)*24*60,0)</f>
        <v>0</v>
      </c>
      <c r="AI1946" s="9">
        <f t="shared" si="37"/>
        <v>0</v>
      </c>
      <c r="AJ1946" s="9">
        <f>C1946</f>
        <v>0</v>
      </c>
      <c r="AK1946" s="9">
        <f>IF(P1946="completed",((V1946-K1946)*24*60),0)</f>
        <v>0</v>
      </c>
      <c r="AL1946" s="9">
        <f>IF(P1946="completed",((U1946-K1946)*24*60),0)</f>
        <v>0</v>
      </c>
      <c r="AM1946" s="9" t="str">
        <f t="shared" si="38"/>
        <v>OTP Breached</v>
      </c>
      <c r="AN1946" s="9" t="str">
        <f t="shared" si="39"/>
        <v>OTP Achieved</v>
      </c>
    </row>
    <row r="1947" spans="9:40" ht="15.75" customHeight="1">
      <c r="I1947" s="28"/>
      <c r="AD1947" s="9" t="str">
        <f t="shared" si="35"/>
        <v>Actual</v>
      </c>
      <c r="AE1947" s="9" t="str">
        <f t="shared" si="36"/>
        <v/>
      </c>
      <c r="AF1947" s="9">
        <f>HOUR(O1947)</f>
        <v>0</v>
      </c>
      <c r="AG1947" s="9">
        <f>DAY(O1947)</f>
        <v>0</v>
      </c>
      <c r="AH1947" s="9">
        <f>IFERROR((I1947-K1947)*24*60,0)</f>
        <v>0</v>
      </c>
      <c r="AI1947" s="9">
        <f t="shared" si="37"/>
        <v>0</v>
      </c>
      <c r="AJ1947" s="9">
        <f>C1947</f>
        <v>0</v>
      </c>
      <c r="AK1947" s="9">
        <f>IF(P1947="completed",((V1947-K1947)*24*60),0)</f>
        <v>0</v>
      </c>
      <c r="AL1947" s="9">
        <f>IF(P1947="completed",((U1947-K1947)*24*60),0)</f>
        <v>0</v>
      </c>
      <c r="AM1947" s="9" t="str">
        <f t="shared" si="38"/>
        <v>OTP Breached</v>
      </c>
      <c r="AN1947" s="9" t="str">
        <f t="shared" si="39"/>
        <v>OTP Achieved</v>
      </c>
    </row>
    <row r="1948" spans="9:40" ht="15.75" customHeight="1">
      <c r="I1948" s="28"/>
      <c r="AD1948" s="9" t="str">
        <f t="shared" si="35"/>
        <v>Actual</v>
      </c>
      <c r="AE1948" s="9" t="str">
        <f t="shared" si="36"/>
        <v/>
      </c>
      <c r="AF1948" s="9">
        <f>HOUR(O1948)</f>
        <v>0</v>
      </c>
      <c r="AG1948" s="9">
        <f>DAY(O1948)</f>
        <v>0</v>
      </c>
      <c r="AH1948" s="9">
        <f>IFERROR((I1948-K1948)*24*60,0)</f>
        <v>0</v>
      </c>
      <c r="AI1948" s="9">
        <f t="shared" si="37"/>
        <v>0</v>
      </c>
      <c r="AJ1948" s="9">
        <f>C1948</f>
        <v>0</v>
      </c>
      <c r="AK1948" s="9">
        <f>IF(P1948="completed",((V1948-K1948)*24*60),0)</f>
        <v>0</v>
      </c>
      <c r="AL1948" s="9">
        <f>IF(P1948="completed",((U1948-K1948)*24*60),0)</f>
        <v>0</v>
      </c>
      <c r="AM1948" s="9" t="str">
        <f t="shared" si="38"/>
        <v>OTP Breached</v>
      </c>
      <c r="AN1948" s="9" t="str">
        <f t="shared" si="39"/>
        <v>OTP Achieved</v>
      </c>
    </row>
    <row r="1949" spans="9:40" ht="15.75" customHeight="1">
      <c r="I1949" s="28"/>
      <c r="AD1949" s="9" t="str">
        <f t="shared" si="35"/>
        <v>Actual</v>
      </c>
      <c r="AE1949" s="9" t="str">
        <f t="shared" si="36"/>
        <v/>
      </c>
      <c r="AF1949" s="9">
        <f>HOUR(O1949)</f>
        <v>0</v>
      </c>
      <c r="AG1949" s="9">
        <f>DAY(O1949)</f>
        <v>0</v>
      </c>
      <c r="AH1949" s="9">
        <f>IFERROR((I1949-K1949)*24*60,0)</f>
        <v>0</v>
      </c>
      <c r="AI1949" s="9">
        <f t="shared" si="37"/>
        <v>0</v>
      </c>
      <c r="AJ1949" s="9">
        <f>C1949</f>
        <v>0</v>
      </c>
      <c r="AK1949" s="9">
        <f>IF(P1949="completed",((V1949-K1949)*24*60),0)</f>
        <v>0</v>
      </c>
      <c r="AL1949" s="9">
        <f>IF(P1949="completed",((U1949-K1949)*24*60),0)</f>
        <v>0</v>
      </c>
      <c r="AM1949" s="9" t="str">
        <f t="shared" si="38"/>
        <v>OTP Breached</v>
      </c>
      <c r="AN1949" s="9" t="str">
        <f t="shared" si="39"/>
        <v>OTP Achieved</v>
      </c>
    </row>
    <row r="1950" spans="9:40" ht="15.75" customHeight="1">
      <c r="I1950" s="28"/>
      <c r="AD1950" s="9" t="str">
        <f t="shared" si="35"/>
        <v>Actual</v>
      </c>
      <c r="AE1950" s="9" t="str">
        <f t="shared" si="36"/>
        <v/>
      </c>
      <c r="AF1950" s="9">
        <f>HOUR(O1950)</f>
        <v>0</v>
      </c>
      <c r="AG1950" s="9">
        <f>DAY(O1950)</f>
        <v>0</v>
      </c>
      <c r="AH1950" s="9">
        <f>IFERROR((I1950-K1950)*24*60,0)</f>
        <v>0</v>
      </c>
      <c r="AI1950" s="9">
        <f t="shared" si="37"/>
        <v>0</v>
      </c>
      <c r="AJ1950" s="9">
        <f>C1950</f>
        <v>0</v>
      </c>
      <c r="AK1950" s="9">
        <f>IF(P1950="completed",((V1950-K1950)*24*60),0)</f>
        <v>0</v>
      </c>
      <c r="AL1950" s="9">
        <f>IF(P1950="completed",((U1950-K1950)*24*60),0)</f>
        <v>0</v>
      </c>
      <c r="AM1950" s="9" t="str">
        <f t="shared" si="38"/>
        <v>OTP Breached</v>
      </c>
      <c r="AN1950" s="9" t="str">
        <f t="shared" si="39"/>
        <v>OTP Achieved</v>
      </c>
    </row>
    <row r="1951" spans="9:40" ht="15.75" customHeight="1">
      <c r="I1951" s="28"/>
      <c r="AD1951" s="9" t="str">
        <f t="shared" si="35"/>
        <v>Actual</v>
      </c>
      <c r="AE1951" s="9" t="str">
        <f t="shared" si="36"/>
        <v/>
      </c>
      <c r="AF1951" s="9">
        <f>HOUR(O1951)</f>
        <v>0</v>
      </c>
      <c r="AG1951" s="9">
        <f>DAY(O1951)</f>
        <v>0</v>
      </c>
      <c r="AH1951" s="9">
        <f>IFERROR((I1951-K1951)*24*60,0)</f>
        <v>0</v>
      </c>
      <c r="AI1951" s="9">
        <f t="shared" si="37"/>
        <v>0</v>
      </c>
      <c r="AJ1951" s="9">
        <f>C1951</f>
        <v>0</v>
      </c>
      <c r="AK1951" s="9">
        <f>IF(P1951="completed",((V1951-K1951)*24*60),0)</f>
        <v>0</v>
      </c>
      <c r="AL1951" s="9">
        <f>IF(P1951="completed",((U1951-K1951)*24*60),0)</f>
        <v>0</v>
      </c>
      <c r="AM1951" s="9" t="str">
        <f t="shared" si="38"/>
        <v>OTP Breached</v>
      </c>
      <c r="AN1951" s="9" t="str">
        <f t="shared" si="39"/>
        <v>OTP Achieved</v>
      </c>
    </row>
    <row r="1952" spans="9:40" ht="15.75" customHeight="1">
      <c r="I1952" s="28"/>
      <c r="AD1952" s="9" t="str">
        <f t="shared" si="35"/>
        <v>Actual</v>
      </c>
      <c r="AE1952" s="9" t="str">
        <f t="shared" si="36"/>
        <v/>
      </c>
      <c r="AF1952" s="9">
        <f>HOUR(O1952)</f>
        <v>0</v>
      </c>
      <c r="AG1952" s="9">
        <f>DAY(O1952)</f>
        <v>0</v>
      </c>
      <c r="AH1952" s="9">
        <f>IFERROR((I1952-K1952)*24*60,0)</f>
        <v>0</v>
      </c>
      <c r="AI1952" s="9">
        <f t="shared" si="37"/>
        <v>0</v>
      </c>
      <c r="AJ1952" s="9">
        <f>C1952</f>
        <v>0</v>
      </c>
      <c r="AK1952" s="9">
        <f>IF(P1952="completed",((V1952-K1952)*24*60),0)</f>
        <v>0</v>
      </c>
      <c r="AL1952" s="9">
        <f>IF(P1952="completed",((U1952-K1952)*24*60),0)</f>
        <v>0</v>
      </c>
      <c r="AM1952" s="9" t="str">
        <f t="shared" si="38"/>
        <v>OTP Breached</v>
      </c>
      <c r="AN1952" s="9" t="str">
        <f t="shared" si="39"/>
        <v>OTP Achieved</v>
      </c>
    </row>
    <row r="1953" spans="9:40" ht="15.75" customHeight="1">
      <c r="I1953" s="28"/>
      <c r="AD1953" s="9" t="str">
        <f t="shared" si="35"/>
        <v>Actual</v>
      </c>
      <c r="AE1953" s="9" t="str">
        <f t="shared" si="36"/>
        <v/>
      </c>
      <c r="AF1953" s="9">
        <f>HOUR(O1953)</f>
        <v>0</v>
      </c>
      <c r="AG1953" s="9">
        <f>DAY(O1953)</f>
        <v>0</v>
      </c>
      <c r="AH1953" s="9">
        <f>IFERROR((I1953-K1953)*24*60,0)</f>
        <v>0</v>
      </c>
      <c r="AI1953" s="9">
        <f t="shared" si="37"/>
        <v>0</v>
      </c>
      <c r="AJ1953" s="9">
        <f>C1953</f>
        <v>0</v>
      </c>
      <c r="AK1953" s="9">
        <f>IF(P1953="completed",((V1953-K1953)*24*60),0)</f>
        <v>0</v>
      </c>
      <c r="AL1953" s="9">
        <f>IF(P1953="completed",((U1953-K1953)*24*60),0)</f>
        <v>0</v>
      </c>
      <c r="AM1953" s="9" t="str">
        <f t="shared" si="38"/>
        <v>OTP Breached</v>
      </c>
      <c r="AN1953" s="9" t="str">
        <f t="shared" si="39"/>
        <v>OTP Achieved</v>
      </c>
    </row>
    <row r="1954" spans="9:40" ht="15.75" customHeight="1">
      <c r="I1954" s="28"/>
      <c r="AD1954" s="9" t="str">
        <f t="shared" si="35"/>
        <v>Actual</v>
      </c>
      <c r="AE1954" s="9" t="str">
        <f t="shared" si="36"/>
        <v/>
      </c>
      <c r="AF1954" s="9">
        <f>HOUR(O1954)</f>
        <v>0</v>
      </c>
      <c r="AG1954" s="9">
        <f>DAY(O1954)</f>
        <v>0</v>
      </c>
      <c r="AH1954" s="9">
        <f>IFERROR((I1954-K1954)*24*60,0)</f>
        <v>0</v>
      </c>
      <c r="AI1954" s="9">
        <f t="shared" si="37"/>
        <v>0</v>
      </c>
      <c r="AJ1954" s="9">
        <f>C1954</f>
        <v>0</v>
      </c>
      <c r="AK1954" s="9">
        <f>IF(P1954="completed",((V1954-K1954)*24*60),0)</f>
        <v>0</v>
      </c>
      <c r="AL1954" s="9">
        <f>IF(P1954="completed",((U1954-K1954)*24*60),0)</f>
        <v>0</v>
      </c>
      <c r="AM1954" s="9" t="str">
        <f t="shared" si="38"/>
        <v>OTP Breached</v>
      </c>
      <c r="AN1954" s="9" t="str">
        <f t="shared" si="39"/>
        <v>OTP Achieved</v>
      </c>
    </row>
    <row r="1955" spans="9:40" ht="15.75" customHeight="1">
      <c r="I1955" s="28"/>
      <c r="AD1955" s="9" t="str">
        <f t="shared" si="35"/>
        <v>Actual</v>
      </c>
      <c r="AE1955" s="9" t="str">
        <f t="shared" si="36"/>
        <v/>
      </c>
      <c r="AF1955" s="9">
        <f>HOUR(O1955)</f>
        <v>0</v>
      </c>
      <c r="AG1955" s="9">
        <f>DAY(O1955)</f>
        <v>0</v>
      </c>
      <c r="AH1955" s="9">
        <f>IFERROR((I1955-K1955)*24*60,0)</f>
        <v>0</v>
      </c>
      <c r="AI1955" s="9">
        <f t="shared" si="37"/>
        <v>0</v>
      </c>
      <c r="AJ1955" s="9">
        <f>C1955</f>
        <v>0</v>
      </c>
      <c r="AK1955" s="9">
        <f>IF(P1955="completed",((V1955-K1955)*24*60),0)</f>
        <v>0</v>
      </c>
      <c r="AL1955" s="9">
        <f>IF(P1955="completed",((U1955-K1955)*24*60),0)</f>
        <v>0</v>
      </c>
      <c r="AM1955" s="9" t="str">
        <f t="shared" si="38"/>
        <v>OTP Breached</v>
      </c>
      <c r="AN1955" s="9" t="str">
        <f t="shared" si="39"/>
        <v>OTP Achieved</v>
      </c>
    </row>
    <row r="1956" spans="9:40" ht="15.75" customHeight="1">
      <c r="I1956" s="28"/>
      <c r="AD1956" s="9" t="str">
        <f t="shared" si="35"/>
        <v>Actual</v>
      </c>
      <c r="AE1956" s="9" t="str">
        <f t="shared" si="36"/>
        <v/>
      </c>
      <c r="AF1956" s="9">
        <f>HOUR(O1956)</f>
        <v>0</v>
      </c>
      <c r="AG1956" s="9">
        <f>DAY(O1956)</f>
        <v>0</v>
      </c>
      <c r="AH1956" s="9">
        <f>IFERROR((I1956-K1956)*24*60,0)</f>
        <v>0</v>
      </c>
      <c r="AI1956" s="9">
        <f t="shared" si="37"/>
        <v>0</v>
      </c>
      <c r="AJ1956" s="9">
        <f>C1956</f>
        <v>0</v>
      </c>
      <c r="AK1956" s="9">
        <f>IF(P1956="completed",((V1956-K1956)*24*60),0)</f>
        <v>0</v>
      </c>
      <c r="AL1956" s="9">
        <f>IF(P1956="completed",((U1956-K1956)*24*60),0)</f>
        <v>0</v>
      </c>
      <c r="AM1956" s="9" t="str">
        <f t="shared" si="38"/>
        <v>OTP Breached</v>
      </c>
      <c r="AN1956" s="9" t="str">
        <f t="shared" si="39"/>
        <v>OTP Achieved</v>
      </c>
    </row>
    <row r="1957" spans="9:40" ht="15.75" customHeight="1">
      <c r="I1957" s="28"/>
      <c r="AD1957" s="9" t="str">
        <f t="shared" si="35"/>
        <v>Actual</v>
      </c>
      <c r="AE1957" s="9" t="str">
        <f t="shared" si="36"/>
        <v/>
      </c>
      <c r="AF1957" s="9">
        <f>HOUR(O1957)</f>
        <v>0</v>
      </c>
      <c r="AG1957" s="9">
        <f>DAY(O1957)</f>
        <v>0</v>
      </c>
      <c r="AH1957" s="9">
        <f>IFERROR((I1957-K1957)*24*60,0)</f>
        <v>0</v>
      </c>
      <c r="AI1957" s="9">
        <f t="shared" si="37"/>
        <v>0</v>
      </c>
      <c r="AJ1957" s="9">
        <f>C1957</f>
        <v>0</v>
      </c>
      <c r="AK1957" s="9">
        <f>IF(P1957="completed",((V1957-K1957)*24*60),0)</f>
        <v>0</v>
      </c>
      <c r="AL1957" s="9">
        <f>IF(P1957="completed",((U1957-K1957)*24*60),0)</f>
        <v>0</v>
      </c>
      <c r="AM1957" s="9" t="str">
        <f t="shared" si="38"/>
        <v>OTP Breached</v>
      </c>
      <c r="AN1957" s="9" t="str">
        <f t="shared" si="39"/>
        <v>OTP Achieved</v>
      </c>
    </row>
    <row r="1958" spans="9:40" ht="15.75" customHeight="1">
      <c r="I1958" s="28"/>
      <c r="AD1958" s="9" t="str">
        <f t="shared" si="35"/>
        <v>Actual</v>
      </c>
      <c r="AE1958" s="9" t="str">
        <f t="shared" si="36"/>
        <v/>
      </c>
      <c r="AF1958" s="9">
        <f>HOUR(O1958)</f>
        <v>0</v>
      </c>
      <c r="AG1958" s="9">
        <f>DAY(O1958)</f>
        <v>0</v>
      </c>
      <c r="AH1958" s="9">
        <f>IFERROR((I1958-K1958)*24*60,0)</f>
        <v>0</v>
      </c>
      <c r="AI1958" s="9">
        <f t="shared" si="37"/>
        <v>0</v>
      </c>
      <c r="AJ1958" s="9">
        <f>C1958</f>
        <v>0</v>
      </c>
      <c r="AK1958" s="9">
        <f>IF(P1958="completed",((V1958-K1958)*24*60),0)</f>
        <v>0</v>
      </c>
      <c r="AL1958" s="9">
        <f>IF(P1958="completed",((U1958-K1958)*24*60),0)</f>
        <v>0</v>
      </c>
      <c r="AM1958" s="9" t="str">
        <f t="shared" si="38"/>
        <v>OTP Breached</v>
      </c>
      <c r="AN1958" s="9" t="str">
        <f t="shared" si="39"/>
        <v>OTP Achieved</v>
      </c>
    </row>
    <row r="1959" spans="9:40" ht="15.75" customHeight="1">
      <c r="I1959" s="28"/>
      <c r="AD1959" s="9" t="str">
        <f t="shared" si="35"/>
        <v>Actual</v>
      </c>
      <c r="AE1959" s="9" t="str">
        <f t="shared" si="36"/>
        <v/>
      </c>
      <c r="AF1959" s="9">
        <f>HOUR(O1959)</f>
        <v>0</v>
      </c>
      <c r="AG1959" s="9">
        <f>DAY(O1959)</f>
        <v>0</v>
      </c>
      <c r="AH1959" s="9">
        <f>IFERROR((I1959-K1959)*24*60,0)</f>
        <v>0</v>
      </c>
      <c r="AI1959" s="9">
        <f t="shared" si="37"/>
        <v>0</v>
      </c>
      <c r="AJ1959" s="9">
        <f>C1959</f>
        <v>0</v>
      </c>
      <c r="AK1959" s="9">
        <f>IF(P1959="completed",((V1959-K1959)*24*60),0)</f>
        <v>0</v>
      </c>
      <c r="AL1959" s="9">
        <f>IF(P1959="completed",((U1959-K1959)*24*60),0)</f>
        <v>0</v>
      </c>
      <c r="AM1959" s="9" t="str">
        <f t="shared" si="38"/>
        <v>OTP Breached</v>
      </c>
      <c r="AN1959" s="9" t="str">
        <f t="shared" si="39"/>
        <v>OTP Achieved</v>
      </c>
    </row>
    <row r="1960" spans="9:40" ht="15.75" customHeight="1">
      <c r="I1960" s="28"/>
      <c r="AD1960" s="9" t="str">
        <f t="shared" si="35"/>
        <v>Actual</v>
      </c>
      <c r="AE1960" s="9" t="str">
        <f t="shared" si="36"/>
        <v/>
      </c>
      <c r="AF1960" s="9">
        <f>HOUR(O1960)</f>
        <v>0</v>
      </c>
      <c r="AG1960" s="9">
        <f>DAY(O1960)</f>
        <v>0</v>
      </c>
      <c r="AH1960" s="9">
        <f>IFERROR((I1960-K1960)*24*60,0)</f>
        <v>0</v>
      </c>
      <c r="AI1960" s="9">
        <f t="shared" si="37"/>
        <v>0</v>
      </c>
      <c r="AJ1960" s="9">
        <f>C1960</f>
        <v>0</v>
      </c>
      <c r="AK1960" s="9">
        <f>IF(P1960="completed",((V1960-K1960)*24*60),0)</f>
        <v>0</v>
      </c>
      <c r="AL1960" s="9">
        <f>IF(P1960="completed",((U1960-K1960)*24*60),0)</f>
        <v>0</v>
      </c>
      <c r="AM1960" s="9" t="str">
        <f t="shared" si="38"/>
        <v>OTP Breached</v>
      </c>
      <c r="AN1960" s="9" t="str">
        <f t="shared" si="39"/>
        <v>OTP Achieved</v>
      </c>
    </row>
    <row r="1961" spans="9:40" ht="15.75" customHeight="1">
      <c r="I1961" s="28"/>
      <c r="AD1961" s="9" t="str">
        <f t="shared" si="35"/>
        <v>Actual</v>
      </c>
      <c r="AE1961" s="9" t="str">
        <f t="shared" si="36"/>
        <v/>
      </c>
      <c r="AF1961" s="9">
        <f>HOUR(O1961)</f>
        <v>0</v>
      </c>
      <c r="AG1961" s="9">
        <f>DAY(O1961)</f>
        <v>0</v>
      </c>
      <c r="AH1961" s="9">
        <f>IFERROR((I1961-K1961)*24*60,0)</f>
        <v>0</v>
      </c>
      <c r="AI1961" s="9">
        <f t="shared" si="37"/>
        <v>0</v>
      </c>
      <c r="AJ1961" s="9">
        <f>C1961</f>
        <v>0</v>
      </c>
      <c r="AK1961" s="9">
        <f>IF(P1961="completed",((V1961-K1961)*24*60),0)</f>
        <v>0</v>
      </c>
      <c r="AL1961" s="9">
        <f>IF(P1961="completed",((U1961-K1961)*24*60),0)</f>
        <v>0</v>
      </c>
      <c r="AM1961" s="9" t="str">
        <f t="shared" si="38"/>
        <v>OTP Breached</v>
      </c>
      <c r="AN1961" s="9" t="str">
        <f t="shared" si="39"/>
        <v>OTP Achieved</v>
      </c>
    </row>
    <row r="1962" spans="9:40" ht="15.75" customHeight="1">
      <c r="I1962" s="28"/>
      <c r="AD1962" s="9" t="str">
        <f t="shared" si="35"/>
        <v>Actual</v>
      </c>
      <c r="AE1962" s="9" t="str">
        <f t="shared" si="36"/>
        <v/>
      </c>
      <c r="AF1962" s="9">
        <f>HOUR(O1962)</f>
        <v>0</v>
      </c>
      <c r="AG1962" s="9">
        <f>DAY(O1962)</f>
        <v>0</v>
      </c>
      <c r="AH1962" s="9">
        <f>IFERROR((I1962-K1962)*24*60,0)</f>
        <v>0</v>
      </c>
      <c r="AI1962" s="9">
        <f t="shared" si="37"/>
        <v>0</v>
      </c>
      <c r="AJ1962" s="9">
        <f>C1962</f>
        <v>0</v>
      </c>
      <c r="AK1962" s="9">
        <f>IF(P1962="completed",((V1962-K1962)*24*60),0)</f>
        <v>0</v>
      </c>
      <c r="AL1962" s="9">
        <f>IF(P1962="completed",((U1962-K1962)*24*60),0)</f>
        <v>0</v>
      </c>
      <c r="AM1962" s="9" t="str">
        <f t="shared" si="38"/>
        <v>OTP Breached</v>
      </c>
      <c r="AN1962" s="9" t="str">
        <f t="shared" si="39"/>
        <v>OTP Achieved</v>
      </c>
    </row>
    <row r="1963" spans="9:40" ht="15.75" customHeight="1">
      <c r="I1963" s="28"/>
      <c r="AD1963" s="9" t="str">
        <f t="shared" si="35"/>
        <v>Actual</v>
      </c>
      <c r="AE1963" s="9" t="str">
        <f t="shared" si="36"/>
        <v/>
      </c>
      <c r="AF1963" s="9">
        <f>HOUR(O1963)</f>
        <v>0</v>
      </c>
      <c r="AG1963" s="9">
        <f>DAY(O1963)</f>
        <v>0</v>
      </c>
      <c r="AH1963" s="9">
        <f>IFERROR((I1963-K1963)*24*60,0)</f>
        <v>0</v>
      </c>
      <c r="AI1963" s="9">
        <f t="shared" si="37"/>
        <v>0</v>
      </c>
      <c r="AJ1963" s="9">
        <f>C1963</f>
        <v>0</v>
      </c>
      <c r="AK1963" s="9">
        <f>IF(P1963="completed",((V1963-K1963)*24*60),0)</f>
        <v>0</v>
      </c>
      <c r="AL1963" s="9">
        <f>IF(P1963="completed",((U1963-K1963)*24*60),0)</f>
        <v>0</v>
      </c>
      <c r="AM1963" s="9" t="str">
        <f t="shared" si="38"/>
        <v>OTP Breached</v>
      </c>
      <c r="AN1963" s="9" t="str">
        <f t="shared" si="39"/>
        <v>OTP Achieved</v>
      </c>
    </row>
    <row r="1964" spans="9:40" ht="15.75" customHeight="1">
      <c r="I1964" s="28"/>
      <c r="AD1964" s="9" t="str">
        <f t="shared" si="35"/>
        <v>Actual</v>
      </c>
      <c r="AE1964" s="9" t="str">
        <f t="shared" si="36"/>
        <v/>
      </c>
      <c r="AF1964" s="9">
        <f>HOUR(O1964)</f>
        <v>0</v>
      </c>
      <c r="AG1964" s="9">
        <f>DAY(O1964)</f>
        <v>0</v>
      </c>
      <c r="AH1964" s="9">
        <f>IFERROR((I1964-K1964)*24*60,0)</f>
        <v>0</v>
      </c>
      <c r="AI1964" s="9">
        <f t="shared" si="37"/>
        <v>0</v>
      </c>
      <c r="AJ1964" s="9">
        <f>C1964</f>
        <v>0</v>
      </c>
      <c r="AK1964" s="9">
        <f>IF(P1964="completed",((V1964-K1964)*24*60),0)</f>
        <v>0</v>
      </c>
      <c r="AL1964" s="9">
        <f>IF(P1964="completed",((U1964-K1964)*24*60),0)</f>
        <v>0</v>
      </c>
      <c r="AM1964" s="9" t="str">
        <f t="shared" si="38"/>
        <v>OTP Breached</v>
      </c>
      <c r="AN1964" s="9" t="str">
        <f t="shared" si="39"/>
        <v>OTP Achieved</v>
      </c>
    </row>
    <row r="1965" spans="9:40" ht="15.75" customHeight="1">
      <c r="I1965" s="28"/>
      <c r="AD1965" s="9" t="str">
        <f t="shared" si="35"/>
        <v>Actual</v>
      </c>
      <c r="AE1965" s="9" t="str">
        <f t="shared" si="36"/>
        <v/>
      </c>
      <c r="AF1965" s="9">
        <f>HOUR(O1965)</f>
        <v>0</v>
      </c>
      <c r="AG1965" s="9">
        <f>DAY(O1965)</f>
        <v>0</v>
      </c>
      <c r="AH1965" s="9">
        <f>IFERROR((I1965-K1965)*24*60,0)</f>
        <v>0</v>
      </c>
      <c r="AI1965" s="9">
        <f t="shared" si="37"/>
        <v>0</v>
      </c>
      <c r="AJ1965" s="9">
        <f>C1965</f>
        <v>0</v>
      </c>
      <c r="AK1965" s="9">
        <f>IF(P1965="completed",((V1965-K1965)*24*60),0)</f>
        <v>0</v>
      </c>
      <c r="AL1965" s="9">
        <f>IF(P1965="completed",((U1965-K1965)*24*60),0)</f>
        <v>0</v>
      </c>
      <c r="AM1965" s="9" t="str">
        <f t="shared" si="38"/>
        <v>OTP Breached</v>
      </c>
      <c r="AN1965" s="9" t="str">
        <f t="shared" si="39"/>
        <v>OTP Achieved</v>
      </c>
    </row>
    <row r="1966" spans="9:40" ht="15.75" customHeight="1">
      <c r="I1966" s="28"/>
      <c r="AD1966" s="9" t="str">
        <f t="shared" si="35"/>
        <v>Actual</v>
      </c>
      <c r="AE1966" s="9" t="str">
        <f t="shared" si="36"/>
        <v/>
      </c>
      <c r="AF1966" s="9">
        <f>HOUR(O1966)</f>
        <v>0</v>
      </c>
      <c r="AG1966" s="9">
        <f>DAY(O1966)</f>
        <v>0</v>
      </c>
      <c r="AH1966" s="9">
        <f>IFERROR((I1966-K1966)*24*60,0)</f>
        <v>0</v>
      </c>
      <c r="AI1966" s="9">
        <f t="shared" si="37"/>
        <v>0</v>
      </c>
      <c r="AJ1966" s="9">
        <f>C1966</f>
        <v>0</v>
      </c>
      <c r="AK1966" s="9">
        <f>IF(P1966="completed",((V1966-K1966)*24*60),0)</f>
        <v>0</v>
      </c>
      <c r="AL1966" s="9">
        <f>IF(P1966="completed",((U1966-K1966)*24*60),0)</f>
        <v>0</v>
      </c>
      <c r="AM1966" s="9" t="str">
        <f t="shared" si="38"/>
        <v>OTP Breached</v>
      </c>
      <c r="AN1966" s="9" t="str">
        <f t="shared" si="39"/>
        <v>OTP Achieved</v>
      </c>
    </row>
    <row r="1967" spans="9:40" ht="15.75" customHeight="1">
      <c r="I1967" s="28"/>
      <c r="AD1967" s="9" t="str">
        <f t="shared" si="35"/>
        <v>Actual</v>
      </c>
      <c r="AE1967" s="9" t="str">
        <f t="shared" si="36"/>
        <v/>
      </c>
      <c r="AF1967" s="9">
        <f>HOUR(O1967)</f>
        <v>0</v>
      </c>
      <c r="AG1967" s="9">
        <f>DAY(O1967)</f>
        <v>0</v>
      </c>
      <c r="AH1967" s="9">
        <f>IFERROR((I1967-K1967)*24*60,0)</f>
        <v>0</v>
      </c>
      <c r="AI1967" s="9">
        <f t="shared" si="37"/>
        <v>0</v>
      </c>
      <c r="AJ1967" s="9">
        <f>C1967</f>
        <v>0</v>
      </c>
      <c r="AK1967" s="9">
        <f>IF(P1967="completed",((V1967-K1967)*24*60),0)</f>
        <v>0</v>
      </c>
      <c r="AL1967" s="9">
        <f>IF(P1967="completed",((U1967-K1967)*24*60),0)</f>
        <v>0</v>
      </c>
      <c r="AM1967" s="9" t="str">
        <f t="shared" si="38"/>
        <v>OTP Breached</v>
      </c>
      <c r="AN1967" s="9" t="str">
        <f t="shared" si="39"/>
        <v>OTP Achieved</v>
      </c>
    </row>
    <row r="1968" spans="9:40" ht="15.75" customHeight="1">
      <c r="I1968" s="28"/>
      <c r="AD1968" s="9" t="str">
        <f t="shared" si="35"/>
        <v>Actual</v>
      </c>
      <c r="AE1968" s="9" t="str">
        <f t="shared" si="36"/>
        <v/>
      </c>
      <c r="AF1968" s="9">
        <f>HOUR(O1968)</f>
        <v>0</v>
      </c>
      <c r="AG1968" s="9">
        <f>DAY(O1968)</f>
        <v>0</v>
      </c>
      <c r="AH1968" s="9">
        <f>IFERROR((I1968-K1968)*24*60,0)</f>
        <v>0</v>
      </c>
      <c r="AI1968" s="9">
        <f t="shared" si="37"/>
        <v>0</v>
      </c>
      <c r="AJ1968" s="9">
        <f>C1968</f>
        <v>0</v>
      </c>
      <c r="AK1968" s="9">
        <f>IF(P1968="completed",((V1968-K1968)*24*60),0)</f>
        <v>0</v>
      </c>
      <c r="AL1968" s="9">
        <f>IF(P1968="completed",((U1968-K1968)*24*60),0)</f>
        <v>0</v>
      </c>
      <c r="AM1968" s="9" t="str">
        <f t="shared" si="38"/>
        <v>OTP Breached</v>
      </c>
      <c r="AN1968" s="9" t="str">
        <f t="shared" si="39"/>
        <v>OTP Achieved</v>
      </c>
    </row>
    <row r="1969" spans="9:40" ht="15.75" customHeight="1">
      <c r="I1969" s="28"/>
      <c r="AD1969" s="9" t="str">
        <f t="shared" si="35"/>
        <v>Actual</v>
      </c>
      <c r="AE1969" s="9" t="str">
        <f t="shared" si="36"/>
        <v/>
      </c>
      <c r="AF1969" s="9">
        <f>HOUR(O1969)</f>
        <v>0</v>
      </c>
      <c r="AG1969" s="9">
        <f>DAY(O1969)</f>
        <v>0</v>
      </c>
      <c r="AH1969" s="9">
        <f>IFERROR((I1969-K1969)*24*60,0)</f>
        <v>0</v>
      </c>
      <c r="AI1969" s="9">
        <f t="shared" si="37"/>
        <v>0</v>
      </c>
      <c r="AJ1969" s="9">
        <f>C1969</f>
        <v>0</v>
      </c>
      <c r="AK1969" s="9">
        <f>IF(P1969="completed",((V1969-K1969)*24*60),0)</f>
        <v>0</v>
      </c>
      <c r="AL1969" s="9">
        <f>IF(P1969="completed",((U1969-K1969)*24*60),0)</f>
        <v>0</v>
      </c>
      <c r="AM1969" s="9" t="str">
        <f t="shared" si="38"/>
        <v>OTP Breached</v>
      </c>
      <c r="AN1969" s="9" t="str">
        <f t="shared" si="39"/>
        <v>OTP Achieved</v>
      </c>
    </row>
    <row r="1970" spans="9:40" ht="15.75" customHeight="1">
      <c r="I1970" s="28"/>
      <c r="AD1970" s="9" t="str">
        <f t="shared" si="35"/>
        <v>Actual</v>
      </c>
      <c r="AE1970" s="9" t="str">
        <f t="shared" si="36"/>
        <v/>
      </c>
      <c r="AF1970" s="9">
        <f>HOUR(O1970)</f>
        <v>0</v>
      </c>
      <c r="AG1970" s="9">
        <f>DAY(O1970)</f>
        <v>0</v>
      </c>
      <c r="AH1970" s="9">
        <f>IFERROR((I1970-K1970)*24*60,0)</f>
        <v>0</v>
      </c>
      <c r="AI1970" s="9">
        <f t="shared" si="37"/>
        <v>0</v>
      </c>
      <c r="AJ1970" s="9">
        <f>C1970</f>
        <v>0</v>
      </c>
      <c r="AK1970" s="9">
        <f>IF(P1970="completed",((V1970-K1970)*24*60),0)</f>
        <v>0</v>
      </c>
      <c r="AL1970" s="9">
        <f>IF(P1970="completed",((U1970-K1970)*24*60),0)</f>
        <v>0</v>
      </c>
      <c r="AM1970" s="9" t="str">
        <f t="shared" si="38"/>
        <v>OTP Breached</v>
      </c>
      <c r="AN1970" s="9" t="str">
        <f t="shared" si="39"/>
        <v>OTP Achieved</v>
      </c>
    </row>
    <row r="1971" spans="9:40" ht="15.75" customHeight="1">
      <c r="I1971" s="28"/>
      <c r="AD1971" s="9" t="str">
        <f t="shared" si="35"/>
        <v>Actual</v>
      </c>
      <c r="AE1971" s="9" t="str">
        <f t="shared" si="36"/>
        <v/>
      </c>
      <c r="AF1971" s="9">
        <f>HOUR(O1971)</f>
        <v>0</v>
      </c>
      <c r="AG1971" s="9">
        <f>DAY(O1971)</f>
        <v>0</v>
      </c>
      <c r="AH1971" s="9">
        <f>IFERROR((I1971-K1971)*24*60,0)</f>
        <v>0</v>
      </c>
      <c r="AI1971" s="9">
        <f t="shared" si="37"/>
        <v>0</v>
      </c>
      <c r="AJ1971" s="9">
        <f>C1971</f>
        <v>0</v>
      </c>
      <c r="AK1971" s="9">
        <f>IF(P1971="completed",((V1971-K1971)*24*60),0)</f>
        <v>0</v>
      </c>
      <c r="AL1971" s="9">
        <f>IF(P1971="completed",((U1971-K1971)*24*60),0)</f>
        <v>0</v>
      </c>
      <c r="AM1971" s="9" t="str">
        <f t="shared" si="38"/>
        <v>OTP Breached</v>
      </c>
      <c r="AN1971" s="9" t="str">
        <f t="shared" si="39"/>
        <v>OTP Achieved</v>
      </c>
    </row>
    <row r="1972" spans="9:40" ht="15.75" customHeight="1">
      <c r="I1972" s="28"/>
      <c r="AD1972" s="9" t="str">
        <f t="shared" si="35"/>
        <v>Actual</v>
      </c>
      <c r="AE1972" s="9" t="str">
        <f t="shared" si="36"/>
        <v/>
      </c>
      <c r="AF1972" s="9">
        <f>HOUR(O1972)</f>
        <v>0</v>
      </c>
      <c r="AG1972" s="9">
        <f>DAY(O1972)</f>
        <v>0</v>
      </c>
      <c r="AH1972" s="9">
        <f>IFERROR((I1972-K1972)*24*60,0)</f>
        <v>0</v>
      </c>
      <c r="AI1972" s="9">
        <f t="shared" si="37"/>
        <v>0</v>
      </c>
      <c r="AJ1972" s="9">
        <f>C1972</f>
        <v>0</v>
      </c>
      <c r="AK1972" s="9">
        <f>IF(P1972="completed",((V1972-K1972)*24*60),0)</f>
        <v>0</v>
      </c>
      <c r="AL1972" s="9">
        <f>IF(P1972="completed",((U1972-K1972)*24*60),0)</f>
        <v>0</v>
      </c>
      <c r="AM1972" s="9" t="str">
        <f t="shared" si="38"/>
        <v>OTP Breached</v>
      </c>
      <c r="AN1972" s="9" t="str">
        <f t="shared" si="39"/>
        <v>OTP Achieved</v>
      </c>
    </row>
    <row r="1973" spans="9:40" ht="15.75" customHeight="1">
      <c r="I1973" s="28"/>
      <c r="AD1973" s="9" t="str">
        <f t="shared" si="35"/>
        <v>Actual</v>
      </c>
      <c r="AE1973" s="9" t="str">
        <f t="shared" si="36"/>
        <v/>
      </c>
      <c r="AF1973" s="9">
        <f>HOUR(O1973)</f>
        <v>0</v>
      </c>
      <c r="AG1973" s="9">
        <f>DAY(O1973)</f>
        <v>0</v>
      </c>
      <c r="AH1973" s="9">
        <f>IFERROR((I1973-K1973)*24*60,0)</f>
        <v>0</v>
      </c>
      <c r="AI1973" s="9">
        <f t="shared" si="37"/>
        <v>0</v>
      </c>
      <c r="AJ1973" s="9">
        <f>C1973</f>
        <v>0</v>
      </c>
      <c r="AK1973" s="9">
        <f>IF(P1973="completed",((V1973-K1973)*24*60),0)</f>
        <v>0</v>
      </c>
      <c r="AL1973" s="9">
        <f>IF(P1973="completed",((U1973-K1973)*24*60),0)</f>
        <v>0</v>
      </c>
      <c r="AM1973" s="9" t="str">
        <f t="shared" si="38"/>
        <v>OTP Breached</v>
      </c>
      <c r="AN1973" s="9" t="str">
        <f t="shared" si="39"/>
        <v>OTP Achieved</v>
      </c>
    </row>
    <row r="1974" spans="9:40" ht="15.75" customHeight="1">
      <c r="I1974" s="28"/>
      <c r="AD1974" s="9" t="str">
        <f t="shared" si="35"/>
        <v>Actual</v>
      </c>
      <c r="AE1974" s="9" t="str">
        <f t="shared" si="36"/>
        <v/>
      </c>
      <c r="AF1974" s="9">
        <f>HOUR(O1974)</f>
        <v>0</v>
      </c>
      <c r="AG1974" s="9">
        <f>DAY(O1974)</f>
        <v>0</v>
      </c>
      <c r="AH1974" s="9">
        <f>IFERROR((I1974-K1974)*24*60,0)</f>
        <v>0</v>
      </c>
      <c r="AI1974" s="9">
        <f t="shared" si="37"/>
        <v>0</v>
      </c>
      <c r="AJ1974" s="9">
        <f>C1974</f>
        <v>0</v>
      </c>
      <c r="AK1974" s="9">
        <f>IF(P1974="completed",((V1974-K1974)*24*60),0)</f>
        <v>0</v>
      </c>
      <c r="AL1974" s="9">
        <f>IF(P1974="completed",((U1974-K1974)*24*60),0)</f>
        <v>0</v>
      </c>
      <c r="AM1974" s="9" t="str">
        <f t="shared" si="38"/>
        <v>OTP Breached</v>
      </c>
      <c r="AN1974" s="9" t="str">
        <f t="shared" si="39"/>
        <v>OTP Achieved</v>
      </c>
    </row>
    <row r="1975" spans="9:40" ht="15.75" customHeight="1">
      <c r="I1975" s="28"/>
      <c r="AD1975" s="9" t="str">
        <f t="shared" si="35"/>
        <v>Actual</v>
      </c>
      <c r="AE1975" s="9" t="str">
        <f t="shared" si="36"/>
        <v/>
      </c>
      <c r="AF1975" s="9">
        <f>HOUR(O1975)</f>
        <v>0</v>
      </c>
      <c r="AG1975" s="9">
        <f>DAY(O1975)</f>
        <v>0</v>
      </c>
      <c r="AH1975" s="9">
        <f>IFERROR((I1975-K1975)*24*60,0)</f>
        <v>0</v>
      </c>
      <c r="AI1975" s="9">
        <f t="shared" si="37"/>
        <v>0</v>
      </c>
      <c r="AJ1975" s="9">
        <f>C1975</f>
        <v>0</v>
      </c>
      <c r="AK1975" s="9">
        <f>IF(P1975="completed",((V1975-K1975)*24*60),0)</f>
        <v>0</v>
      </c>
      <c r="AL1975" s="9">
        <f>IF(P1975="completed",((U1975-K1975)*24*60),0)</f>
        <v>0</v>
      </c>
      <c r="AM1975" s="9" t="str">
        <f t="shared" si="38"/>
        <v>OTP Breached</v>
      </c>
      <c r="AN1975" s="9" t="str">
        <f t="shared" si="39"/>
        <v>OTP Achieved</v>
      </c>
    </row>
    <row r="1976" spans="9:40" ht="15.75" customHeight="1">
      <c r="I1976" s="28"/>
      <c r="AD1976" s="9" t="str">
        <f t="shared" si="35"/>
        <v>Actual</v>
      </c>
      <c r="AE1976" s="9" t="str">
        <f t="shared" si="36"/>
        <v/>
      </c>
      <c r="AF1976" s="9">
        <f>HOUR(O1976)</f>
        <v>0</v>
      </c>
      <c r="AG1976" s="9">
        <f>DAY(O1976)</f>
        <v>0</v>
      </c>
      <c r="AH1976" s="9">
        <f>IFERROR((I1976-K1976)*24*60,0)</f>
        <v>0</v>
      </c>
      <c r="AI1976" s="9">
        <f t="shared" si="37"/>
        <v>0</v>
      </c>
      <c r="AJ1976" s="9">
        <f>C1976</f>
        <v>0</v>
      </c>
      <c r="AK1976" s="9">
        <f>IF(P1976="completed",((V1976-K1976)*24*60),0)</f>
        <v>0</v>
      </c>
      <c r="AL1976" s="9">
        <f>IF(P1976="completed",((U1976-K1976)*24*60),0)</f>
        <v>0</v>
      </c>
      <c r="AM1976" s="9" t="str">
        <f t="shared" si="38"/>
        <v>OTP Breached</v>
      </c>
      <c r="AN1976" s="9" t="str">
        <f t="shared" si="39"/>
        <v>OTP Achieved</v>
      </c>
    </row>
    <row r="1977" spans="9:40" ht="15.75" customHeight="1">
      <c r="I1977" s="28"/>
      <c r="AD1977" s="9" t="str">
        <f t="shared" si="35"/>
        <v>Actual</v>
      </c>
      <c r="AE1977" s="9" t="str">
        <f t="shared" si="36"/>
        <v/>
      </c>
      <c r="AF1977" s="9">
        <f>HOUR(O1977)</f>
        <v>0</v>
      </c>
      <c r="AG1977" s="9">
        <f>DAY(O1977)</f>
        <v>0</v>
      </c>
      <c r="AH1977" s="9">
        <f>IFERROR((I1977-K1977)*24*60,0)</f>
        <v>0</v>
      </c>
      <c r="AI1977" s="9">
        <f t="shared" si="37"/>
        <v>0</v>
      </c>
      <c r="AJ1977" s="9">
        <f>C1977</f>
        <v>0</v>
      </c>
      <c r="AK1977" s="9">
        <f>IF(P1977="completed",((V1977-K1977)*24*60),0)</f>
        <v>0</v>
      </c>
      <c r="AL1977" s="9">
        <f>IF(P1977="completed",((U1977-K1977)*24*60),0)</f>
        <v>0</v>
      </c>
      <c r="AM1977" s="9" t="str">
        <f t="shared" si="38"/>
        <v>OTP Breached</v>
      </c>
      <c r="AN1977" s="9" t="str">
        <f t="shared" si="39"/>
        <v>OTP Achieved</v>
      </c>
    </row>
    <row r="1978" spans="9:40" ht="15.75" customHeight="1">
      <c r="I1978" s="28"/>
      <c r="AD1978" s="9" t="str">
        <f t="shared" si="35"/>
        <v>Actual</v>
      </c>
      <c r="AE1978" s="9" t="str">
        <f t="shared" si="36"/>
        <v/>
      </c>
      <c r="AF1978" s="9">
        <f>HOUR(O1978)</f>
        <v>0</v>
      </c>
      <c r="AG1978" s="9">
        <f>DAY(O1978)</f>
        <v>0</v>
      </c>
      <c r="AH1978" s="9">
        <f>IFERROR((I1978-K1978)*24*60,0)</f>
        <v>0</v>
      </c>
      <c r="AI1978" s="9">
        <f t="shared" si="37"/>
        <v>0</v>
      </c>
      <c r="AJ1978" s="9">
        <f>C1978</f>
        <v>0</v>
      </c>
      <c r="AK1978" s="9">
        <f>IF(P1978="completed",((V1978-K1978)*24*60),0)</f>
        <v>0</v>
      </c>
      <c r="AL1978" s="9">
        <f>IF(P1978="completed",((U1978-K1978)*24*60),0)</f>
        <v>0</v>
      </c>
      <c r="AM1978" s="9" t="str">
        <f t="shared" si="38"/>
        <v>OTP Breached</v>
      </c>
      <c r="AN1978" s="9" t="str">
        <f t="shared" si="39"/>
        <v>OTP Achieved</v>
      </c>
    </row>
    <row r="1979" spans="9:40" ht="15.75" customHeight="1">
      <c r="I1979" s="28"/>
      <c r="AD1979" s="9" t="str">
        <f t="shared" si="35"/>
        <v>Actual</v>
      </c>
      <c r="AE1979" s="9" t="str">
        <f t="shared" si="36"/>
        <v/>
      </c>
      <c r="AF1979" s="9">
        <f>HOUR(O1979)</f>
        <v>0</v>
      </c>
      <c r="AG1979" s="9">
        <f>DAY(O1979)</f>
        <v>0</v>
      </c>
      <c r="AH1979" s="9">
        <f>IFERROR((I1979-K1979)*24*60,0)</f>
        <v>0</v>
      </c>
      <c r="AI1979" s="9">
        <f t="shared" si="37"/>
        <v>0</v>
      </c>
      <c r="AJ1979" s="9">
        <f>C1979</f>
        <v>0</v>
      </c>
      <c r="AK1979" s="9">
        <f>IF(P1979="completed",((V1979-K1979)*24*60),0)</f>
        <v>0</v>
      </c>
      <c r="AL1979" s="9">
        <f>IF(P1979="completed",((U1979-K1979)*24*60),0)</f>
        <v>0</v>
      </c>
      <c r="AM1979" s="9" t="str">
        <f t="shared" si="38"/>
        <v>OTP Breached</v>
      </c>
      <c r="AN1979" s="9" t="str">
        <f t="shared" si="39"/>
        <v>OTP Achieved</v>
      </c>
    </row>
    <row r="1980" spans="9:40" ht="15.75" customHeight="1">
      <c r="I1980" s="28"/>
      <c r="AD1980" s="9" t="str">
        <f t="shared" si="35"/>
        <v>Actual</v>
      </c>
      <c r="AE1980" s="9" t="str">
        <f t="shared" si="36"/>
        <v/>
      </c>
      <c r="AF1980" s="9">
        <f>HOUR(O1980)</f>
        <v>0</v>
      </c>
      <c r="AG1980" s="9">
        <f>DAY(O1980)</f>
        <v>0</v>
      </c>
      <c r="AH1980" s="9">
        <f>IFERROR((I1980-K1980)*24*60,0)</f>
        <v>0</v>
      </c>
      <c r="AI1980" s="9">
        <f t="shared" si="37"/>
        <v>0</v>
      </c>
      <c r="AJ1980" s="9">
        <f>C1980</f>
        <v>0</v>
      </c>
      <c r="AK1980" s="9">
        <f>IF(P1980="completed",((V1980-K1980)*24*60),0)</f>
        <v>0</v>
      </c>
      <c r="AL1980" s="9">
        <f>IF(P1980="completed",((U1980-K1980)*24*60),0)</f>
        <v>0</v>
      </c>
      <c r="AM1980" s="9" t="str">
        <f t="shared" si="38"/>
        <v>OTP Breached</v>
      </c>
      <c r="AN1980" s="9" t="str">
        <f t="shared" si="39"/>
        <v>OTP Achieved</v>
      </c>
    </row>
    <row r="1981" spans="9:40" ht="15.75" customHeight="1">
      <c r="I1981" s="28"/>
      <c r="AD1981" s="9" t="str">
        <f t="shared" si="35"/>
        <v>Actual</v>
      </c>
      <c r="AE1981" s="9" t="str">
        <f t="shared" si="36"/>
        <v/>
      </c>
      <c r="AF1981" s="9">
        <f>HOUR(O1981)</f>
        <v>0</v>
      </c>
      <c r="AG1981" s="9">
        <f>DAY(O1981)</f>
        <v>0</v>
      </c>
      <c r="AH1981" s="9">
        <f>IFERROR((I1981-K1981)*24*60,0)</f>
        <v>0</v>
      </c>
      <c r="AI1981" s="9">
        <f t="shared" si="37"/>
        <v>0</v>
      </c>
      <c r="AJ1981" s="9">
        <f>C1981</f>
        <v>0</v>
      </c>
      <c r="AK1981" s="9">
        <f>IF(P1981="completed",((V1981-K1981)*24*60),0)</f>
        <v>0</v>
      </c>
      <c r="AL1981" s="9">
        <f>IF(P1981="completed",((U1981-K1981)*24*60),0)</f>
        <v>0</v>
      </c>
      <c r="AM1981" s="9" t="str">
        <f t="shared" si="38"/>
        <v>OTP Breached</v>
      </c>
      <c r="AN1981" s="9" t="str">
        <f t="shared" si="39"/>
        <v>OTP Achieved</v>
      </c>
    </row>
    <row r="1982" spans="9:40" ht="15.75" customHeight="1">
      <c r="I1982" s="28"/>
      <c r="AD1982" s="9" t="str">
        <f t="shared" si="35"/>
        <v>Actual</v>
      </c>
      <c r="AE1982" s="9" t="str">
        <f t="shared" si="36"/>
        <v/>
      </c>
      <c r="AF1982" s="9">
        <f>HOUR(O1982)</f>
        <v>0</v>
      </c>
      <c r="AG1982" s="9">
        <f>DAY(O1982)</f>
        <v>0</v>
      </c>
      <c r="AH1982" s="9">
        <f>IFERROR((I1982-K1982)*24*60,0)</f>
        <v>0</v>
      </c>
      <c r="AI1982" s="9">
        <f t="shared" si="37"/>
        <v>0</v>
      </c>
      <c r="AJ1982" s="9">
        <f>C1982</f>
        <v>0</v>
      </c>
      <c r="AK1982" s="9">
        <f>IF(P1982="completed",((V1982-K1982)*24*60),0)</f>
        <v>0</v>
      </c>
      <c r="AL1982" s="9">
        <f>IF(P1982="completed",((U1982-K1982)*24*60),0)</f>
        <v>0</v>
      </c>
      <c r="AM1982" s="9" t="str">
        <f t="shared" si="38"/>
        <v>OTP Breached</v>
      </c>
      <c r="AN1982" s="9" t="str">
        <f t="shared" si="39"/>
        <v>OTP Achieved</v>
      </c>
    </row>
    <row r="1983" spans="9:40" ht="15.75" customHeight="1">
      <c r="I1983" s="28"/>
      <c r="AD1983" s="9" t="str">
        <f t="shared" si="35"/>
        <v>Actual</v>
      </c>
      <c r="AE1983" s="9" t="str">
        <f t="shared" si="36"/>
        <v/>
      </c>
      <c r="AF1983" s="9">
        <f>HOUR(O1983)</f>
        <v>0</v>
      </c>
      <c r="AG1983" s="9">
        <f>DAY(O1983)</f>
        <v>0</v>
      </c>
      <c r="AH1983" s="9">
        <f>IFERROR((I1983-K1983)*24*60,0)</f>
        <v>0</v>
      </c>
      <c r="AI1983" s="9">
        <f t="shared" si="37"/>
        <v>0</v>
      </c>
      <c r="AJ1983" s="9">
        <f>C1983</f>
        <v>0</v>
      </c>
      <c r="AK1983" s="9">
        <f>IF(P1983="completed",((V1983-K1983)*24*60),0)</f>
        <v>0</v>
      </c>
      <c r="AL1983" s="9">
        <f>IF(P1983="completed",((U1983-K1983)*24*60),0)</f>
        <v>0</v>
      </c>
      <c r="AM1983" s="9" t="str">
        <f t="shared" si="38"/>
        <v>OTP Breached</v>
      </c>
      <c r="AN1983" s="9" t="str">
        <f t="shared" si="39"/>
        <v>OTP Achieved</v>
      </c>
    </row>
    <row r="1984" spans="9:40" ht="15.75" customHeight="1">
      <c r="I1984" s="28"/>
      <c r="AD1984" s="9" t="str">
        <f t="shared" si="35"/>
        <v>Actual</v>
      </c>
      <c r="AE1984" s="9" t="str">
        <f t="shared" si="36"/>
        <v/>
      </c>
      <c r="AF1984" s="9">
        <f>HOUR(O1984)</f>
        <v>0</v>
      </c>
      <c r="AG1984" s="9">
        <f>DAY(O1984)</f>
        <v>0</v>
      </c>
      <c r="AH1984" s="9">
        <f>IFERROR((I1984-K1984)*24*60,0)</f>
        <v>0</v>
      </c>
      <c r="AI1984" s="9">
        <f t="shared" si="37"/>
        <v>0</v>
      </c>
      <c r="AJ1984" s="9">
        <f>C1984</f>
        <v>0</v>
      </c>
      <c r="AK1984" s="9">
        <f>IF(P1984="completed",((V1984-K1984)*24*60),0)</f>
        <v>0</v>
      </c>
      <c r="AL1984" s="9">
        <f>IF(P1984="completed",((U1984-K1984)*24*60),0)</f>
        <v>0</v>
      </c>
      <c r="AM1984" s="9" t="str">
        <f t="shared" si="38"/>
        <v>OTP Breached</v>
      </c>
      <c r="AN1984" s="9" t="str">
        <f t="shared" si="39"/>
        <v>OTP Achieved</v>
      </c>
    </row>
    <row r="1985" spans="9:40" ht="15.75" customHeight="1">
      <c r="I1985" s="28"/>
      <c r="AD1985" s="9" t="str">
        <f t="shared" si="35"/>
        <v>Actual</v>
      </c>
      <c r="AE1985" s="9" t="str">
        <f t="shared" si="36"/>
        <v/>
      </c>
      <c r="AF1985" s="9">
        <f>HOUR(O1985)</f>
        <v>0</v>
      </c>
      <c r="AG1985" s="9">
        <f>DAY(O1985)</f>
        <v>0</v>
      </c>
      <c r="AH1985" s="9">
        <f>IFERROR((I1985-K1985)*24*60,0)</f>
        <v>0</v>
      </c>
      <c r="AI1985" s="9">
        <f t="shared" si="37"/>
        <v>0</v>
      </c>
      <c r="AJ1985" s="9">
        <f>C1985</f>
        <v>0</v>
      </c>
      <c r="AK1985" s="9">
        <f>IF(P1985="completed",((V1985-K1985)*24*60),0)</f>
        <v>0</v>
      </c>
      <c r="AL1985" s="9">
        <f>IF(P1985="completed",((U1985-K1985)*24*60),0)</f>
        <v>0</v>
      </c>
      <c r="AM1985" s="9" t="str">
        <f t="shared" si="38"/>
        <v>OTP Breached</v>
      </c>
      <c r="AN1985" s="9" t="str">
        <f t="shared" si="39"/>
        <v>OTP Achieved</v>
      </c>
    </row>
    <row r="1986" spans="9:40" ht="15.75" customHeight="1">
      <c r="I1986" s="28"/>
      <c r="AD1986" s="9" t="str">
        <f t="shared" si="35"/>
        <v>Actual</v>
      </c>
      <c r="AE1986" s="9" t="str">
        <f t="shared" si="36"/>
        <v/>
      </c>
      <c r="AF1986" s="9">
        <f>HOUR(O1986)</f>
        <v>0</v>
      </c>
      <c r="AG1986" s="9">
        <f>DAY(O1986)</f>
        <v>0</v>
      </c>
      <c r="AH1986" s="9">
        <f>IFERROR((I1986-K1986)*24*60,0)</f>
        <v>0</v>
      </c>
      <c r="AI1986" s="9">
        <f t="shared" si="37"/>
        <v>0</v>
      </c>
      <c r="AJ1986" s="9">
        <f>C1986</f>
        <v>0</v>
      </c>
      <c r="AK1986" s="9">
        <f>IF(P1986="completed",((V1986-K1986)*24*60),0)</f>
        <v>0</v>
      </c>
      <c r="AL1986" s="9">
        <f>IF(P1986="completed",((U1986-K1986)*24*60),0)</f>
        <v>0</v>
      </c>
      <c r="AM1986" s="9" t="str">
        <f t="shared" si="38"/>
        <v>OTP Breached</v>
      </c>
      <c r="AN1986" s="9" t="str">
        <f t="shared" si="39"/>
        <v>OTP Achieved</v>
      </c>
    </row>
    <row r="1987" spans="9:40" ht="15.75" customHeight="1">
      <c r="I1987" s="28"/>
      <c r="AD1987" s="9" t="str">
        <f t="shared" si="35"/>
        <v>Actual</v>
      </c>
      <c r="AE1987" s="9" t="str">
        <f t="shared" si="36"/>
        <v/>
      </c>
      <c r="AF1987" s="9">
        <f>HOUR(O1987)</f>
        <v>0</v>
      </c>
      <c r="AG1987" s="9">
        <f>DAY(O1987)</f>
        <v>0</v>
      </c>
      <c r="AH1987" s="9">
        <f>IFERROR((I1987-K1987)*24*60,0)</f>
        <v>0</v>
      </c>
      <c r="AI1987" s="9">
        <f t="shared" si="37"/>
        <v>0</v>
      </c>
      <c r="AJ1987" s="9">
        <f>C1987</f>
        <v>0</v>
      </c>
      <c r="AK1987" s="9">
        <f>IF(P1987="completed",((V1987-K1987)*24*60),0)</f>
        <v>0</v>
      </c>
      <c r="AL1987" s="9">
        <f>IF(P1987="completed",((U1987-K1987)*24*60),0)</f>
        <v>0</v>
      </c>
      <c r="AM1987" s="9" t="str">
        <f t="shared" si="38"/>
        <v>OTP Breached</v>
      </c>
      <c r="AN1987" s="9" t="str">
        <f t="shared" si="39"/>
        <v>OTP Achieved</v>
      </c>
    </row>
    <row r="1988" spans="9:40" ht="15.75" customHeight="1">
      <c r="I1988" s="28"/>
      <c r="AD1988" s="9" t="str">
        <f t="shared" si="35"/>
        <v>Actual</v>
      </c>
      <c r="AE1988" s="9" t="str">
        <f t="shared" si="36"/>
        <v/>
      </c>
      <c r="AF1988" s="9">
        <f>HOUR(O1988)</f>
        <v>0</v>
      </c>
      <c r="AG1988" s="9">
        <f>DAY(O1988)</f>
        <v>0</v>
      </c>
      <c r="AH1988" s="9">
        <f>IFERROR((I1988-K1988)*24*60,0)</f>
        <v>0</v>
      </c>
      <c r="AI1988" s="9">
        <f t="shared" si="37"/>
        <v>0</v>
      </c>
      <c r="AJ1988" s="9">
        <f>C1988</f>
        <v>0</v>
      </c>
      <c r="AK1988" s="9">
        <f>IF(P1988="completed",((V1988-K1988)*24*60),0)</f>
        <v>0</v>
      </c>
      <c r="AL1988" s="9">
        <f>IF(P1988="completed",((U1988-K1988)*24*60),0)</f>
        <v>0</v>
      </c>
      <c r="AM1988" s="9" t="str">
        <f t="shared" si="38"/>
        <v>OTP Breached</v>
      </c>
      <c r="AN1988" s="9" t="str">
        <f t="shared" si="39"/>
        <v>OTP Achieved</v>
      </c>
    </row>
    <row r="1989" spans="9:40" ht="15.75" customHeight="1">
      <c r="I1989" s="28"/>
      <c r="AD1989" s="9" t="str">
        <f t="shared" si="35"/>
        <v>Actual</v>
      </c>
      <c r="AE1989" s="9" t="str">
        <f t="shared" si="36"/>
        <v/>
      </c>
      <c r="AF1989" s="9">
        <f>HOUR(O1989)</f>
        <v>0</v>
      </c>
      <c r="AG1989" s="9">
        <f>DAY(O1989)</f>
        <v>0</v>
      </c>
      <c r="AH1989" s="9">
        <f>IFERROR((I1989-K1989)*24*60,0)</f>
        <v>0</v>
      </c>
      <c r="AI1989" s="9">
        <f t="shared" si="37"/>
        <v>0</v>
      </c>
      <c r="AJ1989" s="9">
        <f>C1989</f>
        <v>0</v>
      </c>
      <c r="AK1989" s="9">
        <f>IF(P1989="completed",((V1989-K1989)*24*60),0)</f>
        <v>0</v>
      </c>
      <c r="AL1989" s="9">
        <f>IF(P1989="completed",((U1989-K1989)*24*60),0)</f>
        <v>0</v>
      </c>
      <c r="AM1989" s="9" t="str">
        <f t="shared" si="38"/>
        <v>OTP Breached</v>
      </c>
      <c r="AN1989" s="9" t="str">
        <f t="shared" si="39"/>
        <v>OTP Achieved</v>
      </c>
    </row>
    <row r="1990" spans="9:40" ht="15.75" customHeight="1">
      <c r="I1990" s="28"/>
      <c r="AD1990" s="9" t="str">
        <f t="shared" si="35"/>
        <v>Actual</v>
      </c>
      <c r="AE1990" s="9" t="str">
        <f t="shared" si="36"/>
        <v/>
      </c>
      <c r="AF1990" s="9">
        <f>HOUR(O1990)</f>
        <v>0</v>
      </c>
      <c r="AG1990" s="9">
        <f>DAY(O1990)</f>
        <v>0</v>
      </c>
      <c r="AH1990" s="9">
        <f>IFERROR((I1990-K1990)*24*60,0)</f>
        <v>0</v>
      </c>
      <c r="AI1990" s="9">
        <f t="shared" si="37"/>
        <v>0</v>
      </c>
      <c r="AJ1990" s="9">
        <f>C1990</f>
        <v>0</v>
      </c>
      <c r="AK1990" s="9">
        <f>IF(P1990="completed",((V1990-K1990)*24*60),0)</f>
        <v>0</v>
      </c>
      <c r="AL1990" s="9">
        <f>IF(P1990="completed",((U1990-K1990)*24*60),0)</f>
        <v>0</v>
      </c>
      <c r="AM1990" s="9" t="str">
        <f t="shared" si="38"/>
        <v>OTP Breached</v>
      </c>
      <c r="AN1990" s="9" t="str">
        <f t="shared" si="39"/>
        <v>OTP Achieved</v>
      </c>
    </row>
    <row r="1991" spans="9:40" ht="15.75" customHeight="1">
      <c r="I1991" s="28"/>
      <c r="AD1991" s="9" t="str">
        <f t="shared" si="35"/>
        <v>Actual</v>
      </c>
      <c r="AE1991" s="9" t="str">
        <f t="shared" si="36"/>
        <v/>
      </c>
      <c r="AF1991" s="9">
        <f>HOUR(O1991)</f>
        <v>0</v>
      </c>
      <c r="AG1991" s="9">
        <f>DAY(O1991)</f>
        <v>0</v>
      </c>
      <c r="AH1991" s="9">
        <f>IFERROR((I1991-K1991)*24*60,0)</f>
        <v>0</v>
      </c>
      <c r="AI1991" s="9">
        <f t="shared" si="37"/>
        <v>0</v>
      </c>
      <c r="AJ1991" s="9">
        <f>C1991</f>
        <v>0</v>
      </c>
      <c r="AK1991" s="9">
        <f>IF(P1991="completed",((V1991-K1991)*24*60),0)</f>
        <v>0</v>
      </c>
      <c r="AL1991" s="9">
        <f>IF(P1991="completed",((U1991-K1991)*24*60),0)</f>
        <v>0</v>
      </c>
      <c r="AM1991" s="9" t="str">
        <f t="shared" si="38"/>
        <v>OTP Breached</v>
      </c>
      <c r="AN1991" s="9" t="str">
        <f t="shared" si="39"/>
        <v>OTP Achieved</v>
      </c>
    </row>
    <row r="1992" spans="9:40" ht="15.75" customHeight="1">
      <c r="I1992" s="28"/>
      <c r="AD1992" s="9" t="str">
        <f t="shared" si="35"/>
        <v>Actual</v>
      </c>
      <c r="AE1992" s="9" t="str">
        <f t="shared" si="36"/>
        <v/>
      </c>
      <c r="AF1992" s="9">
        <f>HOUR(O1992)</f>
        <v>0</v>
      </c>
      <c r="AG1992" s="9">
        <f>DAY(O1992)</f>
        <v>0</v>
      </c>
      <c r="AH1992" s="9">
        <f>IFERROR((I1992-K1992)*24*60,0)</f>
        <v>0</v>
      </c>
      <c r="AI1992" s="9">
        <f t="shared" si="37"/>
        <v>0</v>
      </c>
      <c r="AJ1992" s="9">
        <f>C1992</f>
        <v>0</v>
      </c>
      <c r="AK1992" s="9">
        <f>IF(P1992="completed",((V1992-K1992)*24*60),0)</f>
        <v>0</v>
      </c>
      <c r="AL1992" s="9">
        <f>IF(P1992="completed",((U1992-K1992)*24*60),0)</f>
        <v>0</v>
      </c>
      <c r="AM1992" s="9" t="str">
        <f t="shared" si="38"/>
        <v>OTP Breached</v>
      </c>
      <c r="AN1992" s="9" t="str">
        <f t="shared" si="39"/>
        <v>OTP Achieved</v>
      </c>
    </row>
    <row r="1993" spans="9:40" ht="15.75" customHeight="1">
      <c r="I1993" s="28"/>
      <c r="AD1993" s="9" t="str">
        <f t="shared" si="35"/>
        <v>Actual</v>
      </c>
      <c r="AE1993" s="9" t="str">
        <f t="shared" si="36"/>
        <v/>
      </c>
      <c r="AF1993" s="9">
        <f>HOUR(O1993)</f>
        <v>0</v>
      </c>
      <c r="AG1993" s="9">
        <f>DAY(O1993)</f>
        <v>0</v>
      </c>
      <c r="AH1993" s="9">
        <f>IFERROR((I1993-K1993)*24*60,0)</f>
        <v>0</v>
      </c>
      <c r="AI1993" s="9">
        <f t="shared" si="37"/>
        <v>0</v>
      </c>
      <c r="AJ1993" s="9">
        <f>C1993</f>
        <v>0</v>
      </c>
      <c r="AK1993" s="9">
        <f>IF(P1993="completed",((V1993-K1993)*24*60),0)</f>
        <v>0</v>
      </c>
      <c r="AL1993" s="9">
        <f>IF(P1993="completed",((U1993-K1993)*24*60),0)</f>
        <v>0</v>
      </c>
      <c r="AM1993" s="9" t="str">
        <f t="shared" si="38"/>
        <v>OTP Breached</v>
      </c>
      <c r="AN1993" s="9" t="str">
        <f t="shared" si="39"/>
        <v>OTP Achieved</v>
      </c>
    </row>
    <row r="1994" spans="9:40" ht="15.75" customHeight="1">
      <c r="I1994" s="28"/>
      <c r="AD1994" s="9" t="str">
        <f t="shared" si="35"/>
        <v>Actual</v>
      </c>
      <c r="AE1994" s="9" t="str">
        <f t="shared" si="36"/>
        <v/>
      </c>
      <c r="AF1994" s="9">
        <f>HOUR(O1994)</f>
        <v>0</v>
      </c>
      <c r="AG1994" s="9">
        <f>DAY(O1994)</f>
        <v>0</v>
      </c>
      <c r="AH1994" s="9">
        <f>IFERROR((I1994-K1994)*24*60,0)</f>
        <v>0</v>
      </c>
      <c r="AI1994" s="9">
        <f t="shared" si="37"/>
        <v>0</v>
      </c>
      <c r="AJ1994" s="9">
        <f>C1994</f>
        <v>0</v>
      </c>
      <c r="AK1994" s="9">
        <f>IF(P1994="completed",((V1994-K1994)*24*60),0)</f>
        <v>0</v>
      </c>
      <c r="AL1994" s="9">
        <f>IF(P1994="completed",((U1994-K1994)*24*60),0)</f>
        <v>0</v>
      </c>
      <c r="AM1994" s="9" t="str">
        <f t="shared" si="38"/>
        <v>OTP Breached</v>
      </c>
      <c r="AN1994" s="9" t="str">
        <f t="shared" si="39"/>
        <v>OTP Achieved</v>
      </c>
    </row>
    <row r="1995" spans="9:40" ht="15.75" customHeight="1">
      <c r="I1995" s="28"/>
      <c r="AD1995" s="9" t="str">
        <f t="shared" si="35"/>
        <v>Actual</v>
      </c>
      <c r="AE1995" s="9" t="str">
        <f t="shared" si="36"/>
        <v/>
      </c>
      <c r="AF1995" s="9">
        <f>HOUR(O1995)</f>
        <v>0</v>
      </c>
      <c r="AG1995" s="9">
        <f>DAY(O1995)</f>
        <v>0</v>
      </c>
      <c r="AH1995" s="9">
        <f>IFERROR((I1995-K1995)*24*60,0)</f>
        <v>0</v>
      </c>
      <c r="AI1995" s="9">
        <f t="shared" si="37"/>
        <v>0</v>
      </c>
      <c r="AJ1995" s="9">
        <f>C1995</f>
        <v>0</v>
      </c>
      <c r="AK1995" s="9">
        <f>IF(P1995="completed",((V1995-K1995)*24*60),0)</f>
        <v>0</v>
      </c>
      <c r="AL1995" s="9">
        <f>IF(P1995="completed",((U1995-K1995)*24*60),0)</f>
        <v>0</v>
      </c>
      <c r="AM1995" s="9" t="str">
        <f t="shared" si="38"/>
        <v>OTP Breached</v>
      </c>
      <c r="AN1995" s="9" t="str">
        <f t="shared" si="39"/>
        <v>OTP Achieved</v>
      </c>
    </row>
    <row r="1996" spans="9:40" ht="15.75" customHeight="1">
      <c r="I1996" s="28"/>
      <c r="AD1996" s="9" t="str">
        <f t="shared" si="35"/>
        <v>Actual</v>
      </c>
      <c r="AE1996" s="9" t="str">
        <f t="shared" si="36"/>
        <v/>
      </c>
      <c r="AF1996" s="9">
        <f>HOUR(O1996)</f>
        <v>0</v>
      </c>
      <c r="AG1996" s="9">
        <f>DAY(O1996)</f>
        <v>0</v>
      </c>
      <c r="AH1996" s="9">
        <f>IFERROR((I1996-K1996)*24*60,0)</f>
        <v>0</v>
      </c>
      <c r="AI1996" s="9">
        <f t="shared" si="37"/>
        <v>0</v>
      </c>
      <c r="AJ1996" s="9">
        <f>C1996</f>
        <v>0</v>
      </c>
      <c r="AK1996" s="9">
        <f>IF(P1996="completed",((V1996-K1996)*24*60),0)</f>
        <v>0</v>
      </c>
      <c r="AL1996" s="9">
        <f>IF(P1996="completed",((U1996-K1996)*24*60),0)</f>
        <v>0</v>
      </c>
      <c r="AM1996" s="9" t="str">
        <f t="shared" si="38"/>
        <v>OTP Breached</v>
      </c>
      <c r="AN1996" s="9" t="str">
        <f t="shared" si="39"/>
        <v>OTP Achieved</v>
      </c>
    </row>
    <row r="1997" spans="9:40" ht="15.75" customHeight="1">
      <c r="I1997" s="28"/>
      <c r="AD1997" s="9" t="str">
        <f t="shared" si="35"/>
        <v>Actual</v>
      </c>
      <c r="AE1997" s="9" t="str">
        <f t="shared" si="36"/>
        <v/>
      </c>
      <c r="AF1997" s="9">
        <f>HOUR(O1997)</f>
        <v>0</v>
      </c>
      <c r="AG1997" s="9">
        <f>DAY(O1997)</f>
        <v>0</v>
      </c>
      <c r="AH1997" s="9">
        <f>IFERROR((I1997-K1997)*24*60,0)</f>
        <v>0</v>
      </c>
      <c r="AI1997" s="9">
        <f t="shared" si="37"/>
        <v>0</v>
      </c>
      <c r="AJ1997" s="9">
        <f>C1997</f>
        <v>0</v>
      </c>
      <c r="AK1997" s="9">
        <f>IF(P1997="completed",((V1997-K1997)*24*60),0)</f>
        <v>0</v>
      </c>
      <c r="AL1997" s="9">
        <f>IF(P1997="completed",((U1997-K1997)*24*60),0)</f>
        <v>0</v>
      </c>
      <c r="AM1997" s="9" t="str">
        <f t="shared" si="38"/>
        <v>OTP Breached</v>
      </c>
      <c r="AN1997" s="9" t="str">
        <f t="shared" si="39"/>
        <v>OTP Achieved</v>
      </c>
    </row>
    <row r="1998" spans="9:40" ht="15.75" customHeight="1">
      <c r="I1998" s="28"/>
      <c r="AD1998" s="9" t="str">
        <f t="shared" si="35"/>
        <v>Actual</v>
      </c>
      <c r="AE1998" s="9" t="str">
        <f t="shared" si="36"/>
        <v/>
      </c>
      <c r="AF1998" s="9">
        <f>HOUR(O1998)</f>
        <v>0</v>
      </c>
      <c r="AG1998" s="9">
        <f>DAY(O1998)</f>
        <v>0</v>
      </c>
      <c r="AH1998" s="9">
        <f>IFERROR((I1998-K1998)*24*60,0)</f>
        <v>0</v>
      </c>
      <c r="AI1998" s="9">
        <f t="shared" si="37"/>
        <v>0</v>
      </c>
      <c r="AJ1998" s="9">
        <f>C1998</f>
        <v>0</v>
      </c>
      <c r="AK1998" s="9">
        <f>IF(P1998="completed",((V1998-K1998)*24*60),0)</f>
        <v>0</v>
      </c>
      <c r="AL1998" s="9">
        <f>IF(P1998="completed",((U1998-K1998)*24*60),0)</f>
        <v>0</v>
      </c>
      <c r="AM1998" s="9" t="str">
        <f t="shared" si="38"/>
        <v>OTP Breached</v>
      </c>
      <c r="AN1998" s="9" t="str">
        <f t="shared" si="39"/>
        <v>OTP Achieved</v>
      </c>
    </row>
    <row r="1999" spans="9:40" ht="15.75" customHeight="1">
      <c r="I1999" s="28"/>
      <c r="AD1999" s="9" t="str">
        <f t="shared" si="35"/>
        <v>Actual</v>
      </c>
      <c r="AE1999" s="9" t="str">
        <f t="shared" si="36"/>
        <v/>
      </c>
      <c r="AF1999" s="9">
        <f>HOUR(O1999)</f>
        <v>0</v>
      </c>
      <c r="AG1999" s="9">
        <f>DAY(O1999)</f>
        <v>0</v>
      </c>
      <c r="AH1999" s="9">
        <f>IFERROR((I1999-K1999)*24*60,0)</f>
        <v>0</v>
      </c>
      <c r="AI1999" s="9">
        <f t="shared" si="37"/>
        <v>0</v>
      </c>
      <c r="AJ1999" s="9">
        <f>C1999</f>
        <v>0</v>
      </c>
      <c r="AK1999" s="9">
        <f>IF(P1999="completed",((V1999-K1999)*24*60),0)</f>
        <v>0</v>
      </c>
      <c r="AL1999" s="9">
        <f>IF(P1999="completed",((U1999-K1999)*24*60),0)</f>
        <v>0</v>
      </c>
      <c r="AM1999" s="9" t="str">
        <f t="shared" si="38"/>
        <v>OTP Breached</v>
      </c>
      <c r="AN1999" s="9" t="str">
        <f t="shared" si="39"/>
        <v>OTP Achieved</v>
      </c>
    </row>
    <row r="2000" spans="9:40" ht="15.75" customHeight="1">
      <c r="I2000" s="28"/>
      <c r="AD2000" s="9" t="str">
        <f t="shared" si="35"/>
        <v>Actual</v>
      </c>
      <c r="AE2000" s="9" t="str">
        <f t="shared" si="36"/>
        <v/>
      </c>
      <c r="AF2000" s="9">
        <f>HOUR(O2000)</f>
        <v>0</v>
      </c>
      <c r="AG2000" s="9">
        <f>DAY(O2000)</f>
        <v>0</v>
      </c>
      <c r="AH2000" s="9">
        <f>IFERROR((I2000-K2000)*24*60,0)</f>
        <v>0</v>
      </c>
      <c r="AI2000" s="9">
        <f t="shared" si="37"/>
        <v>0</v>
      </c>
      <c r="AJ2000" s="9">
        <f>C2000</f>
        <v>0</v>
      </c>
      <c r="AK2000" s="9">
        <f>IF(P2000="completed",((V2000-K2000)*24*60),0)</f>
        <v>0</v>
      </c>
      <c r="AL2000" s="9">
        <f>IF(P2000="completed",((U2000-K2000)*24*60),0)</f>
        <v>0</v>
      </c>
      <c r="AM2000" s="9" t="str">
        <f t="shared" si="38"/>
        <v>OTP Breached</v>
      </c>
      <c r="AN2000" s="9" t="str">
        <f t="shared" si="39"/>
        <v>OTP Achieved</v>
      </c>
    </row>
  </sheetData>
  <hyperlinks>
    <hyperlink ref="W2" r:id="rId1" xr:uid="{00000000-0004-0000-0100-000000000000}"/>
    <hyperlink ref="W3" r:id="rId2" xr:uid="{00000000-0004-0000-0100-000001000000}"/>
    <hyperlink ref="W4" r:id="rId3" xr:uid="{00000000-0004-0000-0100-000002000000}"/>
    <hyperlink ref="W5" r:id="rId4" xr:uid="{00000000-0004-0000-0100-000003000000}"/>
    <hyperlink ref="W6" r:id="rId5" xr:uid="{00000000-0004-0000-0100-000004000000}"/>
    <hyperlink ref="W7" r:id="rId6" xr:uid="{00000000-0004-0000-0100-000005000000}"/>
    <hyperlink ref="W8" r:id="rId7" xr:uid="{00000000-0004-0000-0100-000006000000}"/>
    <hyperlink ref="W9" r:id="rId8" xr:uid="{00000000-0004-0000-0100-000007000000}"/>
    <hyperlink ref="W10" r:id="rId9" xr:uid="{00000000-0004-0000-0100-000008000000}"/>
    <hyperlink ref="W11" r:id="rId10" xr:uid="{00000000-0004-0000-0100-000009000000}"/>
    <hyperlink ref="W12" r:id="rId11" xr:uid="{00000000-0004-0000-0100-00000A000000}"/>
    <hyperlink ref="W13" r:id="rId12" xr:uid="{00000000-0004-0000-0100-00000B000000}"/>
    <hyperlink ref="W14" r:id="rId13" xr:uid="{00000000-0004-0000-0100-00000C000000}"/>
    <hyperlink ref="W15" r:id="rId14" xr:uid="{00000000-0004-0000-0100-00000D000000}"/>
    <hyperlink ref="W16" r:id="rId15" xr:uid="{00000000-0004-0000-0100-00000E000000}"/>
    <hyperlink ref="W17" r:id="rId16" xr:uid="{00000000-0004-0000-0100-00000F000000}"/>
    <hyperlink ref="W18" r:id="rId17" xr:uid="{00000000-0004-0000-0100-000010000000}"/>
    <hyperlink ref="W19" r:id="rId18" xr:uid="{00000000-0004-0000-0100-000011000000}"/>
    <hyperlink ref="W20" r:id="rId19" xr:uid="{00000000-0004-0000-0100-000012000000}"/>
    <hyperlink ref="W21" r:id="rId20" xr:uid="{00000000-0004-0000-0100-000013000000}"/>
    <hyperlink ref="W22" r:id="rId21" xr:uid="{00000000-0004-0000-0100-000014000000}"/>
    <hyperlink ref="W23" r:id="rId22" xr:uid="{00000000-0004-0000-0100-000015000000}"/>
    <hyperlink ref="W24" r:id="rId23" xr:uid="{00000000-0004-0000-0100-000016000000}"/>
    <hyperlink ref="W25" r:id="rId24" xr:uid="{00000000-0004-0000-0100-000017000000}"/>
    <hyperlink ref="W26" r:id="rId25" xr:uid="{00000000-0004-0000-0100-000018000000}"/>
    <hyperlink ref="W27" r:id="rId26" xr:uid="{00000000-0004-0000-0100-000019000000}"/>
    <hyperlink ref="W28" r:id="rId27" xr:uid="{00000000-0004-0000-0100-00001A000000}"/>
    <hyperlink ref="W29" r:id="rId28" xr:uid="{00000000-0004-0000-0100-00001B000000}"/>
    <hyperlink ref="W30" r:id="rId29" xr:uid="{00000000-0004-0000-0100-00001C000000}"/>
    <hyperlink ref="W31" r:id="rId30" xr:uid="{00000000-0004-0000-0100-00001D000000}"/>
    <hyperlink ref="W32" r:id="rId31" xr:uid="{00000000-0004-0000-0100-00001E000000}"/>
    <hyperlink ref="W33" r:id="rId32" xr:uid="{00000000-0004-0000-0100-00001F000000}"/>
    <hyperlink ref="W34" r:id="rId33" xr:uid="{00000000-0004-0000-0100-000020000000}"/>
    <hyperlink ref="W35" r:id="rId34" xr:uid="{00000000-0004-0000-0100-000021000000}"/>
    <hyperlink ref="W36" r:id="rId35" xr:uid="{00000000-0004-0000-0100-000022000000}"/>
    <hyperlink ref="W37" r:id="rId36" xr:uid="{00000000-0004-0000-0100-000023000000}"/>
    <hyperlink ref="W38" r:id="rId37" xr:uid="{00000000-0004-0000-0100-000024000000}"/>
    <hyperlink ref="W39" r:id="rId38" xr:uid="{00000000-0004-0000-0100-000025000000}"/>
    <hyperlink ref="W40" r:id="rId39" xr:uid="{00000000-0004-0000-0100-000026000000}"/>
    <hyperlink ref="W41" r:id="rId40" xr:uid="{00000000-0004-0000-0100-000027000000}"/>
    <hyperlink ref="W42" r:id="rId41" xr:uid="{00000000-0004-0000-0100-000028000000}"/>
    <hyperlink ref="W43" r:id="rId42" xr:uid="{00000000-0004-0000-0100-000029000000}"/>
    <hyperlink ref="W44" r:id="rId43" xr:uid="{00000000-0004-0000-0100-00002A000000}"/>
    <hyperlink ref="W45" r:id="rId44" xr:uid="{00000000-0004-0000-0100-00002B000000}"/>
    <hyperlink ref="W46" r:id="rId45" xr:uid="{00000000-0004-0000-0100-00002C000000}"/>
    <hyperlink ref="W47" r:id="rId46" xr:uid="{00000000-0004-0000-0100-00002D000000}"/>
    <hyperlink ref="W48" r:id="rId47" xr:uid="{00000000-0004-0000-0100-00002E000000}"/>
    <hyperlink ref="W49" r:id="rId48" xr:uid="{00000000-0004-0000-0100-00002F000000}"/>
    <hyperlink ref="W50" r:id="rId49" xr:uid="{00000000-0004-0000-0100-000030000000}"/>
    <hyperlink ref="W51" r:id="rId50" xr:uid="{00000000-0004-0000-0100-000031000000}"/>
    <hyperlink ref="W52" r:id="rId51" xr:uid="{00000000-0004-0000-0100-000032000000}"/>
    <hyperlink ref="W53" r:id="rId52" xr:uid="{00000000-0004-0000-0100-000033000000}"/>
    <hyperlink ref="W54" r:id="rId53" xr:uid="{00000000-0004-0000-0100-000034000000}"/>
    <hyperlink ref="W55" r:id="rId54" xr:uid="{00000000-0004-0000-0100-000035000000}"/>
    <hyperlink ref="W56" r:id="rId55" xr:uid="{00000000-0004-0000-0100-000036000000}"/>
    <hyperlink ref="W57" r:id="rId56" xr:uid="{00000000-0004-0000-0100-000037000000}"/>
    <hyperlink ref="W58" r:id="rId57" xr:uid="{00000000-0004-0000-0100-000038000000}"/>
    <hyperlink ref="W59" r:id="rId58" xr:uid="{00000000-0004-0000-0100-000039000000}"/>
    <hyperlink ref="W60" r:id="rId59" xr:uid="{00000000-0004-0000-0100-00003A000000}"/>
    <hyperlink ref="W61" r:id="rId60" xr:uid="{00000000-0004-0000-0100-00003B000000}"/>
    <hyperlink ref="W62" r:id="rId61" xr:uid="{00000000-0004-0000-0100-00003C000000}"/>
    <hyperlink ref="W63" r:id="rId62" xr:uid="{00000000-0004-0000-0100-00003D000000}"/>
    <hyperlink ref="W64" r:id="rId63" xr:uid="{00000000-0004-0000-0100-00003E000000}"/>
    <hyperlink ref="W65" r:id="rId64" xr:uid="{00000000-0004-0000-0100-00003F000000}"/>
    <hyperlink ref="W66" r:id="rId65" xr:uid="{00000000-0004-0000-0100-000040000000}"/>
    <hyperlink ref="W67" r:id="rId66" xr:uid="{00000000-0004-0000-0100-000041000000}"/>
    <hyperlink ref="W68" r:id="rId67" xr:uid="{00000000-0004-0000-0100-000042000000}"/>
    <hyperlink ref="W69" r:id="rId68" xr:uid="{00000000-0004-0000-0100-000043000000}"/>
    <hyperlink ref="W70" r:id="rId69" xr:uid="{00000000-0004-0000-0100-000044000000}"/>
    <hyperlink ref="W71" r:id="rId70" xr:uid="{00000000-0004-0000-0100-000045000000}"/>
    <hyperlink ref="W72" r:id="rId71" xr:uid="{00000000-0004-0000-0100-000046000000}"/>
    <hyperlink ref="W73" r:id="rId72" xr:uid="{00000000-0004-0000-0100-000047000000}"/>
    <hyperlink ref="W74" r:id="rId73" xr:uid="{00000000-0004-0000-0100-000048000000}"/>
    <hyperlink ref="W75" r:id="rId74" xr:uid="{00000000-0004-0000-0100-000049000000}"/>
    <hyperlink ref="W76" r:id="rId75" xr:uid="{00000000-0004-0000-0100-00004A000000}"/>
    <hyperlink ref="W77" r:id="rId76" xr:uid="{00000000-0004-0000-0100-00004B000000}"/>
    <hyperlink ref="W78" r:id="rId77" xr:uid="{00000000-0004-0000-0100-00004C000000}"/>
    <hyperlink ref="W79" r:id="rId78" xr:uid="{00000000-0004-0000-0100-00004D000000}"/>
    <hyperlink ref="W80" r:id="rId79" xr:uid="{00000000-0004-0000-0100-00004E000000}"/>
    <hyperlink ref="W81" r:id="rId80" xr:uid="{00000000-0004-0000-0100-00004F000000}"/>
    <hyperlink ref="W82" r:id="rId81" xr:uid="{00000000-0004-0000-0100-000050000000}"/>
    <hyperlink ref="W83" r:id="rId82" xr:uid="{00000000-0004-0000-0100-000051000000}"/>
    <hyperlink ref="W84" r:id="rId83" xr:uid="{00000000-0004-0000-0100-000052000000}"/>
    <hyperlink ref="W85" r:id="rId84" xr:uid="{00000000-0004-0000-0100-000053000000}"/>
    <hyperlink ref="W86" r:id="rId85" xr:uid="{00000000-0004-0000-0100-000054000000}"/>
    <hyperlink ref="W87" r:id="rId86" xr:uid="{00000000-0004-0000-0100-000055000000}"/>
    <hyperlink ref="W88" r:id="rId87" xr:uid="{00000000-0004-0000-0100-000056000000}"/>
    <hyperlink ref="W89" r:id="rId88" xr:uid="{00000000-0004-0000-0100-000057000000}"/>
    <hyperlink ref="W90" r:id="rId89" xr:uid="{00000000-0004-0000-0100-000058000000}"/>
    <hyperlink ref="W91" r:id="rId90" xr:uid="{00000000-0004-0000-0100-000059000000}"/>
    <hyperlink ref="W92" r:id="rId91" xr:uid="{00000000-0004-0000-0100-00005A000000}"/>
    <hyperlink ref="W93" r:id="rId92" xr:uid="{00000000-0004-0000-0100-00005B000000}"/>
    <hyperlink ref="W94" r:id="rId93" xr:uid="{00000000-0004-0000-0100-00005C000000}"/>
    <hyperlink ref="W95" r:id="rId94" xr:uid="{00000000-0004-0000-0100-00005D000000}"/>
    <hyperlink ref="W96" r:id="rId95" xr:uid="{00000000-0004-0000-0100-00005E000000}"/>
    <hyperlink ref="W97" r:id="rId96" xr:uid="{00000000-0004-0000-0100-00005F000000}"/>
    <hyperlink ref="W98" r:id="rId97" xr:uid="{00000000-0004-0000-0100-000060000000}"/>
    <hyperlink ref="W99" r:id="rId98" xr:uid="{00000000-0004-0000-0100-000061000000}"/>
    <hyperlink ref="W100" r:id="rId99" xr:uid="{00000000-0004-0000-0100-000062000000}"/>
    <hyperlink ref="W101" r:id="rId100" xr:uid="{00000000-0004-0000-0100-000063000000}"/>
    <hyperlink ref="W102" r:id="rId101" xr:uid="{00000000-0004-0000-0100-000064000000}"/>
    <hyperlink ref="W103" r:id="rId102" xr:uid="{00000000-0004-0000-0100-000065000000}"/>
    <hyperlink ref="W104" r:id="rId103" xr:uid="{00000000-0004-0000-0100-000066000000}"/>
    <hyperlink ref="W105" r:id="rId104" xr:uid="{00000000-0004-0000-0100-000067000000}"/>
    <hyperlink ref="W106" r:id="rId105" xr:uid="{00000000-0004-0000-0100-000068000000}"/>
    <hyperlink ref="W107" r:id="rId106" xr:uid="{00000000-0004-0000-0100-000069000000}"/>
    <hyperlink ref="W108" r:id="rId107" xr:uid="{00000000-0004-0000-0100-00006A000000}"/>
    <hyperlink ref="W109" r:id="rId108" xr:uid="{00000000-0004-0000-0100-00006B000000}"/>
    <hyperlink ref="W110" r:id="rId109" xr:uid="{00000000-0004-0000-0100-00006C000000}"/>
    <hyperlink ref="W111" r:id="rId110" xr:uid="{00000000-0004-0000-0100-00006D000000}"/>
    <hyperlink ref="W112" r:id="rId111" xr:uid="{00000000-0004-0000-0100-00006E000000}"/>
    <hyperlink ref="W113" r:id="rId112" xr:uid="{00000000-0004-0000-0100-00006F000000}"/>
    <hyperlink ref="W114" r:id="rId113" xr:uid="{00000000-0004-0000-0100-000070000000}"/>
    <hyperlink ref="W115" r:id="rId114" xr:uid="{00000000-0004-0000-0100-000071000000}"/>
    <hyperlink ref="W116" r:id="rId115" xr:uid="{00000000-0004-0000-0100-000072000000}"/>
    <hyperlink ref="W117" r:id="rId116" xr:uid="{00000000-0004-0000-0100-000073000000}"/>
    <hyperlink ref="W118" r:id="rId117" xr:uid="{00000000-0004-0000-0100-000074000000}"/>
    <hyperlink ref="W119" r:id="rId118" xr:uid="{00000000-0004-0000-0100-000075000000}"/>
    <hyperlink ref="W120" r:id="rId119" xr:uid="{00000000-0004-0000-0100-000076000000}"/>
    <hyperlink ref="W121" r:id="rId120" xr:uid="{00000000-0004-0000-0100-000077000000}"/>
    <hyperlink ref="W122" r:id="rId121" xr:uid="{00000000-0004-0000-0100-000078000000}"/>
    <hyperlink ref="W123" r:id="rId122" xr:uid="{00000000-0004-0000-0100-000079000000}"/>
    <hyperlink ref="W124" r:id="rId123" xr:uid="{00000000-0004-0000-0100-00007A000000}"/>
    <hyperlink ref="W125" r:id="rId124" xr:uid="{00000000-0004-0000-0100-00007B000000}"/>
    <hyperlink ref="W126" r:id="rId125" xr:uid="{00000000-0004-0000-0100-00007C000000}"/>
    <hyperlink ref="W127" r:id="rId126" xr:uid="{00000000-0004-0000-0100-00007D000000}"/>
    <hyperlink ref="W128" r:id="rId127" xr:uid="{00000000-0004-0000-0100-00007E000000}"/>
    <hyperlink ref="W129" r:id="rId128" xr:uid="{00000000-0004-0000-0100-00007F000000}"/>
    <hyperlink ref="W130" r:id="rId129" xr:uid="{00000000-0004-0000-0100-000080000000}"/>
    <hyperlink ref="W131" r:id="rId130" xr:uid="{00000000-0004-0000-0100-000081000000}"/>
    <hyperlink ref="W132" r:id="rId131" xr:uid="{00000000-0004-0000-0100-000082000000}"/>
    <hyperlink ref="W133" r:id="rId132" xr:uid="{00000000-0004-0000-0100-000083000000}"/>
    <hyperlink ref="W134" r:id="rId133" xr:uid="{00000000-0004-0000-0100-000084000000}"/>
    <hyperlink ref="W135" r:id="rId134" xr:uid="{00000000-0004-0000-0100-000085000000}"/>
    <hyperlink ref="W136" r:id="rId135" xr:uid="{00000000-0004-0000-0100-000086000000}"/>
    <hyperlink ref="W137" r:id="rId136" xr:uid="{00000000-0004-0000-0100-000087000000}"/>
    <hyperlink ref="W138" r:id="rId137" xr:uid="{00000000-0004-0000-0100-000088000000}"/>
    <hyperlink ref="W139" r:id="rId138" xr:uid="{00000000-0004-0000-0100-000089000000}"/>
    <hyperlink ref="W140" r:id="rId139" xr:uid="{00000000-0004-0000-0100-00008A000000}"/>
    <hyperlink ref="W141" r:id="rId140" xr:uid="{00000000-0004-0000-0100-00008B000000}"/>
    <hyperlink ref="W142" r:id="rId141" xr:uid="{00000000-0004-0000-0100-00008C000000}"/>
    <hyperlink ref="W143" r:id="rId142" xr:uid="{00000000-0004-0000-0100-00008D000000}"/>
    <hyperlink ref="W144" r:id="rId143" xr:uid="{00000000-0004-0000-0100-00008E000000}"/>
    <hyperlink ref="W145" r:id="rId144" xr:uid="{00000000-0004-0000-0100-00008F000000}"/>
    <hyperlink ref="W146" r:id="rId145" xr:uid="{00000000-0004-0000-0100-000090000000}"/>
    <hyperlink ref="W147" r:id="rId146" xr:uid="{00000000-0004-0000-0100-000091000000}"/>
    <hyperlink ref="W148" r:id="rId147" xr:uid="{00000000-0004-0000-0100-000092000000}"/>
    <hyperlink ref="W149" r:id="rId148" xr:uid="{00000000-0004-0000-0100-000093000000}"/>
    <hyperlink ref="W150" r:id="rId149" xr:uid="{00000000-0004-0000-0100-000094000000}"/>
    <hyperlink ref="W151" r:id="rId150" xr:uid="{00000000-0004-0000-0100-000095000000}"/>
    <hyperlink ref="W152" r:id="rId151" xr:uid="{00000000-0004-0000-0100-000096000000}"/>
    <hyperlink ref="W153" r:id="rId152" xr:uid="{00000000-0004-0000-0100-000097000000}"/>
    <hyperlink ref="W154" r:id="rId153" xr:uid="{00000000-0004-0000-0100-000098000000}"/>
    <hyperlink ref="W155" r:id="rId154" xr:uid="{00000000-0004-0000-0100-000099000000}"/>
    <hyperlink ref="W156" r:id="rId155" xr:uid="{00000000-0004-0000-0100-00009A000000}"/>
    <hyperlink ref="W157" r:id="rId156" xr:uid="{00000000-0004-0000-0100-00009B000000}"/>
    <hyperlink ref="W158" r:id="rId157" xr:uid="{00000000-0004-0000-0100-00009C000000}"/>
    <hyperlink ref="W159" r:id="rId158" xr:uid="{00000000-0004-0000-0100-00009D000000}"/>
    <hyperlink ref="W160" r:id="rId159" xr:uid="{00000000-0004-0000-0100-00009E000000}"/>
    <hyperlink ref="W161" r:id="rId160" xr:uid="{00000000-0004-0000-0100-00009F000000}"/>
    <hyperlink ref="W162" r:id="rId161" xr:uid="{00000000-0004-0000-0100-0000A0000000}"/>
    <hyperlink ref="W163" r:id="rId162" xr:uid="{00000000-0004-0000-0100-0000A1000000}"/>
    <hyperlink ref="W164" r:id="rId163" xr:uid="{00000000-0004-0000-0100-0000A2000000}"/>
    <hyperlink ref="W165" r:id="rId164" xr:uid="{00000000-0004-0000-0100-0000A3000000}"/>
    <hyperlink ref="W166" r:id="rId165" xr:uid="{00000000-0004-0000-0100-0000A4000000}"/>
    <hyperlink ref="W167" r:id="rId166" xr:uid="{00000000-0004-0000-0100-0000A5000000}"/>
    <hyperlink ref="W168" r:id="rId167" xr:uid="{00000000-0004-0000-0100-0000A6000000}"/>
    <hyperlink ref="W169" r:id="rId168" xr:uid="{00000000-0004-0000-0100-0000A7000000}"/>
    <hyperlink ref="W170" r:id="rId169" xr:uid="{00000000-0004-0000-0100-0000A8000000}"/>
    <hyperlink ref="W171" r:id="rId170" xr:uid="{00000000-0004-0000-0100-0000A9000000}"/>
    <hyperlink ref="W172" r:id="rId171" xr:uid="{00000000-0004-0000-0100-0000AA000000}"/>
    <hyperlink ref="W173" r:id="rId172" xr:uid="{00000000-0004-0000-0100-0000AB000000}"/>
    <hyperlink ref="W174" r:id="rId173" xr:uid="{00000000-0004-0000-0100-0000AC000000}"/>
    <hyperlink ref="W175" r:id="rId174" xr:uid="{00000000-0004-0000-0100-0000AD000000}"/>
    <hyperlink ref="W176" r:id="rId175" xr:uid="{00000000-0004-0000-0100-0000AE000000}"/>
    <hyperlink ref="W177" r:id="rId176" xr:uid="{00000000-0004-0000-0100-0000AF000000}"/>
    <hyperlink ref="W178" r:id="rId177" xr:uid="{00000000-0004-0000-0100-0000B0000000}"/>
    <hyperlink ref="W179" r:id="rId178" xr:uid="{00000000-0004-0000-0100-0000B1000000}"/>
    <hyperlink ref="W180" r:id="rId179" xr:uid="{00000000-0004-0000-0100-0000B2000000}"/>
    <hyperlink ref="W181" r:id="rId180" xr:uid="{00000000-0004-0000-0100-0000B3000000}"/>
    <hyperlink ref="W182" r:id="rId181" xr:uid="{00000000-0004-0000-0100-0000B4000000}"/>
    <hyperlink ref="W183" r:id="rId182" xr:uid="{00000000-0004-0000-0100-0000B5000000}"/>
    <hyperlink ref="W184" r:id="rId183" xr:uid="{00000000-0004-0000-0100-0000B6000000}"/>
    <hyperlink ref="W185" r:id="rId184" xr:uid="{00000000-0004-0000-0100-0000B7000000}"/>
    <hyperlink ref="W186" r:id="rId185" xr:uid="{00000000-0004-0000-0100-0000B8000000}"/>
    <hyperlink ref="W187" r:id="rId186" xr:uid="{00000000-0004-0000-0100-0000B9000000}"/>
    <hyperlink ref="W188" r:id="rId187" xr:uid="{00000000-0004-0000-0100-0000BA000000}"/>
    <hyperlink ref="W189" r:id="rId188" xr:uid="{00000000-0004-0000-0100-0000BB000000}"/>
    <hyperlink ref="W190" r:id="rId189" xr:uid="{00000000-0004-0000-0100-0000BC000000}"/>
    <hyperlink ref="W191" r:id="rId190" xr:uid="{00000000-0004-0000-0100-0000BD000000}"/>
    <hyperlink ref="W192" r:id="rId191" xr:uid="{00000000-0004-0000-0100-0000BE000000}"/>
    <hyperlink ref="W193" r:id="rId192" xr:uid="{00000000-0004-0000-0100-0000BF000000}"/>
    <hyperlink ref="W194" r:id="rId193" xr:uid="{00000000-0004-0000-0100-0000C0000000}"/>
    <hyperlink ref="W195" r:id="rId194" xr:uid="{00000000-0004-0000-0100-0000C1000000}"/>
    <hyperlink ref="W196" r:id="rId195" xr:uid="{00000000-0004-0000-0100-0000C2000000}"/>
    <hyperlink ref="W197" r:id="rId196" xr:uid="{00000000-0004-0000-0100-0000C3000000}"/>
    <hyperlink ref="W198" r:id="rId197" xr:uid="{00000000-0004-0000-0100-0000C4000000}"/>
    <hyperlink ref="W199" r:id="rId198" xr:uid="{00000000-0004-0000-0100-0000C5000000}"/>
    <hyperlink ref="W200" r:id="rId199" xr:uid="{00000000-0004-0000-0100-0000C6000000}"/>
    <hyperlink ref="W201" r:id="rId200" xr:uid="{00000000-0004-0000-0100-0000C7000000}"/>
    <hyperlink ref="W202" r:id="rId201" xr:uid="{00000000-0004-0000-0100-0000C8000000}"/>
    <hyperlink ref="W203" r:id="rId202" xr:uid="{00000000-0004-0000-0100-0000C9000000}"/>
    <hyperlink ref="W204" r:id="rId203" xr:uid="{00000000-0004-0000-0100-0000CA000000}"/>
    <hyperlink ref="W205" r:id="rId204" xr:uid="{00000000-0004-0000-0100-0000CB000000}"/>
    <hyperlink ref="W206" r:id="rId205" xr:uid="{00000000-0004-0000-0100-0000CC000000}"/>
    <hyperlink ref="W207" r:id="rId206" xr:uid="{00000000-0004-0000-0100-0000CD000000}"/>
    <hyperlink ref="W208" r:id="rId207" xr:uid="{00000000-0004-0000-0100-0000CE000000}"/>
    <hyperlink ref="W209" r:id="rId208" xr:uid="{00000000-0004-0000-0100-0000CF000000}"/>
    <hyperlink ref="W210" r:id="rId209" xr:uid="{00000000-0004-0000-0100-0000D0000000}"/>
    <hyperlink ref="W211" r:id="rId210" xr:uid="{00000000-0004-0000-0100-0000D1000000}"/>
    <hyperlink ref="W212" r:id="rId211" xr:uid="{00000000-0004-0000-0100-0000D2000000}"/>
    <hyperlink ref="W213" r:id="rId212" xr:uid="{00000000-0004-0000-0100-0000D3000000}"/>
    <hyperlink ref="W214" r:id="rId213" xr:uid="{00000000-0004-0000-0100-0000D4000000}"/>
    <hyperlink ref="W215" r:id="rId214" xr:uid="{00000000-0004-0000-0100-0000D5000000}"/>
    <hyperlink ref="W216" r:id="rId215" xr:uid="{00000000-0004-0000-0100-0000D6000000}"/>
    <hyperlink ref="W217" r:id="rId216" xr:uid="{00000000-0004-0000-0100-0000D7000000}"/>
    <hyperlink ref="W218" r:id="rId217" xr:uid="{00000000-0004-0000-0100-0000D8000000}"/>
    <hyperlink ref="W219" r:id="rId218" xr:uid="{00000000-0004-0000-0100-0000D9000000}"/>
    <hyperlink ref="W220" r:id="rId219" xr:uid="{00000000-0004-0000-0100-0000DA000000}"/>
    <hyperlink ref="W221" r:id="rId220" xr:uid="{00000000-0004-0000-0100-0000DB000000}"/>
    <hyperlink ref="W222" r:id="rId221" xr:uid="{00000000-0004-0000-0100-0000DC000000}"/>
    <hyperlink ref="W223" r:id="rId222" xr:uid="{00000000-0004-0000-0100-0000DD000000}"/>
    <hyperlink ref="W224" r:id="rId223" xr:uid="{00000000-0004-0000-0100-0000DE000000}"/>
    <hyperlink ref="W225" r:id="rId224" xr:uid="{00000000-0004-0000-0100-0000DF000000}"/>
    <hyperlink ref="W226" r:id="rId225" xr:uid="{00000000-0004-0000-0100-0000E0000000}"/>
    <hyperlink ref="W227" r:id="rId226" xr:uid="{00000000-0004-0000-0100-0000E1000000}"/>
    <hyperlink ref="W228" r:id="rId227" xr:uid="{00000000-0004-0000-0100-0000E2000000}"/>
    <hyperlink ref="W229" r:id="rId228" xr:uid="{00000000-0004-0000-0100-0000E3000000}"/>
    <hyperlink ref="W230" r:id="rId229" xr:uid="{00000000-0004-0000-0100-0000E4000000}"/>
    <hyperlink ref="W231" r:id="rId230" xr:uid="{00000000-0004-0000-0100-0000E5000000}"/>
    <hyperlink ref="W232" r:id="rId231" xr:uid="{00000000-0004-0000-0100-0000E6000000}"/>
    <hyperlink ref="W233" r:id="rId232" xr:uid="{00000000-0004-0000-0100-0000E7000000}"/>
    <hyperlink ref="W234" r:id="rId233" xr:uid="{00000000-0004-0000-0100-0000E8000000}"/>
    <hyperlink ref="W235" r:id="rId234" xr:uid="{00000000-0004-0000-0100-0000E9000000}"/>
    <hyperlink ref="W236" r:id="rId235" xr:uid="{00000000-0004-0000-0100-0000EA000000}"/>
    <hyperlink ref="W237" r:id="rId236" xr:uid="{00000000-0004-0000-0100-0000EB000000}"/>
    <hyperlink ref="W238" r:id="rId237" xr:uid="{00000000-0004-0000-0100-0000EC000000}"/>
    <hyperlink ref="W239" r:id="rId238" xr:uid="{00000000-0004-0000-0100-0000ED000000}"/>
    <hyperlink ref="W240" r:id="rId239" xr:uid="{00000000-0004-0000-0100-0000EE000000}"/>
    <hyperlink ref="W241" r:id="rId240" xr:uid="{00000000-0004-0000-0100-0000EF000000}"/>
    <hyperlink ref="W242" r:id="rId241" xr:uid="{00000000-0004-0000-0100-0000F0000000}"/>
    <hyperlink ref="W243" r:id="rId242" xr:uid="{00000000-0004-0000-0100-0000F1000000}"/>
    <hyperlink ref="W244" r:id="rId243" xr:uid="{00000000-0004-0000-0100-0000F2000000}"/>
    <hyperlink ref="W245" r:id="rId244" xr:uid="{00000000-0004-0000-0100-0000F3000000}"/>
    <hyperlink ref="W246" r:id="rId245" xr:uid="{00000000-0004-0000-0100-0000F4000000}"/>
    <hyperlink ref="W247" r:id="rId246" xr:uid="{00000000-0004-0000-0100-0000F5000000}"/>
    <hyperlink ref="W248" r:id="rId247" xr:uid="{00000000-0004-0000-0100-0000F6000000}"/>
    <hyperlink ref="W249" r:id="rId248" xr:uid="{00000000-0004-0000-0100-0000F7000000}"/>
    <hyperlink ref="W250" r:id="rId249" xr:uid="{00000000-0004-0000-0100-0000F8000000}"/>
    <hyperlink ref="W251" r:id="rId250" xr:uid="{00000000-0004-0000-0100-0000F9000000}"/>
    <hyperlink ref="W252" r:id="rId251" xr:uid="{00000000-0004-0000-0100-0000FA000000}"/>
    <hyperlink ref="W253" r:id="rId252" xr:uid="{00000000-0004-0000-0100-0000FB000000}"/>
    <hyperlink ref="W254" r:id="rId253" xr:uid="{00000000-0004-0000-0100-0000FC000000}"/>
    <hyperlink ref="W255" r:id="rId254" xr:uid="{00000000-0004-0000-0100-0000FD000000}"/>
    <hyperlink ref="W256" r:id="rId255" xr:uid="{00000000-0004-0000-0100-0000FE000000}"/>
    <hyperlink ref="W257" r:id="rId256" xr:uid="{00000000-0004-0000-0100-0000FF000000}"/>
    <hyperlink ref="W258" r:id="rId257" xr:uid="{00000000-0004-0000-0100-000000010000}"/>
    <hyperlink ref="W259" r:id="rId258" xr:uid="{00000000-0004-0000-0100-000001010000}"/>
    <hyperlink ref="W260" r:id="rId259" xr:uid="{00000000-0004-0000-0100-000002010000}"/>
    <hyperlink ref="W261" r:id="rId260" xr:uid="{00000000-0004-0000-0100-000003010000}"/>
    <hyperlink ref="W262" r:id="rId261" xr:uid="{00000000-0004-0000-0100-000004010000}"/>
    <hyperlink ref="W263" r:id="rId262" xr:uid="{00000000-0004-0000-0100-000005010000}"/>
    <hyperlink ref="W264" r:id="rId263" xr:uid="{00000000-0004-0000-0100-000006010000}"/>
    <hyperlink ref="W265" r:id="rId264" xr:uid="{00000000-0004-0000-0100-000007010000}"/>
    <hyperlink ref="W266" r:id="rId265" xr:uid="{00000000-0004-0000-0100-000008010000}"/>
    <hyperlink ref="W267" r:id="rId266" xr:uid="{00000000-0004-0000-0100-000009010000}"/>
    <hyperlink ref="W268" r:id="rId267" xr:uid="{00000000-0004-0000-0100-00000A010000}"/>
    <hyperlink ref="W269" r:id="rId268" xr:uid="{00000000-0004-0000-0100-00000B010000}"/>
    <hyperlink ref="W270" r:id="rId269" xr:uid="{00000000-0004-0000-0100-00000C010000}"/>
    <hyperlink ref="W271" r:id="rId270" xr:uid="{00000000-0004-0000-0100-00000D010000}"/>
    <hyperlink ref="W272" r:id="rId271" xr:uid="{00000000-0004-0000-0100-00000E010000}"/>
    <hyperlink ref="W273" r:id="rId272" xr:uid="{00000000-0004-0000-0100-00000F010000}"/>
    <hyperlink ref="W274" r:id="rId273" xr:uid="{00000000-0004-0000-0100-000010010000}"/>
    <hyperlink ref="W275" r:id="rId274" xr:uid="{00000000-0004-0000-0100-000011010000}"/>
    <hyperlink ref="W276" r:id="rId275" xr:uid="{00000000-0004-0000-0100-000012010000}"/>
    <hyperlink ref="W277" r:id="rId276" xr:uid="{00000000-0004-0000-0100-000013010000}"/>
    <hyperlink ref="W278" r:id="rId277" xr:uid="{00000000-0004-0000-0100-000014010000}"/>
    <hyperlink ref="W279" r:id="rId278" xr:uid="{00000000-0004-0000-0100-000015010000}"/>
    <hyperlink ref="W280" r:id="rId279" xr:uid="{00000000-0004-0000-0100-000016010000}"/>
    <hyperlink ref="W281" r:id="rId280" xr:uid="{00000000-0004-0000-0100-000017010000}"/>
    <hyperlink ref="W282" r:id="rId281" xr:uid="{00000000-0004-0000-0100-000018010000}"/>
    <hyperlink ref="W283" r:id="rId282" xr:uid="{00000000-0004-0000-0100-000019010000}"/>
    <hyperlink ref="W284" r:id="rId283" xr:uid="{00000000-0004-0000-0100-00001A010000}"/>
    <hyperlink ref="W285" r:id="rId284" xr:uid="{00000000-0004-0000-0100-00001B010000}"/>
    <hyperlink ref="W286" r:id="rId285" xr:uid="{00000000-0004-0000-0100-00001C010000}"/>
    <hyperlink ref="W287" r:id="rId286" xr:uid="{00000000-0004-0000-0100-00001D010000}"/>
    <hyperlink ref="W288" r:id="rId287" xr:uid="{00000000-0004-0000-0100-00001E010000}"/>
    <hyperlink ref="W289" r:id="rId288" xr:uid="{00000000-0004-0000-0100-00001F010000}"/>
    <hyperlink ref="W290" r:id="rId289" xr:uid="{00000000-0004-0000-0100-000020010000}"/>
    <hyperlink ref="W291" r:id="rId290" xr:uid="{00000000-0004-0000-0100-000021010000}"/>
    <hyperlink ref="W292" r:id="rId291" xr:uid="{00000000-0004-0000-0100-000022010000}"/>
    <hyperlink ref="W293" r:id="rId292" xr:uid="{00000000-0004-0000-0100-000023010000}"/>
    <hyperlink ref="W294" r:id="rId293" xr:uid="{00000000-0004-0000-0100-000024010000}"/>
    <hyperlink ref="W295" r:id="rId294" xr:uid="{00000000-0004-0000-0100-000025010000}"/>
    <hyperlink ref="W296" r:id="rId295" xr:uid="{00000000-0004-0000-0100-000026010000}"/>
    <hyperlink ref="W297" r:id="rId296" xr:uid="{00000000-0004-0000-0100-000027010000}"/>
    <hyperlink ref="W298" r:id="rId297" xr:uid="{00000000-0004-0000-0100-000028010000}"/>
    <hyperlink ref="W299" r:id="rId298" xr:uid="{00000000-0004-0000-0100-000029010000}"/>
    <hyperlink ref="W300" r:id="rId299" xr:uid="{00000000-0004-0000-0100-00002A010000}"/>
    <hyperlink ref="W301" r:id="rId300" xr:uid="{00000000-0004-0000-0100-00002B010000}"/>
    <hyperlink ref="W302" r:id="rId301" xr:uid="{00000000-0004-0000-0100-00002C010000}"/>
    <hyperlink ref="W303" r:id="rId302" xr:uid="{00000000-0004-0000-0100-00002D010000}"/>
    <hyperlink ref="W304" r:id="rId303" xr:uid="{00000000-0004-0000-0100-00002E010000}"/>
    <hyperlink ref="W305" r:id="rId304" xr:uid="{00000000-0004-0000-0100-00002F010000}"/>
    <hyperlink ref="W306" r:id="rId305" xr:uid="{00000000-0004-0000-0100-000030010000}"/>
    <hyperlink ref="W307" r:id="rId306" xr:uid="{00000000-0004-0000-0100-000031010000}"/>
    <hyperlink ref="W308" r:id="rId307" xr:uid="{00000000-0004-0000-0100-000032010000}"/>
    <hyperlink ref="W309" r:id="rId308" xr:uid="{00000000-0004-0000-0100-000033010000}"/>
    <hyperlink ref="W310" r:id="rId309" xr:uid="{00000000-0004-0000-0100-000034010000}"/>
    <hyperlink ref="W311" r:id="rId310" xr:uid="{00000000-0004-0000-0100-000035010000}"/>
    <hyperlink ref="W312" r:id="rId311" xr:uid="{00000000-0004-0000-0100-000036010000}"/>
    <hyperlink ref="W313" r:id="rId312" xr:uid="{00000000-0004-0000-0100-000037010000}"/>
    <hyperlink ref="W314" r:id="rId313" xr:uid="{00000000-0004-0000-0100-000038010000}"/>
    <hyperlink ref="W315" r:id="rId314" xr:uid="{00000000-0004-0000-0100-000039010000}"/>
    <hyperlink ref="W316" r:id="rId315" xr:uid="{00000000-0004-0000-0100-00003A010000}"/>
    <hyperlink ref="W317" r:id="rId316" xr:uid="{00000000-0004-0000-0100-00003B010000}"/>
    <hyperlink ref="W318" r:id="rId317" xr:uid="{00000000-0004-0000-0100-00003C010000}"/>
    <hyperlink ref="W319" r:id="rId318" xr:uid="{00000000-0004-0000-0100-00003D010000}"/>
    <hyperlink ref="W320" r:id="rId319" xr:uid="{00000000-0004-0000-0100-00003E010000}"/>
    <hyperlink ref="W321" r:id="rId320" xr:uid="{00000000-0004-0000-0100-00003F010000}"/>
    <hyperlink ref="W322" r:id="rId321" xr:uid="{00000000-0004-0000-0100-000040010000}"/>
    <hyperlink ref="W323" r:id="rId322" xr:uid="{00000000-0004-0000-0100-000041010000}"/>
    <hyperlink ref="W324" r:id="rId323" xr:uid="{00000000-0004-0000-0100-000042010000}"/>
    <hyperlink ref="W325" r:id="rId324" xr:uid="{00000000-0004-0000-0100-000043010000}"/>
    <hyperlink ref="W326" r:id="rId325" xr:uid="{00000000-0004-0000-0100-000044010000}"/>
    <hyperlink ref="W327" r:id="rId326" xr:uid="{00000000-0004-0000-0100-000045010000}"/>
    <hyperlink ref="W328" r:id="rId327" xr:uid="{00000000-0004-0000-0100-000046010000}"/>
    <hyperlink ref="W329" r:id="rId328" xr:uid="{00000000-0004-0000-0100-000047010000}"/>
    <hyperlink ref="W330" r:id="rId329" xr:uid="{00000000-0004-0000-0100-000048010000}"/>
    <hyperlink ref="W331" r:id="rId330" xr:uid="{00000000-0004-0000-0100-000049010000}"/>
    <hyperlink ref="W332" r:id="rId331" xr:uid="{00000000-0004-0000-0100-00004A010000}"/>
    <hyperlink ref="W333" r:id="rId332" xr:uid="{00000000-0004-0000-0100-00004B010000}"/>
    <hyperlink ref="W334" r:id="rId333" xr:uid="{00000000-0004-0000-0100-00004C010000}"/>
    <hyperlink ref="W335" r:id="rId334" xr:uid="{00000000-0004-0000-0100-00004D010000}"/>
    <hyperlink ref="W336" r:id="rId335" xr:uid="{00000000-0004-0000-0100-00004E010000}"/>
    <hyperlink ref="W337" r:id="rId336" xr:uid="{00000000-0004-0000-0100-00004F010000}"/>
    <hyperlink ref="W338" r:id="rId337" xr:uid="{00000000-0004-0000-0100-000050010000}"/>
    <hyperlink ref="W339" r:id="rId338" xr:uid="{00000000-0004-0000-0100-000051010000}"/>
    <hyperlink ref="W340" r:id="rId339" xr:uid="{00000000-0004-0000-0100-000052010000}"/>
    <hyperlink ref="W341" r:id="rId340" xr:uid="{00000000-0004-0000-0100-000053010000}"/>
    <hyperlink ref="W342" r:id="rId341" xr:uid="{00000000-0004-0000-0100-000054010000}"/>
    <hyperlink ref="W343" r:id="rId342" xr:uid="{00000000-0004-0000-0100-000055010000}"/>
    <hyperlink ref="W344" r:id="rId343" xr:uid="{00000000-0004-0000-0100-000056010000}"/>
    <hyperlink ref="W345" r:id="rId344" xr:uid="{00000000-0004-0000-0100-000057010000}"/>
    <hyperlink ref="W346" r:id="rId345" xr:uid="{00000000-0004-0000-0100-000058010000}"/>
    <hyperlink ref="W347" r:id="rId346" xr:uid="{00000000-0004-0000-0100-000059010000}"/>
    <hyperlink ref="W348" r:id="rId347" xr:uid="{00000000-0004-0000-0100-00005A010000}"/>
    <hyperlink ref="W349" r:id="rId348" xr:uid="{00000000-0004-0000-0100-00005B010000}"/>
    <hyperlink ref="W350" r:id="rId349" xr:uid="{00000000-0004-0000-0100-00005C010000}"/>
    <hyperlink ref="W351" r:id="rId350" xr:uid="{00000000-0004-0000-0100-00005D010000}"/>
    <hyperlink ref="W352" r:id="rId351" xr:uid="{00000000-0004-0000-0100-00005E010000}"/>
    <hyperlink ref="W353" r:id="rId352" xr:uid="{00000000-0004-0000-0100-00005F010000}"/>
    <hyperlink ref="W354" r:id="rId353" xr:uid="{00000000-0004-0000-0100-000060010000}"/>
    <hyperlink ref="W355" r:id="rId354" xr:uid="{00000000-0004-0000-0100-000061010000}"/>
    <hyperlink ref="W356" r:id="rId355" xr:uid="{00000000-0004-0000-0100-000062010000}"/>
    <hyperlink ref="W357" r:id="rId356" xr:uid="{00000000-0004-0000-0100-000063010000}"/>
    <hyperlink ref="W358" r:id="rId357" xr:uid="{00000000-0004-0000-0100-000064010000}"/>
    <hyperlink ref="W359" r:id="rId358" xr:uid="{00000000-0004-0000-0100-000065010000}"/>
    <hyperlink ref="W360" r:id="rId359" xr:uid="{00000000-0004-0000-0100-000066010000}"/>
    <hyperlink ref="W361" r:id="rId360" xr:uid="{00000000-0004-0000-0100-000067010000}"/>
    <hyperlink ref="W362" r:id="rId361" xr:uid="{00000000-0004-0000-0100-000068010000}"/>
    <hyperlink ref="W363" r:id="rId362" xr:uid="{00000000-0004-0000-0100-000069010000}"/>
    <hyperlink ref="W364" r:id="rId363" xr:uid="{00000000-0004-0000-0100-00006A010000}"/>
    <hyperlink ref="W365" r:id="rId364" xr:uid="{00000000-0004-0000-0100-00006B010000}"/>
    <hyperlink ref="W366" r:id="rId365" xr:uid="{00000000-0004-0000-0100-00006C010000}"/>
    <hyperlink ref="W367" r:id="rId366" xr:uid="{00000000-0004-0000-0100-00006D010000}"/>
    <hyperlink ref="W368" r:id="rId367" xr:uid="{00000000-0004-0000-0100-00006E010000}"/>
    <hyperlink ref="W369" r:id="rId368" xr:uid="{00000000-0004-0000-0100-00006F010000}"/>
    <hyperlink ref="W370" r:id="rId369" xr:uid="{00000000-0004-0000-0100-000070010000}"/>
    <hyperlink ref="W371" r:id="rId370" xr:uid="{00000000-0004-0000-0100-000071010000}"/>
    <hyperlink ref="W372" r:id="rId371" xr:uid="{00000000-0004-0000-0100-000072010000}"/>
    <hyperlink ref="W373" r:id="rId372" xr:uid="{00000000-0004-0000-0100-000073010000}"/>
    <hyperlink ref="W374" r:id="rId373" xr:uid="{00000000-0004-0000-0100-000074010000}"/>
    <hyperlink ref="W375" r:id="rId374" xr:uid="{00000000-0004-0000-0100-000075010000}"/>
    <hyperlink ref="W376" r:id="rId375" xr:uid="{00000000-0004-0000-0100-000076010000}"/>
    <hyperlink ref="W377" r:id="rId376" xr:uid="{00000000-0004-0000-0100-000077010000}"/>
    <hyperlink ref="W378" r:id="rId377" xr:uid="{00000000-0004-0000-0100-000078010000}"/>
    <hyperlink ref="W379" r:id="rId378" xr:uid="{00000000-0004-0000-0100-000079010000}"/>
    <hyperlink ref="W380" r:id="rId379" xr:uid="{00000000-0004-0000-0100-00007A010000}"/>
    <hyperlink ref="W381" r:id="rId380" xr:uid="{00000000-0004-0000-0100-00007B010000}"/>
    <hyperlink ref="W382" r:id="rId381" xr:uid="{00000000-0004-0000-0100-00007C010000}"/>
    <hyperlink ref="W383" r:id="rId382" xr:uid="{00000000-0004-0000-0100-00007D010000}"/>
    <hyperlink ref="W384" r:id="rId383" xr:uid="{00000000-0004-0000-0100-00007E010000}"/>
    <hyperlink ref="W385" r:id="rId384" xr:uid="{00000000-0004-0000-0100-00007F010000}"/>
    <hyperlink ref="W386" r:id="rId385" xr:uid="{00000000-0004-0000-0100-000080010000}"/>
    <hyperlink ref="W387" r:id="rId386" xr:uid="{00000000-0004-0000-0100-000081010000}"/>
    <hyperlink ref="W388" r:id="rId387" xr:uid="{00000000-0004-0000-0100-000082010000}"/>
    <hyperlink ref="W389" r:id="rId388" xr:uid="{00000000-0004-0000-0100-000083010000}"/>
    <hyperlink ref="W390" r:id="rId389" xr:uid="{00000000-0004-0000-0100-000084010000}"/>
    <hyperlink ref="W391" r:id="rId390" xr:uid="{00000000-0004-0000-0100-000085010000}"/>
    <hyperlink ref="W392" r:id="rId391" xr:uid="{00000000-0004-0000-0100-000086010000}"/>
    <hyperlink ref="W393" r:id="rId392" xr:uid="{00000000-0004-0000-0100-000087010000}"/>
    <hyperlink ref="W394" r:id="rId393" xr:uid="{00000000-0004-0000-0100-000088010000}"/>
    <hyperlink ref="W395" r:id="rId394" xr:uid="{00000000-0004-0000-0100-000089010000}"/>
    <hyperlink ref="W396" r:id="rId395" xr:uid="{00000000-0004-0000-0100-00008A010000}"/>
    <hyperlink ref="W397" r:id="rId396" xr:uid="{00000000-0004-0000-0100-00008B010000}"/>
    <hyperlink ref="W398" r:id="rId397" xr:uid="{00000000-0004-0000-0100-00008C010000}"/>
    <hyperlink ref="W399" r:id="rId398" xr:uid="{00000000-0004-0000-0100-00008D010000}"/>
    <hyperlink ref="W400" r:id="rId399" xr:uid="{00000000-0004-0000-0100-00008E010000}"/>
    <hyperlink ref="W401" r:id="rId400" xr:uid="{00000000-0004-0000-0100-00008F010000}"/>
    <hyperlink ref="W402" r:id="rId401" xr:uid="{00000000-0004-0000-0100-000090010000}"/>
    <hyperlink ref="W403" r:id="rId402" xr:uid="{00000000-0004-0000-0100-000091010000}"/>
    <hyperlink ref="W404" r:id="rId403" xr:uid="{00000000-0004-0000-0100-000092010000}"/>
    <hyperlink ref="W405" r:id="rId404" xr:uid="{00000000-0004-0000-0100-000093010000}"/>
    <hyperlink ref="W406" r:id="rId405" xr:uid="{00000000-0004-0000-0100-000094010000}"/>
    <hyperlink ref="W407" r:id="rId406" xr:uid="{00000000-0004-0000-0100-000095010000}"/>
    <hyperlink ref="W408" r:id="rId407" xr:uid="{00000000-0004-0000-0100-000096010000}"/>
    <hyperlink ref="W409" r:id="rId408" xr:uid="{00000000-0004-0000-0100-000097010000}"/>
    <hyperlink ref="W410" r:id="rId409" xr:uid="{00000000-0004-0000-0100-000098010000}"/>
    <hyperlink ref="W411" r:id="rId410" xr:uid="{00000000-0004-0000-0100-000099010000}"/>
    <hyperlink ref="W412" r:id="rId411" xr:uid="{00000000-0004-0000-0100-00009A010000}"/>
    <hyperlink ref="W413" r:id="rId412" xr:uid="{00000000-0004-0000-0100-00009B010000}"/>
    <hyperlink ref="W414" r:id="rId413" xr:uid="{00000000-0004-0000-0100-00009C010000}"/>
    <hyperlink ref="W415" r:id="rId414" xr:uid="{00000000-0004-0000-0100-00009D010000}"/>
    <hyperlink ref="W416" r:id="rId415" xr:uid="{00000000-0004-0000-0100-00009E010000}"/>
    <hyperlink ref="W417" r:id="rId416" xr:uid="{00000000-0004-0000-0100-00009F010000}"/>
    <hyperlink ref="W418" r:id="rId417" xr:uid="{00000000-0004-0000-0100-0000A0010000}"/>
    <hyperlink ref="W419" r:id="rId418" xr:uid="{00000000-0004-0000-0100-0000A1010000}"/>
    <hyperlink ref="W420" r:id="rId419" xr:uid="{00000000-0004-0000-0100-0000A2010000}"/>
    <hyperlink ref="W421" r:id="rId420" xr:uid="{00000000-0004-0000-0100-0000A3010000}"/>
    <hyperlink ref="W422" r:id="rId421" xr:uid="{00000000-0004-0000-0100-0000A4010000}"/>
    <hyperlink ref="W423" r:id="rId422" xr:uid="{00000000-0004-0000-0100-0000A5010000}"/>
    <hyperlink ref="W424" r:id="rId423" xr:uid="{00000000-0004-0000-0100-0000A6010000}"/>
    <hyperlink ref="W425" r:id="rId424" xr:uid="{00000000-0004-0000-0100-0000A7010000}"/>
    <hyperlink ref="W426" r:id="rId425" xr:uid="{00000000-0004-0000-0100-0000A8010000}"/>
    <hyperlink ref="W427" r:id="rId426" xr:uid="{00000000-0004-0000-0100-0000A9010000}"/>
    <hyperlink ref="W428" r:id="rId427" xr:uid="{00000000-0004-0000-0100-0000AA010000}"/>
    <hyperlink ref="W429" r:id="rId428" xr:uid="{00000000-0004-0000-0100-0000AB010000}"/>
    <hyperlink ref="W430" r:id="rId429" xr:uid="{00000000-0004-0000-0100-0000AC010000}"/>
    <hyperlink ref="W431" r:id="rId430" xr:uid="{00000000-0004-0000-0100-0000AD010000}"/>
    <hyperlink ref="W432" r:id="rId431" xr:uid="{00000000-0004-0000-0100-0000AE010000}"/>
    <hyperlink ref="W433" r:id="rId432" xr:uid="{00000000-0004-0000-0100-0000AF010000}"/>
    <hyperlink ref="W434" r:id="rId433" xr:uid="{00000000-0004-0000-0100-0000B0010000}"/>
    <hyperlink ref="W435" r:id="rId434" xr:uid="{00000000-0004-0000-0100-0000B1010000}"/>
    <hyperlink ref="W436" r:id="rId435" xr:uid="{00000000-0004-0000-0100-0000B2010000}"/>
    <hyperlink ref="W437" r:id="rId436" xr:uid="{00000000-0004-0000-0100-0000B3010000}"/>
    <hyperlink ref="W438" r:id="rId437" xr:uid="{00000000-0004-0000-0100-0000B4010000}"/>
    <hyperlink ref="W439" r:id="rId438" xr:uid="{00000000-0004-0000-0100-0000B5010000}"/>
    <hyperlink ref="W440" r:id="rId439" xr:uid="{00000000-0004-0000-0100-0000B6010000}"/>
    <hyperlink ref="W441" r:id="rId440" xr:uid="{00000000-0004-0000-0100-0000B7010000}"/>
    <hyperlink ref="W442" r:id="rId441" xr:uid="{00000000-0004-0000-0100-0000B8010000}"/>
    <hyperlink ref="W443" r:id="rId442" xr:uid="{00000000-0004-0000-0100-0000B9010000}"/>
    <hyperlink ref="W444" r:id="rId443" xr:uid="{00000000-0004-0000-0100-0000BA010000}"/>
    <hyperlink ref="W445" r:id="rId444" xr:uid="{00000000-0004-0000-0100-0000BB010000}"/>
    <hyperlink ref="W446" r:id="rId445" xr:uid="{00000000-0004-0000-0100-0000BC010000}"/>
    <hyperlink ref="W447" r:id="rId446" xr:uid="{00000000-0004-0000-0100-0000BD010000}"/>
    <hyperlink ref="W448" r:id="rId447" xr:uid="{00000000-0004-0000-0100-0000BE010000}"/>
    <hyperlink ref="W449" r:id="rId448" xr:uid="{00000000-0004-0000-0100-0000BF010000}"/>
    <hyperlink ref="W450" r:id="rId449" xr:uid="{00000000-0004-0000-0100-0000C0010000}"/>
    <hyperlink ref="W451" r:id="rId450" xr:uid="{00000000-0004-0000-0100-0000C1010000}"/>
    <hyperlink ref="W452" r:id="rId451" xr:uid="{00000000-0004-0000-0100-0000C2010000}"/>
    <hyperlink ref="W453" r:id="rId452" xr:uid="{00000000-0004-0000-0100-0000C3010000}"/>
    <hyperlink ref="W454" r:id="rId453" xr:uid="{00000000-0004-0000-0100-0000C4010000}"/>
    <hyperlink ref="W455" r:id="rId454" xr:uid="{00000000-0004-0000-0100-0000C5010000}"/>
    <hyperlink ref="W456" r:id="rId455" xr:uid="{00000000-0004-0000-0100-0000C6010000}"/>
    <hyperlink ref="W457" r:id="rId456" xr:uid="{00000000-0004-0000-0100-0000C7010000}"/>
    <hyperlink ref="W458" r:id="rId457" xr:uid="{00000000-0004-0000-0100-0000C8010000}"/>
    <hyperlink ref="W459" r:id="rId458" xr:uid="{00000000-0004-0000-0100-0000C9010000}"/>
    <hyperlink ref="W460" r:id="rId459" xr:uid="{00000000-0004-0000-0100-0000CA010000}"/>
    <hyperlink ref="W461" r:id="rId460" xr:uid="{00000000-0004-0000-0100-0000CB010000}"/>
    <hyperlink ref="W462" r:id="rId461" xr:uid="{00000000-0004-0000-0100-0000CC010000}"/>
    <hyperlink ref="W463" r:id="rId462" xr:uid="{00000000-0004-0000-0100-0000CD010000}"/>
    <hyperlink ref="W464" r:id="rId463" xr:uid="{00000000-0004-0000-0100-0000CE010000}"/>
    <hyperlink ref="W465" r:id="rId464" xr:uid="{00000000-0004-0000-0100-0000CF010000}"/>
    <hyperlink ref="W466" r:id="rId465" xr:uid="{00000000-0004-0000-0100-0000D0010000}"/>
    <hyperlink ref="W467" r:id="rId466" xr:uid="{00000000-0004-0000-0100-0000D1010000}"/>
    <hyperlink ref="W468" r:id="rId467" xr:uid="{00000000-0004-0000-0100-0000D2010000}"/>
    <hyperlink ref="W469" r:id="rId468" xr:uid="{00000000-0004-0000-0100-0000D3010000}"/>
    <hyperlink ref="W470" r:id="rId469" xr:uid="{00000000-0004-0000-0100-0000D4010000}"/>
    <hyperlink ref="W471" r:id="rId470" xr:uid="{00000000-0004-0000-0100-0000D5010000}"/>
    <hyperlink ref="W472" r:id="rId471" xr:uid="{00000000-0004-0000-0100-0000D6010000}"/>
    <hyperlink ref="W473" r:id="rId472" xr:uid="{00000000-0004-0000-0100-0000D7010000}"/>
    <hyperlink ref="W474" r:id="rId473" xr:uid="{00000000-0004-0000-0100-0000D8010000}"/>
    <hyperlink ref="W475" r:id="rId474" xr:uid="{00000000-0004-0000-0100-0000D9010000}"/>
    <hyperlink ref="W476" r:id="rId475" xr:uid="{00000000-0004-0000-0100-0000DA010000}"/>
    <hyperlink ref="W477" r:id="rId476" xr:uid="{00000000-0004-0000-0100-0000DB010000}"/>
    <hyperlink ref="W478" r:id="rId477" xr:uid="{00000000-0004-0000-0100-0000DC010000}"/>
    <hyperlink ref="W479" r:id="rId478" xr:uid="{00000000-0004-0000-0100-0000DD010000}"/>
    <hyperlink ref="W480" r:id="rId479" xr:uid="{00000000-0004-0000-0100-0000DE010000}"/>
    <hyperlink ref="W481" r:id="rId480" xr:uid="{00000000-0004-0000-0100-0000DF010000}"/>
    <hyperlink ref="W482" r:id="rId481" xr:uid="{00000000-0004-0000-0100-0000E0010000}"/>
    <hyperlink ref="W483" r:id="rId482" xr:uid="{00000000-0004-0000-0100-0000E1010000}"/>
    <hyperlink ref="W484" r:id="rId483" xr:uid="{00000000-0004-0000-0100-0000E2010000}"/>
    <hyperlink ref="W485" r:id="rId484" xr:uid="{00000000-0004-0000-0100-0000E3010000}"/>
    <hyperlink ref="W486" r:id="rId485" xr:uid="{00000000-0004-0000-0100-0000E4010000}"/>
    <hyperlink ref="W487" r:id="rId486" xr:uid="{00000000-0004-0000-0100-0000E5010000}"/>
    <hyperlink ref="W488" r:id="rId487" xr:uid="{00000000-0004-0000-0100-0000E6010000}"/>
    <hyperlink ref="W489" r:id="rId488" xr:uid="{00000000-0004-0000-0100-0000E7010000}"/>
    <hyperlink ref="W490" r:id="rId489" xr:uid="{00000000-0004-0000-0100-0000E8010000}"/>
    <hyperlink ref="W491" r:id="rId490" xr:uid="{00000000-0004-0000-0100-0000E9010000}"/>
    <hyperlink ref="W492" r:id="rId491" xr:uid="{00000000-0004-0000-0100-0000EA010000}"/>
    <hyperlink ref="W493" r:id="rId492" xr:uid="{00000000-0004-0000-0100-0000EB010000}"/>
    <hyperlink ref="W494" r:id="rId493" xr:uid="{00000000-0004-0000-0100-0000EC010000}"/>
    <hyperlink ref="W495" r:id="rId494" xr:uid="{00000000-0004-0000-0100-0000ED010000}"/>
    <hyperlink ref="W496" r:id="rId495" xr:uid="{00000000-0004-0000-0100-0000EE010000}"/>
    <hyperlink ref="W497" r:id="rId496" xr:uid="{00000000-0004-0000-0100-0000EF010000}"/>
    <hyperlink ref="W498" r:id="rId497" xr:uid="{00000000-0004-0000-0100-0000F0010000}"/>
    <hyperlink ref="W499" r:id="rId498" xr:uid="{00000000-0004-0000-0100-0000F1010000}"/>
    <hyperlink ref="W500" r:id="rId499" xr:uid="{00000000-0004-0000-0100-0000F2010000}"/>
    <hyperlink ref="W501" r:id="rId500" xr:uid="{00000000-0004-0000-0100-0000F3010000}"/>
    <hyperlink ref="W502" r:id="rId501" xr:uid="{00000000-0004-0000-0100-0000F4010000}"/>
    <hyperlink ref="W503" r:id="rId502" xr:uid="{00000000-0004-0000-0100-0000F5010000}"/>
    <hyperlink ref="W504" r:id="rId503" xr:uid="{00000000-0004-0000-0100-0000F6010000}"/>
    <hyperlink ref="W505" r:id="rId504" xr:uid="{00000000-0004-0000-0100-0000F7010000}"/>
    <hyperlink ref="W506" r:id="rId505" xr:uid="{00000000-0004-0000-0100-0000F8010000}"/>
    <hyperlink ref="W507" r:id="rId506" xr:uid="{00000000-0004-0000-0100-0000F9010000}"/>
    <hyperlink ref="W508" r:id="rId507" xr:uid="{00000000-0004-0000-0100-0000FA010000}"/>
    <hyperlink ref="W509" r:id="rId508" xr:uid="{00000000-0004-0000-0100-0000FB010000}"/>
    <hyperlink ref="W510" r:id="rId509" xr:uid="{00000000-0004-0000-0100-0000FC010000}"/>
    <hyperlink ref="W511" r:id="rId510" xr:uid="{00000000-0004-0000-0100-0000FD010000}"/>
    <hyperlink ref="W512" r:id="rId511" xr:uid="{00000000-0004-0000-0100-0000FE010000}"/>
    <hyperlink ref="W513" r:id="rId512" xr:uid="{00000000-0004-0000-0100-0000FF010000}"/>
    <hyperlink ref="W514" r:id="rId513" xr:uid="{00000000-0004-0000-0100-000000020000}"/>
    <hyperlink ref="W515" r:id="rId514" xr:uid="{00000000-0004-0000-0100-000001020000}"/>
    <hyperlink ref="W516" r:id="rId515" xr:uid="{00000000-0004-0000-0100-000002020000}"/>
    <hyperlink ref="W517" r:id="rId516" xr:uid="{00000000-0004-0000-0100-000003020000}"/>
    <hyperlink ref="W518" r:id="rId517" xr:uid="{00000000-0004-0000-0100-000004020000}"/>
    <hyperlink ref="W519" r:id="rId518" xr:uid="{00000000-0004-0000-0100-000005020000}"/>
    <hyperlink ref="W520" r:id="rId519" xr:uid="{00000000-0004-0000-0100-000006020000}"/>
    <hyperlink ref="W521" r:id="rId520" xr:uid="{00000000-0004-0000-0100-000007020000}"/>
    <hyperlink ref="W522" r:id="rId521" xr:uid="{00000000-0004-0000-0100-000008020000}"/>
    <hyperlink ref="W523" r:id="rId522" xr:uid="{00000000-0004-0000-0100-000009020000}"/>
    <hyperlink ref="W524" r:id="rId523" xr:uid="{00000000-0004-0000-0100-00000A020000}"/>
    <hyperlink ref="W525" r:id="rId524" xr:uid="{00000000-0004-0000-0100-00000B020000}"/>
    <hyperlink ref="W526" r:id="rId525" xr:uid="{00000000-0004-0000-0100-00000C020000}"/>
    <hyperlink ref="W527" r:id="rId526" xr:uid="{00000000-0004-0000-0100-00000D020000}"/>
    <hyperlink ref="W528" r:id="rId527" xr:uid="{00000000-0004-0000-0100-00000E020000}"/>
    <hyperlink ref="W529" r:id="rId528" xr:uid="{00000000-0004-0000-0100-00000F020000}"/>
    <hyperlink ref="W530" r:id="rId529" xr:uid="{00000000-0004-0000-0100-000010020000}"/>
    <hyperlink ref="W531" r:id="rId530" xr:uid="{00000000-0004-0000-0100-000011020000}"/>
    <hyperlink ref="W532" r:id="rId531" xr:uid="{00000000-0004-0000-0100-000012020000}"/>
    <hyperlink ref="W533" r:id="rId532" xr:uid="{00000000-0004-0000-0100-000013020000}"/>
    <hyperlink ref="W534" r:id="rId533" xr:uid="{00000000-0004-0000-0100-000014020000}"/>
    <hyperlink ref="W535" r:id="rId534" xr:uid="{00000000-0004-0000-0100-000015020000}"/>
    <hyperlink ref="W536" r:id="rId535" xr:uid="{00000000-0004-0000-0100-000016020000}"/>
    <hyperlink ref="W537" r:id="rId536" xr:uid="{00000000-0004-0000-0100-000017020000}"/>
    <hyperlink ref="W538" r:id="rId537" xr:uid="{00000000-0004-0000-0100-000018020000}"/>
    <hyperlink ref="W539" r:id="rId538" xr:uid="{00000000-0004-0000-0100-000019020000}"/>
    <hyperlink ref="W540" r:id="rId539" xr:uid="{00000000-0004-0000-0100-00001A020000}"/>
    <hyperlink ref="W541" r:id="rId540" xr:uid="{00000000-0004-0000-0100-00001B020000}"/>
    <hyperlink ref="W542" r:id="rId541" xr:uid="{00000000-0004-0000-0100-00001C020000}"/>
    <hyperlink ref="W543" r:id="rId542" xr:uid="{00000000-0004-0000-0100-00001D020000}"/>
    <hyperlink ref="W544" r:id="rId543" xr:uid="{00000000-0004-0000-0100-00001E020000}"/>
    <hyperlink ref="W545" r:id="rId544" xr:uid="{00000000-0004-0000-0100-00001F020000}"/>
    <hyperlink ref="W546" r:id="rId545" xr:uid="{00000000-0004-0000-0100-000020020000}"/>
    <hyperlink ref="W547" r:id="rId546" xr:uid="{00000000-0004-0000-0100-000021020000}"/>
    <hyperlink ref="W548" r:id="rId547" xr:uid="{00000000-0004-0000-0100-000022020000}"/>
    <hyperlink ref="W549" r:id="rId548" xr:uid="{00000000-0004-0000-0100-000023020000}"/>
    <hyperlink ref="W550" r:id="rId549" xr:uid="{00000000-0004-0000-0100-000024020000}"/>
    <hyperlink ref="W551" r:id="rId550" xr:uid="{00000000-0004-0000-0100-000025020000}"/>
    <hyperlink ref="W552" r:id="rId551" xr:uid="{00000000-0004-0000-0100-000026020000}"/>
    <hyperlink ref="W553" r:id="rId552" xr:uid="{00000000-0004-0000-0100-000027020000}"/>
    <hyperlink ref="W554" r:id="rId553" xr:uid="{00000000-0004-0000-0100-000028020000}"/>
    <hyperlink ref="W555" r:id="rId554" xr:uid="{00000000-0004-0000-0100-000029020000}"/>
    <hyperlink ref="W556" r:id="rId555" xr:uid="{00000000-0004-0000-0100-00002A020000}"/>
    <hyperlink ref="W557" r:id="rId556" xr:uid="{00000000-0004-0000-0100-00002B020000}"/>
    <hyperlink ref="W558" r:id="rId557" xr:uid="{00000000-0004-0000-0100-00002C020000}"/>
    <hyperlink ref="W559" r:id="rId558" xr:uid="{00000000-0004-0000-0100-00002D020000}"/>
    <hyperlink ref="W560" r:id="rId559" xr:uid="{00000000-0004-0000-0100-00002E020000}"/>
    <hyperlink ref="W561" r:id="rId560" xr:uid="{00000000-0004-0000-0100-00002F020000}"/>
    <hyperlink ref="W562" r:id="rId561" xr:uid="{00000000-0004-0000-0100-000030020000}"/>
    <hyperlink ref="W563" r:id="rId562" xr:uid="{00000000-0004-0000-0100-000031020000}"/>
    <hyperlink ref="W564" r:id="rId563" xr:uid="{00000000-0004-0000-0100-000032020000}"/>
    <hyperlink ref="W565" r:id="rId564" xr:uid="{00000000-0004-0000-0100-000033020000}"/>
    <hyperlink ref="W566" r:id="rId565" xr:uid="{00000000-0004-0000-0100-000034020000}"/>
    <hyperlink ref="W567" r:id="rId566" xr:uid="{00000000-0004-0000-0100-000035020000}"/>
    <hyperlink ref="W568" r:id="rId567" xr:uid="{00000000-0004-0000-0100-000036020000}"/>
    <hyperlink ref="W569" r:id="rId568" xr:uid="{00000000-0004-0000-0100-000037020000}"/>
    <hyperlink ref="W570" r:id="rId569" xr:uid="{00000000-0004-0000-0100-000038020000}"/>
    <hyperlink ref="W571" r:id="rId570" xr:uid="{00000000-0004-0000-0100-000039020000}"/>
    <hyperlink ref="W572" r:id="rId571" xr:uid="{00000000-0004-0000-0100-00003A020000}"/>
    <hyperlink ref="W573" r:id="rId572" xr:uid="{00000000-0004-0000-0100-00003B020000}"/>
    <hyperlink ref="W574" r:id="rId573" xr:uid="{00000000-0004-0000-0100-00003C020000}"/>
    <hyperlink ref="W575" r:id="rId574" xr:uid="{00000000-0004-0000-0100-00003D020000}"/>
    <hyperlink ref="W576" r:id="rId575" xr:uid="{00000000-0004-0000-0100-00003E020000}"/>
    <hyperlink ref="W577" r:id="rId576" xr:uid="{00000000-0004-0000-0100-00003F020000}"/>
    <hyperlink ref="W578" r:id="rId577" xr:uid="{00000000-0004-0000-0100-000040020000}"/>
    <hyperlink ref="W579" r:id="rId578" xr:uid="{00000000-0004-0000-0100-000041020000}"/>
    <hyperlink ref="W580" r:id="rId579" xr:uid="{00000000-0004-0000-0100-000042020000}"/>
    <hyperlink ref="W581" r:id="rId580" xr:uid="{00000000-0004-0000-0100-000043020000}"/>
    <hyperlink ref="W582" r:id="rId581" xr:uid="{00000000-0004-0000-0100-000044020000}"/>
    <hyperlink ref="W583" r:id="rId582" xr:uid="{00000000-0004-0000-0100-000045020000}"/>
    <hyperlink ref="W584" r:id="rId583" xr:uid="{00000000-0004-0000-0100-000046020000}"/>
    <hyperlink ref="W585" r:id="rId584" xr:uid="{00000000-0004-0000-0100-000047020000}"/>
    <hyperlink ref="W586" r:id="rId585" xr:uid="{00000000-0004-0000-0100-000048020000}"/>
    <hyperlink ref="W587" r:id="rId586" xr:uid="{00000000-0004-0000-0100-000049020000}"/>
    <hyperlink ref="W588" r:id="rId587" xr:uid="{00000000-0004-0000-0100-00004A020000}"/>
    <hyperlink ref="W589" r:id="rId588" xr:uid="{00000000-0004-0000-0100-00004B020000}"/>
    <hyperlink ref="W590" r:id="rId589" xr:uid="{00000000-0004-0000-0100-00004C020000}"/>
    <hyperlink ref="W591" r:id="rId590" xr:uid="{00000000-0004-0000-0100-00004D020000}"/>
    <hyperlink ref="W592" r:id="rId591" xr:uid="{00000000-0004-0000-0100-00004E020000}"/>
    <hyperlink ref="W593" r:id="rId592" xr:uid="{00000000-0004-0000-0100-00004F020000}"/>
    <hyperlink ref="W594" r:id="rId593" xr:uid="{00000000-0004-0000-0100-000050020000}"/>
    <hyperlink ref="W595" r:id="rId594" xr:uid="{00000000-0004-0000-0100-000051020000}"/>
    <hyperlink ref="W596" r:id="rId595" xr:uid="{00000000-0004-0000-0100-000052020000}"/>
    <hyperlink ref="W597" r:id="rId596" xr:uid="{00000000-0004-0000-0100-000053020000}"/>
    <hyperlink ref="W598" r:id="rId597" xr:uid="{00000000-0004-0000-0100-000054020000}"/>
    <hyperlink ref="W599" r:id="rId598" xr:uid="{00000000-0004-0000-0100-000055020000}"/>
    <hyperlink ref="W600" r:id="rId599" xr:uid="{00000000-0004-0000-0100-000056020000}"/>
    <hyperlink ref="W601" r:id="rId600" xr:uid="{00000000-0004-0000-0100-000057020000}"/>
    <hyperlink ref="W602" r:id="rId601" xr:uid="{00000000-0004-0000-0100-000058020000}"/>
    <hyperlink ref="W603" r:id="rId602" xr:uid="{00000000-0004-0000-0100-000059020000}"/>
    <hyperlink ref="W604" r:id="rId603" xr:uid="{00000000-0004-0000-0100-00005A020000}"/>
    <hyperlink ref="W605" r:id="rId604" xr:uid="{00000000-0004-0000-0100-00005B020000}"/>
    <hyperlink ref="W606" r:id="rId605" xr:uid="{00000000-0004-0000-0100-00005C020000}"/>
    <hyperlink ref="W607" r:id="rId606" xr:uid="{00000000-0004-0000-0100-00005D020000}"/>
    <hyperlink ref="W608" r:id="rId607" xr:uid="{00000000-0004-0000-0100-00005E020000}"/>
    <hyperlink ref="W609" r:id="rId608" xr:uid="{00000000-0004-0000-0100-00005F020000}"/>
    <hyperlink ref="W610" r:id="rId609" xr:uid="{00000000-0004-0000-0100-000060020000}"/>
    <hyperlink ref="W611" r:id="rId610" xr:uid="{00000000-0004-0000-0100-000061020000}"/>
    <hyperlink ref="W612" r:id="rId611" xr:uid="{00000000-0004-0000-0100-000062020000}"/>
    <hyperlink ref="W613" r:id="rId612" xr:uid="{00000000-0004-0000-0100-000063020000}"/>
    <hyperlink ref="W614" r:id="rId613" xr:uid="{00000000-0004-0000-0100-000064020000}"/>
    <hyperlink ref="W615" r:id="rId614" xr:uid="{00000000-0004-0000-0100-000065020000}"/>
    <hyperlink ref="W616" r:id="rId615" xr:uid="{00000000-0004-0000-0100-000066020000}"/>
    <hyperlink ref="W617" r:id="rId616" xr:uid="{00000000-0004-0000-0100-000067020000}"/>
    <hyperlink ref="W618" r:id="rId617" xr:uid="{00000000-0004-0000-0100-000068020000}"/>
    <hyperlink ref="W619" r:id="rId618" xr:uid="{00000000-0004-0000-0100-000069020000}"/>
    <hyperlink ref="W620" r:id="rId619" xr:uid="{00000000-0004-0000-0100-00006A020000}"/>
    <hyperlink ref="W621" r:id="rId620" xr:uid="{00000000-0004-0000-0100-00006B020000}"/>
    <hyperlink ref="W622" r:id="rId621" xr:uid="{00000000-0004-0000-0100-00006C020000}"/>
    <hyperlink ref="W623" r:id="rId622" xr:uid="{00000000-0004-0000-0100-00006D020000}"/>
    <hyperlink ref="W624" r:id="rId623" xr:uid="{00000000-0004-0000-0100-00006E020000}"/>
    <hyperlink ref="W625" r:id="rId624" xr:uid="{00000000-0004-0000-0100-00006F020000}"/>
    <hyperlink ref="W626" r:id="rId625" xr:uid="{00000000-0004-0000-0100-000070020000}"/>
    <hyperlink ref="W627" r:id="rId626" xr:uid="{00000000-0004-0000-0100-000071020000}"/>
    <hyperlink ref="W628" r:id="rId627" xr:uid="{00000000-0004-0000-0100-000072020000}"/>
    <hyperlink ref="W629" r:id="rId628" xr:uid="{00000000-0004-0000-0100-000073020000}"/>
    <hyperlink ref="W630" r:id="rId629" xr:uid="{00000000-0004-0000-0100-000074020000}"/>
    <hyperlink ref="W631" r:id="rId630" xr:uid="{00000000-0004-0000-0100-000075020000}"/>
    <hyperlink ref="W632" r:id="rId631" xr:uid="{00000000-0004-0000-0100-000076020000}"/>
    <hyperlink ref="W633" r:id="rId632" xr:uid="{00000000-0004-0000-0100-000077020000}"/>
    <hyperlink ref="W634" r:id="rId633" xr:uid="{00000000-0004-0000-0100-000078020000}"/>
    <hyperlink ref="W635" r:id="rId634" xr:uid="{00000000-0004-0000-0100-000079020000}"/>
    <hyperlink ref="W636" r:id="rId635" xr:uid="{00000000-0004-0000-0100-00007A020000}"/>
    <hyperlink ref="W637" r:id="rId636" xr:uid="{00000000-0004-0000-0100-00007B020000}"/>
    <hyperlink ref="W638" r:id="rId637" xr:uid="{00000000-0004-0000-0100-00007C020000}"/>
    <hyperlink ref="W639" r:id="rId638" xr:uid="{00000000-0004-0000-0100-00007D020000}"/>
    <hyperlink ref="W640" r:id="rId639" xr:uid="{00000000-0004-0000-0100-00007E020000}"/>
    <hyperlink ref="W641" r:id="rId640" xr:uid="{00000000-0004-0000-0100-00007F020000}"/>
    <hyperlink ref="W642" r:id="rId641" xr:uid="{00000000-0004-0000-0100-000080020000}"/>
    <hyperlink ref="W643" r:id="rId642" xr:uid="{00000000-0004-0000-0100-000081020000}"/>
    <hyperlink ref="W644" r:id="rId643" xr:uid="{00000000-0004-0000-0100-000082020000}"/>
    <hyperlink ref="W645" r:id="rId644" xr:uid="{00000000-0004-0000-0100-000083020000}"/>
    <hyperlink ref="W646" r:id="rId645" xr:uid="{00000000-0004-0000-0100-000084020000}"/>
    <hyperlink ref="W647" r:id="rId646" xr:uid="{00000000-0004-0000-0100-000085020000}"/>
    <hyperlink ref="W648" r:id="rId647" xr:uid="{00000000-0004-0000-0100-000086020000}"/>
    <hyperlink ref="W649" r:id="rId648" xr:uid="{00000000-0004-0000-0100-000087020000}"/>
    <hyperlink ref="W650" r:id="rId649" xr:uid="{00000000-0004-0000-0100-000088020000}"/>
    <hyperlink ref="W651" r:id="rId650" xr:uid="{00000000-0004-0000-0100-000089020000}"/>
    <hyperlink ref="W652" r:id="rId651" xr:uid="{00000000-0004-0000-0100-00008A020000}"/>
    <hyperlink ref="W653" r:id="rId652" xr:uid="{00000000-0004-0000-0100-00008B020000}"/>
    <hyperlink ref="W654" r:id="rId653" xr:uid="{00000000-0004-0000-0100-00008C020000}"/>
    <hyperlink ref="W655" r:id="rId654" xr:uid="{00000000-0004-0000-0100-00008D020000}"/>
    <hyperlink ref="W656" r:id="rId655" xr:uid="{00000000-0004-0000-0100-00008E020000}"/>
    <hyperlink ref="W657" r:id="rId656" xr:uid="{00000000-0004-0000-0100-00008F020000}"/>
    <hyperlink ref="W658" r:id="rId657" xr:uid="{00000000-0004-0000-0100-000090020000}"/>
    <hyperlink ref="W659" r:id="rId658" xr:uid="{00000000-0004-0000-0100-000091020000}"/>
    <hyperlink ref="W660" r:id="rId659" xr:uid="{00000000-0004-0000-0100-000092020000}"/>
    <hyperlink ref="W661" r:id="rId660" xr:uid="{00000000-0004-0000-0100-000093020000}"/>
    <hyperlink ref="W662" r:id="rId661" xr:uid="{00000000-0004-0000-0100-000094020000}"/>
    <hyperlink ref="W663" r:id="rId662" xr:uid="{00000000-0004-0000-0100-000095020000}"/>
    <hyperlink ref="W664" r:id="rId663" xr:uid="{00000000-0004-0000-0100-000096020000}"/>
    <hyperlink ref="W665" r:id="rId664" xr:uid="{00000000-0004-0000-0100-000097020000}"/>
    <hyperlink ref="W666" r:id="rId665" xr:uid="{00000000-0004-0000-0100-000098020000}"/>
    <hyperlink ref="W667" r:id="rId666" xr:uid="{00000000-0004-0000-0100-000099020000}"/>
    <hyperlink ref="W668" r:id="rId667" xr:uid="{00000000-0004-0000-0100-00009A020000}"/>
    <hyperlink ref="W669" r:id="rId668" xr:uid="{00000000-0004-0000-0100-00009B020000}"/>
    <hyperlink ref="W670" r:id="rId669" xr:uid="{00000000-0004-0000-0100-00009C020000}"/>
    <hyperlink ref="W671" r:id="rId670" xr:uid="{00000000-0004-0000-0100-00009D020000}"/>
    <hyperlink ref="W672" r:id="rId671" xr:uid="{00000000-0004-0000-0100-00009E020000}"/>
    <hyperlink ref="W673" r:id="rId672" xr:uid="{00000000-0004-0000-0100-00009F020000}"/>
    <hyperlink ref="W674" r:id="rId673" xr:uid="{00000000-0004-0000-0100-0000A0020000}"/>
    <hyperlink ref="W675" r:id="rId674" xr:uid="{00000000-0004-0000-0100-0000A1020000}"/>
    <hyperlink ref="W676" r:id="rId675" xr:uid="{00000000-0004-0000-0100-0000A2020000}"/>
    <hyperlink ref="W677" r:id="rId676" xr:uid="{00000000-0004-0000-0100-0000A3020000}"/>
    <hyperlink ref="W678" r:id="rId677" xr:uid="{00000000-0004-0000-0100-0000A4020000}"/>
    <hyperlink ref="W679" r:id="rId678" xr:uid="{00000000-0004-0000-0100-0000A5020000}"/>
    <hyperlink ref="W680" r:id="rId679" xr:uid="{00000000-0004-0000-0100-0000A6020000}"/>
    <hyperlink ref="W681" r:id="rId680" xr:uid="{00000000-0004-0000-0100-0000A7020000}"/>
    <hyperlink ref="W682" r:id="rId681" xr:uid="{00000000-0004-0000-0100-0000A8020000}"/>
    <hyperlink ref="W683" r:id="rId682" xr:uid="{00000000-0004-0000-0100-0000A9020000}"/>
    <hyperlink ref="W684" r:id="rId683" xr:uid="{00000000-0004-0000-0100-0000AA020000}"/>
    <hyperlink ref="W685" r:id="rId684" xr:uid="{00000000-0004-0000-0100-0000AB020000}"/>
    <hyperlink ref="W686" r:id="rId685" xr:uid="{00000000-0004-0000-0100-0000AC020000}"/>
    <hyperlink ref="W687" r:id="rId686" xr:uid="{00000000-0004-0000-0100-0000AD020000}"/>
    <hyperlink ref="W688" r:id="rId687" xr:uid="{00000000-0004-0000-0100-0000AE020000}"/>
    <hyperlink ref="W689" r:id="rId688" xr:uid="{00000000-0004-0000-0100-0000AF020000}"/>
    <hyperlink ref="W690" r:id="rId689" xr:uid="{00000000-0004-0000-0100-0000B0020000}"/>
    <hyperlink ref="W691" r:id="rId690" xr:uid="{00000000-0004-0000-0100-0000B1020000}"/>
    <hyperlink ref="W692" r:id="rId691" xr:uid="{00000000-0004-0000-0100-0000B2020000}"/>
    <hyperlink ref="W693" r:id="rId692" xr:uid="{00000000-0004-0000-0100-0000B3020000}"/>
    <hyperlink ref="W694" r:id="rId693" xr:uid="{00000000-0004-0000-0100-0000B4020000}"/>
    <hyperlink ref="W695" r:id="rId694" xr:uid="{00000000-0004-0000-0100-0000B5020000}"/>
    <hyperlink ref="W696" r:id="rId695" xr:uid="{00000000-0004-0000-0100-0000B6020000}"/>
    <hyperlink ref="W697" r:id="rId696" xr:uid="{00000000-0004-0000-0100-0000B7020000}"/>
    <hyperlink ref="W698" r:id="rId697" xr:uid="{00000000-0004-0000-0100-0000B8020000}"/>
    <hyperlink ref="W699" r:id="rId698" xr:uid="{00000000-0004-0000-0100-0000B9020000}"/>
    <hyperlink ref="W700" r:id="rId699" xr:uid="{00000000-0004-0000-0100-0000BA020000}"/>
    <hyperlink ref="W701" r:id="rId700" xr:uid="{00000000-0004-0000-0100-0000BB020000}"/>
    <hyperlink ref="W702" r:id="rId701" xr:uid="{00000000-0004-0000-0100-0000BC020000}"/>
    <hyperlink ref="W703" r:id="rId702" xr:uid="{00000000-0004-0000-0100-0000BD020000}"/>
    <hyperlink ref="W704" r:id="rId703" xr:uid="{00000000-0004-0000-0100-0000BE020000}"/>
    <hyperlink ref="W705" r:id="rId704" xr:uid="{00000000-0004-0000-0100-0000BF020000}"/>
    <hyperlink ref="W706" r:id="rId705" xr:uid="{00000000-0004-0000-0100-0000C0020000}"/>
    <hyperlink ref="W707" r:id="rId706" xr:uid="{00000000-0004-0000-0100-0000C1020000}"/>
    <hyperlink ref="W708" r:id="rId707" xr:uid="{00000000-0004-0000-0100-0000C2020000}"/>
    <hyperlink ref="W709" r:id="rId708" xr:uid="{00000000-0004-0000-0100-0000C3020000}"/>
    <hyperlink ref="W710" r:id="rId709" xr:uid="{00000000-0004-0000-0100-0000C4020000}"/>
    <hyperlink ref="W711" r:id="rId710" xr:uid="{00000000-0004-0000-0100-0000C5020000}"/>
    <hyperlink ref="W712" r:id="rId711" xr:uid="{00000000-0004-0000-0100-0000C6020000}"/>
    <hyperlink ref="W713" r:id="rId712" xr:uid="{00000000-0004-0000-0100-0000C7020000}"/>
    <hyperlink ref="W714" r:id="rId713" xr:uid="{00000000-0004-0000-0100-0000C8020000}"/>
    <hyperlink ref="W715" r:id="rId714" xr:uid="{00000000-0004-0000-0100-0000C9020000}"/>
    <hyperlink ref="W716" r:id="rId715" xr:uid="{00000000-0004-0000-0100-0000CA020000}"/>
    <hyperlink ref="W717" r:id="rId716" xr:uid="{00000000-0004-0000-0100-0000CB020000}"/>
    <hyperlink ref="W718" r:id="rId717" xr:uid="{00000000-0004-0000-0100-0000CC020000}"/>
    <hyperlink ref="W719" r:id="rId718" xr:uid="{00000000-0004-0000-0100-0000CD020000}"/>
    <hyperlink ref="W720" r:id="rId719" xr:uid="{00000000-0004-0000-0100-0000CE020000}"/>
    <hyperlink ref="W721" r:id="rId720" xr:uid="{00000000-0004-0000-0100-0000CF020000}"/>
    <hyperlink ref="W722" r:id="rId721" xr:uid="{00000000-0004-0000-0100-0000D0020000}"/>
    <hyperlink ref="W723" r:id="rId722" xr:uid="{00000000-0004-0000-0100-0000D1020000}"/>
    <hyperlink ref="W724" r:id="rId723" xr:uid="{00000000-0004-0000-0100-0000D2020000}"/>
    <hyperlink ref="W725" r:id="rId724" xr:uid="{00000000-0004-0000-0100-0000D3020000}"/>
    <hyperlink ref="W726" r:id="rId725" xr:uid="{00000000-0004-0000-0100-0000D4020000}"/>
    <hyperlink ref="W727" r:id="rId726" xr:uid="{00000000-0004-0000-0100-0000D5020000}"/>
    <hyperlink ref="W728" r:id="rId727" xr:uid="{00000000-0004-0000-0100-0000D6020000}"/>
    <hyperlink ref="W729" r:id="rId728" xr:uid="{00000000-0004-0000-0100-0000D7020000}"/>
    <hyperlink ref="W730" r:id="rId729" xr:uid="{00000000-0004-0000-0100-0000D8020000}"/>
    <hyperlink ref="W731" r:id="rId730" xr:uid="{00000000-0004-0000-0100-0000D9020000}"/>
    <hyperlink ref="W732" r:id="rId731" xr:uid="{00000000-0004-0000-0100-0000DA020000}"/>
    <hyperlink ref="W733" r:id="rId732" xr:uid="{00000000-0004-0000-0100-0000DB020000}"/>
    <hyperlink ref="W734" r:id="rId733" xr:uid="{00000000-0004-0000-0100-0000DC020000}"/>
    <hyperlink ref="W735" r:id="rId734" xr:uid="{00000000-0004-0000-0100-0000DD020000}"/>
    <hyperlink ref="W736" r:id="rId735" xr:uid="{00000000-0004-0000-0100-0000DE020000}"/>
    <hyperlink ref="W737" r:id="rId736" xr:uid="{00000000-0004-0000-0100-0000DF020000}"/>
    <hyperlink ref="W738" r:id="rId737" xr:uid="{00000000-0004-0000-0100-0000E0020000}"/>
    <hyperlink ref="W739" r:id="rId738" xr:uid="{00000000-0004-0000-0100-0000E1020000}"/>
    <hyperlink ref="W740" r:id="rId739" xr:uid="{00000000-0004-0000-0100-0000E2020000}"/>
    <hyperlink ref="W741" r:id="rId740" xr:uid="{00000000-0004-0000-0100-0000E3020000}"/>
    <hyperlink ref="W742" r:id="rId741" xr:uid="{00000000-0004-0000-0100-0000E4020000}"/>
    <hyperlink ref="W743" r:id="rId742" xr:uid="{00000000-0004-0000-0100-0000E5020000}"/>
    <hyperlink ref="W744" r:id="rId743" xr:uid="{00000000-0004-0000-0100-0000E6020000}"/>
    <hyperlink ref="W745" r:id="rId744" xr:uid="{00000000-0004-0000-0100-0000E7020000}"/>
    <hyperlink ref="W746" r:id="rId745" xr:uid="{00000000-0004-0000-0100-0000E8020000}"/>
    <hyperlink ref="W747" r:id="rId746" xr:uid="{00000000-0004-0000-0100-0000E9020000}"/>
    <hyperlink ref="W748" r:id="rId747" xr:uid="{00000000-0004-0000-0100-0000EA020000}"/>
    <hyperlink ref="W749" r:id="rId748" xr:uid="{00000000-0004-0000-0100-0000EB020000}"/>
    <hyperlink ref="W750" r:id="rId749" xr:uid="{00000000-0004-0000-0100-0000EC020000}"/>
    <hyperlink ref="W751" r:id="rId750" xr:uid="{00000000-0004-0000-0100-0000ED020000}"/>
    <hyperlink ref="W752" r:id="rId751" xr:uid="{00000000-0004-0000-0100-0000EE020000}"/>
    <hyperlink ref="W753" r:id="rId752" xr:uid="{00000000-0004-0000-0100-0000EF020000}"/>
    <hyperlink ref="W754" r:id="rId753" xr:uid="{00000000-0004-0000-0100-0000F0020000}"/>
    <hyperlink ref="W755" r:id="rId754" xr:uid="{00000000-0004-0000-0100-0000F1020000}"/>
    <hyperlink ref="W756" r:id="rId755" xr:uid="{00000000-0004-0000-0100-0000F2020000}"/>
    <hyperlink ref="W757" r:id="rId756" xr:uid="{00000000-0004-0000-0100-0000F3020000}"/>
    <hyperlink ref="W758" r:id="rId757" xr:uid="{00000000-0004-0000-0100-0000F4020000}"/>
    <hyperlink ref="W759" r:id="rId758" xr:uid="{00000000-0004-0000-0100-0000F5020000}"/>
    <hyperlink ref="W760" r:id="rId759" xr:uid="{00000000-0004-0000-0100-0000F6020000}"/>
    <hyperlink ref="W761" r:id="rId760" xr:uid="{00000000-0004-0000-0100-0000F7020000}"/>
    <hyperlink ref="W762" r:id="rId761" xr:uid="{00000000-0004-0000-0100-0000F8020000}"/>
    <hyperlink ref="W763" r:id="rId762" xr:uid="{00000000-0004-0000-0100-0000F9020000}"/>
    <hyperlink ref="W764" r:id="rId763" xr:uid="{00000000-0004-0000-0100-0000FA020000}"/>
    <hyperlink ref="W765" r:id="rId764" xr:uid="{00000000-0004-0000-0100-0000FB020000}"/>
    <hyperlink ref="W766" r:id="rId765" xr:uid="{00000000-0004-0000-0100-0000FC020000}"/>
    <hyperlink ref="W767" r:id="rId766" xr:uid="{00000000-0004-0000-0100-0000FD020000}"/>
    <hyperlink ref="W768" r:id="rId767" xr:uid="{00000000-0004-0000-0100-0000FE020000}"/>
    <hyperlink ref="W769" r:id="rId768" xr:uid="{00000000-0004-0000-0100-0000FF020000}"/>
    <hyperlink ref="W770" r:id="rId769" xr:uid="{00000000-0004-0000-0100-000000030000}"/>
    <hyperlink ref="W771" r:id="rId770" xr:uid="{00000000-0004-0000-0100-000001030000}"/>
    <hyperlink ref="W772" r:id="rId771" xr:uid="{00000000-0004-0000-0100-000002030000}"/>
    <hyperlink ref="W773" r:id="rId772" xr:uid="{00000000-0004-0000-0100-000003030000}"/>
    <hyperlink ref="W774" r:id="rId773" xr:uid="{00000000-0004-0000-0100-000004030000}"/>
    <hyperlink ref="W775" r:id="rId774" xr:uid="{00000000-0004-0000-0100-000005030000}"/>
    <hyperlink ref="W776" r:id="rId775" xr:uid="{00000000-0004-0000-0100-000006030000}"/>
    <hyperlink ref="W777" r:id="rId776" xr:uid="{00000000-0004-0000-0100-000007030000}"/>
    <hyperlink ref="W778" r:id="rId777" xr:uid="{00000000-0004-0000-0100-000008030000}"/>
    <hyperlink ref="W779" r:id="rId778" xr:uid="{00000000-0004-0000-0100-000009030000}"/>
    <hyperlink ref="W780" r:id="rId779" xr:uid="{00000000-0004-0000-0100-00000A030000}"/>
    <hyperlink ref="W781" r:id="rId780" xr:uid="{00000000-0004-0000-0100-00000B030000}"/>
    <hyperlink ref="W782" r:id="rId781" xr:uid="{00000000-0004-0000-0100-00000C030000}"/>
    <hyperlink ref="W783" r:id="rId782" xr:uid="{00000000-0004-0000-0100-00000D030000}"/>
    <hyperlink ref="W784" r:id="rId783" xr:uid="{00000000-0004-0000-0100-00000E030000}"/>
    <hyperlink ref="W785" r:id="rId784" xr:uid="{00000000-0004-0000-0100-00000F030000}"/>
    <hyperlink ref="W786" r:id="rId785" xr:uid="{00000000-0004-0000-0100-000010030000}"/>
    <hyperlink ref="W787" r:id="rId786" xr:uid="{00000000-0004-0000-0100-000011030000}"/>
    <hyperlink ref="W788" r:id="rId787" xr:uid="{00000000-0004-0000-0100-000012030000}"/>
    <hyperlink ref="W789" r:id="rId788" xr:uid="{00000000-0004-0000-0100-000013030000}"/>
    <hyperlink ref="W790" r:id="rId789" xr:uid="{00000000-0004-0000-0100-000014030000}"/>
    <hyperlink ref="W791" r:id="rId790" xr:uid="{00000000-0004-0000-0100-000015030000}"/>
    <hyperlink ref="W792" r:id="rId791" xr:uid="{00000000-0004-0000-0100-000016030000}"/>
    <hyperlink ref="W793" r:id="rId792" xr:uid="{00000000-0004-0000-0100-000017030000}"/>
    <hyperlink ref="W794" r:id="rId793" xr:uid="{00000000-0004-0000-0100-000018030000}"/>
    <hyperlink ref="W795" r:id="rId794" xr:uid="{00000000-0004-0000-0100-000019030000}"/>
    <hyperlink ref="W796" r:id="rId795" xr:uid="{00000000-0004-0000-0100-00001A030000}"/>
    <hyperlink ref="W797" r:id="rId796" xr:uid="{00000000-0004-0000-0100-00001B030000}"/>
    <hyperlink ref="W798" r:id="rId797" xr:uid="{00000000-0004-0000-0100-00001C030000}"/>
    <hyperlink ref="W799" r:id="rId798" xr:uid="{00000000-0004-0000-0100-00001D030000}"/>
    <hyperlink ref="W800" r:id="rId799" xr:uid="{00000000-0004-0000-0100-00001E030000}"/>
    <hyperlink ref="W801" r:id="rId800" xr:uid="{00000000-0004-0000-0100-00001F030000}"/>
    <hyperlink ref="W802" r:id="rId801" xr:uid="{00000000-0004-0000-0100-000020030000}"/>
    <hyperlink ref="W803" r:id="rId802" xr:uid="{00000000-0004-0000-0100-000021030000}"/>
    <hyperlink ref="W804" r:id="rId803" xr:uid="{00000000-0004-0000-0100-000022030000}"/>
    <hyperlink ref="W805" r:id="rId804" xr:uid="{00000000-0004-0000-0100-000023030000}"/>
    <hyperlink ref="W806" r:id="rId805" xr:uid="{00000000-0004-0000-0100-000024030000}"/>
    <hyperlink ref="W807" r:id="rId806" xr:uid="{00000000-0004-0000-0100-000025030000}"/>
    <hyperlink ref="W808" r:id="rId807" xr:uid="{00000000-0004-0000-0100-000026030000}"/>
    <hyperlink ref="W809" r:id="rId808" xr:uid="{00000000-0004-0000-0100-000027030000}"/>
    <hyperlink ref="W810" r:id="rId809" xr:uid="{00000000-0004-0000-0100-000028030000}"/>
    <hyperlink ref="W811" r:id="rId810" xr:uid="{00000000-0004-0000-0100-000029030000}"/>
    <hyperlink ref="W812" r:id="rId811" xr:uid="{00000000-0004-0000-0100-00002A030000}"/>
    <hyperlink ref="W813" r:id="rId812" xr:uid="{00000000-0004-0000-0100-00002B030000}"/>
    <hyperlink ref="W814" r:id="rId813" xr:uid="{00000000-0004-0000-0100-00002C030000}"/>
    <hyperlink ref="W815" r:id="rId814" xr:uid="{00000000-0004-0000-0100-00002D030000}"/>
    <hyperlink ref="W816" r:id="rId815" xr:uid="{00000000-0004-0000-0100-00002E030000}"/>
    <hyperlink ref="W817" r:id="rId816" xr:uid="{00000000-0004-0000-0100-00002F030000}"/>
    <hyperlink ref="W818" r:id="rId817" xr:uid="{00000000-0004-0000-0100-000030030000}"/>
    <hyperlink ref="W819" r:id="rId818" xr:uid="{00000000-0004-0000-0100-000031030000}"/>
    <hyperlink ref="W820" r:id="rId819" xr:uid="{00000000-0004-0000-0100-000032030000}"/>
    <hyperlink ref="W821" r:id="rId820" xr:uid="{00000000-0004-0000-0100-000033030000}"/>
    <hyperlink ref="W822" r:id="rId821" xr:uid="{00000000-0004-0000-0100-000034030000}"/>
    <hyperlink ref="W823" r:id="rId822" xr:uid="{00000000-0004-0000-0100-000035030000}"/>
    <hyperlink ref="W824" r:id="rId823" xr:uid="{00000000-0004-0000-0100-000036030000}"/>
    <hyperlink ref="W825" r:id="rId824" xr:uid="{00000000-0004-0000-0100-000037030000}"/>
    <hyperlink ref="W826" r:id="rId825" xr:uid="{00000000-0004-0000-0100-000038030000}"/>
    <hyperlink ref="W827" r:id="rId826" xr:uid="{00000000-0004-0000-0100-000039030000}"/>
    <hyperlink ref="W828" r:id="rId827" xr:uid="{00000000-0004-0000-0100-00003A030000}"/>
    <hyperlink ref="W829" r:id="rId828" xr:uid="{00000000-0004-0000-0100-00003B030000}"/>
    <hyperlink ref="W830" r:id="rId829" xr:uid="{00000000-0004-0000-0100-00003C030000}"/>
    <hyperlink ref="W831" r:id="rId830" xr:uid="{00000000-0004-0000-0100-00003D030000}"/>
    <hyperlink ref="W832" r:id="rId831" xr:uid="{00000000-0004-0000-0100-00003E030000}"/>
    <hyperlink ref="W833" r:id="rId832" xr:uid="{00000000-0004-0000-0100-00003F030000}"/>
    <hyperlink ref="W834" r:id="rId833" xr:uid="{00000000-0004-0000-0100-000040030000}"/>
    <hyperlink ref="W835" r:id="rId834" xr:uid="{00000000-0004-0000-0100-000041030000}"/>
    <hyperlink ref="W836" r:id="rId835" xr:uid="{00000000-0004-0000-0100-000042030000}"/>
    <hyperlink ref="W837" r:id="rId836" xr:uid="{00000000-0004-0000-0100-000043030000}"/>
    <hyperlink ref="W838" r:id="rId837" xr:uid="{00000000-0004-0000-0100-000044030000}"/>
    <hyperlink ref="W839" r:id="rId838" xr:uid="{00000000-0004-0000-0100-000045030000}"/>
    <hyperlink ref="W840" r:id="rId839" xr:uid="{00000000-0004-0000-0100-000046030000}"/>
    <hyperlink ref="W841" r:id="rId840" xr:uid="{00000000-0004-0000-0100-000047030000}"/>
    <hyperlink ref="W842" r:id="rId841" xr:uid="{00000000-0004-0000-0100-000048030000}"/>
    <hyperlink ref="W843" r:id="rId842" xr:uid="{00000000-0004-0000-0100-000049030000}"/>
    <hyperlink ref="W844" r:id="rId843" xr:uid="{00000000-0004-0000-0100-00004A030000}"/>
    <hyperlink ref="W845" r:id="rId844" xr:uid="{00000000-0004-0000-0100-00004B030000}"/>
    <hyperlink ref="W846" r:id="rId845" xr:uid="{00000000-0004-0000-0100-00004C030000}"/>
    <hyperlink ref="W847" r:id="rId846" xr:uid="{00000000-0004-0000-0100-00004D030000}"/>
    <hyperlink ref="W848" r:id="rId847" xr:uid="{00000000-0004-0000-0100-00004E030000}"/>
    <hyperlink ref="W849" r:id="rId848" xr:uid="{00000000-0004-0000-0100-00004F030000}"/>
    <hyperlink ref="W850" r:id="rId849" xr:uid="{00000000-0004-0000-0100-000050030000}"/>
    <hyperlink ref="W851" r:id="rId850" xr:uid="{00000000-0004-0000-0100-000051030000}"/>
    <hyperlink ref="W852" r:id="rId851" xr:uid="{00000000-0004-0000-0100-000052030000}"/>
    <hyperlink ref="W853" r:id="rId852" xr:uid="{00000000-0004-0000-0100-000053030000}"/>
    <hyperlink ref="W854" r:id="rId853" xr:uid="{00000000-0004-0000-0100-000054030000}"/>
    <hyperlink ref="W855" r:id="rId854" xr:uid="{00000000-0004-0000-0100-000055030000}"/>
    <hyperlink ref="W856" r:id="rId855" xr:uid="{00000000-0004-0000-0100-000056030000}"/>
    <hyperlink ref="W857" r:id="rId856" xr:uid="{00000000-0004-0000-0100-000057030000}"/>
    <hyperlink ref="W858" r:id="rId857" xr:uid="{00000000-0004-0000-0100-000058030000}"/>
    <hyperlink ref="W859" r:id="rId858" xr:uid="{00000000-0004-0000-0100-000059030000}"/>
    <hyperlink ref="W860" r:id="rId859" xr:uid="{00000000-0004-0000-0100-00005A030000}"/>
    <hyperlink ref="W861" r:id="rId860" xr:uid="{00000000-0004-0000-0100-00005B030000}"/>
    <hyperlink ref="W862" r:id="rId861" xr:uid="{00000000-0004-0000-0100-00005C030000}"/>
    <hyperlink ref="W863" r:id="rId862" xr:uid="{00000000-0004-0000-0100-00005D030000}"/>
    <hyperlink ref="W864" r:id="rId863" xr:uid="{00000000-0004-0000-0100-00005E030000}"/>
    <hyperlink ref="W865" r:id="rId864" xr:uid="{00000000-0004-0000-0100-00005F030000}"/>
    <hyperlink ref="W866" r:id="rId865" xr:uid="{00000000-0004-0000-0100-000060030000}"/>
    <hyperlink ref="W867" r:id="rId866" xr:uid="{00000000-0004-0000-0100-000061030000}"/>
    <hyperlink ref="W868" r:id="rId867" xr:uid="{00000000-0004-0000-0100-000062030000}"/>
    <hyperlink ref="W869" r:id="rId868" xr:uid="{00000000-0004-0000-0100-000063030000}"/>
    <hyperlink ref="W870" r:id="rId869" xr:uid="{00000000-0004-0000-0100-000064030000}"/>
    <hyperlink ref="W871" r:id="rId870" xr:uid="{00000000-0004-0000-0100-000065030000}"/>
    <hyperlink ref="W872" r:id="rId871" xr:uid="{00000000-0004-0000-0100-000066030000}"/>
    <hyperlink ref="W873" r:id="rId872" xr:uid="{00000000-0004-0000-0100-000067030000}"/>
    <hyperlink ref="W874" r:id="rId873" xr:uid="{00000000-0004-0000-0100-000068030000}"/>
    <hyperlink ref="W875" r:id="rId874" xr:uid="{00000000-0004-0000-0100-000069030000}"/>
    <hyperlink ref="W876" r:id="rId875" xr:uid="{00000000-0004-0000-0100-00006A030000}"/>
    <hyperlink ref="W877" r:id="rId876" xr:uid="{00000000-0004-0000-0100-00006B030000}"/>
    <hyperlink ref="W878" r:id="rId877" xr:uid="{00000000-0004-0000-0100-00006C030000}"/>
    <hyperlink ref="W879" r:id="rId878" xr:uid="{00000000-0004-0000-0100-00006D030000}"/>
    <hyperlink ref="W880" r:id="rId879" xr:uid="{00000000-0004-0000-0100-00006E030000}"/>
    <hyperlink ref="W881" r:id="rId880" xr:uid="{00000000-0004-0000-0100-00006F030000}"/>
    <hyperlink ref="W882" r:id="rId881" xr:uid="{00000000-0004-0000-0100-000070030000}"/>
    <hyperlink ref="W883" r:id="rId882" xr:uid="{00000000-0004-0000-0100-000071030000}"/>
    <hyperlink ref="W884" r:id="rId883" xr:uid="{00000000-0004-0000-0100-000072030000}"/>
    <hyperlink ref="W885" r:id="rId884" xr:uid="{00000000-0004-0000-0100-000073030000}"/>
    <hyperlink ref="W886" r:id="rId885" xr:uid="{00000000-0004-0000-0100-000074030000}"/>
    <hyperlink ref="W887" r:id="rId886" xr:uid="{00000000-0004-0000-0100-000075030000}"/>
    <hyperlink ref="W888" r:id="rId887" xr:uid="{00000000-0004-0000-0100-000076030000}"/>
    <hyperlink ref="W889" r:id="rId888" xr:uid="{00000000-0004-0000-0100-000077030000}"/>
    <hyperlink ref="W890" r:id="rId889" xr:uid="{00000000-0004-0000-0100-000078030000}"/>
    <hyperlink ref="W891" r:id="rId890" xr:uid="{00000000-0004-0000-0100-000079030000}"/>
    <hyperlink ref="W892" r:id="rId891" xr:uid="{00000000-0004-0000-0100-00007A030000}"/>
    <hyperlink ref="W893" r:id="rId892" xr:uid="{00000000-0004-0000-0100-00007B030000}"/>
    <hyperlink ref="W894" r:id="rId893" xr:uid="{00000000-0004-0000-0100-00007C030000}"/>
    <hyperlink ref="W895" r:id="rId894" xr:uid="{00000000-0004-0000-0100-00007D030000}"/>
    <hyperlink ref="W896" r:id="rId895" xr:uid="{00000000-0004-0000-0100-00007E030000}"/>
    <hyperlink ref="W897" r:id="rId896" xr:uid="{00000000-0004-0000-0100-00007F030000}"/>
    <hyperlink ref="W898" r:id="rId897" xr:uid="{00000000-0004-0000-0100-000080030000}"/>
    <hyperlink ref="W899" r:id="rId898" xr:uid="{00000000-0004-0000-0100-000081030000}"/>
    <hyperlink ref="W900" r:id="rId899" xr:uid="{00000000-0004-0000-0100-000082030000}"/>
    <hyperlink ref="W901" r:id="rId900" xr:uid="{00000000-0004-0000-0100-000083030000}"/>
    <hyperlink ref="W902" r:id="rId901" xr:uid="{00000000-0004-0000-0100-000084030000}"/>
    <hyperlink ref="W903" r:id="rId902" xr:uid="{00000000-0004-0000-0100-000085030000}"/>
    <hyperlink ref="W904" r:id="rId903" xr:uid="{00000000-0004-0000-0100-000086030000}"/>
    <hyperlink ref="W905" r:id="rId904" xr:uid="{00000000-0004-0000-0100-000087030000}"/>
    <hyperlink ref="W906" r:id="rId905" xr:uid="{00000000-0004-0000-0100-000088030000}"/>
    <hyperlink ref="W907" r:id="rId906" xr:uid="{00000000-0004-0000-0100-000089030000}"/>
    <hyperlink ref="W908" r:id="rId907" xr:uid="{00000000-0004-0000-0100-00008A030000}"/>
    <hyperlink ref="W909" r:id="rId908" xr:uid="{00000000-0004-0000-0100-00008B030000}"/>
    <hyperlink ref="W910" r:id="rId909" xr:uid="{00000000-0004-0000-0100-00008C030000}"/>
    <hyperlink ref="W911" r:id="rId910" xr:uid="{00000000-0004-0000-0100-00008D030000}"/>
    <hyperlink ref="W912" r:id="rId911" xr:uid="{00000000-0004-0000-0100-00008E030000}"/>
    <hyperlink ref="W913" r:id="rId912" xr:uid="{00000000-0004-0000-0100-00008F030000}"/>
    <hyperlink ref="W914" r:id="rId913" xr:uid="{00000000-0004-0000-0100-000090030000}"/>
    <hyperlink ref="W915" r:id="rId914" xr:uid="{00000000-0004-0000-0100-000091030000}"/>
    <hyperlink ref="W916" r:id="rId915" xr:uid="{00000000-0004-0000-0100-000092030000}"/>
    <hyperlink ref="W917" r:id="rId916" xr:uid="{00000000-0004-0000-0100-000093030000}"/>
    <hyperlink ref="W918" r:id="rId917" xr:uid="{00000000-0004-0000-0100-000094030000}"/>
    <hyperlink ref="W919" r:id="rId918" xr:uid="{00000000-0004-0000-0100-000095030000}"/>
    <hyperlink ref="W920" r:id="rId919" xr:uid="{00000000-0004-0000-0100-000096030000}"/>
    <hyperlink ref="W921" r:id="rId920" xr:uid="{00000000-0004-0000-0100-000097030000}"/>
    <hyperlink ref="W922" r:id="rId921" xr:uid="{00000000-0004-0000-0100-000098030000}"/>
    <hyperlink ref="W923" r:id="rId922" xr:uid="{00000000-0004-0000-0100-000099030000}"/>
    <hyperlink ref="W924" r:id="rId923" xr:uid="{00000000-0004-0000-0100-00009A030000}"/>
    <hyperlink ref="W925" r:id="rId924" xr:uid="{00000000-0004-0000-0100-00009B030000}"/>
    <hyperlink ref="W926" r:id="rId925" xr:uid="{00000000-0004-0000-0100-00009C030000}"/>
    <hyperlink ref="W927" r:id="rId926" xr:uid="{00000000-0004-0000-0100-00009D030000}"/>
    <hyperlink ref="W928" r:id="rId927" xr:uid="{00000000-0004-0000-0100-00009E030000}"/>
    <hyperlink ref="W929" r:id="rId928" xr:uid="{00000000-0004-0000-0100-00009F030000}"/>
    <hyperlink ref="W930" r:id="rId929" xr:uid="{00000000-0004-0000-0100-0000A0030000}"/>
    <hyperlink ref="W931" r:id="rId930" xr:uid="{00000000-0004-0000-0100-0000A1030000}"/>
    <hyperlink ref="W932" r:id="rId931" xr:uid="{00000000-0004-0000-0100-0000A2030000}"/>
    <hyperlink ref="W933" r:id="rId932" xr:uid="{00000000-0004-0000-0100-0000A3030000}"/>
    <hyperlink ref="W934" r:id="rId933" xr:uid="{00000000-0004-0000-0100-0000A4030000}"/>
    <hyperlink ref="W935" r:id="rId934" xr:uid="{00000000-0004-0000-0100-0000A5030000}"/>
    <hyperlink ref="W936" r:id="rId935" xr:uid="{00000000-0004-0000-0100-0000A6030000}"/>
    <hyperlink ref="W937" r:id="rId936" xr:uid="{00000000-0004-0000-0100-0000A7030000}"/>
    <hyperlink ref="W938" r:id="rId937" xr:uid="{00000000-0004-0000-0100-0000A8030000}"/>
    <hyperlink ref="W939" r:id="rId938" xr:uid="{00000000-0004-0000-0100-0000A9030000}"/>
    <hyperlink ref="W940" r:id="rId939" xr:uid="{00000000-0004-0000-0100-0000AA030000}"/>
    <hyperlink ref="W941" r:id="rId940" xr:uid="{00000000-0004-0000-0100-0000AB030000}"/>
    <hyperlink ref="W942" r:id="rId941" xr:uid="{00000000-0004-0000-0100-0000AC030000}"/>
    <hyperlink ref="W943" r:id="rId942" xr:uid="{00000000-0004-0000-0100-0000AD030000}"/>
    <hyperlink ref="W944" r:id="rId943" xr:uid="{00000000-0004-0000-0100-0000AE030000}"/>
    <hyperlink ref="W945" r:id="rId944" xr:uid="{00000000-0004-0000-0100-0000AF030000}"/>
    <hyperlink ref="W946" r:id="rId945" xr:uid="{00000000-0004-0000-0100-0000B0030000}"/>
    <hyperlink ref="W947" r:id="rId946" xr:uid="{00000000-0004-0000-0100-0000B1030000}"/>
    <hyperlink ref="W948" r:id="rId947" xr:uid="{00000000-0004-0000-0100-0000B2030000}"/>
    <hyperlink ref="W949" r:id="rId948" xr:uid="{00000000-0004-0000-0100-0000B3030000}"/>
    <hyperlink ref="W950" r:id="rId949" xr:uid="{00000000-0004-0000-0100-0000B4030000}"/>
    <hyperlink ref="W951" r:id="rId950" xr:uid="{00000000-0004-0000-0100-0000B5030000}"/>
    <hyperlink ref="W952" r:id="rId951" xr:uid="{00000000-0004-0000-0100-0000B6030000}"/>
    <hyperlink ref="W953" r:id="rId952" xr:uid="{00000000-0004-0000-0100-0000B7030000}"/>
    <hyperlink ref="W954" r:id="rId953" xr:uid="{00000000-0004-0000-0100-0000B8030000}"/>
    <hyperlink ref="W955" r:id="rId954" xr:uid="{00000000-0004-0000-0100-0000B9030000}"/>
    <hyperlink ref="W956" r:id="rId955" xr:uid="{00000000-0004-0000-0100-0000BA030000}"/>
    <hyperlink ref="W957" r:id="rId956" xr:uid="{00000000-0004-0000-0100-0000BB030000}"/>
    <hyperlink ref="W958" r:id="rId957" xr:uid="{00000000-0004-0000-0100-0000BC030000}"/>
    <hyperlink ref="W959" r:id="rId958" xr:uid="{00000000-0004-0000-0100-0000BD030000}"/>
    <hyperlink ref="W960" r:id="rId959" xr:uid="{00000000-0004-0000-0100-0000BE030000}"/>
    <hyperlink ref="W961" r:id="rId960" xr:uid="{00000000-0004-0000-0100-0000BF030000}"/>
    <hyperlink ref="W962" r:id="rId961" xr:uid="{00000000-0004-0000-0100-0000C0030000}"/>
    <hyperlink ref="W963" r:id="rId962" xr:uid="{00000000-0004-0000-0100-0000C1030000}"/>
    <hyperlink ref="W964" r:id="rId963" xr:uid="{00000000-0004-0000-0100-0000C2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Transform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Suhaas Vaddi</cp:lastModifiedBy>
  <dcterms:modified xsi:type="dcterms:W3CDTF">2026-10-19T05:01:51Z</dcterms:modified>
</cp:coreProperties>
</file>